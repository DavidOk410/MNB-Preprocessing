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PycharmProjects\MNB-Preprocessing\MBN Preprocessing\"/>
    </mc:Choice>
  </mc:AlternateContent>
  <xr:revisionPtr revIDLastSave="0" documentId="13_ncr:1_{80C1AF02-9A46-4B81-9BCE-1175B9550F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ray sheet" sheetId="2" r:id="rId2"/>
    <sheet name="Aray new sheet" sheetId="3" r:id="rId3"/>
    <sheet name="Inkar sheet" sheetId="4" r:id="rId4"/>
    <sheet name="Inkar new" sheetId="5" r:id="rId5"/>
    <sheet name="David sheet" sheetId="6" r:id="rId6"/>
    <sheet name="Zhanerke sheet" sheetId="7" r:id="rId7"/>
    <sheet name="Calculation sheet2 (David)" sheetId="8" r:id="rId8"/>
    <sheet name="Calculation sheet (David)" sheetId="9" r:id="rId9"/>
    <sheet name="Check if repeats" sheetId="10" r:id="rId10"/>
    <sheet name="Yerkenaz sheet" sheetId="11" r:id="rId11"/>
  </sheets>
  <definedNames>
    <definedName name="_xlchart.v1.0" hidden="1">Sheet1!$C$1</definedName>
    <definedName name="_xlchart.v1.1" hidden="1">Sheet1!$C$2:$C$2756</definedName>
    <definedName name="_xlchart.v1.2" hidden="1">Sheet1!$K$1</definedName>
    <definedName name="_xlchart.v1.3" hidden="1">Sheet1!$K$2:$K$2756</definedName>
    <definedName name="_xlchart.v1.4" hidden="1">Sheet1!$B$1</definedName>
    <definedName name="_xlchart.v1.5" hidden="1">Sheet1!$B$2:$B$2756</definedName>
    <definedName name="_xlchart.v1.6" hidden="1">Sheet1!$B$1</definedName>
    <definedName name="_xlchart.v1.7" hidden="1">Sheet1!$B$2:$B$2756</definedName>
    <definedName name="_xlnm._FilterDatabase" localSheetId="7" hidden="1">'Calculation sheet2 (David)'!$A$284:$C$296</definedName>
    <definedName name="_xlnm._FilterDatabase" localSheetId="9" hidden="1">'Check if repeats'!$A$1:$Z$115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7" i="11" l="1"/>
  <c r="E186" i="11"/>
  <c r="E185" i="11"/>
  <c r="E184" i="11"/>
  <c r="E183" i="11"/>
  <c r="E182" i="11"/>
  <c r="E181" i="11"/>
  <c r="F803" i="9"/>
  <c r="B803" i="9"/>
  <c r="F802" i="9"/>
  <c r="B802" i="9"/>
  <c r="F801" i="9"/>
  <c r="B801" i="9"/>
  <c r="F800" i="9"/>
  <c r="B800" i="9"/>
  <c r="F799" i="9"/>
  <c r="B799" i="9"/>
  <c r="F798" i="9"/>
  <c r="B798" i="9"/>
  <c r="F797" i="9"/>
  <c r="B797" i="9"/>
  <c r="F796" i="9"/>
  <c r="B796" i="9"/>
  <c r="F795" i="9"/>
  <c r="B795" i="9"/>
  <c r="F794" i="9"/>
  <c r="B794" i="9"/>
  <c r="F793" i="9"/>
  <c r="B793" i="9"/>
  <c r="F792" i="9"/>
  <c r="B792" i="9"/>
  <c r="F791" i="9"/>
  <c r="B791" i="9"/>
  <c r="F790" i="9"/>
  <c r="B790" i="9"/>
  <c r="F789" i="9"/>
  <c r="B789" i="9"/>
  <c r="F788" i="9"/>
  <c r="B788" i="9"/>
  <c r="F787" i="9"/>
  <c r="B787" i="9"/>
  <c r="F786" i="9"/>
  <c r="B786" i="9"/>
  <c r="F785" i="9"/>
  <c r="B785" i="9"/>
  <c r="F784" i="9"/>
  <c r="B784" i="9"/>
  <c r="F783" i="9"/>
  <c r="B783" i="9"/>
  <c r="F782" i="9"/>
  <c r="B782" i="9"/>
  <c r="F779" i="9"/>
  <c r="B779" i="9"/>
  <c r="F778" i="9"/>
  <c r="B778" i="9"/>
  <c r="F777" i="9"/>
  <c r="B777" i="9"/>
  <c r="F776" i="9"/>
  <c r="B776" i="9"/>
  <c r="F775" i="9"/>
  <c r="B775" i="9"/>
  <c r="F774" i="9"/>
  <c r="B774" i="9"/>
  <c r="F773" i="9"/>
  <c r="B773" i="9"/>
  <c r="F772" i="9"/>
  <c r="B772" i="9"/>
  <c r="F771" i="9"/>
  <c r="B771" i="9"/>
  <c r="F770" i="9"/>
  <c r="B770" i="9"/>
  <c r="F769" i="9"/>
  <c r="B769" i="9"/>
  <c r="F768" i="9"/>
  <c r="B768" i="9"/>
  <c r="F767" i="9"/>
  <c r="B767" i="9"/>
  <c r="F766" i="9"/>
  <c r="B766" i="9"/>
  <c r="F765" i="9"/>
  <c r="B765" i="9"/>
  <c r="F764" i="9"/>
  <c r="B764" i="9"/>
  <c r="F763" i="9"/>
  <c r="B763" i="9"/>
  <c r="F762" i="9"/>
  <c r="B762" i="9"/>
  <c r="F761" i="9"/>
  <c r="B761" i="9"/>
  <c r="F760" i="9"/>
  <c r="B760" i="9"/>
  <c r="F759" i="9"/>
  <c r="B759" i="9"/>
  <c r="F758" i="9"/>
  <c r="B758" i="9"/>
  <c r="F757" i="9"/>
  <c r="B757" i="9"/>
  <c r="F755" i="9"/>
  <c r="B755" i="9"/>
  <c r="F754" i="9"/>
  <c r="B754" i="9"/>
  <c r="F753" i="9"/>
  <c r="B753" i="9"/>
  <c r="F752" i="9"/>
  <c r="B752" i="9"/>
  <c r="F751" i="9"/>
  <c r="B751" i="9"/>
  <c r="F750" i="9"/>
  <c r="B750" i="9"/>
  <c r="F749" i="9"/>
  <c r="B749" i="9"/>
  <c r="F748" i="9"/>
  <c r="B748" i="9"/>
  <c r="F747" i="9"/>
  <c r="B747" i="9"/>
  <c r="F746" i="9"/>
  <c r="B746" i="9"/>
  <c r="F745" i="9"/>
  <c r="B745" i="9"/>
  <c r="F744" i="9"/>
  <c r="B744" i="9"/>
  <c r="F743" i="9"/>
  <c r="B743" i="9"/>
  <c r="F742" i="9"/>
  <c r="B742" i="9"/>
  <c r="F741" i="9"/>
  <c r="B741" i="9"/>
  <c r="F740" i="9"/>
  <c r="B740" i="9"/>
  <c r="F739" i="9"/>
  <c r="B739" i="9"/>
  <c r="F738" i="9"/>
  <c r="B738" i="9"/>
  <c r="F737" i="9"/>
  <c r="B737" i="9"/>
  <c r="F736" i="9"/>
  <c r="B736" i="9"/>
  <c r="F735" i="9"/>
  <c r="B735" i="9"/>
  <c r="F734" i="9"/>
  <c r="B734" i="9"/>
  <c r="F733" i="9"/>
  <c r="B733" i="9"/>
  <c r="F732" i="9"/>
  <c r="B732" i="9"/>
  <c r="F731" i="9"/>
  <c r="B731" i="9"/>
  <c r="F729" i="9"/>
  <c r="B729" i="9"/>
  <c r="F728" i="9"/>
  <c r="B728" i="9"/>
  <c r="F727" i="9"/>
  <c r="B727" i="9"/>
  <c r="F726" i="9"/>
  <c r="B726" i="9"/>
  <c r="F725" i="9"/>
  <c r="B725" i="9"/>
  <c r="F724" i="9"/>
  <c r="B724" i="9"/>
  <c r="F723" i="9"/>
  <c r="B723" i="9"/>
  <c r="F722" i="9"/>
  <c r="B722" i="9"/>
  <c r="F721" i="9"/>
  <c r="B721" i="9"/>
  <c r="F720" i="9"/>
  <c r="B720" i="9"/>
  <c r="F719" i="9"/>
  <c r="B719" i="9"/>
  <c r="F718" i="9"/>
  <c r="B718" i="9"/>
  <c r="F717" i="9"/>
  <c r="B717" i="9"/>
  <c r="F716" i="9"/>
  <c r="B716" i="9"/>
  <c r="F715" i="9"/>
  <c r="B715" i="9"/>
  <c r="F714" i="9"/>
  <c r="B714" i="9"/>
  <c r="F713" i="9"/>
  <c r="B713" i="9"/>
  <c r="F712" i="9"/>
  <c r="B712" i="9"/>
  <c r="F711" i="9"/>
  <c r="B711" i="9"/>
  <c r="F710" i="9"/>
  <c r="B710" i="9"/>
  <c r="F709" i="9"/>
  <c r="B709" i="9"/>
  <c r="F708" i="9"/>
  <c r="B708" i="9"/>
  <c r="F707" i="9"/>
  <c r="B707" i="9"/>
  <c r="F706" i="9"/>
  <c r="B706" i="9"/>
  <c r="F704" i="9"/>
  <c r="B704" i="9"/>
  <c r="F703" i="9"/>
  <c r="B703" i="9"/>
  <c r="F702" i="9"/>
  <c r="B702" i="9"/>
  <c r="F701" i="9"/>
  <c r="B701" i="9"/>
  <c r="F700" i="9"/>
  <c r="B700" i="9"/>
  <c r="F699" i="9"/>
  <c r="B699" i="9"/>
  <c r="F698" i="9"/>
  <c r="B698" i="9"/>
  <c r="F697" i="9"/>
  <c r="B697" i="9"/>
  <c r="F696" i="9"/>
  <c r="B696" i="9"/>
  <c r="F695" i="9"/>
  <c r="B695" i="9"/>
  <c r="F694" i="9"/>
  <c r="B694" i="9"/>
  <c r="F693" i="9"/>
  <c r="B693" i="9"/>
  <c r="F692" i="9"/>
  <c r="B692" i="9"/>
  <c r="F691" i="9"/>
  <c r="B691" i="9"/>
  <c r="F690" i="9"/>
  <c r="B690" i="9"/>
  <c r="F689" i="9"/>
  <c r="B689" i="9"/>
  <c r="F688" i="9"/>
  <c r="B688" i="9"/>
  <c r="F687" i="9"/>
  <c r="B687" i="9"/>
  <c r="F686" i="9"/>
  <c r="B686" i="9"/>
  <c r="F685" i="9"/>
  <c r="B685" i="9"/>
  <c r="F684" i="9"/>
  <c r="B684" i="9"/>
  <c r="F683" i="9"/>
  <c r="B683" i="9"/>
  <c r="F682" i="9"/>
  <c r="B682" i="9"/>
  <c r="F681" i="9"/>
  <c r="B681" i="9"/>
  <c r="F680" i="9"/>
  <c r="B680" i="9"/>
  <c r="F677" i="9"/>
  <c r="B677" i="9"/>
  <c r="F676" i="9"/>
  <c r="B676" i="9"/>
  <c r="F675" i="9"/>
  <c r="B675" i="9"/>
  <c r="F674" i="9"/>
  <c r="B674" i="9"/>
  <c r="F673" i="9"/>
  <c r="B673" i="9"/>
  <c r="F672" i="9"/>
  <c r="B672" i="9"/>
  <c r="F671" i="9"/>
  <c r="B671" i="9"/>
  <c r="F670" i="9"/>
  <c r="B670" i="9"/>
  <c r="F669" i="9"/>
  <c r="B669" i="9"/>
  <c r="F668" i="9"/>
  <c r="B668" i="9"/>
  <c r="F667" i="9"/>
  <c r="B667" i="9"/>
  <c r="F666" i="9"/>
  <c r="B666" i="9"/>
  <c r="F665" i="9"/>
  <c r="B665" i="9"/>
  <c r="F664" i="9"/>
  <c r="B664" i="9"/>
  <c r="F663" i="9"/>
  <c r="B663" i="9"/>
  <c r="F662" i="9"/>
  <c r="B662" i="9"/>
  <c r="F661" i="9"/>
  <c r="B661" i="9"/>
  <c r="F660" i="9"/>
  <c r="B660" i="9"/>
  <c r="F659" i="9"/>
  <c r="B659" i="9"/>
  <c r="F658" i="9"/>
  <c r="B658" i="9"/>
  <c r="F657" i="9"/>
  <c r="B657" i="9"/>
  <c r="F656" i="9"/>
  <c r="B656" i="9"/>
  <c r="F655" i="9"/>
  <c r="B655" i="9"/>
  <c r="F654" i="9"/>
  <c r="B654" i="9"/>
  <c r="F653" i="9"/>
  <c r="B653" i="9"/>
  <c r="F652" i="9"/>
  <c r="B652" i="9"/>
  <c r="F651" i="9"/>
  <c r="B651" i="9"/>
  <c r="F650" i="9"/>
  <c r="B650" i="9"/>
  <c r="F649" i="9"/>
  <c r="B649" i="9"/>
  <c r="F647" i="9"/>
  <c r="B647" i="9"/>
  <c r="F646" i="9"/>
  <c r="B646" i="9"/>
  <c r="F645" i="9"/>
  <c r="B645" i="9"/>
  <c r="F644" i="9"/>
  <c r="B644" i="9"/>
  <c r="F643" i="9"/>
  <c r="B643" i="9"/>
  <c r="F642" i="9"/>
  <c r="B642" i="9"/>
  <c r="F641" i="9"/>
  <c r="B641" i="9"/>
  <c r="F640" i="9"/>
  <c r="B640" i="9"/>
  <c r="F639" i="9"/>
  <c r="B639" i="9"/>
  <c r="F638" i="9"/>
  <c r="B638" i="9"/>
  <c r="F637" i="9"/>
  <c r="B637" i="9"/>
  <c r="F636" i="9"/>
  <c r="B636" i="9"/>
  <c r="F635" i="9"/>
  <c r="B635" i="9"/>
  <c r="F634" i="9"/>
  <c r="B634" i="9"/>
  <c r="F633" i="9"/>
  <c r="B633" i="9"/>
  <c r="F632" i="9"/>
  <c r="B632" i="9"/>
  <c r="F631" i="9"/>
  <c r="B631" i="9"/>
  <c r="F630" i="9"/>
  <c r="B630" i="9"/>
  <c r="F629" i="9"/>
  <c r="B629" i="9"/>
  <c r="F628" i="9"/>
  <c r="B628" i="9"/>
  <c r="F627" i="9"/>
  <c r="B627" i="9"/>
  <c r="F626" i="9"/>
  <c r="B626" i="9"/>
  <c r="F625" i="9"/>
  <c r="B625" i="9"/>
  <c r="F624" i="9"/>
  <c r="B624" i="9"/>
  <c r="F623" i="9"/>
  <c r="B623" i="9"/>
  <c r="F622" i="9"/>
  <c r="B622" i="9"/>
  <c r="F621" i="9"/>
  <c r="B621" i="9"/>
  <c r="F620" i="9"/>
  <c r="B620" i="9"/>
  <c r="F619" i="9"/>
  <c r="B619" i="9"/>
  <c r="F617" i="9"/>
  <c r="B617" i="9"/>
  <c r="F616" i="9"/>
  <c r="B616" i="9"/>
  <c r="F615" i="9"/>
  <c r="B615" i="9"/>
  <c r="F614" i="9"/>
  <c r="B614" i="9"/>
  <c r="F613" i="9"/>
  <c r="B613" i="9"/>
  <c r="F612" i="9"/>
  <c r="B612" i="9"/>
  <c r="F611" i="9"/>
  <c r="B611" i="9"/>
  <c r="F610" i="9"/>
  <c r="B610" i="9"/>
  <c r="F609" i="9"/>
  <c r="B609" i="9"/>
  <c r="F608" i="9"/>
  <c r="B608" i="9"/>
  <c r="F607" i="9"/>
  <c r="B607" i="9"/>
  <c r="F606" i="9"/>
  <c r="B606" i="9"/>
  <c r="F605" i="9"/>
  <c r="B605" i="9"/>
  <c r="F604" i="9"/>
  <c r="B604" i="9"/>
  <c r="F603" i="9"/>
  <c r="B603" i="9"/>
  <c r="F602" i="9"/>
  <c r="B602" i="9"/>
  <c r="F601" i="9"/>
  <c r="B601" i="9"/>
  <c r="F600" i="9"/>
  <c r="B600" i="9"/>
  <c r="F599" i="9"/>
  <c r="B599" i="9"/>
  <c r="F598" i="9"/>
  <c r="B598" i="9"/>
  <c r="F597" i="9"/>
  <c r="B597" i="9"/>
  <c r="F596" i="9"/>
  <c r="B596" i="9"/>
  <c r="F595" i="9"/>
  <c r="B595" i="9"/>
  <c r="F594" i="9"/>
  <c r="B594" i="9"/>
  <c r="F593" i="9"/>
  <c r="B593" i="9"/>
  <c r="F592" i="9"/>
  <c r="B592" i="9"/>
  <c r="F591" i="9"/>
  <c r="B591" i="9"/>
  <c r="F590" i="9"/>
  <c r="B590" i="9"/>
  <c r="F589" i="9"/>
  <c r="B589" i="9"/>
  <c r="F585" i="9"/>
  <c r="B585" i="9"/>
  <c r="F584" i="9"/>
  <c r="B584" i="9"/>
  <c r="F583" i="9"/>
  <c r="B583" i="9"/>
  <c r="F582" i="9"/>
  <c r="B582" i="9"/>
  <c r="F581" i="9"/>
  <c r="B581" i="9"/>
  <c r="F580" i="9"/>
  <c r="B580" i="9"/>
  <c r="F579" i="9"/>
  <c r="B579" i="9"/>
  <c r="F578" i="9"/>
  <c r="B578" i="9"/>
  <c r="F577" i="9"/>
  <c r="B577" i="9"/>
  <c r="F576" i="9"/>
  <c r="B576" i="9"/>
  <c r="F575" i="9"/>
  <c r="B575" i="9"/>
  <c r="F574" i="9"/>
  <c r="B574" i="9"/>
  <c r="F573" i="9"/>
  <c r="B573" i="9"/>
  <c r="F572" i="9"/>
  <c r="B572" i="9"/>
  <c r="F571" i="9"/>
  <c r="B571" i="9"/>
  <c r="F570" i="9"/>
  <c r="B570" i="9"/>
  <c r="F569" i="9"/>
  <c r="B569" i="9"/>
  <c r="F568" i="9"/>
  <c r="B568" i="9"/>
  <c r="F567" i="9"/>
  <c r="B567" i="9"/>
  <c r="F566" i="9"/>
  <c r="B566" i="9"/>
  <c r="F565" i="9"/>
  <c r="B565" i="9"/>
  <c r="F564" i="9"/>
  <c r="B564" i="9"/>
  <c r="F563" i="9"/>
  <c r="B563" i="9"/>
  <c r="F562" i="9"/>
  <c r="B562" i="9"/>
  <c r="F561" i="9"/>
  <c r="B561" i="9"/>
  <c r="F560" i="9"/>
  <c r="B560" i="9"/>
  <c r="F559" i="9"/>
  <c r="B559" i="9"/>
  <c r="F558" i="9"/>
  <c r="B558" i="9"/>
  <c r="F556" i="9"/>
  <c r="B556" i="9"/>
  <c r="F555" i="9"/>
  <c r="B555" i="9"/>
  <c r="F554" i="9"/>
  <c r="B554" i="9"/>
  <c r="F553" i="9"/>
  <c r="B553" i="9"/>
  <c r="F552" i="9"/>
  <c r="B552" i="9"/>
  <c r="F551" i="9"/>
  <c r="B551" i="9"/>
  <c r="F550" i="9"/>
  <c r="B550" i="9"/>
  <c r="F549" i="9"/>
  <c r="B549" i="9"/>
  <c r="F548" i="9"/>
  <c r="B548" i="9"/>
  <c r="F547" i="9"/>
  <c r="B547" i="9"/>
  <c r="F546" i="9"/>
  <c r="B546" i="9"/>
  <c r="F545" i="9"/>
  <c r="B545" i="9"/>
  <c r="F544" i="9"/>
  <c r="B544" i="9"/>
  <c r="F543" i="9"/>
  <c r="B543" i="9"/>
  <c r="F542" i="9"/>
  <c r="B542" i="9"/>
  <c r="F541" i="9"/>
  <c r="B541" i="9"/>
  <c r="F540" i="9"/>
  <c r="B540" i="9"/>
  <c r="F539" i="9"/>
  <c r="B539" i="9"/>
  <c r="F538" i="9"/>
  <c r="B538" i="9"/>
  <c r="F537" i="9"/>
  <c r="B537" i="9"/>
  <c r="F536" i="9"/>
  <c r="B536" i="9"/>
  <c r="F535" i="9"/>
  <c r="B535" i="9"/>
  <c r="F534" i="9"/>
  <c r="B534" i="9"/>
  <c r="F533" i="9"/>
  <c r="B533" i="9"/>
  <c r="F532" i="9"/>
  <c r="B532" i="9"/>
  <c r="F531" i="9"/>
  <c r="B531" i="9"/>
  <c r="F530" i="9"/>
  <c r="B530" i="9"/>
  <c r="F529" i="9"/>
  <c r="B529" i="9"/>
  <c r="F528" i="9"/>
  <c r="B528" i="9"/>
  <c r="O526" i="9"/>
  <c r="L526" i="9"/>
  <c r="J526" i="9"/>
  <c r="F526" i="9"/>
  <c r="B526" i="9"/>
  <c r="O525" i="9"/>
  <c r="L525" i="9"/>
  <c r="J525" i="9"/>
  <c r="F525" i="9"/>
  <c r="B525" i="9"/>
  <c r="O524" i="9"/>
  <c r="L524" i="9"/>
  <c r="J524" i="9"/>
  <c r="F524" i="9"/>
  <c r="B524" i="9"/>
  <c r="O523" i="9"/>
  <c r="L523" i="9"/>
  <c r="J523" i="9"/>
  <c r="F523" i="9"/>
  <c r="B523" i="9"/>
  <c r="O522" i="9"/>
  <c r="L522" i="9"/>
  <c r="J522" i="9"/>
  <c r="F522" i="9"/>
  <c r="B522" i="9"/>
  <c r="O521" i="9"/>
  <c r="L521" i="9"/>
  <c r="J521" i="9"/>
  <c r="F521" i="9"/>
  <c r="B521" i="9"/>
  <c r="O520" i="9"/>
  <c r="L520" i="9"/>
  <c r="J520" i="9"/>
  <c r="F520" i="9"/>
  <c r="B520" i="9"/>
  <c r="O519" i="9"/>
  <c r="L519" i="9"/>
  <c r="J519" i="9"/>
  <c r="F519" i="9"/>
  <c r="B519" i="9"/>
  <c r="O518" i="9"/>
  <c r="L518" i="9"/>
  <c r="J518" i="9"/>
  <c r="F518" i="9"/>
  <c r="B518" i="9"/>
  <c r="O517" i="9"/>
  <c r="L517" i="9"/>
  <c r="J517" i="9"/>
  <c r="F517" i="9"/>
  <c r="B517" i="9"/>
  <c r="O516" i="9"/>
  <c r="L516" i="9"/>
  <c r="J516" i="9"/>
  <c r="F516" i="9"/>
  <c r="B516" i="9"/>
  <c r="O515" i="9"/>
  <c r="L515" i="9"/>
  <c r="J515" i="9"/>
  <c r="F515" i="9"/>
  <c r="B515" i="9"/>
  <c r="O514" i="9"/>
  <c r="L514" i="9"/>
  <c r="J514" i="9"/>
  <c r="F514" i="9"/>
  <c r="B514" i="9"/>
  <c r="O513" i="9"/>
  <c r="L513" i="9"/>
  <c r="J513" i="9"/>
  <c r="F513" i="9"/>
  <c r="B513" i="9"/>
  <c r="O512" i="9"/>
  <c r="L512" i="9"/>
  <c r="J512" i="9"/>
  <c r="F512" i="9"/>
  <c r="B512" i="9"/>
  <c r="O511" i="9"/>
  <c r="L511" i="9"/>
  <c r="J511" i="9"/>
  <c r="F511" i="9"/>
  <c r="B511" i="9"/>
  <c r="O510" i="9"/>
  <c r="L510" i="9"/>
  <c r="J510" i="9"/>
  <c r="F510" i="9"/>
  <c r="B510" i="9"/>
  <c r="O509" i="9"/>
  <c r="L509" i="9"/>
  <c r="J509" i="9"/>
  <c r="F509" i="9"/>
  <c r="B509" i="9"/>
  <c r="O508" i="9"/>
  <c r="L508" i="9"/>
  <c r="J508" i="9"/>
  <c r="F508" i="9"/>
  <c r="B508" i="9"/>
  <c r="O507" i="9"/>
  <c r="L507" i="9"/>
  <c r="J507" i="9"/>
  <c r="F507" i="9"/>
  <c r="B507" i="9"/>
  <c r="O506" i="9"/>
  <c r="L506" i="9"/>
  <c r="J506" i="9"/>
  <c r="F506" i="9"/>
  <c r="B506" i="9"/>
  <c r="O505" i="9"/>
  <c r="L505" i="9"/>
  <c r="J505" i="9"/>
  <c r="F505" i="9"/>
  <c r="B505" i="9"/>
  <c r="O504" i="9"/>
  <c r="L504" i="9"/>
  <c r="J504" i="9"/>
  <c r="F504" i="9"/>
  <c r="B504" i="9"/>
  <c r="O503" i="9"/>
  <c r="L503" i="9"/>
  <c r="J503" i="9"/>
  <c r="F503" i="9"/>
  <c r="B503" i="9"/>
  <c r="O501" i="9"/>
  <c r="L501" i="9"/>
  <c r="J501" i="9"/>
  <c r="F501" i="9"/>
  <c r="B501" i="9"/>
  <c r="O500" i="9"/>
  <c r="L500" i="9"/>
  <c r="J500" i="9"/>
  <c r="F500" i="9"/>
  <c r="B500" i="9"/>
  <c r="O499" i="9"/>
  <c r="L499" i="9"/>
  <c r="J499" i="9"/>
  <c r="F499" i="9"/>
  <c r="B499" i="9"/>
  <c r="O498" i="9"/>
  <c r="L498" i="9"/>
  <c r="J498" i="9"/>
  <c r="F498" i="9"/>
  <c r="B498" i="9"/>
  <c r="O497" i="9"/>
  <c r="L497" i="9"/>
  <c r="J497" i="9"/>
  <c r="F497" i="9"/>
  <c r="B497" i="9"/>
  <c r="O496" i="9"/>
  <c r="L496" i="9"/>
  <c r="J496" i="9"/>
  <c r="F496" i="9"/>
  <c r="B496" i="9"/>
  <c r="O495" i="9"/>
  <c r="L495" i="9"/>
  <c r="J495" i="9"/>
  <c r="F495" i="9"/>
  <c r="B495" i="9"/>
  <c r="O494" i="9"/>
  <c r="L494" i="9"/>
  <c r="J494" i="9"/>
  <c r="F494" i="9"/>
  <c r="B494" i="9"/>
  <c r="O493" i="9"/>
  <c r="L493" i="9"/>
  <c r="J493" i="9"/>
  <c r="F493" i="9"/>
  <c r="B493" i="9"/>
  <c r="O492" i="9"/>
  <c r="L492" i="9"/>
  <c r="J492" i="9"/>
  <c r="F492" i="9"/>
  <c r="B492" i="9"/>
  <c r="O491" i="9"/>
  <c r="L491" i="9"/>
  <c r="J491" i="9"/>
  <c r="F491" i="9"/>
  <c r="B491" i="9"/>
  <c r="O490" i="9"/>
  <c r="L490" i="9"/>
  <c r="J490" i="9"/>
  <c r="F490" i="9"/>
  <c r="B490" i="9"/>
  <c r="O489" i="9"/>
  <c r="L489" i="9"/>
  <c r="J489" i="9"/>
  <c r="F489" i="9"/>
  <c r="B489" i="9"/>
  <c r="O488" i="9"/>
  <c r="L488" i="9"/>
  <c r="J488" i="9"/>
  <c r="F488" i="9"/>
  <c r="B488" i="9"/>
  <c r="O487" i="9"/>
  <c r="L487" i="9"/>
  <c r="J487" i="9"/>
  <c r="F487" i="9"/>
  <c r="B487" i="9"/>
  <c r="O486" i="9"/>
  <c r="L486" i="9"/>
  <c r="J486" i="9"/>
  <c r="F486" i="9"/>
  <c r="B486" i="9"/>
  <c r="O485" i="9"/>
  <c r="L485" i="9"/>
  <c r="J485" i="9"/>
  <c r="F485" i="9"/>
  <c r="B485" i="9"/>
  <c r="O484" i="9"/>
  <c r="L484" i="9"/>
  <c r="J484" i="9"/>
  <c r="F484" i="9"/>
  <c r="B484" i="9"/>
  <c r="O483" i="9"/>
  <c r="L483" i="9"/>
  <c r="J483" i="9"/>
  <c r="F483" i="9"/>
  <c r="B483" i="9"/>
  <c r="O482" i="9"/>
  <c r="L482" i="9"/>
  <c r="J482" i="9"/>
  <c r="F482" i="9"/>
  <c r="B482" i="9"/>
  <c r="O481" i="9"/>
  <c r="L481" i="9"/>
  <c r="J481" i="9"/>
  <c r="F481" i="9"/>
  <c r="B481" i="9"/>
  <c r="O480" i="9"/>
  <c r="L480" i="9"/>
  <c r="J480" i="9"/>
  <c r="F480" i="9"/>
  <c r="B480" i="9"/>
  <c r="O479" i="9"/>
  <c r="L479" i="9"/>
  <c r="J479" i="9"/>
  <c r="F479" i="9"/>
  <c r="B479" i="9"/>
  <c r="O478" i="9"/>
  <c r="L478" i="9"/>
  <c r="J478" i="9"/>
  <c r="F478" i="9"/>
  <c r="B478" i="9"/>
  <c r="O477" i="9"/>
  <c r="L477" i="9"/>
  <c r="J477" i="9"/>
  <c r="F477" i="9"/>
  <c r="B477" i="9"/>
  <c r="O476" i="9"/>
  <c r="L476" i="9"/>
  <c r="J476" i="9"/>
  <c r="F476" i="9"/>
  <c r="B476" i="9"/>
  <c r="O475" i="9"/>
  <c r="L475" i="9"/>
  <c r="J475" i="9"/>
  <c r="F475" i="9"/>
  <c r="B475" i="9"/>
  <c r="O474" i="9"/>
  <c r="L474" i="9"/>
  <c r="J474" i="9"/>
  <c r="F474" i="9"/>
  <c r="B474" i="9"/>
  <c r="O473" i="9"/>
  <c r="L473" i="9"/>
  <c r="J473" i="9"/>
  <c r="F473" i="9"/>
  <c r="B473" i="9"/>
  <c r="O472" i="9"/>
  <c r="L472" i="9"/>
  <c r="J472" i="9"/>
  <c r="F472" i="9"/>
  <c r="B472" i="9"/>
  <c r="O470" i="9"/>
  <c r="L470" i="9"/>
  <c r="J470" i="9"/>
  <c r="F470" i="9"/>
  <c r="B470" i="9"/>
  <c r="O469" i="9"/>
  <c r="L469" i="9"/>
  <c r="J469" i="9"/>
  <c r="F469" i="9"/>
  <c r="B469" i="9"/>
  <c r="O468" i="9"/>
  <c r="L468" i="9"/>
  <c r="J468" i="9"/>
  <c r="F468" i="9"/>
  <c r="B468" i="9"/>
  <c r="O467" i="9"/>
  <c r="L467" i="9"/>
  <c r="J467" i="9"/>
  <c r="F467" i="9"/>
  <c r="B467" i="9"/>
  <c r="O466" i="9"/>
  <c r="L466" i="9"/>
  <c r="J466" i="9"/>
  <c r="F466" i="9"/>
  <c r="B466" i="9"/>
  <c r="O465" i="9"/>
  <c r="L465" i="9"/>
  <c r="J465" i="9"/>
  <c r="F465" i="9"/>
  <c r="B465" i="9"/>
  <c r="O464" i="9"/>
  <c r="L464" i="9"/>
  <c r="J464" i="9"/>
  <c r="F464" i="9"/>
  <c r="B464" i="9"/>
  <c r="O463" i="9"/>
  <c r="L463" i="9"/>
  <c r="J463" i="9"/>
  <c r="F463" i="9"/>
  <c r="B463" i="9"/>
  <c r="O462" i="9"/>
  <c r="L462" i="9"/>
  <c r="J462" i="9"/>
  <c r="F462" i="9"/>
  <c r="B462" i="9"/>
  <c r="O461" i="9"/>
  <c r="L461" i="9"/>
  <c r="J461" i="9"/>
  <c r="F461" i="9"/>
  <c r="B461" i="9"/>
  <c r="O460" i="9"/>
  <c r="L460" i="9"/>
  <c r="J460" i="9"/>
  <c r="F460" i="9"/>
  <c r="B460" i="9"/>
  <c r="O459" i="9"/>
  <c r="L459" i="9"/>
  <c r="J459" i="9"/>
  <c r="F459" i="9"/>
  <c r="B459" i="9"/>
  <c r="O458" i="9"/>
  <c r="L458" i="9"/>
  <c r="J458" i="9"/>
  <c r="F458" i="9"/>
  <c r="B458" i="9"/>
  <c r="O457" i="9"/>
  <c r="L457" i="9"/>
  <c r="J457" i="9"/>
  <c r="F457" i="9"/>
  <c r="B457" i="9"/>
  <c r="O456" i="9"/>
  <c r="L456" i="9"/>
  <c r="J456" i="9"/>
  <c r="F456" i="9"/>
  <c r="B456" i="9"/>
  <c r="O455" i="9"/>
  <c r="L455" i="9"/>
  <c r="J455" i="9"/>
  <c r="F455" i="9"/>
  <c r="B455" i="9"/>
  <c r="O454" i="9"/>
  <c r="L454" i="9"/>
  <c r="J454" i="9"/>
  <c r="F454" i="9"/>
  <c r="B454" i="9"/>
  <c r="O453" i="9"/>
  <c r="L453" i="9"/>
  <c r="J453" i="9"/>
  <c r="F453" i="9"/>
  <c r="B453" i="9"/>
  <c r="O452" i="9"/>
  <c r="L452" i="9"/>
  <c r="J452" i="9"/>
  <c r="F452" i="9"/>
  <c r="B452" i="9"/>
  <c r="O451" i="9"/>
  <c r="L451" i="9"/>
  <c r="J451" i="9"/>
  <c r="F451" i="9"/>
  <c r="B451" i="9"/>
  <c r="O450" i="9"/>
  <c r="L450" i="9"/>
  <c r="J450" i="9"/>
  <c r="F450" i="9"/>
  <c r="B450" i="9"/>
  <c r="O449" i="9"/>
  <c r="L449" i="9"/>
  <c r="J449" i="9"/>
  <c r="F449" i="9"/>
  <c r="B449" i="9"/>
  <c r="O448" i="9"/>
  <c r="L448" i="9"/>
  <c r="J448" i="9"/>
  <c r="F448" i="9"/>
  <c r="B448" i="9"/>
  <c r="O447" i="9"/>
  <c r="L447" i="9"/>
  <c r="J447" i="9"/>
  <c r="F447" i="9"/>
  <c r="B447" i="9"/>
  <c r="O446" i="9"/>
  <c r="L446" i="9"/>
  <c r="J446" i="9"/>
  <c r="F446" i="9"/>
  <c r="B446" i="9"/>
  <c r="O445" i="9"/>
  <c r="L445" i="9"/>
  <c r="J445" i="9"/>
  <c r="F445" i="9"/>
  <c r="B445" i="9"/>
  <c r="O444" i="9"/>
  <c r="L444" i="9"/>
  <c r="J444" i="9"/>
  <c r="F444" i="9"/>
  <c r="B444" i="9"/>
  <c r="O442" i="9"/>
  <c r="L442" i="9"/>
  <c r="J442" i="9"/>
  <c r="F442" i="9"/>
  <c r="B442" i="9"/>
  <c r="O441" i="9"/>
  <c r="L441" i="9"/>
  <c r="J441" i="9"/>
  <c r="F441" i="9"/>
  <c r="B441" i="9"/>
  <c r="O440" i="9"/>
  <c r="L440" i="9"/>
  <c r="J440" i="9"/>
  <c r="F440" i="9"/>
  <c r="B440" i="9"/>
  <c r="O439" i="9"/>
  <c r="L439" i="9"/>
  <c r="J439" i="9"/>
  <c r="F439" i="9"/>
  <c r="B439" i="9"/>
  <c r="O438" i="9"/>
  <c r="L438" i="9"/>
  <c r="J438" i="9"/>
  <c r="F438" i="9"/>
  <c r="B438" i="9"/>
  <c r="O437" i="9"/>
  <c r="L437" i="9"/>
  <c r="J437" i="9"/>
  <c r="F437" i="9"/>
  <c r="B437" i="9"/>
  <c r="O436" i="9"/>
  <c r="L436" i="9"/>
  <c r="J436" i="9"/>
  <c r="F436" i="9"/>
  <c r="B436" i="9"/>
  <c r="O435" i="9"/>
  <c r="L435" i="9"/>
  <c r="J435" i="9"/>
  <c r="F435" i="9"/>
  <c r="B435" i="9"/>
  <c r="O434" i="9"/>
  <c r="L434" i="9"/>
  <c r="J434" i="9"/>
  <c r="F434" i="9"/>
  <c r="B434" i="9"/>
  <c r="O433" i="9"/>
  <c r="L433" i="9"/>
  <c r="J433" i="9"/>
  <c r="F433" i="9"/>
  <c r="B433" i="9"/>
  <c r="O432" i="9"/>
  <c r="L432" i="9"/>
  <c r="J432" i="9"/>
  <c r="F432" i="9"/>
  <c r="B432" i="9"/>
  <c r="O431" i="9"/>
  <c r="L431" i="9"/>
  <c r="J431" i="9"/>
  <c r="F431" i="9"/>
  <c r="B431" i="9"/>
  <c r="O430" i="9"/>
  <c r="L430" i="9"/>
  <c r="J430" i="9"/>
  <c r="F430" i="9"/>
  <c r="B430" i="9"/>
  <c r="O429" i="9"/>
  <c r="L429" i="9"/>
  <c r="J429" i="9"/>
  <c r="F429" i="9"/>
  <c r="B429" i="9"/>
  <c r="O428" i="9"/>
  <c r="L428" i="9"/>
  <c r="J428" i="9"/>
  <c r="F428" i="9"/>
  <c r="B428" i="9"/>
  <c r="O427" i="9"/>
  <c r="L427" i="9"/>
  <c r="J427" i="9"/>
  <c r="F427" i="9"/>
  <c r="B427" i="9"/>
  <c r="O426" i="9"/>
  <c r="L426" i="9"/>
  <c r="J426" i="9"/>
  <c r="F426" i="9"/>
  <c r="B426" i="9"/>
  <c r="O425" i="9"/>
  <c r="L425" i="9"/>
  <c r="J425" i="9"/>
  <c r="F425" i="9"/>
  <c r="B425" i="9"/>
  <c r="O424" i="9"/>
  <c r="L424" i="9"/>
  <c r="J424" i="9"/>
  <c r="F424" i="9"/>
  <c r="B424" i="9"/>
  <c r="O422" i="9"/>
  <c r="L422" i="9"/>
  <c r="J422" i="9"/>
  <c r="F422" i="9"/>
  <c r="B422" i="9"/>
  <c r="O421" i="9"/>
  <c r="L421" i="9"/>
  <c r="J421" i="9"/>
  <c r="F421" i="9"/>
  <c r="B421" i="9"/>
  <c r="O420" i="9"/>
  <c r="L420" i="9"/>
  <c r="J420" i="9"/>
  <c r="F420" i="9"/>
  <c r="B420" i="9"/>
  <c r="O419" i="9"/>
  <c r="L419" i="9"/>
  <c r="J419" i="9"/>
  <c r="F419" i="9"/>
  <c r="B419" i="9"/>
  <c r="O418" i="9"/>
  <c r="L418" i="9"/>
  <c r="J418" i="9"/>
  <c r="F418" i="9"/>
  <c r="B418" i="9"/>
  <c r="O417" i="9"/>
  <c r="L417" i="9"/>
  <c r="J417" i="9"/>
  <c r="F417" i="9"/>
  <c r="B417" i="9"/>
  <c r="O416" i="9"/>
  <c r="L416" i="9"/>
  <c r="J416" i="9"/>
  <c r="F416" i="9"/>
  <c r="B416" i="9"/>
  <c r="O415" i="9"/>
  <c r="L415" i="9"/>
  <c r="J415" i="9"/>
  <c r="F415" i="9"/>
  <c r="B415" i="9"/>
  <c r="O414" i="9"/>
  <c r="L414" i="9"/>
  <c r="J414" i="9"/>
  <c r="F414" i="9"/>
  <c r="B414" i="9"/>
  <c r="O413" i="9"/>
  <c r="L413" i="9"/>
  <c r="J413" i="9"/>
  <c r="F413" i="9"/>
  <c r="B413" i="9"/>
  <c r="O412" i="9"/>
  <c r="L412" i="9"/>
  <c r="J412" i="9"/>
  <c r="F412" i="9"/>
  <c r="B412" i="9"/>
  <c r="O411" i="9"/>
  <c r="L411" i="9"/>
  <c r="J411" i="9"/>
  <c r="F411" i="9"/>
  <c r="B411" i="9"/>
  <c r="O409" i="9"/>
  <c r="L409" i="9"/>
  <c r="J409" i="9"/>
  <c r="F409" i="9"/>
  <c r="B409" i="9"/>
  <c r="O408" i="9"/>
  <c r="L408" i="9"/>
  <c r="J408" i="9"/>
  <c r="F408" i="9"/>
  <c r="B408" i="9"/>
  <c r="O407" i="9"/>
  <c r="L407" i="9"/>
  <c r="J407" i="9"/>
  <c r="F407" i="9"/>
  <c r="B407" i="9"/>
  <c r="O406" i="9"/>
  <c r="L406" i="9"/>
  <c r="J406" i="9"/>
  <c r="F406" i="9"/>
  <c r="B406" i="9"/>
  <c r="O405" i="9"/>
  <c r="L405" i="9"/>
  <c r="J405" i="9"/>
  <c r="F405" i="9"/>
  <c r="B405" i="9"/>
  <c r="O404" i="9"/>
  <c r="L404" i="9"/>
  <c r="J404" i="9"/>
  <c r="F404" i="9"/>
  <c r="B404" i="9"/>
  <c r="E401" i="9"/>
  <c r="F401" i="9" s="1"/>
  <c r="D401" i="9"/>
  <c r="B401" i="9"/>
  <c r="D400" i="9"/>
  <c r="B400" i="9"/>
  <c r="E400" i="9" s="1"/>
  <c r="F400" i="9" s="1"/>
  <c r="D399" i="9"/>
  <c r="B399" i="9"/>
  <c r="E399" i="9" s="1"/>
  <c r="F399" i="9" s="1"/>
  <c r="D398" i="9"/>
  <c r="B398" i="9"/>
  <c r="E398" i="9" s="1"/>
  <c r="F398" i="9" s="1"/>
  <c r="E397" i="9"/>
  <c r="F397" i="9" s="1"/>
  <c r="D397" i="9"/>
  <c r="B397" i="9"/>
  <c r="D396" i="9"/>
  <c r="B396" i="9"/>
  <c r="E396" i="9" s="1"/>
  <c r="F396" i="9" s="1"/>
  <c r="D395" i="9"/>
  <c r="B395" i="9"/>
  <c r="E395" i="9" s="1"/>
  <c r="F395" i="9" s="1"/>
  <c r="D394" i="9"/>
  <c r="B394" i="9"/>
  <c r="E394" i="9" s="1"/>
  <c r="F394" i="9" s="1"/>
  <c r="E393" i="9"/>
  <c r="F393" i="9" s="1"/>
  <c r="D393" i="9"/>
  <c r="B393" i="9"/>
  <c r="D392" i="9"/>
  <c r="B392" i="9"/>
  <c r="E392" i="9" s="1"/>
  <c r="F392" i="9" s="1"/>
  <c r="D391" i="9"/>
  <c r="B391" i="9"/>
  <c r="E391" i="9" s="1"/>
  <c r="F391" i="9" s="1"/>
  <c r="D390" i="9"/>
  <c r="B390" i="9"/>
  <c r="E390" i="9" s="1"/>
  <c r="F390" i="9" s="1"/>
  <c r="E389" i="9"/>
  <c r="F389" i="9" s="1"/>
  <c r="D389" i="9"/>
  <c r="B389" i="9"/>
  <c r="D388" i="9"/>
  <c r="B388" i="9"/>
  <c r="E388" i="9" s="1"/>
  <c r="F388" i="9" s="1"/>
  <c r="D387" i="9"/>
  <c r="B387" i="9"/>
  <c r="E387" i="9" s="1"/>
  <c r="F387" i="9" s="1"/>
  <c r="D386" i="9"/>
  <c r="B386" i="9"/>
  <c r="E386" i="9" s="1"/>
  <c r="F386" i="9" s="1"/>
  <c r="E385" i="9"/>
  <c r="F385" i="9" s="1"/>
  <c r="D385" i="9"/>
  <c r="B385" i="9"/>
  <c r="D384" i="9"/>
  <c r="B384" i="9"/>
  <c r="E384" i="9" s="1"/>
  <c r="F384" i="9" s="1"/>
  <c r="D383" i="9"/>
  <c r="E383" i="9" s="1"/>
  <c r="F383" i="9" s="1"/>
  <c r="B383" i="9"/>
  <c r="D382" i="9"/>
  <c r="B382" i="9"/>
  <c r="E382" i="9" s="1"/>
  <c r="F382" i="9" s="1"/>
  <c r="E381" i="9"/>
  <c r="F381" i="9" s="1"/>
  <c r="D381" i="9"/>
  <c r="B381" i="9"/>
  <c r="D380" i="9"/>
  <c r="B380" i="9"/>
  <c r="E380" i="9" s="1"/>
  <c r="F380" i="9" s="1"/>
  <c r="D379" i="9"/>
  <c r="B379" i="9"/>
  <c r="E379" i="9" s="1"/>
  <c r="F379" i="9" s="1"/>
  <c r="F378" i="9"/>
  <c r="D378" i="9"/>
  <c r="B378" i="9"/>
  <c r="E378" i="9" s="1"/>
  <c r="E377" i="9"/>
  <c r="F377" i="9" s="1"/>
  <c r="D377" i="9"/>
  <c r="B377" i="9"/>
  <c r="D376" i="9"/>
  <c r="B376" i="9"/>
  <c r="E376" i="9" s="1"/>
  <c r="F376" i="9" s="1"/>
  <c r="D375" i="9"/>
  <c r="B375" i="9"/>
  <c r="E375" i="9" s="1"/>
  <c r="F375" i="9" s="1"/>
  <c r="D373" i="9"/>
  <c r="B373" i="9"/>
  <c r="E373" i="9" s="1"/>
  <c r="F373" i="9" s="1"/>
  <c r="E372" i="9"/>
  <c r="F372" i="9" s="1"/>
  <c r="D372" i="9"/>
  <c r="B372" i="9"/>
  <c r="D371" i="9"/>
  <c r="B371" i="9"/>
  <c r="E371" i="9" s="1"/>
  <c r="F371" i="9" s="1"/>
  <c r="D370" i="9"/>
  <c r="B370" i="9"/>
  <c r="E370" i="9" s="1"/>
  <c r="F370" i="9" s="1"/>
  <c r="D368" i="9"/>
  <c r="B368" i="9"/>
  <c r="E368" i="9" s="1"/>
  <c r="F368" i="9" s="1"/>
  <c r="E367" i="9"/>
  <c r="F367" i="9" s="1"/>
  <c r="D367" i="9"/>
  <c r="B367" i="9"/>
  <c r="D366" i="9"/>
  <c r="E366" i="9" s="1"/>
  <c r="F366" i="9" s="1"/>
  <c r="B366" i="9"/>
  <c r="D365" i="9"/>
  <c r="B365" i="9"/>
  <c r="E365" i="9" s="1"/>
  <c r="F365" i="9" s="1"/>
  <c r="D364" i="9"/>
  <c r="B364" i="9"/>
  <c r="E364" i="9" s="1"/>
  <c r="F364" i="9" s="1"/>
  <c r="E363" i="9"/>
  <c r="F363" i="9" s="1"/>
  <c r="D363" i="9"/>
  <c r="B363" i="9"/>
  <c r="D362" i="9"/>
  <c r="B362" i="9"/>
  <c r="E362" i="9" s="1"/>
  <c r="F362" i="9" s="1"/>
  <c r="E361" i="9"/>
  <c r="F361" i="9" s="1"/>
  <c r="D361" i="9"/>
  <c r="B361" i="9"/>
  <c r="D360" i="9"/>
  <c r="B360" i="9"/>
  <c r="E360" i="9" s="1"/>
  <c r="F360" i="9" s="1"/>
  <c r="E359" i="9"/>
  <c r="F359" i="9" s="1"/>
  <c r="D359" i="9"/>
  <c r="B359" i="9"/>
  <c r="D358" i="9"/>
  <c r="B358" i="9"/>
  <c r="E358" i="9" s="1"/>
  <c r="F358" i="9" s="1"/>
  <c r="D357" i="9"/>
  <c r="B357" i="9"/>
  <c r="E357" i="9" s="1"/>
  <c r="F357" i="9" s="1"/>
  <c r="F356" i="9"/>
  <c r="D356" i="9"/>
  <c r="B356" i="9"/>
  <c r="E356" i="9" s="1"/>
  <c r="E355" i="9"/>
  <c r="F355" i="9" s="1"/>
  <c r="D355" i="9"/>
  <c r="B355" i="9"/>
  <c r="D354" i="9"/>
  <c r="B354" i="9"/>
  <c r="E354" i="9" s="1"/>
  <c r="F354" i="9" s="1"/>
  <c r="D353" i="9"/>
  <c r="B353" i="9"/>
  <c r="E353" i="9" s="1"/>
  <c r="F353" i="9" s="1"/>
  <c r="D352" i="9"/>
  <c r="B352" i="9"/>
  <c r="E352" i="9" s="1"/>
  <c r="F352" i="9" s="1"/>
  <c r="E351" i="9"/>
  <c r="F351" i="9" s="1"/>
  <c r="D351" i="9"/>
  <c r="B351" i="9"/>
  <c r="D350" i="9"/>
  <c r="B350" i="9"/>
  <c r="E350" i="9" s="1"/>
  <c r="F350" i="9" s="1"/>
  <c r="D349" i="9"/>
  <c r="B349" i="9"/>
  <c r="E349" i="9" s="1"/>
  <c r="F349" i="9" s="1"/>
  <c r="D348" i="9"/>
  <c r="B348" i="9"/>
  <c r="E348" i="9" s="1"/>
  <c r="F348" i="9" s="1"/>
  <c r="E347" i="9"/>
  <c r="F347" i="9" s="1"/>
  <c r="D347" i="9"/>
  <c r="B347" i="9"/>
  <c r="E346" i="9"/>
  <c r="F346" i="9" s="1"/>
  <c r="D346" i="9"/>
  <c r="B346" i="9"/>
  <c r="D344" i="9"/>
  <c r="B344" i="9"/>
  <c r="E344" i="9" s="1"/>
  <c r="F344" i="9" s="1"/>
  <c r="D343" i="9"/>
  <c r="B343" i="9"/>
  <c r="E343" i="9" s="1"/>
  <c r="F343" i="9" s="1"/>
  <c r="E342" i="9"/>
  <c r="F342" i="9" s="1"/>
  <c r="D342" i="9"/>
  <c r="B342" i="9"/>
  <c r="D341" i="9"/>
  <c r="B341" i="9"/>
  <c r="E341" i="9" s="1"/>
  <c r="F341" i="9" s="1"/>
  <c r="D340" i="9"/>
  <c r="B340" i="9"/>
  <c r="E340" i="9" s="1"/>
  <c r="F340" i="9" s="1"/>
  <c r="D339" i="9"/>
  <c r="B339" i="9"/>
  <c r="E339" i="9" s="1"/>
  <c r="F339" i="9" s="1"/>
  <c r="E338" i="9"/>
  <c r="F338" i="9" s="1"/>
  <c r="D338" i="9"/>
  <c r="B338" i="9"/>
  <c r="D337" i="9"/>
  <c r="B337" i="9"/>
  <c r="E337" i="9" s="1"/>
  <c r="F337" i="9" s="1"/>
  <c r="D336" i="9"/>
  <c r="B336" i="9"/>
  <c r="E336" i="9" s="1"/>
  <c r="F336" i="9" s="1"/>
  <c r="D335" i="9"/>
  <c r="B335" i="9"/>
  <c r="E335" i="9" s="1"/>
  <c r="F335" i="9" s="1"/>
  <c r="E334" i="9"/>
  <c r="F334" i="9" s="1"/>
  <c r="D334" i="9"/>
  <c r="B334" i="9"/>
  <c r="D333" i="9"/>
  <c r="B333" i="9"/>
  <c r="E333" i="9" s="1"/>
  <c r="F333" i="9" s="1"/>
  <c r="D332" i="9"/>
  <c r="B332" i="9"/>
  <c r="E332" i="9" s="1"/>
  <c r="F332" i="9" s="1"/>
  <c r="D331" i="9"/>
  <c r="B331" i="9"/>
  <c r="E331" i="9" s="1"/>
  <c r="F331" i="9" s="1"/>
  <c r="E330" i="9"/>
  <c r="F330" i="9" s="1"/>
  <c r="D330" i="9"/>
  <c r="B330" i="9"/>
  <c r="D329" i="9"/>
  <c r="B329" i="9"/>
  <c r="E329" i="9" s="1"/>
  <c r="F329" i="9" s="1"/>
  <c r="D328" i="9"/>
  <c r="B328" i="9"/>
  <c r="E328" i="9" s="1"/>
  <c r="F328" i="9" s="1"/>
  <c r="D327" i="9"/>
  <c r="B327" i="9"/>
  <c r="E327" i="9" s="1"/>
  <c r="F327" i="9" s="1"/>
  <c r="E326" i="9"/>
  <c r="F326" i="9" s="1"/>
  <c r="D326" i="9"/>
  <c r="B326" i="9"/>
  <c r="D325" i="9"/>
  <c r="B325" i="9"/>
  <c r="E325" i="9" s="1"/>
  <c r="F325" i="9" s="1"/>
  <c r="X324" i="9"/>
  <c r="D324" i="9"/>
  <c r="B324" i="9"/>
  <c r="E324" i="9" s="1"/>
  <c r="F324" i="9" s="1"/>
  <c r="X323" i="9"/>
  <c r="L323" i="9"/>
  <c r="D323" i="9"/>
  <c r="E323" i="9" s="1"/>
  <c r="F323" i="9" s="1"/>
  <c r="B323" i="9"/>
  <c r="X322" i="9"/>
  <c r="L322" i="9"/>
  <c r="E322" i="9"/>
  <c r="F322" i="9" s="1"/>
  <c r="D322" i="9"/>
  <c r="B322" i="9"/>
  <c r="X321" i="9"/>
  <c r="L321" i="9"/>
  <c r="E321" i="9"/>
  <c r="F321" i="9" s="1"/>
  <c r="D321" i="9"/>
  <c r="B321" i="9"/>
  <c r="X320" i="9"/>
  <c r="L320" i="9"/>
  <c r="D320" i="9"/>
  <c r="B320" i="9"/>
  <c r="E320" i="9" s="1"/>
  <c r="F320" i="9" s="1"/>
  <c r="X319" i="9"/>
  <c r="L319" i="9"/>
  <c r="E319" i="9"/>
  <c r="F319" i="9" s="1"/>
  <c r="D319" i="9"/>
  <c r="B319" i="9"/>
  <c r="X318" i="9"/>
  <c r="L318" i="9"/>
  <c r="D318" i="9"/>
  <c r="B318" i="9"/>
  <c r="E318" i="9" s="1"/>
  <c r="F318" i="9" s="1"/>
  <c r="X317" i="9"/>
  <c r="L317" i="9"/>
  <c r="D317" i="9"/>
  <c r="B317" i="9"/>
  <c r="E317" i="9" s="1"/>
  <c r="F317" i="9" s="1"/>
  <c r="X316" i="9"/>
  <c r="L316" i="9"/>
  <c r="D316" i="9"/>
  <c r="B316" i="9"/>
  <c r="E316" i="9" s="1"/>
  <c r="F316" i="9" s="1"/>
  <c r="X315" i="9"/>
  <c r="L315" i="9"/>
  <c r="X314" i="9"/>
  <c r="L314" i="9"/>
  <c r="D314" i="9"/>
  <c r="B314" i="9"/>
  <c r="E314" i="9" s="1"/>
  <c r="F314" i="9" s="1"/>
  <c r="X313" i="9"/>
  <c r="L313" i="9"/>
  <c r="D313" i="9"/>
  <c r="B313" i="9"/>
  <c r="E313" i="9" s="1"/>
  <c r="F313" i="9" s="1"/>
  <c r="X312" i="9"/>
  <c r="L312" i="9"/>
  <c r="D312" i="9"/>
  <c r="B312" i="9"/>
  <c r="E312" i="9" s="1"/>
  <c r="F312" i="9" s="1"/>
  <c r="X311" i="9"/>
  <c r="L311" i="9"/>
  <c r="D311" i="9"/>
  <c r="B311" i="9"/>
  <c r="E311" i="9" s="1"/>
  <c r="F311" i="9" s="1"/>
  <c r="X310" i="9"/>
  <c r="L310" i="9"/>
  <c r="D310" i="9"/>
  <c r="B310" i="9"/>
  <c r="E310" i="9" s="1"/>
  <c r="F310" i="9" s="1"/>
  <c r="X309" i="9"/>
  <c r="L309" i="9"/>
  <c r="D309" i="9"/>
  <c r="E309" i="9" s="1"/>
  <c r="F309" i="9" s="1"/>
  <c r="B309" i="9"/>
  <c r="L308" i="9"/>
  <c r="E308" i="9"/>
  <c r="F308" i="9" s="1"/>
  <c r="D308" i="9"/>
  <c r="B308" i="9"/>
  <c r="X307" i="9"/>
  <c r="U307" i="9"/>
  <c r="D307" i="9"/>
  <c r="E307" i="9" s="1"/>
  <c r="F307" i="9" s="1"/>
  <c r="B307" i="9"/>
  <c r="X306" i="9"/>
  <c r="U306" i="9"/>
  <c r="L306" i="9"/>
  <c r="D306" i="9"/>
  <c r="B306" i="9"/>
  <c r="E306" i="9" s="1"/>
  <c r="F306" i="9" s="1"/>
  <c r="X305" i="9"/>
  <c r="U305" i="9"/>
  <c r="L305" i="9"/>
  <c r="D305" i="9"/>
  <c r="B305" i="9"/>
  <c r="E305" i="9" s="1"/>
  <c r="F305" i="9" s="1"/>
  <c r="X304" i="9"/>
  <c r="U304" i="9"/>
  <c r="L304" i="9"/>
  <c r="D304" i="9"/>
  <c r="E304" i="9" s="1"/>
  <c r="F304" i="9" s="1"/>
  <c r="B304" i="9"/>
  <c r="X303" i="9"/>
  <c r="U303" i="9"/>
  <c r="L303" i="9"/>
  <c r="D303" i="9"/>
  <c r="B303" i="9"/>
  <c r="E303" i="9" s="1"/>
  <c r="F303" i="9" s="1"/>
  <c r="X302" i="9"/>
  <c r="U302" i="9"/>
  <c r="L302" i="9"/>
  <c r="D302" i="9"/>
  <c r="B302" i="9"/>
  <c r="E302" i="9" s="1"/>
  <c r="F302" i="9" s="1"/>
  <c r="X301" i="9"/>
  <c r="U301" i="9"/>
  <c r="L301" i="9"/>
  <c r="D301" i="9"/>
  <c r="B301" i="9"/>
  <c r="E301" i="9" s="1"/>
  <c r="F301" i="9" s="1"/>
  <c r="X300" i="9"/>
  <c r="U300" i="9"/>
  <c r="L300" i="9"/>
  <c r="E300" i="9"/>
  <c r="F300" i="9" s="1"/>
  <c r="D300" i="9"/>
  <c r="B300" i="9"/>
  <c r="X299" i="9"/>
  <c r="U299" i="9"/>
  <c r="L299" i="9"/>
  <c r="D299" i="9"/>
  <c r="B299" i="9"/>
  <c r="E299" i="9" s="1"/>
  <c r="F299" i="9" s="1"/>
  <c r="U298" i="9"/>
  <c r="L298" i="9"/>
  <c r="D298" i="9"/>
  <c r="B298" i="9"/>
  <c r="E298" i="9" s="1"/>
  <c r="F298" i="9" s="1"/>
  <c r="X297" i="9"/>
  <c r="U297" i="9"/>
  <c r="R297" i="9"/>
  <c r="D297" i="9"/>
  <c r="E297" i="9" s="1"/>
  <c r="F297" i="9" s="1"/>
  <c r="B297" i="9"/>
  <c r="X296" i="9"/>
  <c r="U296" i="9"/>
  <c r="R296" i="9"/>
  <c r="L296" i="9"/>
  <c r="D296" i="9"/>
  <c r="B296" i="9"/>
  <c r="E296" i="9" s="1"/>
  <c r="F296" i="9" s="1"/>
  <c r="X295" i="9"/>
  <c r="U295" i="9"/>
  <c r="R295" i="9"/>
  <c r="L295" i="9"/>
  <c r="D295" i="9"/>
  <c r="E295" i="9" s="1"/>
  <c r="F295" i="9" s="1"/>
  <c r="B295" i="9"/>
  <c r="X294" i="9"/>
  <c r="U294" i="9"/>
  <c r="R294" i="9"/>
  <c r="L294" i="9"/>
  <c r="D294" i="9"/>
  <c r="B294" i="9"/>
  <c r="E294" i="9" s="1"/>
  <c r="F294" i="9" s="1"/>
  <c r="X293" i="9"/>
  <c r="U293" i="9"/>
  <c r="R293" i="9"/>
  <c r="L293" i="9"/>
  <c r="D293" i="9"/>
  <c r="E293" i="9" s="1"/>
  <c r="F293" i="9" s="1"/>
  <c r="B293" i="9"/>
  <c r="X292" i="9"/>
  <c r="U292" i="9"/>
  <c r="R292" i="9"/>
  <c r="L292" i="9"/>
  <c r="D292" i="9"/>
  <c r="B292" i="9"/>
  <c r="E292" i="9" s="1"/>
  <c r="F292" i="9" s="1"/>
  <c r="X291" i="9"/>
  <c r="U291" i="9"/>
  <c r="R291" i="9"/>
  <c r="L291" i="9"/>
  <c r="D291" i="9"/>
  <c r="E291" i="9" s="1"/>
  <c r="F291" i="9" s="1"/>
  <c r="B291" i="9"/>
  <c r="L290" i="9"/>
  <c r="D290" i="9"/>
  <c r="B290" i="9"/>
  <c r="E290" i="9" s="1"/>
  <c r="F290" i="9" s="1"/>
  <c r="X289" i="9"/>
  <c r="D289" i="9"/>
  <c r="B289" i="9"/>
  <c r="E289" i="9" s="1"/>
  <c r="F289" i="9" s="1"/>
  <c r="X288" i="9"/>
  <c r="D288" i="9"/>
  <c r="B288" i="9"/>
  <c r="E288" i="9" s="1"/>
  <c r="F288" i="9" s="1"/>
  <c r="X287" i="9"/>
  <c r="D287" i="9"/>
  <c r="B287" i="9"/>
  <c r="E287" i="9" s="1"/>
  <c r="F287" i="9" s="1"/>
  <c r="X286" i="9"/>
  <c r="D286" i="9"/>
  <c r="B286" i="9"/>
  <c r="E286" i="9" s="1"/>
  <c r="F286" i="9" s="1"/>
  <c r="X285" i="9"/>
  <c r="D285" i="9"/>
  <c r="B285" i="9"/>
  <c r="E285" i="9" s="1"/>
  <c r="F285" i="9" s="1"/>
  <c r="X284" i="9"/>
  <c r="D284" i="9"/>
  <c r="B284" i="9"/>
  <c r="E284" i="9" s="1"/>
  <c r="F284" i="9" s="1"/>
  <c r="X283" i="9"/>
  <c r="D283" i="9"/>
  <c r="B283" i="9"/>
  <c r="E283" i="9" s="1"/>
  <c r="F283" i="9" s="1"/>
  <c r="X282" i="9"/>
  <c r="X281" i="9"/>
  <c r="X280" i="9"/>
  <c r="X279" i="9"/>
  <c r="O279" i="9"/>
  <c r="L279" i="9"/>
  <c r="F279" i="9"/>
  <c r="X278" i="9"/>
  <c r="O278" i="9"/>
  <c r="L278" i="9"/>
  <c r="F278" i="9"/>
  <c r="X277" i="9"/>
  <c r="O277" i="9"/>
  <c r="L277" i="9"/>
  <c r="F277" i="9"/>
  <c r="X276" i="9"/>
  <c r="O276" i="9"/>
  <c r="L276" i="9"/>
  <c r="F276" i="9"/>
  <c r="X275" i="9"/>
  <c r="O275" i="9"/>
  <c r="L275" i="9"/>
  <c r="F275" i="9"/>
  <c r="X274" i="9"/>
  <c r="O274" i="9"/>
  <c r="L274" i="9"/>
  <c r="F274" i="9"/>
  <c r="X273" i="9"/>
  <c r="O273" i="9"/>
  <c r="L273" i="9"/>
  <c r="F273" i="9"/>
  <c r="X272" i="9"/>
  <c r="O272" i="9"/>
  <c r="L272" i="9"/>
  <c r="F272" i="9"/>
  <c r="X271" i="9"/>
  <c r="O271" i="9"/>
  <c r="L271" i="9"/>
  <c r="F271" i="9"/>
  <c r="X270" i="9"/>
  <c r="O270" i="9"/>
  <c r="L270" i="9"/>
  <c r="F270" i="9"/>
  <c r="X269" i="9"/>
  <c r="O269" i="9"/>
  <c r="L269" i="9"/>
  <c r="F269" i="9"/>
  <c r="X268" i="9"/>
  <c r="O268" i="9"/>
  <c r="L268" i="9"/>
  <c r="F268" i="9"/>
  <c r="X267" i="9"/>
  <c r="O267" i="9"/>
  <c r="L267" i="9"/>
  <c r="F267" i="9"/>
  <c r="X266" i="9"/>
  <c r="O266" i="9"/>
  <c r="L266" i="9"/>
  <c r="F266" i="9"/>
  <c r="X265" i="9"/>
  <c r="O265" i="9"/>
  <c r="L265" i="9"/>
  <c r="F265" i="9"/>
  <c r="X264" i="9"/>
  <c r="O264" i="9"/>
  <c r="L264" i="9"/>
  <c r="F264" i="9"/>
  <c r="X263" i="9"/>
  <c r="O263" i="9"/>
  <c r="L263" i="9"/>
  <c r="F263" i="9"/>
  <c r="X262" i="9"/>
  <c r="O262" i="9"/>
  <c r="L262" i="9"/>
  <c r="F262" i="9"/>
  <c r="X261" i="9"/>
  <c r="O261" i="9"/>
  <c r="L261" i="9"/>
  <c r="F261" i="9"/>
  <c r="X260" i="9"/>
  <c r="O260" i="9"/>
  <c r="L260" i="9"/>
  <c r="F260" i="9"/>
  <c r="X259" i="9"/>
  <c r="O259" i="9"/>
  <c r="L259" i="9"/>
  <c r="F259" i="9"/>
  <c r="X258" i="9"/>
  <c r="O258" i="9"/>
  <c r="L258" i="9"/>
  <c r="F258" i="9"/>
  <c r="X257" i="9"/>
  <c r="O257" i="9"/>
  <c r="L257" i="9"/>
  <c r="F257" i="9"/>
  <c r="X256" i="9"/>
  <c r="O256" i="9"/>
  <c r="L256" i="9"/>
  <c r="F256" i="9"/>
  <c r="X255" i="9"/>
  <c r="O255" i="9"/>
  <c r="L255" i="9"/>
  <c r="F255" i="9"/>
  <c r="X254" i="9"/>
  <c r="O254" i="9"/>
  <c r="L254" i="9"/>
  <c r="F254" i="9"/>
  <c r="X253" i="9"/>
  <c r="O253" i="9"/>
  <c r="L253" i="9"/>
  <c r="F253" i="9"/>
  <c r="X252" i="9"/>
  <c r="O252" i="9"/>
  <c r="L252" i="9"/>
  <c r="F252" i="9"/>
  <c r="X251" i="9"/>
  <c r="O251" i="9"/>
  <c r="L251" i="9"/>
  <c r="F251" i="9"/>
  <c r="X250" i="9"/>
  <c r="O250" i="9"/>
  <c r="L250" i="9"/>
  <c r="F250" i="9"/>
  <c r="X249" i="9"/>
  <c r="O249" i="9"/>
  <c r="L249" i="9"/>
  <c r="F249" i="9"/>
  <c r="X248" i="9"/>
  <c r="O248" i="9"/>
  <c r="L248" i="9"/>
  <c r="F248" i="9"/>
  <c r="X247" i="9"/>
  <c r="O247" i="9"/>
  <c r="L247" i="9"/>
  <c r="F247" i="9"/>
  <c r="X246" i="9"/>
  <c r="O246" i="9"/>
  <c r="L246" i="9"/>
  <c r="F246" i="9"/>
  <c r="X245" i="9"/>
  <c r="O245" i="9"/>
  <c r="L245" i="9"/>
  <c r="F245" i="9"/>
  <c r="X244" i="9"/>
  <c r="O244" i="9"/>
  <c r="L244" i="9"/>
  <c r="F244" i="9"/>
  <c r="X243" i="9"/>
  <c r="O243" i="9"/>
  <c r="L243" i="9"/>
  <c r="F243" i="9"/>
  <c r="X242" i="9"/>
  <c r="O242" i="9"/>
  <c r="L242" i="9"/>
  <c r="F242" i="9"/>
  <c r="X241" i="9"/>
  <c r="O241" i="9"/>
  <c r="L241" i="9"/>
  <c r="F241" i="9"/>
  <c r="X240" i="9"/>
  <c r="O240" i="9"/>
  <c r="L240" i="9"/>
  <c r="X239" i="9"/>
  <c r="O239" i="9"/>
  <c r="L239" i="9"/>
  <c r="F239" i="9"/>
  <c r="X238" i="9"/>
  <c r="O238" i="9"/>
  <c r="L238" i="9"/>
  <c r="F238" i="9"/>
  <c r="X237" i="9"/>
  <c r="O237" i="9"/>
  <c r="L237" i="9"/>
  <c r="F237" i="9"/>
  <c r="X236" i="9"/>
  <c r="O236" i="9"/>
  <c r="L236" i="9"/>
  <c r="F236" i="9"/>
  <c r="X235" i="9"/>
  <c r="O235" i="9"/>
  <c r="L235" i="9"/>
  <c r="F235" i="9"/>
  <c r="X234" i="9"/>
  <c r="O234" i="9"/>
  <c r="L234" i="9"/>
  <c r="F234" i="9"/>
  <c r="X233" i="9"/>
  <c r="O233" i="9"/>
  <c r="L233" i="9"/>
  <c r="F233" i="9"/>
  <c r="X232" i="9"/>
  <c r="O232" i="9"/>
  <c r="L232" i="9"/>
  <c r="F232" i="9"/>
  <c r="X231" i="9"/>
  <c r="O231" i="9"/>
  <c r="L231" i="9"/>
  <c r="F231" i="9"/>
  <c r="X230" i="9"/>
  <c r="O230" i="9"/>
  <c r="L230" i="9"/>
  <c r="F230" i="9"/>
  <c r="X229" i="9"/>
  <c r="O229" i="9"/>
  <c r="L229" i="9"/>
  <c r="F229" i="9"/>
  <c r="X228" i="9"/>
  <c r="O228" i="9"/>
  <c r="L228" i="9"/>
  <c r="F228" i="9"/>
  <c r="X227" i="9"/>
  <c r="O227" i="9"/>
  <c r="L227" i="9"/>
  <c r="F227" i="9"/>
  <c r="X226" i="9"/>
  <c r="O226" i="9"/>
  <c r="L226" i="9"/>
  <c r="F226" i="9"/>
  <c r="X225" i="9"/>
  <c r="O225" i="9"/>
  <c r="L225" i="9"/>
  <c r="F225" i="9"/>
  <c r="X224" i="9"/>
  <c r="O224" i="9"/>
  <c r="L224" i="9"/>
  <c r="X223" i="9"/>
  <c r="O223" i="9"/>
  <c r="L223" i="9"/>
  <c r="F223" i="9"/>
  <c r="F222" i="9"/>
  <c r="X221" i="9"/>
  <c r="O221" i="9"/>
  <c r="L221" i="9"/>
  <c r="F221" i="9"/>
  <c r="X220" i="9"/>
  <c r="O220" i="9"/>
  <c r="L220" i="9"/>
  <c r="F220" i="9"/>
  <c r="X219" i="9"/>
  <c r="O219" i="9"/>
  <c r="L219" i="9"/>
  <c r="F219" i="9"/>
  <c r="X218" i="9"/>
  <c r="O218" i="9"/>
  <c r="L218" i="9"/>
  <c r="F218" i="9"/>
  <c r="X217" i="9"/>
  <c r="O217" i="9"/>
  <c r="L217" i="9"/>
  <c r="F217" i="9"/>
  <c r="X216" i="9"/>
  <c r="O216" i="9"/>
  <c r="L216" i="9"/>
  <c r="F216" i="9"/>
  <c r="X215" i="9"/>
  <c r="O215" i="9"/>
  <c r="L215" i="9"/>
  <c r="F215" i="9"/>
  <c r="X214" i="9"/>
  <c r="O214" i="9"/>
  <c r="L214" i="9"/>
  <c r="F214" i="9"/>
  <c r="X213" i="9"/>
  <c r="O213" i="9"/>
  <c r="L213" i="9"/>
  <c r="F213" i="9"/>
  <c r="X212" i="9"/>
  <c r="O212" i="9"/>
  <c r="L212" i="9"/>
  <c r="F212" i="9"/>
  <c r="X211" i="9"/>
  <c r="O211" i="9"/>
  <c r="L211" i="9"/>
  <c r="X210" i="9"/>
  <c r="O210" i="9"/>
  <c r="L210" i="9"/>
  <c r="F210" i="9"/>
  <c r="B210" i="9"/>
  <c r="X209" i="9"/>
  <c r="O209" i="9"/>
  <c r="L209" i="9"/>
  <c r="F209" i="9"/>
  <c r="B209" i="9"/>
  <c r="F208" i="9"/>
  <c r="B208" i="9"/>
  <c r="X207" i="9"/>
  <c r="O207" i="9"/>
  <c r="L207" i="9"/>
  <c r="F207" i="9"/>
  <c r="B207" i="9"/>
  <c r="X206" i="9"/>
  <c r="O206" i="9"/>
  <c r="L206" i="9"/>
  <c r="F206" i="9"/>
  <c r="B206" i="9"/>
  <c r="X205" i="9"/>
  <c r="O205" i="9"/>
  <c r="L205" i="9"/>
  <c r="F205" i="9"/>
  <c r="B205" i="9"/>
  <c r="X204" i="9"/>
  <c r="O204" i="9"/>
  <c r="L204" i="9"/>
  <c r="F204" i="9"/>
  <c r="B204" i="9"/>
  <c r="X203" i="9"/>
  <c r="O203" i="9"/>
  <c r="L203" i="9"/>
  <c r="F203" i="9"/>
  <c r="B203" i="9"/>
  <c r="X202" i="9"/>
  <c r="O202" i="9"/>
  <c r="L202" i="9"/>
  <c r="F202" i="9"/>
  <c r="B202" i="9"/>
  <c r="X201" i="9"/>
  <c r="O201" i="9"/>
  <c r="L201" i="9"/>
  <c r="F201" i="9"/>
  <c r="B201" i="9"/>
  <c r="X200" i="9"/>
  <c r="O200" i="9"/>
  <c r="L200" i="9"/>
  <c r="F200" i="9"/>
  <c r="B200" i="9"/>
  <c r="X199" i="9"/>
  <c r="O199" i="9"/>
  <c r="L199" i="9"/>
  <c r="F199" i="9"/>
  <c r="B199" i="9"/>
  <c r="X198" i="9"/>
  <c r="O198" i="9"/>
  <c r="L198" i="9"/>
  <c r="F198" i="9"/>
  <c r="B198" i="9"/>
  <c r="X197" i="9"/>
  <c r="O197" i="9"/>
  <c r="L197" i="9"/>
  <c r="F197" i="9"/>
  <c r="B197" i="9"/>
  <c r="X196" i="9"/>
  <c r="O196" i="9"/>
  <c r="L196" i="9"/>
  <c r="F196" i="9"/>
  <c r="B196" i="9"/>
  <c r="X195" i="9"/>
  <c r="O195" i="9"/>
  <c r="L195" i="9"/>
  <c r="F195" i="9"/>
  <c r="B195" i="9"/>
  <c r="X194" i="9"/>
  <c r="O194" i="9"/>
  <c r="L194" i="9"/>
  <c r="F194" i="9"/>
  <c r="B194" i="9"/>
  <c r="X193" i="9"/>
  <c r="O193" i="9"/>
  <c r="L193" i="9"/>
  <c r="F193" i="9"/>
  <c r="B193" i="9"/>
  <c r="F192" i="9"/>
  <c r="B192" i="9"/>
  <c r="X191" i="9"/>
  <c r="U191" i="9"/>
  <c r="O191" i="9"/>
  <c r="L191" i="9"/>
  <c r="F191" i="9"/>
  <c r="B191" i="9"/>
  <c r="F153" i="9"/>
  <c r="F152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379" i="8"/>
  <c r="B378" i="8"/>
  <c r="B377" i="8"/>
  <c r="B376" i="8"/>
  <c r="B375" i="8"/>
  <c r="B374" i="8"/>
  <c r="B373" i="8"/>
  <c r="B372" i="8"/>
  <c r="B371" i="8"/>
  <c r="B370" i="8"/>
  <c r="B369" i="8"/>
  <c r="B367" i="8"/>
  <c r="B366" i="8"/>
  <c r="B365" i="8"/>
  <c r="B364" i="8"/>
  <c r="B363" i="8"/>
  <c r="B362" i="8"/>
  <c r="B361" i="8"/>
  <c r="B360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8" i="8"/>
  <c r="B327" i="8"/>
  <c r="B326" i="8"/>
  <c r="B325" i="8"/>
  <c r="B324" i="8"/>
  <c r="B323" i="8"/>
  <c r="B322" i="8"/>
  <c r="B321" i="8"/>
  <c r="B320" i="8"/>
  <c r="B319" i="8"/>
  <c r="B318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2" i="8"/>
  <c r="B301" i="8"/>
  <c r="B300" i="8"/>
  <c r="B299" i="8"/>
  <c r="B298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2" i="8"/>
  <c r="B281" i="8"/>
  <c r="B280" i="8"/>
  <c r="B279" i="8"/>
  <c r="B278" i="8"/>
  <c r="B276" i="8"/>
  <c r="B275" i="8"/>
  <c r="B274" i="8"/>
  <c r="B273" i="8"/>
  <c r="B272" i="8"/>
  <c r="B271" i="8"/>
  <c r="B270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F250" i="8"/>
  <c r="B250" i="8"/>
  <c r="F249" i="8"/>
  <c r="B249" i="8"/>
  <c r="F248" i="8"/>
  <c r="B248" i="8"/>
  <c r="F247" i="8"/>
  <c r="B247" i="8"/>
  <c r="F246" i="8"/>
  <c r="B246" i="8"/>
  <c r="F245" i="8"/>
  <c r="B245" i="8"/>
  <c r="F244" i="8"/>
  <c r="B244" i="8"/>
  <c r="F243" i="8"/>
  <c r="F242" i="8"/>
  <c r="B242" i="8"/>
  <c r="F241" i="8"/>
  <c r="B241" i="8"/>
  <c r="B240" i="8"/>
  <c r="B239" i="8"/>
  <c r="F238" i="8"/>
  <c r="B238" i="8"/>
  <c r="F237" i="8"/>
  <c r="B237" i="8"/>
  <c r="F236" i="8"/>
  <c r="B236" i="8"/>
  <c r="F235" i="8"/>
  <c r="B235" i="8"/>
  <c r="F234" i="8"/>
  <c r="B234" i="8"/>
  <c r="F233" i="8"/>
  <c r="F232" i="8"/>
  <c r="F231" i="8"/>
  <c r="B231" i="8"/>
  <c r="F230" i="8"/>
  <c r="B230" i="8"/>
  <c r="B229" i="8"/>
  <c r="F228" i="8"/>
  <c r="B228" i="8"/>
  <c r="F227" i="8"/>
  <c r="B227" i="8"/>
  <c r="F226" i="8"/>
  <c r="F225" i="8"/>
  <c r="F224" i="8"/>
  <c r="B224" i="8"/>
  <c r="F223" i="8"/>
  <c r="B223" i="8"/>
  <c r="F222" i="8"/>
  <c r="B222" i="8"/>
  <c r="F221" i="8"/>
  <c r="B221" i="8"/>
  <c r="F220" i="8"/>
  <c r="B220" i="8"/>
  <c r="F219" i="8"/>
  <c r="B217" i="8"/>
  <c r="F216" i="8"/>
  <c r="B216" i="8"/>
  <c r="F215" i="8"/>
  <c r="B215" i="8"/>
  <c r="F214" i="8"/>
  <c r="B214" i="8"/>
  <c r="F213" i="8"/>
  <c r="B213" i="8"/>
  <c r="F212" i="8"/>
  <c r="B212" i="8"/>
  <c r="F211" i="8"/>
  <c r="B211" i="8"/>
  <c r="F210" i="8"/>
  <c r="F209" i="8"/>
  <c r="B209" i="8"/>
  <c r="F208" i="8"/>
  <c r="B208" i="8"/>
  <c r="F207" i="8"/>
  <c r="B207" i="8"/>
  <c r="F206" i="8"/>
  <c r="B206" i="8"/>
  <c r="F205" i="8"/>
  <c r="B205" i="8"/>
  <c r="F204" i="8"/>
  <c r="B204" i="8"/>
  <c r="F203" i="8"/>
  <c r="B203" i="8"/>
  <c r="F202" i="8"/>
  <c r="B202" i="8"/>
  <c r="F201" i="8"/>
  <c r="B201" i="8"/>
  <c r="F200" i="8"/>
  <c r="B200" i="8"/>
  <c r="F199" i="8"/>
  <c r="F198" i="8"/>
  <c r="F197" i="8"/>
  <c r="F196" i="8"/>
  <c r="F195" i="8"/>
  <c r="B194" i="8"/>
  <c r="B193" i="8"/>
  <c r="F192" i="8"/>
  <c r="B192" i="8"/>
  <c r="F191" i="8"/>
  <c r="B191" i="8"/>
  <c r="F190" i="8"/>
  <c r="B190" i="8"/>
  <c r="F189" i="8"/>
  <c r="B189" i="8"/>
  <c r="F188" i="8"/>
  <c r="B188" i="8"/>
  <c r="F187" i="8"/>
  <c r="B187" i="8"/>
  <c r="F186" i="8"/>
  <c r="F185" i="8"/>
  <c r="B185" i="8"/>
  <c r="F184" i="8"/>
  <c r="B184" i="8"/>
  <c r="F183" i="8"/>
  <c r="B183" i="8"/>
  <c r="F182" i="8"/>
  <c r="B182" i="8"/>
  <c r="F181" i="8"/>
  <c r="B181" i="8"/>
  <c r="F180" i="8"/>
  <c r="B180" i="8"/>
  <c r="F179" i="8"/>
  <c r="B179" i="8"/>
  <c r="F178" i="8"/>
  <c r="B178" i="8"/>
  <c r="F177" i="8"/>
  <c r="B177" i="8"/>
  <c r="F176" i="8"/>
  <c r="F175" i="8"/>
  <c r="F174" i="8"/>
  <c r="B174" i="8"/>
  <c r="F173" i="8"/>
  <c r="F172" i="8"/>
  <c r="F171" i="8"/>
  <c r="B171" i="8"/>
  <c r="F170" i="8"/>
  <c r="B170" i="8"/>
  <c r="F169" i="8"/>
  <c r="B169" i="8"/>
  <c r="F168" i="8"/>
  <c r="B168" i="8"/>
  <c r="F167" i="8"/>
  <c r="B167" i="8"/>
  <c r="F166" i="8"/>
  <c r="B166" i="8"/>
  <c r="F165" i="8"/>
  <c r="B165" i="8"/>
  <c r="F164" i="8"/>
  <c r="B164" i="8"/>
  <c r="F163" i="8"/>
  <c r="B163" i="8"/>
  <c r="L162" i="8"/>
  <c r="F162" i="8"/>
  <c r="B162" i="8"/>
  <c r="L161" i="8"/>
  <c r="B161" i="8"/>
  <c r="L160" i="8"/>
  <c r="B160" i="8"/>
  <c r="L159" i="8"/>
  <c r="F159" i="8"/>
  <c r="L158" i="8"/>
  <c r="F158" i="8"/>
  <c r="B158" i="8"/>
  <c r="L157" i="8"/>
  <c r="F157" i="8"/>
  <c r="B157" i="8"/>
  <c r="L156" i="8"/>
  <c r="F156" i="8"/>
  <c r="B156" i="8"/>
  <c r="L155" i="8"/>
  <c r="F155" i="8"/>
  <c r="B155" i="8"/>
  <c r="L154" i="8"/>
  <c r="F154" i="8"/>
  <c r="B154" i="8"/>
  <c r="L153" i="8"/>
  <c r="F153" i="8"/>
  <c r="B153" i="8"/>
  <c r="L152" i="8"/>
  <c r="F152" i="8"/>
  <c r="B152" i="8"/>
  <c r="L151" i="8"/>
  <c r="F151" i="8"/>
  <c r="B151" i="8"/>
  <c r="L150" i="8"/>
  <c r="F150" i="8"/>
  <c r="B150" i="8"/>
  <c r="L149" i="8"/>
  <c r="F149" i="8"/>
  <c r="B149" i="8"/>
  <c r="L148" i="8"/>
  <c r="F148" i="8"/>
  <c r="B148" i="8"/>
  <c r="L147" i="8"/>
  <c r="F147" i="8"/>
  <c r="B147" i="8"/>
  <c r="L146" i="8"/>
  <c r="F146" i="8"/>
  <c r="L145" i="8"/>
  <c r="F145" i="8"/>
  <c r="B145" i="8"/>
  <c r="L144" i="8"/>
  <c r="F144" i="8"/>
  <c r="B144" i="8"/>
  <c r="L143" i="8"/>
  <c r="F143" i="8"/>
  <c r="B143" i="8"/>
  <c r="L142" i="8"/>
  <c r="B142" i="8"/>
  <c r="L141" i="8"/>
  <c r="B141" i="8"/>
  <c r="L140" i="8"/>
  <c r="F140" i="8"/>
  <c r="X139" i="8"/>
  <c r="L139" i="8"/>
  <c r="F139" i="8"/>
  <c r="B139" i="8"/>
  <c r="X138" i="8"/>
  <c r="L138" i="8"/>
  <c r="F138" i="8"/>
  <c r="B138" i="8"/>
  <c r="X137" i="8"/>
  <c r="L137" i="8"/>
  <c r="F137" i="8"/>
  <c r="B137" i="8"/>
  <c r="X136" i="8"/>
  <c r="L136" i="8"/>
  <c r="F136" i="8"/>
  <c r="B136" i="8"/>
  <c r="X135" i="8"/>
  <c r="L135" i="8"/>
  <c r="F135" i="8"/>
  <c r="B135" i="8"/>
  <c r="X134" i="8"/>
  <c r="L134" i="8"/>
  <c r="F134" i="8"/>
  <c r="B134" i="8"/>
  <c r="X133" i="8"/>
  <c r="L133" i="8"/>
  <c r="F133" i="8"/>
  <c r="B133" i="8"/>
  <c r="X132" i="8"/>
  <c r="L132" i="8"/>
  <c r="F132" i="8"/>
  <c r="B132" i="8"/>
  <c r="X131" i="8"/>
  <c r="L131" i="8"/>
  <c r="F131" i="8"/>
  <c r="B131" i="8"/>
  <c r="X130" i="8"/>
  <c r="L130" i="8"/>
  <c r="F130" i="8"/>
  <c r="B130" i="8"/>
  <c r="X129" i="8"/>
  <c r="L129" i="8"/>
  <c r="F129" i="8"/>
  <c r="B129" i="8"/>
  <c r="X128" i="8"/>
  <c r="L128" i="8"/>
  <c r="F128" i="8"/>
  <c r="B128" i="8"/>
  <c r="X127" i="8"/>
  <c r="L127" i="8"/>
  <c r="F127" i="8"/>
  <c r="X126" i="8"/>
  <c r="L126" i="8"/>
  <c r="F126" i="8"/>
  <c r="X125" i="8"/>
  <c r="L125" i="8"/>
  <c r="F125" i="8"/>
  <c r="X124" i="8"/>
  <c r="L124" i="8"/>
  <c r="F124" i="8"/>
  <c r="B124" i="8"/>
  <c r="L123" i="8"/>
  <c r="F123" i="8"/>
  <c r="B123" i="8"/>
  <c r="X122" i="8"/>
  <c r="L122" i="8"/>
  <c r="F122" i="8"/>
  <c r="B122" i="8"/>
  <c r="X121" i="8"/>
  <c r="L121" i="8"/>
  <c r="F121" i="8"/>
  <c r="B121" i="8"/>
  <c r="X120" i="8"/>
  <c r="L120" i="8"/>
  <c r="F120" i="8"/>
  <c r="B120" i="8"/>
  <c r="X119" i="8"/>
  <c r="L119" i="8"/>
  <c r="F119" i="8"/>
  <c r="B119" i="8"/>
  <c r="X118" i="8"/>
  <c r="L118" i="8"/>
  <c r="F118" i="8"/>
  <c r="X117" i="8"/>
  <c r="L117" i="8"/>
  <c r="F117" i="8"/>
  <c r="X116" i="8"/>
  <c r="L116" i="8"/>
  <c r="F116" i="8"/>
  <c r="B116" i="8"/>
  <c r="X115" i="8"/>
  <c r="L115" i="8"/>
  <c r="F115" i="8"/>
  <c r="B115" i="8"/>
  <c r="X114" i="8"/>
  <c r="L114" i="8"/>
  <c r="F114" i="8"/>
  <c r="B114" i="8"/>
  <c r="L113" i="8"/>
  <c r="F113" i="8"/>
  <c r="B113" i="8"/>
  <c r="X112" i="8"/>
  <c r="L112" i="8"/>
  <c r="F112" i="8"/>
  <c r="B112" i="8"/>
  <c r="X111" i="8"/>
  <c r="L111" i="8"/>
  <c r="F111" i="8"/>
  <c r="B111" i="8"/>
  <c r="X110" i="8"/>
  <c r="L110" i="8"/>
  <c r="F110" i="8"/>
  <c r="B110" i="8"/>
  <c r="X109" i="8"/>
  <c r="L109" i="8"/>
  <c r="F109" i="8"/>
  <c r="B109" i="8"/>
  <c r="X108" i="8"/>
  <c r="L108" i="8"/>
  <c r="F108" i="8"/>
  <c r="X107" i="8"/>
  <c r="L107" i="8"/>
  <c r="F107" i="8"/>
  <c r="X106" i="8"/>
  <c r="L106" i="8"/>
  <c r="F106" i="8"/>
  <c r="L105" i="8"/>
  <c r="B105" i="8"/>
  <c r="X104" i="8"/>
  <c r="L104" i="8"/>
  <c r="B104" i="8"/>
  <c r="X103" i="8"/>
  <c r="L103" i="8"/>
  <c r="F103" i="8"/>
  <c r="B103" i="8"/>
  <c r="X102" i="8"/>
  <c r="L102" i="8"/>
  <c r="F102" i="8"/>
  <c r="B102" i="8"/>
  <c r="X101" i="8"/>
  <c r="L101" i="8"/>
  <c r="F101" i="8"/>
  <c r="B101" i="8"/>
  <c r="X100" i="8"/>
  <c r="L100" i="8"/>
  <c r="F100" i="8"/>
  <c r="B100" i="8"/>
  <c r="X99" i="8"/>
  <c r="L99" i="8"/>
  <c r="F99" i="8"/>
  <c r="B99" i="8"/>
  <c r="X98" i="8"/>
  <c r="L98" i="8"/>
  <c r="F98" i="8"/>
  <c r="B98" i="8"/>
  <c r="X97" i="8"/>
  <c r="L97" i="8"/>
  <c r="F97" i="8"/>
  <c r="B97" i="8"/>
  <c r="X96" i="8"/>
  <c r="L96" i="8"/>
  <c r="F96" i="8"/>
  <c r="B96" i="8"/>
  <c r="X95" i="8"/>
  <c r="L95" i="8"/>
  <c r="F95" i="8"/>
  <c r="X94" i="8"/>
  <c r="L94" i="8"/>
  <c r="F94" i="8"/>
  <c r="X93" i="8"/>
  <c r="L93" i="8"/>
  <c r="F93" i="8"/>
  <c r="X92" i="8"/>
  <c r="L92" i="8"/>
  <c r="F92" i="8"/>
  <c r="B92" i="8"/>
  <c r="X91" i="8"/>
  <c r="L91" i="8"/>
  <c r="F91" i="8"/>
  <c r="B91" i="8"/>
  <c r="X90" i="8"/>
  <c r="L90" i="8"/>
  <c r="F90" i="8"/>
  <c r="B90" i="8"/>
  <c r="X89" i="8"/>
  <c r="L89" i="8"/>
  <c r="F89" i="8"/>
  <c r="B89" i="8"/>
  <c r="X88" i="8"/>
  <c r="L88" i="8"/>
  <c r="F88" i="8"/>
  <c r="B88" i="8"/>
  <c r="X87" i="8"/>
  <c r="L87" i="8"/>
  <c r="F87" i="8"/>
  <c r="B87" i="8"/>
  <c r="X86" i="8"/>
  <c r="L86" i="8"/>
  <c r="F86" i="8"/>
  <c r="B86" i="8"/>
  <c r="X85" i="8"/>
  <c r="L85" i="8"/>
  <c r="F85" i="8"/>
  <c r="B85" i="8"/>
  <c r="X84" i="8"/>
  <c r="L84" i="8"/>
  <c r="F84" i="8"/>
  <c r="X83" i="8"/>
  <c r="L83" i="8"/>
  <c r="F83" i="8"/>
  <c r="X82" i="8"/>
  <c r="L82" i="8"/>
  <c r="F82" i="8"/>
  <c r="X81" i="8"/>
  <c r="L81" i="8"/>
  <c r="F81" i="8"/>
  <c r="B81" i="8"/>
  <c r="X80" i="8"/>
  <c r="L80" i="8"/>
  <c r="F80" i="8"/>
  <c r="B80" i="8"/>
  <c r="X79" i="8"/>
  <c r="L79" i="8"/>
  <c r="F79" i="8"/>
  <c r="B79" i="8"/>
  <c r="X78" i="8"/>
  <c r="L78" i="8"/>
  <c r="F78" i="8"/>
  <c r="B78" i="8"/>
  <c r="X77" i="8"/>
  <c r="L77" i="8"/>
  <c r="F77" i="8"/>
  <c r="B77" i="8"/>
  <c r="X76" i="8"/>
  <c r="L76" i="8"/>
  <c r="F76" i="8"/>
  <c r="B76" i="8"/>
  <c r="X75" i="8"/>
  <c r="L75" i="8"/>
  <c r="B75" i="8"/>
  <c r="X74" i="8"/>
  <c r="L74" i="8"/>
  <c r="X73" i="8"/>
  <c r="L73" i="8"/>
  <c r="F73" i="8"/>
  <c r="B73" i="8"/>
  <c r="X72" i="8"/>
  <c r="L72" i="8"/>
  <c r="F72" i="8"/>
  <c r="B72" i="8"/>
  <c r="X71" i="8"/>
  <c r="L71" i="8"/>
  <c r="F71" i="8"/>
  <c r="B71" i="8"/>
  <c r="X70" i="8"/>
  <c r="L70" i="8"/>
  <c r="F70" i="8"/>
  <c r="B70" i="8"/>
  <c r="X69" i="8"/>
  <c r="L69" i="8"/>
  <c r="F69" i="8"/>
  <c r="B69" i="8"/>
  <c r="X68" i="8"/>
  <c r="L68" i="8"/>
  <c r="F68" i="8"/>
  <c r="B68" i="8"/>
  <c r="X67" i="8"/>
  <c r="L67" i="8"/>
  <c r="F67" i="8"/>
  <c r="B67" i="8"/>
  <c r="X66" i="8"/>
  <c r="L66" i="8"/>
  <c r="F66" i="8"/>
  <c r="B66" i="8"/>
  <c r="X65" i="8"/>
  <c r="L65" i="8"/>
  <c r="F65" i="8"/>
  <c r="X64" i="8"/>
  <c r="L64" i="8"/>
  <c r="F64" i="8"/>
  <c r="X63" i="8"/>
  <c r="L63" i="8"/>
  <c r="F63" i="8"/>
  <c r="X62" i="8"/>
  <c r="L62" i="8"/>
  <c r="F62" i="8"/>
  <c r="X61" i="8"/>
  <c r="L61" i="8"/>
  <c r="F61" i="8"/>
  <c r="X60" i="8"/>
  <c r="L60" i="8"/>
  <c r="F60" i="8"/>
  <c r="X59" i="8"/>
  <c r="L59" i="8"/>
  <c r="F59" i="8"/>
  <c r="X58" i="8"/>
  <c r="L58" i="8"/>
  <c r="F58" i="8"/>
  <c r="X57" i="8"/>
  <c r="L57" i="8"/>
  <c r="F57" i="8"/>
  <c r="X56" i="8"/>
  <c r="L56" i="8"/>
  <c r="F56" i="8"/>
  <c r="X55" i="8"/>
  <c r="L55" i="8"/>
  <c r="F55" i="8"/>
  <c r="X54" i="8"/>
  <c r="L54" i="8"/>
  <c r="F54" i="8"/>
  <c r="X53" i="8"/>
  <c r="L53" i="8"/>
  <c r="F53" i="8"/>
  <c r="X52" i="8"/>
  <c r="L52" i="8"/>
  <c r="F52" i="8"/>
  <c r="X51" i="8"/>
  <c r="L51" i="8"/>
  <c r="F51" i="8"/>
  <c r="X50" i="8"/>
  <c r="L50" i="8"/>
  <c r="F50" i="8"/>
  <c r="X49" i="8"/>
  <c r="L49" i="8"/>
  <c r="F49" i="8"/>
  <c r="X48" i="8"/>
  <c r="L48" i="8"/>
  <c r="F48" i="8"/>
  <c r="X47" i="8"/>
  <c r="L47" i="8"/>
  <c r="F47" i="8"/>
  <c r="X46" i="8"/>
  <c r="L46" i="8"/>
  <c r="F46" i="8"/>
  <c r="X45" i="8"/>
  <c r="L45" i="8"/>
  <c r="F45" i="8"/>
  <c r="X44" i="8"/>
  <c r="L44" i="8"/>
  <c r="F44" i="8"/>
  <c r="X43" i="8"/>
  <c r="L43" i="8"/>
  <c r="F43" i="8"/>
  <c r="X42" i="8"/>
  <c r="L42" i="8"/>
  <c r="X41" i="8"/>
  <c r="L41" i="8"/>
  <c r="X40" i="8"/>
  <c r="L40" i="8"/>
  <c r="F40" i="8"/>
  <c r="X39" i="8"/>
  <c r="L39" i="8"/>
  <c r="F39" i="8"/>
  <c r="X38" i="8"/>
  <c r="L38" i="8"/>
  <c r="F38" i="8"/>
  <c r="L37" i="8"/>
  <c r="F37" i="8"/>
  <c r="X36" i="8"/>
  <c r="L36" i="8"/>
  <c r="F36" i="8"/>
  <c r="X35" i="8"/>
  <c r="L35" i="8"/>
  <c r="F35" i="8"/>
  <c r="X34" i="8"/>
  <c r="L34" i="8"/>
  <c r="F34" i="8"/>
  <c r="X33" i="8"/>
  <c r="L33" i="8"/>
  <c r="F33" i="8"/>
  <c r="X32" i="8"/>
  <c r="L32" i="8"/>
  <c r="F32" i="8"/>
  <c r="X31" i="8"/>
  <c r="L31" i="8"/>
  <c r="F31" i="8"/>
  <c r="X30" i="8"/>
  <c r="L30" i="8"/>
  <c r="F30" i="8"/>
  <c r="X29" i="8"/>
  <c r="L29" i="8"/>
  <c r="F29" i="8"/>
  <c r="X28" i="8"/>
  <c r="L28" i="8"/>
  <c r="F28" i="8"/>
  <c r="X27" i="8"/>
  <c r="L27" i="8"/>
  <c r="F27" i="8"/>
  <c r="X26" i="8"/>
  <c r="L26" i="8"/>
  <c r="F26" i="8"/>
  <c r="X25" i="8"/>
  <c r="L25" i="8"/>
  <c r="F25" i="8"/>
  <c r="X24" i="8"/>
  <c r="L24" i="8"/>
  <c r="F24" i="8"/>
  <c r="L23" i="8"/>
  <c r="F23" i="8"/>
  <c r="X22" i="8"/>
  <c r="L22" i="8"/>
  <c r="F22" i="8"/>
  <c r="X21" i="8"/>
  <c r="L21" i="8"/>
  <c r="F21" i="8"/>
  <c r="X20" i="8"/>
  <c r="L20" i="8"/>
  <c r="F20" i="8"/>
  <c r="X19" i="8"/>
  <c r="L19" i="8"/>
  <c r="F19" i="8"/>
  <c r="X18" i="8"/>
  <c r="L18" i="8"/>
  <c r="F18" i="8"/>
  <c r="X17" i="8"/>
  <c r="L17" i="8"/>
  <c r="F17" i="8"/>
  <c r="X16" i="8"/>
  <c r="L16" i="8"/>
  <c r="F16" i="8"/>
  <c r="X15" i="8"/>
  <c r="L15" i="8"/>
  <c r="F15" i="8"/>
  <c r="X14" i="8"/>
  <c r="L14" i="8"/>
  <c r="F14" i="8"/>
  <c r="X13" i="8"/>
  <c r="L13" i="8"/>
  <c r="F13" i="8"/>
  <c r="X12" i="8"/>
  <c r="L12" i="8"/>
  <c r="F12" i="8"/>
  <c r="X11" i="8"/>
  <c r="L11" i="8"/>
  <c r="F11" i="8"/>
  <c r="X10" i="8"/>
  <c r="L10" i="8"/>
  <c r="F10" i="8"/>
  <c r="X9" i="8"/>
  <c r="L9" i="8"/>
  <c r="F9" i="8"/>
  <c r="X8" i="8"/>
  <c r="L8" i="8"/>
  <c r="F8" i="8"/>
  <c r="L7" i="8"/>
  <c r="F7" i="8"/>
  <c r="X6" i="8"/>
  <c r="U6" i="8"/>
  <c r="L6" i="8"/>
  <c r="F6" i="8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4" i="6"/>
  <c r="E2293" i="6"/>
  <c r="E2292" i="6"/>
  <c r="E2291" i="6"/>
  <c r="E2290" i="6"/>
  <c r="E2289" i="6"/>
  <c r="E2288" i="6"/>
  <c r="E2287" i="6"/>
  <c r="E2286" i="6"/>
  <c r="E2283" i="6"/>
  <c r="E2282" i="6"/>
  <c r="B1841" i="6"/>
  <c r="B1840" i="6"/>
  <c r="B1839" i="6"/>
  <c r="B1838" i="6"/>
  <c r="B1837" i="6"/>
  <c r="B1836" i="6"/>
  <c r="E1778" i="6"/>
  <c r="E1719" i="6"/>
  <c r="E1718" i="6"/>
  <c r="K885" i="6"/>
  <c r="L113" i="4" a="1"/>
  <c r="L115" i="4" s="1"/>
  <c r="L43" i="2" a="1"/>
  <c r="L44" i="2" s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7" i="1"/>
  <c r="E2486" i="1"/>
  <c r="E2485" i="1"/>
  <c r="E2484" i="1"/>
  <c r="E2483" i="1"/>
  <c r="E2482" i="1"/>
  <c r="E2481" i="1"/>
  <c r="E2480" i="1"/>
  <c r="E2479" i="1"/>
  <c r="E2476" i="1"/>
  <c r="E2475" i="1"/>
  <c r="B2162" i="1"/>
  <c r="B2161" i="1"/>
  <c r="B2160" i="1"/>
  <c r="B2159" i="1"/>
  <c r="B2158" i="1"/>
  <c r="B2157" i="1"/>
  <c r="E2156" i="1"/>
  <c r="E2097" i="1"/>
  <c r="E2096" i="1"/>
  <c r="L113" i="4" l="1"/>
  <c r="L116" i="4"/>
  <c r="L117" i="4"/>
  <c r="L118" i="4"/>
  <c r="L119" i="4"/>
  <c r="L120" i="4"/>
  <c r="L51" i="2"/>
  <c r="L121" i="4"/>
  <c r="L43" i="2"/>
  <c r="L54" i="2"/>
  <c r="L53" i="2"/>
  <c r="L52" i="2"/>
  <c r="L45" i="2"/>
  <c r="L46" i="2"/>
  <c r="L47" i="2"/>
  <c r="L48" i="2"/>
  <c r="L49" i="2"/>
  <c r="L50" i="2"/>
  <c r="L1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tc={80fab1c8-88e5-4c4d-9ca4-978d0318d57c}</author>
  </authors>
  <commentList>
    <comment ref="B1320" authorId="0" shapeId="0" xr:uid="{80FAB1C8-88E5-4C4D-9CA4-978D0318D57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might be a repeating values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tc={7e70df55-665c-4dda-af3d-c413a72ac86e}</author>
    <author>tc={c5474d85-7e93-42bf-8a3e-52efdfdeea5c}</author>
    <author>tc={dabacdf7-e5f1-4006-94ca-c8c7ffe0d760}</author>
  </authors>
  <commentList>
    <comment ref="D297" authorId="0" shapeId="0" xr:uid="{7E70DF55-665C-4DDA-AF3D-C413A72AC86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stainless steel
</t>
        </r>
      </text>
    </comment>
    <comment ref="D303" authorId="1" shapeId="0" xr:uid="{C5474D85-7E93-42BF-8A3E-52EFDFDEEA5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acrylic sheet
</t>
        </r>
      </text>
    </comment>
    <comment ref="D314" authorId="2" shapeId="0" xr:uid="{DABACDF7-E5F1-4006-94CA-C8C7FFE0D76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teflon
</t>
        </r>
      </text>
    </comment>
  </commentList>
</comments>
</file>

<file path=xl/sharedStrings.xml><?xml version="1.0" encoding="utf-8"?>
<sst xmlns="http://schemas.openxmlformats.org/spreadsheetml/2006/main" count="17635" uniqueCount="141">
  <si>
    <t>Paper</t>
  </si>
  <si>
    <t>Gas flow rate - Qg (mL/min)</t>
  </si>
  <si>
    <t>Orifice diameter - DO (mm)</t>
  </si>
  <si>
    <t>Liquid surface tension - σ (N/m)</t>
  </si>
  <si>
    <t>Liquid viscosity - μl (Pa⋅s)</t>
  </si>
  <si>
    <t>Liquid density - ρl (kg/m3)</t>
  </si>
  <si>
    <t>Liquid velocity - Ul (m/s)</t>
  </si>
  <si>
    <t>Temperature - T (℃)</t>
  </si>
  <si>
    <t>Gas type</t>
  </si>
  <si>
    <t>Gas density - ρg (kg/m3)</t>
  </si>
  <si>
    <t>Bubble detachment diameter - Dd (mm)</t>
  </si>
  <si>
    <t>Snabre and  Magnifotcham (1997)</t>
  </si>
  <si>
    <t>Air</t>
  </si>
  <si>
    <t>Hsu et al. (2000)</t>
  </si>
  <si>
    <t>Nitrogen</t>
  </si>
  <si>
    <t>Ramakrishnan (1968)</t>
  </si>
  <si>
    <t>Sarkar et al.(2023)</t>
  </si>
  <si>
    <t>Satyanarayan et al. (1969)</t>
  </si>
  <si>
    <t>Jamialahmadi et al. (2001)</t>
  </si>
  <si>
    <t>Krishna &amp; Ellenberger (2003)</t>
  </si>
  <si>
    <t>Di Marco et al. (2003)</t>
  </si>
  <si>
    <t>Duhar &amp; Colin (2006)</t>
  </si>
  <si>
    <t>Shen et al. (2024)</t>
  </si>
  <si>
    <t>Crha et al. (2024)</t>
  </si>
  <si>
    <t>Xiao et al. (2019)</t>
  </si>
  <si>
    <t>Scargiali et al. (2014)</t>
  </si>
  <si>
    <t>Hanafizadeh et al. (2018)</t>
  </si>
  <si>
    <t>Wang et al. (2023)</t>
  </si>
  <si>
    <t>Tang et al. (2023)</t>
  </si>
  <si>
    <t>Wang &amp; Dong (2009)</t>
  </si>
  <si>
    <t>Davidson and Schüler (1960)</t>
  </si>
  <si>
    <t>Carbon dioxide</t>
  </si>
  <si>
    <t>Badam et al. (2007)</t>
  </si>
  <si>
    <t>Tsuge and Hibino (1983)</t>
  </si>
  <si>
    <t>Helium</t>
  </si>
  <si>
    <t>Argon</t>
  </si>
  <si>
    <t>Lee et al. (2021)</t>
  </si>
  <si>
    <t>Muiljwik &amp; Akwar (2019)</t>
  </si>
  <si>
    <t>Tian (2019)</t>
  </si>
  <si>
    <t>Rabbani &amp; Ray (2025)</t>
  </si>
  <si>
    <t>Xiao et al.(2019)</t>
  </si>
  <si>
    <t>Li et al. (2024)</t>
  </si>
  <si>
    <t>O'Coin &amp; Ling (2025)</t>
  </si>
  <si>
    <t>Crha et al.(2024)</t>
  </si>
  <si>
    <t>N₂</t>
  </si>
  <si>
    <t>Davidson and Schüler (1997)</t>
  </si>
  <si>
    <t>Terasaka and Tsuge (1993)</t>
  </si>
  <si>
    <t>Terasaka &amp; Tsuge (1991)</t>
  </si>
  <si>
    <t>Ramakrishnan (1969)</t>
  </si>
  <si>
    <t>Saranyanan 1969 too</t>
  </si>
  <si>
    <t xml:space="preserve"> </t>
  </si>
  <si>
    <t>Mulwijk &amp; Akkar (2019)</t>
  </si>
  <si>
    <t>Mohseni et al. (2020)</t>
  </si>
  <si>
    <t>Rabiger and Vogelpohl (1986)</t>
  </si>
  <si>
    <t>primary (up) and secondary (down) bubbles</t>
  </si>
  <si>
    <t>Kulkarni &amp; Joshi (2005)</t>
  </si>
  <si>
    <t>i-propanol</t>
  </si>
  <si>
    <t>methanol</t>
  </si>
  <si>
    <t>ethanol</t>
  </si>
  <si>
    <t>n-propanol</t>
  </si>
  <si>
    <t>Vafaei &amp; Wen (2010)</t>
  </si>
  <si>
    <t>Wang et al. (2011)</t>
  </si>
  <si>
    <t>Hanafizadeh et al. (2015)</t>
  </si>
  <si>
    <t>Oguz &amp; Prosperetti (1993)</t>
  </si>
  <si>
    <t>Yao et al. (2024)</t>
  </si>
  <si>
    <t>T = 25.5</t>
  </si>
  <si>
    <t>Lee et al 2021</t>
  </si>
  <si>
    <t>Muiljwik 2019</t>
  </si>
  <si>
    <t>Satyaranyan</t>
  </si>
  <si>
    <t>x</t>
  </si>
  <si>
    <t>y</t>
  </si>
  <si>
    <t>Gas flow rate (cm3/s)</t>
  </si>
  <si>
    <t>Gas flow rate (mL/min)</t>
  </si>
  <si>
    <t>Bubble diameter</t>
  </si>
  <si>
    <t>density (g/ml)</t>
  </si>
  <si>
    <t>density (kg/m3)</t>
  </si>
  <si>
    <t>orifice radius (cm)</t>
  </si>
  <si>
    <t>orifice diameter(mm)</t>
  </si>
  <si>
    <t>bubble volume (ml)</t>
  </si>
  <si>
    <t>bubble diameter (mm)</t>
  </si>
  <si>
    <t>0.97 mm</t>
  </si>
  <si>
    <t>Tian 2019</t>
  </si>
  <si>
    <t>1.12 mm</t>
  </si>
  <si>
    <t>2.5mm</t>
  </si>
  <si>
    <t>1.19mm</t>
  </si>
  <si>
    <t>283 3 MPA</t>
  </si>
  <si>
    <t>473 K 0 MPA</t>
  </si>
  <si>
    <t>473 K 3 MPA 2.5mm</t>
  </si>
  <si>
    <t>TEMPERATURE PLOT 1.12 mm 0 mPa</t>
  </si>
  <si>
    <t>T K</t>
  </si>
  <si>
    <t>T C</t>
  </si>
  <si>
    <t>dmm</t>
  </si>
  <si>
    <t>1.55mm</t>
  </si>
  <si>
    <t>2.06mm</t>
  </si>
  <si>
    <t>10 CP</t>
  </si>
  <si>
    <t>5CP</t>
  </si>
  <si>
    <t>WATER</t>
  </si>
  <si>
    <t>Kulkarni &amp; Joshi</t>
  </si>
  <si>
    <t>Liquid flow rate - Ql (mL/min)</t>
  </si>
  <si>
    <t>Gas flow rate</t>
  </si>
  <si>
    <t>10^6 m3/s -&gt; mL/min</t>
  </si>
  <si>
    <t>bubble detachment</t>
  </si>
  <si>
    <t>m3/s -&gt; mL/min --&gt; *10^6*60</t>
  </si>
  <si>
    <t>David</t>
  </si>
  <si>
    <t>Zhanerke</t>
  </si>
  <si>
    <t>Inkar</t>
  </si>
  <si>
    <t>Aray</t>
  </si>
  <si>
    <t>Total</t>
  </si>
  <si>
    <t>Stay</t>
  </si>
  <si>
    <t>Delete</t>
  </si>
  <si>
    <t>Maximum dataset size</t>
  </si>
  <si>
    <t>Lin et al. 1998</t>
  </si>
  <si>
    <t>Temp (K)</t>
  </si>
  <si>
    <t>Temp (C)</t>
  </si>
  <si>
    <t>Liquid density (kg/m3)</t>
  </si>
  <si>
    <t>Gas flow rate (l/h)</t>
  </si>
  <si>
    <t>Gas flow rate (ml/s)</t>
  </si>
  <si>
    <t>Gas flow rate (ml/min)</t>
  </si>
  <si>
    <t>Viscosity (cP)</t>
  </si>
  <si>
    <t>viscosity (Pa*s)</t>
  </si>
  <si>
    <t>Badam et al 2007</t>
  </si>
  <si>
    <t>gas flow rate (cm3/min)</t>
  </si>
  <si>
    <t>gas flow rate (cm3/s)</t>
  </si>
  <si>
    <t>formation time (ms)</t>
  </si>
  <si>
    <t>formation time(s)</t>
  </si>
  <si>
    <t>formation volume (cm3)</t>
  </si>
  <si>
    <t>surfance tension dyn/cm</t>
  </si>
  <si>
    <t>tesnion N/m</t>
  </si>
  <si>
    <t>orifice radius cm</t>
  </si>
  <si>
    <t>orifice diameter mm</t>
  </si>
  <si>
    <t>TSUGE AND HIBINO 1983</t>
  </si>
  <si>
    <t>detachment volume (cm3)</t>
  </si>
  <si>
    <t>orifice diameter (mm)</t>
  </si>
  <si>
    <t>T (K)</t>
  </si>
  <si>
    <t>T(C)</t>
  </si>
  <si>
    <t>density(kg/m3)</t>
  </si>
  <si>
    <t>viscosity(Pa*s)</t>
  </si>
  <si>
    <t>surface tension(N/m)</t>
  </si>
  <si>
    <t>surface tension(mN/m)</t>
  </si>
  <si>
    <t>Mohseni et al. (2021)</t>
  </si>
  <si>
    <t>Gerlach et al. (2007)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</si>
</sst>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0000000000000"/>
    <numFmt numFmtId="165" formatCode="0.000"/>
    <numFmt numFmtId="166" formatCode="0.000000"/>
    <numFmt numFmtId="167" formatCode="0.00000000"/>
    <numFmt numFmtId="168" formatCode="0.0000"/>
    <numFmt numFmtId="169" formatCode="0.0000000000"/>
    <numFmt numFmtId="170" formatCode="0.00000000000000"/>
    <numFmt numFmtId="171" formatCode="#,##0.00000000000000"/>
    <numFmt numFmtId="172" formatCode="0.00000"/>
    <numFmt numFmtId="173" formatCode="0.0"/>
    <numFmt numFmtId="174" formatCode="d\.m"/>
    <numFmt numFmtId="175" formatCode="0.000000000"/>
  </numFmts>
  <fonts count="27">
    <font>
      <sz val="10"/>
      <color rgb="FF000000"/>
      <name val="Arial"/>
      <scheme val="minor"/>
    </font>
    <font>
      <sz val="10"/>
      <color rgb="FF3F3F76"/>
      <name val="Times New Roman"/>
      <family val="1"/>
      <charset val="204"/>
    </font>
    <font>
      <sz val="10"/>
      <color rgb="FF3F3F3F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Monospace"/>
    </font>
    <font>
      <sz val="11"/>
      <color theme="1"/>
      <name val="Arial"/>
      <family val="2"/>
      <charset val="204"/>
    </font>
    <font>
      <sz val="9"/>
      <color rgb="FF2C2C2C"/>
      <name val="Inter"/>
    </font>
    <font>
      <sz val="10"/>
      <color rgb="FF0F1115"/>
      <name val="Times New Roman"/>
      <family val="1"/>
      <charset val="204"/>
    </font>
    <font>
      <sz val="10"/>
      <color rgb="FF2C2C2C"/>
      <name val="Times New Roman"/>
      <family val="1"/>
      <charset val="204"/>
    </font>
    <font>
      <sz val="11"/>
      <color theme="1"/>
      <name val="Aptos Narrow"/>
    </font>
    <font>
      <sz val="9"/>
      <color theme="1"/>
      <name val="Inter"/>
    </font>
    <font>
      <sz val="10"/>
      <color theme="1"/>
      <name val="Times New Roman"/>
      <family val="1"/>
      <charset val="204"/>
    </font>
    <font>
      <sz val="10"/>
      <color theme="1"/>
      <name val="Arial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rgb="FF000000"/>
      <name val="&quot;Times New Roman&quot;"/>
    </font>
    <font>
      <sz val="11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sz val="9"/>
      <color rgb="FF2C2C2C"/>
      <name val="Arial"/>
      <family val="2"/>
      <charset val="204"/>
    </font>
    <font>
      <b/>
      <sz val="30"/>
      <color theme="1"/>
      <name val="Arial"/>
      <family val="2"/>
      <charset val="204"/>
      <scheme val="minor"/>
    </font>
    <font>
      <sz val="30"/>
      <color theme="1"/>
      <name val="Arial"/>
      <family val="2"/>
      <charset val="204"/>
      <scheme val="minor"/>
    </font>
    <font>
      <sz val="30"/>
      <color theme="1"/>
      <name val="Times New Roman"/>
      <family val="1"/>
      <charset val="204"/>
    </font>
    <font>
      <sz val="22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trike/>
      <sz val="9"/>
      <color rgb="FF2C2C2C"/>
      <name val="Inter"/>
    </font>
    <font>
      <sz val="24"/>
      <color theme="1"/>
      <name val="Arial"/>
      <family val="2"/>
      <charset val="204"/>
      <scheme val="minor"/>
    </font>
    <font>
      <b/>
      <sz val="20"/>
      <color theme="1"/>
      <name val="Arial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9F2D0"/>
        <bgColor rgb="FFD9F2D0"/>
      </patternFill>
    </fill>
    <fill>
      <patternFill patternType="solid">
        <fgColor rgb="FF4D94D8"/>
        <bgColor rgb="FF4D94D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1">
    <xf numFmtId="0" fontId="0" fillId="0" borderId="0"/>
  </cellStyleXfs>
  <cellXfs count="256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2" fontId="3" fillId="6" borderId="0" xfId="0" applyNumberFormat="1" applyFont="1" applyFill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6" fillId="6" borderId="0" xfId="0" applyFont="1" applyFill="1" applyAlignment="1">
      <alignment horizontal="center"/>
    </xf>
    <xf numFmtId="0" fontId="6" fillId="6" borderId="0" xfId="0" applyFont="1" applyFill="1" applyAlignment="1"/>
    <xf numFmtId="165" fontId="3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2" fontId="3" fillId="6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2" fontId="8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2" fontId="6" fillId="6" borderId="0" xfId="0" applyNumberFormat="1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6" borderId="0" xfId="0" applyFont="1" applyFill="1" applyAlignment="1"/>
    <xf numFmtId="0" fontId="12" fillId="6" borderId="0" xfId="0" applyFont="1" applyFill="1"/>
    <xf numFmtId="166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7" fontId="3" fillId="6" borderId="0" xfId="0" applyNumberFormat="1" applyFont="1" applyFill="1" applyAlignment="1">
      <alignment horizontal="center"/>
    </xf>
    <xf numFmtId="167" fontId="13" fillId="6" borderId="0" xfId="0" applyNumberFormat="1" applyFont="1" applyFill="1" applyAlignment="1">
      <alignment horizontal="center"/>
    </xf>
    <xf numFmtId="167" fontId="12" fillId="6" borderId="0" xfId="0" applyNumberFormat="1" applyFont="1" applyFill="1" applyAlignment="1"/>
    <xf numFmtId="0" fontId="7" fillId="7" borderId="3" xfId="0" applyFont="1" applyFill="1" applyBorder="1" applyAlignment="1">
      <alignment horizontal="center"/>
    </xf>
    <xf numFmtId="2" fontId="7" fillId="7" borderId="3" xfId="0" applyNumberFormat="1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168" fontId="7" fillId="7" borderId="3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8" fontId="7" fillId="0" borderId="3" xfId="0" applyNumberFormat="1" applyFont="1" applyBorder="1" applyAlignment="1">
      <alignment horizontal="center"/>
    </xf>
    <xf numFmtId="2" fontId="7" fillId="7" borderId="3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2" fontId="8" fillId="7" borderId="3" xfId="0" applyNumberFormat="1" applyFont="1" applyFill="1" applyBorder="1" applyAlignment="1">
      <alignment horizontal="center"/>
    </xf>
    <xf numFmtId="2" fontId="3" fillId="7" borderId="3" xfId="0" applyNumberFormat="1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8" borderId="0" xfId="0" applyFont="1" applyFill="1" applyAlignment="1">
      <alignment horizontal="center"/>
    </xf>
    <xf numFmtId="2" fontId="3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 wrapText="1"/>
    </xf>
    <xf numFmtId="169" fontId="3" fillId="8" borderId="0" xfId="0" applyNumberFormat="1" applyFont="1" applyFill="1" applyAlignment="1">
      <alignment horizontal="center" wrapText="1"/>
    </xf>
    <xf numFmtId="170" fontId="3" fillId="8" borderId="0" xfId="0" applyNumberFormat="1" applyFont="1" applyFill="1" applyAlignment="1">
      <alignment horizontal="center" wrapText="1"/>
    </xf>
    <xf numFmtId="2" fontId="3" fillId="8" borderId="0" xfId="0" applyNumberFormat="1" applyFont="1" applyFill="1" applyAlignment="1">
      <alignment horizontal="center" wrapText="1"/>
    </xf>
    <xf numFmtId="169" fontId="3" fillId="8" borderId="0" xfId="0" applyNumberFormat="1" applyFont="1" applyFill="1" applyAlignment="1">
      <alignment horizontal="center"/>
    </xf>
    <xf numFmtId="170" fontId="3" fillId="8" borderId="0" xfId="0" applyNumberFormat="1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168" fontId="14" fillId="8" borderId="0" xfId="0" applyNumberFormat="1" applyFont="1" applyFill="1" applyAlignment="1">
      <alignment horizontal="center"/>
    </xf>
    <xf numFmtId="2" fontId="13" fillId="8" borderId="0" xfId="0" applyNumberFormat="1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171" fontId="14" fillId="8" borderId="0" xfId="0" applyNumberFormat="1" applyFont="1" applyFill="1" applyAlignment="1">
      <alignment horizontal="center"/>
    </xf>
    <xf numFmtId="170" fontId="13" fillId="8" borderId="0" xfId="0" applyNumberFormat="1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2" fontId="3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2" fontId="7" fillId="8" borderId="0" xfId="0" applyNumberFormat="1" applyFont="1" applyFill="1" applyAlignment="1">
      <alignment horizontal="center"/>
    </xf>
    <xf numFmtId="0" fontId="12" fillId="8" borderId="0" xfId="0" applyFont="1" applyFill="1"/>
    <xf numFmtId="2" fontId="11" fillId="8" borderId="0" xfId="0" applyNumberFormat="1" applyFont="1" applyFill="1" applyAlignment="1">
      <alignment horizontal="center"/>
    </xf>
    <xf numFmtId="168" fontId="7" fillId="8" borderId="0" xfId="0" applyNumberFormat="1" applyFont="1" applyFill="1" applyAlignment="1">
      <alignment horizontal="center"/>
    </xf>
    <xf numFmtId="168" fontId="11" fillId="8" borderId="0" xfId="0" applyNumberFormat="1" applyFont="1" applyFill="1" applyAlignment="1">
      <alignment horizontal="center"/>
    </xf>
    <xf numFmtId="0" fontId="15" fillId="6" borderId="0" xfId="0" applyFont="1" applyFill="1" applyAlignment="1"/>
    <xf numFmtId="0" fontId="9" fillId="6" borderId="0" xfId="0" applyFont="1" applyFill="1"/>
    <xf numFmtId="0" fontId="5" fillId="6" borderId="0" xfId="0" applyFont="1" applyFill="1" applyAlignment="1"/>
    <xf numFmtId="0" fontId="9" fillId="6" borderId="0" xfId="0" applyFont="1" applyFill="1" applyAlignment="1"/>
    <xf numFmtId="0" fontId="6" fillId="6" borderId="0" xfId="0" applyFont="1" applyFill="1"/>
    <xf numFmtId="0" fontId="9" fillId="6" borderId="0" xfId="0" applyFont="1" applyFill="1"/>
    <xf numFmtId="0" fontId="6" fillId="6" borderId="0" xfId="0" applyFont="1" applyFill="1"/>
    <xf numFmtId="0" fontId="9" fillId="6" borderId="0" xfId="0" applyFont="1" applyFill="1"/>
    <xf numFmtId="165" fontId="3" fillId="6" borderId="0" xfId="0" applyNumberFormat="1" applyFont="1" applyFill="1" applyAlignment="1">
      <alignment horizontal="center"/>
    </xf>
    <xf numFmtId="0" fontId="12" fillId="0" borderId="0" xfId="0" applyFont="1" applyAlignment="1"/>
    <xf numFmtId="0" fontId="12" fillId="0" borderId="0" xfId="0" applyFont="1"/>
    <xf numFmtId="0" fontId="9" fillId="0" borderId="0" xfId="0" applyFont="1"/>
    <xf numFmtId="0" fontId="9" fillId="0" borderId="0" xfId="0" applyFont="1"/>
    <xf numFmtId="0" fontId="6" fillId="0" borderId="0" xfId="0" applyFont="1" applyAlignme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/>
    <xf numFmtId="0" fontId="6" fillId="9" borderId="0" xfId="0" applyFont="1" applyFill="1" applyAlignment="1"/>
    <xf numFmtId="0" fontId="7" fillId="10" borderId="0" xfId="0" applyFont="1" applyFill="1" applyAlignment="1">
      <alignment horizontal="center"/>
    </xf>
    <xf numFmtId="2" fontId="7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2" fontId="7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7" fillId="7" borderId="5" xfId="0" applyFont="1" applyFill="1" applyBorder="1" applyAlignment="1">
      <alignment horizontal="center"/>
    </xf>
    <xf numFmtId="2" fontId="7" fillId="7" borderId="5" xfId="0" applyNumberFormat="1" applyFont="1" applyFill="1" applyBorder="1" applyAlignment="1">
      <alignment horizontal="center"/>
    </xf>
    <xf numFmtId="2" fontId="8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7" fillId="9" borderId="5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9" borderId="5" xfId="0" applyFont="1" applyFill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7" fillId="11" borderId="0" xfId="0" applyFont="1" applyFill="1"/>
    <xf numFmtId="0" fontId="7" fillId="11" borderId="0" xfId="0" applyFont="1" applyFill="1" applyAlignment="1">
      <alignment horizontal="right"/>
    </xf>
    <xf numFmtId="2" fontId="7" fillId="11" borderId="0" xfId="0" applyNumberFormat="1" applyFont="1" applyFill="1" applyAlignment="1">
      <alignment horizontal="right"/>
    </xf>
    <xf numFmtId="0" fontId="7" fillId="10" borderId="0" xfId="0" applyFont="1" applyFill="1"/>
    <xf numFmtId="0" fontId="7" fillId="10" borderId="0" xfId="0" applyFont="1" applyFill="1" applyAlignment="1">
      <alignment horizontal="right"/>
    </xf>
    <xf numFmtId="2" fontId="7" fillId="10" borderId="0" xfId="0" applyNumberFormat="1" applyFont="1" applyFill="1" applyAlignment="1">
      <alignment horizontal="right"/>
    </xf>
    <xf numFmtId="0" fontId="7" fillId="10" borderId="0" xfId="0" applyFont="1" applyFill="1" applyAlignment="1">
      <alignment horizontal="right"/>
    </xf>
    <xf numFmtId="0" fontId="9" fillId="7" borderId="0" xfId="0" applyFont="1" applyFill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5" xfId="0" applyFont="1" applyFill="1" applyBorder="1" applyAlignment="1">
      <alignment horizontal="center"/>
    </xf>
    <xf numFmtId="172" fontId="3" fillId="7" borderId="5" xfId="0" applyNumberFormat="1" applyFont="1" applyFill="1" applyBorder="1" applyAlignment="1">
      <alignment horizontal="center"/>
    </xf>
    <xf numFmtId="172" fontId="3" fillId="7" borderId="0" xfId="0" applyNumberFormat="1" applyFont="1" applyFill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168" fontId="2" fillId="5" borderId="7" xfId="0" applyNumberFormat="1" applyFont="1" applyFill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168" fontId="3" fillId="0" borderId="0" xfId="0" applyNumberFormat="1" applyFont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72" fontId="3" fillId="0" borderId="5" xfId="0" applyNumberFormat="1" applyFont="1" applyBorder="1" applyAlignment="1">
      <alignment horizontal="center"/>
    </xf>
    <xf numFmtId="172" fontId="3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/>
    </xf>
    <xf numFmtId="168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3" fillId="9" borderId="5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2" fontId="8" fillId="9" borderId="5" xfId="0" applyNumberFormat="1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2" fontId="6" fillId="9" borderId="5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6" fillId="9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6" fillId="9" borderId="0" xfId="0" applyFont="1" applyFill="1" applyAlignment="1"/>
    <xf numFmtId="0" fontId="6" fillId="9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8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2" fontId="8" fillId="9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2" fontId="6" fillId="9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73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13" fillId="9" borderId="0" xfId="0" applyNumberFormat="1" applyFont="1" applyFill="1" applyAlignment="1">
      <alignment horizontal="center"/>
    </xf>
    <xf numFmtId="167" fontId="12" fillId="0" borderId="0" xfId="0" applyNumberFormat="1" applyFont="1" applyAlignment="1"/>
    <xf numFmtId="0" fontId="6" fillId="9" borderId="0" xfId="0" applyFont="1" applyFill="1"/>
    <xf numFmtId="0" fontId="6" fillId="9" borderId="0" xfId="0" applyFont="1" applyFill="1"/>
    <xf numFmtId="0" fontId="1" fillId="2" borderId="1" xfId="0" applyFont="1" applyFill="1" applyBorder="1" applyAlignment="1">
      <alignment horizontal="center" wrapText="1"/>
    </xf>
    <xf numFmtId="0" fontId="7" fillId="12" borderId="0" xfId="0" applyFont="1" applyFill="1"/>
    <xf numFmtId="0" fontId="7" fillId="12" borderId="0" xfId="0" applyFont="1" applyFill="1" applyAlignment="1">
      <alignment horizontal="right"/>
    </xf>
    <xf numFmtId="2" fontId="7" fillId="12" borderId="0" xfId="0" applyNumberFormat="1" applyFont="1" applyFill="1" applyAlignment="1">
      <alignment horizontal="right"/>
    </xf>
    <xf numFmtId="0" fontId="3" fillId="12" borderId="0" xfId="0" applyFont="1" applyFill="1" applyAlignment="1">
      <alignment horizontal="center"/>
    </xf>
    <xf numFmtId="2" fontId="3" fillId="12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right"/>
    </xf>
    <xf numFmtId="0" fontId="9" fillId="12" borderId="0" xfId="0" applyFont="1" applyFill="1"/>
    <xf numFmtId="0" fontId="7" fillId="12" borderId="0" xfId="0" applyFont="1" applyFill="1" applyAlignment="1">
      <alignment horizontal="center"/>
    </xf>
    <xf numFmtId="0" fontId="8" fillId="12" borderId="0" xfId="0" applyFont="1" applyFill="1" applyAlignment="1">
      <alignment horizontal="right"/>
    </xf>
    <xf numFmtId="174" fontId="3" fillId="12" borderId="0" xfId="0" applyNumberFormat="1" applyFont="1" applyFill="1" applyAlignment="1">
      <alignment horizontal="center"/>
    </xf>
    <xf numFmtId="0" fontId="3" fillId="12" borderId="0" xfId="0" applyFont="1" applyFill="1"/>
    <xf numFmtId="0" fontId="17" fillId="12" borderId="0" xfId="0" applyFont="1" applyFill="1" applyAlignment="1">
      <alignment horizontal="right"/>
    </xf>
    <xf numFmtId="2" fontId="17" fillId="12" borderId="0" xfId="0" applyNumberFormat="1" applyFont="1" applyFill="1" applyAlignment="1">
      <alignment horizontal="right"/>
    </xf>
    <xf numFmtId="0" fontId="6" fillId="12" borderId="0" xfId="0" applyFont="1" applyFill="1"/>
    <xf numFmtId="2" fontId="6" fillId="12" borderId="0" xfId="0" applyNumberFormat="1" applyFont="1" applyFill="1"/>
    <xf numFmtId="0" fontId="5" fillId="11" borderId="0" xfId="0" applyFont="1" applyFill="1" applyAlignment="1"/>
    <xf numFmtId="0" fontId="9" fillId="11" borderId="0" xfId="0" applyFont="1" applyFill="1" applyAlignment="1"/>
    <xf numFmtId="0" fontId="12" fillId="11" borderId="0" xfId="0" applyFont="1" applyFill="1" applyAlignment="1"/>
    <xf numFmtId="0" fontId="9" fillId="11" borderId="0" xfId="0" applyFont="1" applyFill="1"/>
    <xf numFmtId="0" fontId="6" fillId="11" borderId="0" xfId="0" applyFont="1" applyFill="1" applyAlignment="1"/>
    <xf numFmtId="0" fontId="3" fillId="12" borderId="0" xfId="0" applyFont="1" applyFill="1" applyAlignment="1"/>
    <xf numFmtId="0" fontId="9" fillId="12" borderId="0" xfId="0" applyFont="1" applyFill="1"/>
    <xf numFmtId="0" fontId="12" fillId="12" borderId="0" xfId="0" applyFont="1" applyFill="1" applyAlignment="1"/>
    <xf numFmtId="0" fontId="5" fillId="12" borderId="0" xfId="0" applyFont="1" applyFill="1" applyAlignment="1"/>
    <xf numFmtId="0" fontId="6" fillId="12" borderId="0" xfId="0" applyFont="1" applyFill="1" applyAlignment="1"/>
    <xf numFmtId="0" fontId="9" fillId="12" borderId="0" xfId="0" applyFont="1" applyFill="1" applyAlignment="1"/>
    <xf numFmtId="0" fontId="12" fillId="12" borderId="0" xfId="0" applyFont="1" applyFill="1"/>
    <xf numFmtId="0" fontId="9" fillId="0" borderId="0" xfId="0" applyFont="1" applyAlignment="1"/>
    <xf numFmtId="0" fontId="6" fillId="9" borderId="0" xfId="0" applyFont="1" applyFill="1"/>
    <xf numFmtId="0" fontId="6" fillId="0" borderId="0" xfId="0" applyFont="1"/>
    <xf numFmtId="0" fontId="8" fillId="0" borderId="0" xfId="0" applyFont="1" applyAlignment="1">
      <alignment horizontal="right"/>
    </xf>
    <xf numFmtId="11" fontId="9" fillId="0" borderId="0" xfId="0" applyNumberFormat="1" applyFont="1"/>
    <xf numFmtId="0" fontId="6" fillId="9" borderId="0" xfId="0" applyFont="1" applyFill="1"/>
    <xf numFmtId="0" fontId="3" fillId="11" borderId="0" xfId="0" applyFont="1" applyFill="1" applyAlignment="1">
      <alignment horizontal="center" wrapText="1"/>
    </xf>
    <xf numFmtId="2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2" fontId="3" fillId="11" borderId="0" xfId="0" applyNumberFormat="1" applyFont="1" applyFill="1" applyAlignment="1">
      <alignment horizontal="center" wrapText="1"/>
    </xf>
    <xf numFmtId="0" fontId="13" fillId="11" borderId="0" xfId="0" applyFont="1" applyFill="1" applyAlignment="1">
      <alignment horizontal="center"/>
    </xf>
    <xf numFmtId="2" fontId="13" fillId="11" borderId="0" xfId="0" applyNumberFormat="1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175" fontId="1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right"/>
    </xf>
    <xf numFmtId="175" fontId="3" fillId="11" borderId="0" xfId="0" applyNumberFormat="1" applyFont="1" applyFill="1" applyAlignment="1">
      <alignment horizontal="center"/>
    </xf>
    <xf numFmtId="2" fontId="7" fillId="11" borderId="0" xfId="0" applyNumberFormat="1" applyFont="1" applyFill="1" applyAlignment="1">
      <alignment horizontal="center"/>
    </xf>
    <xf numFmtId="11" fontId="7" fillId="11" borderId="0" xfId="0" applyNumberFormat="1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2" fillId="11" borderId="0" xfId="0" applyFont="1" applyFill="1"/>
    <xf numFmtId="2" fontId="11" fillId="11" borderId="0" xfId="0" applyNumberFormat="1" applyFont="1" applyFill="1" applyAlignment="1">
      <alignment horizontal="center"/>
    </xf>
    <xf numFmtId="0" fontId="18" fillId="0" borderId="0" xfId="0" applyFont="1" applyAlignment="1"/>
    <xf numFmtId="0" fontId="19" fillId="0" borderId="0" xfId="0" applyFont="1" applyAlignment="1"/>
    <xf numFmtId="165" fontId="6" fillId="0" borderId="0" xfId="0" applyNumberFormat="1" applyFont="1" applyAlignment="1"/>
    <xf numFmtId="165" fontId="6" fillId="9" borderId="0" xfId="0" applyNumberFormat="1" applyFont="1" applyFill="1" applyAlignment="1"/>
    <xf numFmtId="173" fontId="3" fillId="6" borderId="0" xfId="0" applyNumberFormat="1" applyFont="1" applyFill="1" applyAlignment="1">
      <alignment horizontal="center"/>
    </xf>
    <xf numFmtId="165" fontId="12" fillId="0" borderId="0" xfId="0" applyNumberFormat="1" applyFont="1"/>
    <xf numFmtId="165" fontId="12" fillId="0" borderId="0" xfId="0" applyNumberFormat="1" applyFont="1" applyAlignment="1"/>
    <xf numFmtId="0" fontId="21" fillId="0" borderId="0" xfId="0" applyFont="1" applyAlignment="1"/>
    <xf numFmtId="0" fontId="22" fillId="0" borderId="0" xfId="0" applyFont="1" applyAlignment="1"/>
    <xf numFmtId="0" fontId="12" fillId="13" borderId="0" xfId="0" applyFont="1" applyFill="1"/>
    <xf numFmtId="0" fontId="12" fillId="8" borderId="0" xfId="0" applyFont="1" applyFill="1" applyAlignment="1"/>
    <xf numFmtId="0" fontId="23" fillId="0" borderId="0" xfId="0" applyFont="1" applyAlignment="1"/>
    <xf numFmtId="0" fontId="6" fillId="9" borderId="0" xfId="0" applyFont="1" applyFill="1" applyAlignment="1"/>
    <xf numFmtId="0" fontId="24" fillId="0" borderId="0" xfId="0" applyFont="1" applyAlignment="1"/>
    <xf numFmtId="0" fontId="24" fillId="9" borderId="0" xfId="0" applyFont="1" applyFill="1" applyAlignment="1"/>
    <xf numFmtId="0" fontId="7" fillId="0" borderId="0" xfId="0" applyFont="1"/>
    <xf numFmtId="2" fontId="7" fillId="0" borderId="0" xfId="0" applyNumberFormat="1" applyFont="1"/>
    <xf numFmtId="11" fontId="6" fillId="9" borderId="0" xfId="0" applyNumberFormat="1" applyFont="1" applyFill="1" applyAlignment="1"/>
    <xf numFmtId="11" fontId="12" fillId="0" borderId="0" xfId="0" applyNumberFormat="1" applyFont="1"/>
    <xf numFmtId="2" fontId="7" fillId="0" borderId="0" xfId="0" applyNumberFormat="1" applyFont="1" applyAlignment="1">
      <alignment horizontal="right"/>
    </xf>
    <xf numFmtId="165" fontId="12" fillId="11" borderId="0" xfId="0" applyNumberFormat="1" applyFont="1" applyFill="1"/>
    <xf numFmtId="165" fontId="6" fillId="11" borderId="0" xfId="0" applyNumberFormat="1" applyFont="1" applyFill="1" applyAlignment="1"/>
    <xf numFmtId="0" fontId="25" fillId="0" borderId="0" xfId="0" applyFont="1" applyAlignment="1"/>
    <xf numFmtId="0" fontId="26" fillId="0" borderId="0" xfId="0" applyFont="1" applyAlignment="1"/>
    <xf numFmtId="165" fontId="9" fillId="6" borderId="0" xfId="0" applyNumberFormat="1" applyFont="1" applyFill="1" applyAlignment="1"/>
    <xf numFmtId="165" fontId="12" fillId="6" borderId="0" xfId="0" applyNumberFormat="1" applyFont="1" applyFill="1"/>
    <xf numFmtId="165" fontId="5" fillId="6" borderId="0" xfId="0" applyNumberFormat="1" applyFont="1" applyFill="1" applyAlignment="1"/>
    <xf numFmtId="165" fontId="9" fillId="6" borderId="0" xfId="0" applyNumberFormat="1" applyFont="1" applyFill="1"/>
    <xf numFmtId="174" fontId="3" fillId="0" borderId="0" xfId="0" applyNumberFormat="1" applyFont="1" applyAlignment="1">
      <alignment horizontal="center"/>
    </xf>
    <xf numFmtId="0" fontId="20" fillId="0" borderId="0" xfId="0" applyFont="1" applyAlignment="1">
      <alignment horizontal="center" wrapText="1"/>
    </xf>
    <xf numFmtId="0" fontId="0" fillId="0" borderId="0" xfId="0" applyFont="1" applyAlignment="1"/>
    <xf numFmtId="0" fontId="1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Orifice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Orifice Diameter</a:t>
          </a:r>
        </a:p>
      </cx:txPr>
    </cx:title>
    <cx:plotArea>
      <cx:plotAreaRegion>
        <cx:series layoutId="boxWhisker" uniqueId="{287DD172-D616-4F6A-8C1F-D003974DF443}">
          <cx:tx>
            <cx:txData>
              <cx:f>_xlchart.v1.0</cx:f>
              <cx:v>Orifice diameter - DO (mm)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  <cx:numFmt formatCode="0" sourceLinked="0"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Bubble diameter</a:t>
            </a:r>
            <a:endParaRPr lang="ru-RU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endParaRPr>
          </a:p>
        </cx:rich>
      </cx:tx>
    </cx:title>
    <cx:plotArea>
      <cx:plotAreaRegion>
        <cx:series layoutId="boxWhisker" uniqueId="{4976D559-08A4-4EC3-9037-F41E6652E012}">
          <cx:tx>
            <cx:txData>
              <cx:f>_xlchart.v1.2</cx:f>
              <cx:v>Bubble detachment diameter - Dd (mm)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Gas flow rate</a:t>
            </a:r>
            <a:endParaRPr lang="ru-RU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endParaRPr>
          </a:p>
        </cx:rich>
      </cx:tx>
    </cx:title>
    <cx:plotArea>
      <cx:plotAreaRegion>
        <cx:series layoutId="boxWhisker" uniqueId="{4F006851-46EE-43E6-887D-7162CD2848F2}">
          <cx:tx>
            <cx:txData>
              <cx:f>_xlchart.v1.4</cx:f>
              <cx:v>Gas flow rate - Qg (mL/min)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0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891540</xdr:colOff>
      <xdr:row>6</xdr:row>
      <xdr:rowOff>68586</xdr:rowOff>
    </xdr:from>
    <xdr:to>
      <xdr:col>5</xdr:col>
      <xdr:colOff>502920</xdr:colOff>
      <xdr:row>20</xdr:row>
      <xdr:rowOff>38106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C16A6DC2-565B-4A7E-A836-E3E7B661CD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" y="125730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5</xdr:col>
      <xdr:colOff>518160</xdr:colOff>
      <xdr:row>6</xdr:row>
      <xdr:rowOff>80010</xdr:rowOff>
    </xdr:from>
    <xdr:to>
      <xdr:col>10</xdr:col>
      <xdr:colOff>1104900</xdr:colOff>
      <xdr:row>20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D3C23F21-CBD0-462B-8E5E-C81F52EC96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8780" y="1268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</xdr:col>
      <xdr:colOff>472440</xdr:colOff>
      <xdr:row>20</xdr:row>
      <xdr:rowOff>26670</xdr:rowOff>
    </xdr:from>
    <xdr:to>
      <xdr:col>8</xdr:col>
      <xdr:colOff>365760</xdr:colOff>
      <xdr:row>33</xdr:row>
      <xdr:rowOff>194310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6448B109-53AC-47DE-ADA3-DD745E390F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0380" y="39890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285</xdr:row>
      <xdr:rowOff>123825</xdr:rowOff>
    </xdr:from>
    <xdr:ext cx="4876800" cy="1828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avid Kortel" id="{3a766336-668e-4c67-ac7a-6dd5bba8ead8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320" dT="2026-05-01T22:56:44.00" personId="{3a766336-668e-4c67-ac7a-6dd5bba8ead8}" id="{80fab1c8-88e5-4c4d-9ca4-978d0318d57c}" done="0">
    <x18tc:text xml:space="preserve">might be a repeating values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97" dT="2026-05-01T21:16:16.00" personId="{3a766336-668e-4c67-ac7a-6dd5bba8ead8}" id="{7e70df55-665c-4dda-af3d-c413a72ac86e}" done="0">
    <x18tc:text xml:space="preserve">stainless steel</x18tc:text>
  </x18tc:threadedComment>
  <x18tc:threadedComment ref="D303" dT="2026-05-01T21:16:25.00" personId="{3a766336-668e-4c67-ac7a-6dd5bba8ead8}" id="{c5474d85-7e93-42bf-8a3e-52efdfdeea5c}" done="0">
    <x18tc:text xml:space="preserve">acrylic sheet</x18tc:text>
  </x18tc:threadedComment>
  <x18tc:threadedComment ref="D314" dT="2026-05-01T21:16:32.00" personId="{3a766336-668e-4c67-ac7a-6dd5bba8ead8}" id="{dabacdf7-e5f1-4006-94ca-c8c7ffe0d760}" done="0">
    <x18tc:text xml:space="preserve">teflon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microsoft.com/office/2019/04/relationships/documenttask" Target="../documenttasks/documenttask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756"/>
  <sheetViews>
    <sheetView tabSelected="1" zoomScale="85" zoomScaleNormal="85" workbookViewId="0">
      <pane ySplit="1" topLeftCell="A6" activePane="bottomLeft" state="frozen"/>
      <selection pane="bottomLeft" activeCell="B1" sqref="B1:B1048576"/>
    </sheetView>
  </sheetViews>
  <sheetFormatPr defaultColWidth="12.6640625" defaultRowHeight="15" customHeight="1"/>
  <cols>
    <col min="1" max="1" width="21.21875" customWidth="1"/>
    <col min="2" max="2" width="16.21875" customWidth="1"/>
    <col min="3" max="4" width="11.109375" customWidth="1"/>
    <col min="5" max="5" width="12.6640625" customWidth="1"/>
    <col min="6" max="8" width="11.109375" customWidth="1"/>
    <col min="9" max="9" width="13.6640625" customWidth="1"/>
    <col min="10" max="10" width="11.109375" customWidth="1"/>
    <col min="11" max="11" width="44.44140625" customWidth="1"/>
    <col min="12" max="22" width="11.109375" customWidth="1"/>
  </cols>
  <sheetData>
    <row r="1" spans="1:17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/>
      <c r="M1" s="6"/>
    </row>
    <row r="2" spans="1:17" ht="15.75" customHeight="1">
      <c r="A2" s="7" t="s">
        <v>11</v>
      </c>
      <c r="B2" s="8">
        <v>30</v>
      </c>
      <c r="C2" s="9">
        <v>0.30062117755169299</v>
      </c>
      <c r="D2" s="8">
        <v>0.06</v>
      </c>
      <c r="E2" s="8">
        <v>4.2999999999999997E-2</v>
      </c>
      <c r="F2" s="7"/>
      <c r="G2" s="7"/>
      <c r="H2" s="8">
        <v>20</v>
      </c>
      <c r="I2" s="8" t="s">
        <v>12</v>
      </c>
      <c r="J2" s="7"/>
      <c r="K2" s="10">
        <v>3.1960000000000002</v>
      </c>
      <c r="N2" s="11"/>
      <c r="O2" s="11"/>
      <c r="P2" s="12"/>
      <c r="Q2" s="12"/>
    </row>
    <row r="3" spans="1:17" ht="15.75" customHeight="1">
      <c r="A3" s="7" t="s">
        <v>11</v>
      </c>
      <c r="B3" s="8">
        <v>30</v>
      </c>
      <c r="C3" s="9">
        <v>0.40062109631590798</v>
      </c>
      <c r="D3" s="8">
        <v>0.06</v>
      </c>
      <c r="E3" s="8">
        <v>4.2999999999999997E-2</v>
      </c>
      <c r="F3" s="7"/>
      <c r="G3" s="7"/>
      <c r="H3" s="8">
        <v>20</v>
      </c>
      <c r="I3" s="8" t="s">
        <v>12</v>
      </c>
      <c r="J3" s="7"/>
      <c r="K3" s="10">
        <v>3.08</v>
      </c>
      <c r="N3" s="11"/>
      <c r="O3" s="11"/>
      <c r="P3" s="12"/>
      <c r="Q3" s="12"/>
    </row>
    <row r="4" spans="1:17" ht="15.75" customHeight="1">
      <c r="A4" s="7" t="s">
        <v>11</v>
      </c>
      <c r="B4" s="8">
        <v>30</v>
      </c>
      <c r="C4" s="13">
        <v>0.59937888743693402</v>
      </c>
      <c r="D4" s="8">
        <v>0.06</v>
      </c>
      <c r="E4" s="8">
        <v>4.2999999999999997E-2</v>
      </c>
      <c r="F4" s="7"/>
      <c r="G4" s="7"/>
      <c r="H4" s="8">
        <v>20</v>
      </c>
      <c r="I4" s="8" t="s">
        <v>12</v>
      </c>
      <c r="J4" s="7"/>
      <c r="K4" s="10">
        <v>3.45</v>
      </c>
    </row>
    <row r="5" spans="1:17" ht="15.75" customHeight="1">
      <c r="A5" s="7" t="s">
        <v>11</v>
      </c>
      <c r="B5" s="8">
        <v>60</v>
      </c>
      <c r="C5" s="13">
        <v>0.29937890368409098</v>
      </c>
      <c r="D5" s="8">
        <v>0.06</v>
      </c>
      <c r="E5" s="8">
        <v>4.2999999999999997E-2</v>
      </c>
      <c r="F5" s="7"/>
      <c r="G5" s="7"/>
      <c r="H5" s="8">
        <v>20</v>
      </c>
      <c r="I5" s="8" t="s">
        <v>12</v>
      </c>
      <c r="J5" s="7"/>
      <c r="K5" s="10">
        <v>3.79</v>
      </c>
    </row>
    <row r="6" spans="1:17" ht="15.75" customHeight="1">
      <c r="A6" s="7" t="s">
        <v>11</v>
      </c>
      <c r="B6" s="8">
        <v>60</v>
      </c>
      <c r="C6" s="13">
        <v>0.40000001624715698</v>
      </c>
      <c r="D6" s="8">
        <v>0.06</v>
      </c>
      <c r="E6" s="8">
        <v>4.2999999999999997E-2</v>
      </c>
      <c r="F6" s="7"/>
      <c r="G6" s="7"/>
      <c r="H6" s="8">
        <v>20</v>
      </c>
      <c r="I6" s="8" t="s">
        <v>12</v>
      </c>
      <c r="J6" s="7"/>
      <c r="K6" s="10">
        <v>3.76</v>
      </c>
    </row>
    <row r="7" spans="1:17" ht="15.75" customHeight="1">
      <c r="A7" s="7" t="s">
        <v>11</v>
      </c>
      <c r="B7" s="8">
        <v>60</v>
      </c>
      <c r="C7" s="13">
        <v>0.59999996750568596</v>
      </c>
      <c r="D7" s="8">
        <v>0.06</v>
      </c>
      <c r="E7" s="8">
        <v>4.2999999999999997E-2</v>
      </c>
      <c r="F7" s="7"/>
      <c r="G7" s="7"/>
      <c r="H7" s="8">
        <v>20</v>
      </c>
      <c r="I7" s="8" t="s">
        <v>12</v>
      </c>
      <c r="J7" s="7"/>
      <c r="K7" s="10">
        <v>3.96</v>
      </c>
    </row>
    <row r="8" spans="1:17" ht="15.75" customHeight="1">
      <c r="A8" s="7" t="s">
        <v>11</v>
      </c>
      <c r="B8" s="8">
        <v>30</v>
      </c>
      <c r="C8" s="13">
        <v>0.29751554974773797</v>
      </c>
      <c r="D8" s="8">
        <v>0.06</v>
      </c>
      <c r="E8" s="8">
        <v>0.8</v>
      </c>
      <c r="F8" s="7"/>
      <c r="G8" s="7"/>
      <c r="H8" s="8">
        <v>20</v>
      </c>
      <c r="I8" s="8" t="s">
        <v>12</v>
      </c>
      <c r="J8" s="7"/>
      <c r="K8" s="10">
        <v>5.415</v>
      </c>
    </row>
    <row r="9" spans="1:17" ht="15.75" customHeight="1">
      <c r="A9" s="7" t="s">
        <v>11</v>
      </c>
      <c r="B9" s="8">
        <v>30</v>
      </c>
      <c r="C9" s="13">
        <v>0.39689438844320202</v>
      </c>
      <c r="D9" s="8">
        <v>0.06</v>
      </c>
      <c r="E9" s="8">
        <v>0.8</v>
      </c>
      <c r="F9" s="7"/>
      <c r="G9" s="7"/>
      <c r="H9" s="8">
        <v>20</v>
      </c>
      <c r="I9" s="8" t="s">
        <v>12</v>
      </c>
      <c r="J9" s="7"/>
      <c r="K9" s="10">
        <v>5.55</v>
      </c>
    </row>
    <row r="10" spans="1:17" ht="15.75" customHeight="1">
      <c r="A10" s="7" t="s">
        <v>11</v>
      </c>
      <c r="B10" s="8">
        <v>30</v>
      </c>
      <c r="C10" s="13">
        <v>0.59689445343183001</v>
      </c>
      <c r="D10" s="8">
        <v>0.06</v>
      </c>
      <c r="E10" s="8">
        <v>0.8</v>
      </c>
      <c r="F10" s="7"/>
      <c r="G10" s="7"/>
      <c r="H10" s="8">
        <v>20</v>
      </c>
      <c r="I10" s="8" t="s">
        <v>12</v>
      </c>
      <c r="J10" s="7"/>
      <c r="K10" s="10">
        <v>5.62</v>
      </c>
    </row>
    <row r="11" spans="1:17" ht="15.75" customHeight="1">
      <c r="A11" s="7" t="s">
        <v>11</v>
      </c>
      <c r="B11" s="8">
        <v>60</v>
      </c>
      <c r="C11" s="13">
        <v>0.29689446967898703</v>
      </c>
      <c r="D11" s="8">
        <v>0.06</v>
      </c>
      <c r="E11" s="8">
        <v>0.8</v>
      </c>
      <c r="F11" s="7"/>
      <c r="G11" s="7"/>
      <c r="H11" s="8">
        <v>20</v>
      </c>
      <c r="I11" s="8" t="s">
        <v>12</v>
      </c>
      <c r="J11" s="7"/>
      <c r="K11" s="10">
        <v>6.33</v>
      </c>
    </row>
    <row r="12" spans="1:17" ht="15.75" customHeight="1">
      <c r="A12" s="7" t="s">
        <v>11</v>
      </c>
      <c r="B12" s="8">
        <v>60</v>
      </c>
      <c r="C12" s="13">
        <v>0.39751558224205202</v>
      </c>
      <c r="D12" s="8">
        <v>0.06</v>
      </c>
      <c r="E12" s="8">
        <v>0.8</v>
      </c>
      <c r="F12" s="7"/>
      <c r="G12" s="7"/>
      <c r="H12" s="8">
        <v>20</v>
      </c>
      <c r="I12" s="8" t="s">
        <v>12</v>
      </c>
      <c r="J12" s="7"/>
      <c r="K12" s="10">
        <v>6.44</v>
      </c>
    </row>
    <row r="13" spans="1:17" ht="15.75" customHeight="1">
      <c r="A13" s="7" t="s">
        <v>11</v>
      </c>
      <c r="B13" s="8">
        <v>60</v>
      </c>
      <c r="C13" s="13">
        <v>0.60062116130453602</v>
      </c>
      <c r="D13" s="8">
        <v>0.06</v>
      </c>
      <c r="E13" s="8">
        <v>0.8</v>
      </c>
      <c r="F13" s="7"/>
      <c r="G13" s="7"/>
      <c r="H13" s="8">
        <v>20</v>
      </c>
      <c r="I13" s="8" t="s">
        <v>12</v>
      </c>
      <c r="J13" s="7"/>
      <c r="K13" s="10">
        <v>6.55</v>
      </c>
    </row>
    <row r="14" spans="1:17" ht="15.75" customHeight="1">
      <c r="A14" s="7" t="s">
        <v>11</v>
      </c>
      <c r="B14" s="8">
        <v>39.279895111000002</v>
      </c>
      <c r="C14" s="8">
        <v>0.6</v>
      </c>
      <c r="D14" s="8">
        <v>0.06</v>
      </c>
      <c r="E14" s="8">
        <v>4.2999999999999997E-2</v>
      </c>
      <c r="F14" s="7"/>
      <c r="G14" s="7"/>
      <c r="H14" s="8">
        <v>20</v>
      </c>
      <c r="I14" s="8" t="s">
        <v>12</v>
      </c>
      <c r="J14" s="7"/>
      <c r="K14" s="10">
        <v>3.56</v>
      </c>
    </row>
    <row r="15" spans="1:17" ht="15.75" customHeight="1">
      <c r="A15" s="7" t="s">
        <v>11</v>
      </c>
      <c r="B15" s="8">
        <v>60.883850907999999</v>
      </c>
      <c r="C15" s="8">
        <v>0.6</v>
      </c>
      <c r="D15" s="8">
        <v>0.06</v>
      </c>
      <c r="E15" s="8">
        <v>4.2999999999999997E-2</v>
      </c>
      <c r="F15" s="7"/>
      <c r="G15" s="7"/>
      <c r="H15" s="8">
        <v>20</v>
      </c>
      <c r="I15" s="8" t="s">
        <v>12</v>
      </c>
      <c r="J15" s="7"/>
      <c r="K15" s="10">
        <v>3.81</v>
      </c>
    </row>
    <row r="16" spans="1:17" ht="15.75" customHeight="1">
      <c r="A16" s="7" t="s">
        <v>11</v>
      </c>
      <c r="B16" s="8">
        <v>81.505780109</v>
      </c>
      <c r="C16" s="8">
        <v>0.6</v>
      </c>
      <c r="D16" s="8">
        <v>0.06</v>
      </c>
      <c r="E16" s="8">
        <v>4.2999999999999997E-2</v>
      </c>
      <c r="F16" s="7"/>
      <c r="G16" s="7"/>
      <c r="H16" s="8">
        <v>20</v>
      </c>
      <c r="I16" s="8" t="s">
        <v>12</v>
      </c>
      <c r="J16" s="7"/>
      <c r="K16" s="10">
        <v>3.89</v>
      </c>
    </row>
    <row r="17" spans="1:11" ht="15.75" customHeight="1">
      <c r="A17" s="7" t="s">
        <v>11</v>
      </c>
      <c r="B17" s="8">
        <v>97.217666230000006</v>
      </c>
      <c r="C17" s="8">
        <v>0.6</v>
      </c>
      <c r="D17" s="8">
        <v>0.06</v>
      </c>
      <c r="E17" s="8">
        <v>4.2999999999999997E-2</v>
      </c>
      <c r="F17" s="7"/>
      <c r="G17" s="7"/>
      <c r="H17" s="8">
        <v>20</v>
      </c>
      <c r="I17" s="8" t="s">
        <v>12</v>
      </c>
      <c r="J17" s="7"/>
      <c r="K17" s="10">
        <v>4.03</v>
      </c>
    </row>
    <row r="18" spans="1:11" ht="15.75" customHeight="1">
      <c r="A18" s="7" t="s">
        <v>11</v>
      </c>
      <c r="B18" s="8">
        <v>46.644869825999997</v>
      </c>
      <c r="C18" s="8">
        <v>0.6</v>
      </c>
      <c r="D18" s="8">
        <v>0.06</v>
      </c>
      <c r="E18" s="8">
        <v>0.105</v>
      </c>
      <c r="F18" s="7"/>
      <c r="G18" s="7"/>
      <c r="H18" s="8">
        <v>20</v>
      </c>
      <c r="I18" s="8" t="s">
        <v>12</v>
      </c>
      <c r="J18" s="7"/>
      <c r="K18" s="10">
        <v>4.2699999999999996</v>
      </c>
    </row>
    <row r="19" spans="1:11" ht="15.75" customHeight="1">
      <c r="A19" s="7" t="s">
        <v>11</v>
      </c>
      <c r="B19" s="8">
        <v>61.374819254999998</v>
      </c>
      <c r="C19" s="8">
        <v>0.6</v>
      </c>
      <c r="D19" s="8">
        <v>0.06</v>
      </c>
      <c r="E19" s="8">
        <v>0.105</v>
      </c>
      <c r="F19" s="7"/>
      <c r="G19" s="7"/>
      <c r="H19" s="8">
        <v>20</v>
      </c>
      <c r="I19" s="8" t="s">
        <v>12</v>
      </c>
      <c r="J19" s="7"/>
      <c r="K19" s="10">
        <v>4.29</v>
      </c>
    </row>
    <row r="20" spans="1:11" ht="15.75" customHeight="1">
      <c r="A20" s="7" t="s">
        <v>11</v>
      </c>
      <c r="B20" s="8">
        <v>80.032785165999996</v>
      </c>
      <c r="C20" s="8">
        <v>0.6</v>
      </c>
      <c r="D20" s="8">
        <v>0.06</v>
      </c>
      <c r="E20" s="8">
        <v>0.105</v>
      </c>
      <c r="F20" s="7"/>
      <c r="G20" s="7"/>
      <c r="H20" s="8">
        <v>20</v>
      </c>
      <c r="I20" s="8" t="s">
        <v>12</v>
      </c>
      <c r="J20" s="7"/>
      <c r="K20" s="10">
        <v>4.47</v>
      </c>
    </row>
    <row r="21" spans="1:11" ht="15.75" customHeight="1">
      <c r="A21" s="7" t="s">
        <v>11</v>
      </c>
      <c r="B21" s="8">
        <v>99.672687769000007</v>
      </c>
      <c r="C21" s="8">
        <v>0.6</v>
      </c>
      <c r="D21" s="8">
        <v>0.06</v>
      </c>
      <c r="E21" s="8">
        <v>0.105</v>
      </c>
      <c r="F21" s="7"/>
      <c r="G21" s="7"/>
      <c r="H21" s="8">
        <v>20</v>
      </c>
      <c r="I21" s="8" t="s">
        <v>12</v>
      </c>
      <c r="J21" s="7"/>
      <c r="K21" s="10">
        <v>5.17</v>
      </c>
    </row>
    <row r="22" spans="1:11" ht="15.75" customHeight="1">
      <c r="A22" s="7" t="s">
        <v>11</v>
      </c>
      <c r="B22" s="14">
        <v>45.245887760000002</v>
      </c>
      <c r="C22" s="8">
        <v>0.6</v>
      </c>
      <c r="D22" s="8">
        <v>0.06</v>
      </c>
      <c r="E22" s="8">
        <v>0.16400000000000001</v>
      </c>
      <c r="F22" s="7"/>
      <c r="G22" s="7"/>
      <c r="H22" s="8">
        <v>20</v>
      </c>
      <c r="I22" s="8" t="s">
        <v>12</v>
      </c>
      <c r="J22" s="7"/>
      <c r="K22" s="10">
        <v>4.63</v>
      </c>
    </row>
    <row r="23" spans="1:11" ht="15.75" customHeight="1">
      <c r="A23" s="7" t="s">
        <v>11</v>
      </c>
      <c r="B23" s="14">
        <v>58.524576619999998</v>
      </c>
      <c r="C23" s="8">
        <v>0.6</v>
      </c>
      <c r="D23" s="8">
        <v>0.06</v>
      </c>
      <c r="E23" s="8">
        <v>0.16400000000000001</v>
      </c>
      <c r="F23" s="7"/>
      <c r="G23" s="7"/>
      <c r="H23" s="8">
        <v>20</v>
      </c>
      <c r="I23" s="8" t="s">
        <v>12</v>
      </c>
      <c r="J23" s="7"/>
      <c r="K23" s="10">
        <v>4.75</v>
      </c>
    </row>
    <row r="24" spans="1:11" ht="15.75" customHeight="1">
      <c r="A24" s="7" t="s">
        <v>11</v>
      </c>
      <c r="B24" s="14">
        <v>82.131134590000002</v>
      </c>
      <c r="C24" s="8">
        <v>0.6</v>
      </c>
      <c r="D24" s="8">
        <v>0.06</v>
      </c>
      <c r="E24" s="8">
        <v>0.16400000000000001</v>
      </c>
      <c r="F24" s="7"/>
      <c r="G24" s="7"/>
      <c r="H24" s="8">
        <v>20</v>
      </c>
      <c r="I24" s="8" t="s">
        <v>12</v>
      </c>
      <c r="J24" s="7"/>
      <c r="K24" s="10">
        <v>4.96</v>
      </c>
    </row>
    <row r="25" spans="1:11" ht="15.75" customHeight="1">
      <c r="A25" s="7" t="s">
        <v>11</v>
      </c>
      <c r="B25" s="14">
        <v>99.344279790000002</v>
      </c>
      <c r="C25" s="8">
        <v>0.6</v>
      </c>
      <c r="D25" s="8">
        <v>0.06</v>
      </c>
      <c r="E25" s="8">
        <v>0.16400000000000001</v>
      </c>
      <c r="F25" s="7"/>
      <c r="G25" s="7"/>
      <c r="H25" s="8">
        <v>20</v>
      </c>
      <c r="I25" s="8" t="s">
        <v>12</v>
      </c>
      <c r="J25" s="7"/>
      <c r="K25" s="10">
        <v>5.56</v>
      </c>
    </row>
    <row r="26" spans="1:11" ht="15.75" customHeight="1">
      <c r="A26" s="7" t="s">
        <v>11</v>
      </c>
      <c r="B26" s="8">
        <v>8.8524592379999998</v>
      </c>
      <c r="C26" s="8">
        <v>0.6</v>
      </c>
      <c r="D26" s="8">
        <v>0.06</v>
      </c>
      <c r="E26" s="8">
        <v>0.47499999999999998</v>
      </c>
      <c r="F26" s="7"/>
      <c r="G26" s="7"/>
      <c r="H26" s="8">
        <v>20</v>
      </c>
      <c r="I26" s="8" t="s">
        <v>12</v>
      </c>
      <c r="J26" s="7"/>
      <c r="K26" s="10">
        <v>4.1399999999999997</v>
      </c>
    </row>
    <row r="27" spans="1:11" ht="15.75" customHeight="1">
      <c r="A27" s="7" t="s">
        <v>11</v>
      </c>
      <c r="B27" s="8">
        <v>20.163919920000001</v>
      </c>
      <c r="C27" s="8">
        <v>0.6</v>
      </c>
      <c r="D27" s="8">
        <v>0.06</v>
      </c>
      <c r="E27" s="8">
        <v>0.47499999999999998</v>
      </c>
      <c r="F27" s="7"/>
      <c r="G27" s="7"/>
      <c r="H27" s="8">
        <v>20</v>
      </c>
      <c r="I27" s="8" t="s">
        <v>12</v>
      </c>
      <c r="J27" s="7"/>
      <c r="K27" s="10">
        <v>4.29</v>
      </c>
    </row>
    <row r="28" spans="1:11" ht="15.75" customHeight="1">
      <c r="A28" s="7" t="s">
        <v>11</v>
      </c>
      <c r="B28" s="8">
        <v>46.229524359999999</v>
      </c>
      <c r="C28" s="8">
        <v>0.6</v>
      </c>
      <c r="D28" s="8">
        <v>0.06</v>
      </c>
      <c r="E28" s="8">
        <v>0.47499999999999998</v>
      </c>
      <c r="F28" s="7"/>
      <c r="G28" s="7"/>
      <c r="H28" s="8">
        <v>20</v>
      </c>
      <c r="I28" s="8" t="s">
        <v>12</v>
      </c>
      <c r="J28" s="7"/>
      <c r="K28" s="10">
        <v>5.64</v>
      </c>
    </row>
    <row r="29" spans="1:11" ht="15.75" customHeight="1">
      <c r="A29" s="7" t="s">
        <v>11</v>
      </c>
      <c r="B29" s="8">
        <v>60.983623090000002</v>
      </c>
      <c r="C29" s="8">
        <v>0.6</v>
      </c>
      <c r="D29" s="8">
        <v>0.06</v>
      </c>
      <c r="E29" s="8">
        <v>0.47499999999999998</v>
      </c>
      <c r="F29" s="7"/>
      <c r="G29" s="7"/>
      <c r="H29" s="8">
        <v>20</v>
      </c>
      <c r="I29" s="8" t="s">
        <v>12</v>
      </c>
      <c r="J29" s="7"/>
      <c r="K29" s="10">
        <v>5.71</v>
      </c>
    </row>
    <row r="30" spans="1:11" ht="15.75" customHeight="1">
      <c r="A30" s="7" t="s">
        <v>11</v>
      </c>
      <c r="B30" s="8">
        <v>80.163951440000005</v>
      </c>
      <c r="C30" s="8">
        <v>0.6</v>
      </c>
      <c r="D30" s="8">
        <v>0.06</v>
      </c>
      <c r="E30" s="8">
        <v>0.47499999999999998</v>
      </c>
      <c r="F30" s="7"/>
      <c r="G30" s="7"/>
      <c r="H30" s="8">
        <v>20</v>
      </c>
      <c r="I30" s="8" t="s">
        <v>12</v>
      </c>
      <c r="J30" s="7"/>
      <c r="K30" s="10">
        <v>5.91</v>
      </c>
    </row>
    <row r="31" spans="1:11" ht="15.75" customHeight="1">
      <c r="A31" s="7" t="s">
        <v>11</v>
      </c>
      <c r="B31" s="8">
        <v>99.344279790000002</v>
      </c>
      <c r="C31" s="8">
        <v>0.6</v>
      </c>
      <c r="D31" s="8">
        <v>0.06</v>
      </c>
      <c r="E31" s="8">
        <v>0.47499999999999998</v>
      </c>
      <c r="F31" s="7"/>
      <c r="G31" s="7"/>
      <c r="H31" s="8">
        <v>20</v>
      </c>
      <c r="I31" s="8" t="s">
        <v>12</v>
      </c>
      <c r="J31" s="7"/>
      <c r="K31" s="10">
        <v>7.02</v>
      </c>
    </row>
    <row r="32" spans="1:11" ht="15.75" customHeight="1">
      <c r="A32" s="7" t="s">
        <v>11</v>
      </c>
      <c r="B32" s="8">
        <v>24.098376269999999</v>
      </c>
      <c r="C32" s="8">
        <v>0.6</v>
      </c>
      <c r="D32" s="8">
        <v>0.06</v>
      </c>
      <c r="E32" s="8">
        <v>0.8</v>
      </c>
      <c r="F32" s="7"/>
      <c r="G32" s="7"/>
      <c r="H32" s="8">
        <v>20</v>
      </c>
      <c r="I32" s="8" t="s">
        <v>12</v>
      </c>
      <c r="J32" s="7"/>
      <c r="K32" s="10">
        <v>5.23</v>
      </c>
    </row>
    <row r="33" spans="1:11" ht="15.75" customHeight="1">
      <c r="A33" s="7" t="s">
        <v>11</v>
      </c>
      <c r="B33" s="8">
        <v>32.459017209999999</v>
      </c>
      <c r="C33" s="8">
        <v>0.6</v>
      </c>
      <c r="D33" s="8">
        <v>0.06</v>
      </c>
      <c r="E33" s="8">
        <v>0.8</v>
      </c>
      <c r="F33" s="7"/>
      <c r="G33" s="7"/>
      <c r="H33" s="8">
        <v>20</v>
      </c>
      <c r="I33" s="8" t="s">
        <v>12</v>
      </c>
      <c r="J33" s="7"/>
      <c r="K33" s="10">
        <v>5.82</v>
      </c>
    </row>
    <row r="34" spans="1:11" ht="15.75" customHeight="1">
      <c r="A34" s="7" t="s">
        <v>11</v>
      </c>
      <c r="B34" s="8">
        <v>40.819658140000001</v>
      </c>
      <c r="C34" s="8">
        <v>0.6</v>
      </c>
      <c r="D34" s="8">
        <v>0.06</v>
      </c>
      <c r="E34" s="8">
        <v>0.8</v>
      </c>
      <c r="F34" s="7"/>
      <c r="G34" s="7"/>
      <c r="H34" s="8">
        <v>20</v>
      </c>
      <c r="I34" s="8" t="s">
        <v>12</v>
      </c>
      <c r="J34" s="7"/>
      <c r="K34" s="10">
        <v>6.24</v>
      </c>
    </row>
    <row r="35" spans="1:11" ht="15.75" customHeight="1">
      <c r="A35" s="7" t="s">
        <v>11</v>
      </c>
      <c r="B35" s="8">
        <v>11.80327898</v>
      </c>
      <c r="C35" s="8">
        <v>0.6</v>
      </c>
      <c r="D35" s="8">
        <v>0.06</v>
      </c>
      <c r="E35" s="8">
        <v>0.8</v>
      </c>
      <c r="F35" s="7"/>
      <c r="G35" s="7"/>
      <c r="H35" s="8">
        <v>20</v>
      </c>
      <c r="I35" s="8" t="s">
        <v>12</v>
      </c>
      <c r="J35" s="7"/>
      <c r="K35" s="10">
        <v>4.6100000000000003</v>
      </c>
    </row>
    <row r="36" spans="1:11" ht="15.75" customHeight="1">
      <c r="A36" s="8" t="s">
        <v>13</v>
      </c>
      <c r="B36" s="8">
        <v>23.478324275999999</v>
      </c>
      <c r="C36" s="8">
        <v>3.01</v>
      </c>
      <c r="D36" s="8"/>
      <c r="E36" s="8">
        <v>0.61899999999999999</v>
      </c>
      <c r="F36" s="7"/>
      <c r="G36" s="7"/>
      <c r="H36" s="8">
        <v>20</v>
      </c>
      <c r="I36" s="8" t="s">
        <v>14</v>
      </c>
      <c r="J36" s="7"/>
      <c r="K36" s="10">
        <v>6.7</v>
      </c>
    </row>
    <row r="37" spans="1:11" ht="15.75" customHeight="1">
      <c r="A37" s="8" t="s">
        <v>13</v>
      </c>
      <c r="B37" s="8">
        <v>35.778254808</v>
      </c>
      <c r="C37" s="8">
        <v>3.01</v>
      </c>
      <c r="D37" s="8"/>
      <c r="E37" s="8">
        <v>0.61899999999999999</v>
      </c>
      <c r="F37" s="7"/>
      <c r="G37" s="7"/>
      <c r="H37" s="8">
        <v>20</v>
      </c>
      <c r="I37" s="8" t="s">
        <v>14</v>
      </c>
      <c r="J37" s="7"/>
      <c r="K37" s="10">
        <v>7.15</v>
      </c>
    </row>
    <row r="38" spans="1:11" ht="15.75" customHeight="1">
      <c r="A38" s="8" t="s">
        <v>13</v>
      </c>
      <c r="B38" s="8">
        <v>60.577243619999997</v>
      </c>
      <c r="C38" s="8">
        <v>3.01</v>
      </c>
      <c r="D38" s="8"/>
      <c r="E38" s="8">
        <v>0.61899999999999999</v>
      </c>
      <c r="F38" s="7"/>
      <c r="G38" s="7"/>
      <c r="H38" s="8">
        <v>20</v>
      </c>
      <c r="I38" s="8" t="s">
        <v>14</v>
      </c>
      <c r="J38" s="7"/>
      <c r="K38" s="10">
        <v>7.55</v>
      </c>
    </row>
    <row r="39" spans="1:11" ht="15.75" customHeight="1">
      <c r="A39" s="8" t="s">
        <v>13</v>
      </c>
      <c r="B39" s="8">
        <v>114.50294531999999</v>
      </c>
      <c r="C39" s="8">
        <v>3.01</v>
      </c>
      <c r="D39" s="8"/>
      <c r="E39" s="8">
        <v>0.61899999999999999</v>
      </c>
      <c r="F39" s="7"/>
      <c r="G39" s="7"/>
      <c r="H39" s="8">
        <v>20</v>
      </c>
      <c r="I39" s="8" t="s">
        <v>14</v>
      </c>
      <c r="J39" s="7"/>
      <c r="K39" s="10">
        <v>8.5</v>
      </c>
    </row>
    <row r="40" spans="1:11" ht="15.75" customHeight="1">
      <c r="A40" s="8" t="s">
        <v>13</v>
      </c>
      <c r="B40" s="8">
        <v>165.53885424000001</v>
      </c>
      <c r="C40" s="8">
        <v>3.01</v>
      </c>
      <c r="D40" s="8"/>
      <c r="E40" s="8">
        <v>0.61899999999999999</v>
      </c>
      <c r="F40" s="7"/>
      <c r="G40" s="7"/>
      <c r="H40" s="8">
        <v>20</v>
      </c>
      <c r="I40" s="8" t="s">
        <v>14</v>
      </c>
      <c r="J40" s="7"/>
      <c r="K40" s="10">
        <v>9.17</v>
      </c>
    </row>
    <row r="41" spans="1:11" ht="15.75" customHeight="1">
      <c r="A41" s="8" t="s">
        <v>13</v>
      </c>
      <c r="B41" s="8">
        <v>246.2957193</v>
      </c>
      <c r="C41" s="8">
        <v>3.01</v>
      </c>
      <c r="D41" s="8"/>
      <c r="E41" s="8">
        <v>0.61899999999999999</v>
      </c>
      <c r="F41" s="7"/>
      <c r="G41" s="7"/>
      <c r="H41" s="8">
        <v>20</v>
      </c>
      <c r="I41" s="8" t="s">
        <v>14</v>
      </c>
      <c r="J41" s="7"/>
      <c r="K41" s="10">
        <v>9.9</v>
      </c>
    </row>
    <row r="42" spans="1:11" ht="15.75" customHeight="1">
      <c r="A42" s="8" t="s">
        <v>13</v>
      </c>
      <c r="B42" s="8">
        <v>488.37597119999998</v>
      </c>
      <c r="C42" s="8">
        <v>3.01</v>
      </c>
      <c r="D42" s="8"/>
      <c r="E42" s="8">
        <v>0.61899999999999999</v>
      </c>
      <c r="F42" s="7"/>
      <c r="G42" s="7"/>
      <c r="H42" s="8">
        <v>20</v>
      </c>
      <c r="I42" s="8" t="s">
        <v>14</v>
      </c>
      <c r="J42" s="7"/>
      <c r="K42" s="10">
        <v>11.43</v>
      </c>
    </row>
    <row r="43" spans="1:11" ht="15.75" customHeight="1">
      <c r="A43" s="8" t="s">
        <v>13</v>
      </c>
      <c r="B43" s="8">
        <v>21.956390219999999</v>
      </c>
      <c r="C43" s="8">
        <v>3.01</v>
      </c>
      <c r="D43" s="8"/>
      <c r="E43" s="8">
        <v>0.109</v>
      </c>
      <c r="F43" s="7"/>
      <c r="G43" s="7"/>
      <c r="H43" s="8">
        <v>20</v>
      </c>
      <c r="I43" s="8" t="s">
        <v>14</v>
      </c>
      <c r="J43" s="7"/>
      <c r="K43" s="10">
        <v>5.84</v>
      </c>
    </row>
    <row r="44" spans="1:11" ht="15.75" customHeight="1">
      <c r="A44" s="8" t="s">
        <v>13</v>
      </c>
      <c r="B44" s="8">
        <v>35.949928247999999</v>
      </c>
      <c r="C44" s="8">
        <v>3.01</v>
      </c>
      <c r="D44" s="8"/>
      <c r="E44" s="8">
        <v>0.109</v>
      </c>
      <c r="F44" s="7"/>
      <c r="G44" s="7"/>
      <c r="H44" s="8">
        <v>20</v>
      </c>
      <c r="I44" s="8" t="s">
        <v>14</v>
      </c>
      <c r="J44" s="7"/>
      <c r="K44" s="10">
        <v>6.09</v>
      </c>
    </row>
    <row r="45" spans="1:11" ht="15.75" customHeight="1">
      <c r="A45" s="8" t="s">
        <v>13</v>
      </c>
      <c r="B45" s="8">
        <v>60.00001752</v>
      </c>
      <c r="C45" s="8">
        <v>3.01</v>
      </c>
      <c r="D45" s="8"/>
      <c r="E45" s="8">
        <v>0.109</v>
      </c>
      <c r="F45" s="7"/>
      <c r="G45" s="7"/>
      <c r="H45" s="8">
        <v>20</v>
      </c>
      <c r="I45" s="8" t="s">
        <v>14</v>
      </c>
      <c r="J45" s="7"/>
      <c r="K45" s="10">
        <v>6.4</v>
      </c>
    </row>
    <row r="46" spans="1:11" ht="15.75" customHeight="1">
      <c r="A46" s="8" t="s">
        <v>13</v>
      </c>
      <c r="B46" s="8">
        <v>101.58784152</v>
      </c>
      <c r="C46" s="8">
        <v>3.01</v>
      </c>
      <c r="D46" s="8"/>
      <c r="E46" s="8">
        <v>0.109</v>
      </c>
      <c r="F46" s="7"/>
      <c r="G46" s="7"/>
      <c r="H46" s="8">
        <v>20</v>
      </c>
      <c r="I46" s="8" t="s">
        <v>14</v>
      </c>
      <c r="J46" s="7"/>
      <c r="K46" s="10">
        <v>6.92</v>
      </c>
    </row>
    <row r="47" spans="1:11" ht="15.75" customHeight="1">
      <c r="A47" s="8" t="s">
        <v>13</v>
      </c>
      <c r="B47" s="8">
        <v>163.17850079999999</v>
      </c>
      <c r="C47" s="8">
        <v>3.01</v>
      </c>
      <c r="D47" s="8"/>
      <c r="E47" s="8">
        <v>0.109</v>
      </c>
      <c r="F47" s="7"/>
      <c r="G47" s="7"/>
      <c r="H47" s="8">
        <v>20</v>
      </c>
      <c r="I47" s="8" t="s">
        <v>14</v>
      </c>
      <c r="J47" s="7"/>
      <c r="K47" s="10">
        <v>7.57</v>
      </c>
    </row>
    <row r="48" spans="1:11" ht="15.75" customHeight="1">
      <c r="A48" s="8" t="s">
        <v>13</v>
      </c>
      <c r="B48" s="8">
        <v>238.17927888</v>
      </c>
      <c r="C48" s="8">
        <v>3.01</v>
      </c>
      <c r="D48" s="8"/>
      <c r="E48" s="8">
        <v>0.109</v>
      </c>
      <c r="F48" s="7"/>
      <c r="G48" s="7"/>
      <c r="H48" s="8">
        <v>20</v>
      </c>
      <c r="I48" s="8" t="s">
        <v>14</v>
      </c>
      <c r="J48" s="7"/>
      <c r="K48" s="10">
        <v>8.14</v>
      </c>
    </row>
    <row r="49" spans="1:11" ht="15.75" customHeight="1">
      <c r="A49" s="8" t="s">
        <v>13</v>
      </c>
      <c r="B49" s="8">
        <v>472.28200709999999</v>
      </c>
      <c r="C49" s="8">
        <v>3.01</v>
      </c>
      <c r="D49" s="8"/>
      <c r="E49" s="8">
        <v>0.109</v>
      </c>
      <c r="F49" s="7"/>
      <c r="G49" s="7"/>
      <c r="H49" s="8">
        <v>20</v>
      </c>
      <c r="I49" s="8" t="s">
        <v>14</v>
      </c>
      <c r="J49" s="7"/>
      <c r="K49" s="10">
        <v>9.42</v>
      </c>
    </row>
    <row r="50" spans="1:11" ht="15.75" customHeight="1">
      <c r="A50" s="8" t="s">
        <v>13</v>
      </c>
      <c r="B50" s="8">
        <v>1.0669678469999999</v>
      </c>
      <c r="C50" s="8">
        <v>0.91500000000000004</v>
      </c>
      <c r="D50" s="8">
        <v>5.7000000000000002E-2</v>
      </c>
      <c r="E50" s="8"/>
      <c r="F50" s="7"/>
      <c r="G50" s="7"/>
      <c r="H50" s="8">
        <v>20</v>
      </c>
      <c r="I50" s="8" t="s">
        <v>14</v>
      </c>
      <c r="J50" s="7"/>
      <c r="K50" s="10">
        <v>3.36</v>
      </c>
    </row>
    <row r="51" spans="1:11" ht="15.75" customHeight="1">
      <c r="A51" s="8" t="s">
        <v>13</v>
      </c>
      <c r="B51" s="8">
        <v>1.2020900052000001</v>
      </c>
      <c r="C51" s="8">
        <v>0.91500000000000004</v>
      </c>
      <c r="D51" s="8">
        <v>5.7000000000000002E-2</v>
      </c>
      <c r="E51" s="8"/>
      <c r="F51" s="7"/>
      <c r="G51" s="7"/>
      <c r="H51" s="8">
        <v>20</v>
      </c>
      <c r="I51" s="8" t="s">
        <v>14</v>
      </c>
      <c r="J51" s="7"/>
      <c r="K51" s="10">
        <v>3.37</v>
      </c>
    </row>
    <row r="52" spans="1:11" ht="15.75" customHeight="1">
      <c r="A52" s="8" t="s">
        <v>13</v>
      </c>
      <c r="B52" s="8">
        <v>1.9933335798</v>
      </c>
      <c r="C52" s="8">
        <v>0.91500000000000004</v>
      </c>
      <c r="D52" s="8">
        <v>5.7000000000000002E-2</v>
      </c>
      <c r="E52" s="8"/>
      <c r="F52" s="7"/>
      <c r="G52" s="7"/>
      <c r="H52" s="8">
        <v>20</v>
      </c>
      <c r="I52" s="8" t="s">
        <v>14</v>
      </c>
      <c r="J52" s="7"/>
      <c r="K52" s="10">
        <v>3.43</v>
      </c>
    </row>
    <row r="53" spans="1:11" ht="15.75" customHeight="1">
      <c r="A53" s="8" t="s">
        <v>13</v>
      </c>
      <c r="B53" s="8">
        <v>3.1204893876000002</v>
      </c>
      <c r="C53" s="8">
        <v>0.91500000000000004</v>
      </c>
      <c r="D53" s="8">
        <v>5.7000000000000002E-2</v>
      </c>
      <c r="E53" s="8"/>
      <c r="F53" s="7"/>
      <c r="G53" s="7"/>
      <c r="H53" s="8">
        <v>20</v>
      </c>
      <c r="I53" s="8" t="s">
        <v>14</v>
      </c>
      <c r="J53" s="7"/>
      <c r="K53" s="10">
        <v>3.49</v>
      </c>
    </row>
    <row r="54" spans="1:11" ht="15.75" customHeight="1">
      <c r="A54" s="8" t="s">
        <v>13</v>
      </c>
      <c r="B54" s="8">
        <v>5.7820231152000003</v>
      </c>
      <c r="C54" s="8">
        <v>0.91500000000000004</v>
      </c>
      <c r="D54" s="8">
        <v>5.7000000000000002E-2</v>
      </c>
      <c r="E54" s="8"/>
      <c r="F54" s="7"/>
      <c r="G54" s="7"/>
      <c r="H54" s="8">
        <v>20</v>
      </c>
      <c r="I54" s="8" t="s">
        <v>14</v>
      </c>
      <c r="J54" s="7"/>
      <c r="K54" s="10">
        <v>3.55</v>
      </c>
    </row>
    <row r="55" spans="1:11" ht="15.75" customHeight="1">
      <c r="A55" s="8" t="s">
        <v>13</v>
      </c>
      <c r="B55" s="8">
        <v>7.7422222319999996</v>
      </c>
      <c r="C55" s="8">
        <v>0.91500000000000004</v>
      </c>
      <c r="D55" s="8">
        <v>5.7000000000000002E-2</v>
      </c>
      <c r="E55" s="8"/>
      <c r="F55" s="7"/>
      <c r="G55" s="7"/>
      <c r="H55" s="8">
        <v>20</v>
      </c>
      <c r="I55" s="8" t="s">
        <v>14</v>
      </c>
      <c r="J55" s="7"/>
      <c r="K55" s="10">
        <v>3.6</v>
      </c>
    </row>
    <row r="56" spans="1:11" ht="15.75" customHeight="1">
      <c r="A56" s="8" t="s">
        <v>13</v>
      </c>
      <c r="B56" s="13">
        <v>11.4893163</v>
      </c>
      <c r="C56" s="8">
        <v>0.91500000000000004</v>
      </c>
      <c r="D56" s="8">
        <v>5.7000000000000002E-2</v>
      </c>
      <c r="E56" s="8"/>
      <c r="F56" s="7"/>
      <c r="G56" s="7"/>
      <c r="H56" s="8">
        <v>20</v>
      </c>
      <c r="I56" s="8" t="s">
        <v>14</v>
      </c>
      <c r="J56" s="7"/>
      <c r="K56" s="10">
        <v>3.64</v>
      </c>
    </row>
    <row r="57" spans="1:11" ht="15.75" customHeight="1">
      <c r="A57" s="8" t="s">
        <v>13</v>
      </c>
      <c r="B57" s="8">
        <v>12.070430364</v>
      </c>
      <c r="C57" s="8">
        <v>0.91500000000000004</v>
      </c>
      <c r="D57" s="8">
        <v>5.7000000000000002E-2</v>
      </c>
      <c r="E57" s="8"/>
      <c r="F57" s="7"/>
      <c r="G57" s="7"/>
      <c r="H57" s="8">
        <v>20</v>
      </c>
      <c r="I57" s="8" t="s">
        <v>14</v>
      </c>
      <c r="J57" s="7"/>
      <c r="K57" s="10">
        <v>3.68</v>
      </c>
    </row>
    <row r="58" spans="1:11" ht="15.75" customHeight="1">
      <c r="A58" s="8" t="s">
        <v>13</v>
      </c>
      <c r="B58" s="8">
        <v>17.986096230000001</v>
      </c>
      <c r="C58" s="8">
        <v>0.91500000000000004</v>
      </c>
      <c r="D58" s="8">
        <v>5.7000000000000002E-2</v>
      </c>
      <c r="E58" s="8"/>
      <c r="F58" s="7"/>
      <c r="G58" s="7"/>
      <c r="H58" s="8">
        <v>20</v>
      </c>
      <c r="I58" s="8" t="s">
        <v>14</v>
      </c>
      <c r="J58" s="7"/>
      <c r="K58" s="10">
        <v>3.73</v>
      </c>
    </row>
    <row r="59" spans="1:11" ht="15.75" customHeight="1">
      <c r="A59" s="8" t="s">
        <v>13</v>
      </c>
      <c r="B59" s="8">
        <v>28.623498485999999</v>
      </c>
      <c r="C59" s="8">
        <v>0.91500000000000004</v>
      </c>
      <c r="D59" s="8">
        <v>5.7000000000000002E-2</v>
      </c>
      <c r="E59" s="8"/>
      <c r="F59" s="7"/>
      <c r="G59" s="7"/>
      <c r="H59" s="8">
        <v>20</v>
      </c>
      <c r="I59" s="8" t="s">
        <v>14</v>
      </c>
      <c r="J59" s="7"/>
      <c r="K59" s="10">
        <v>3.84</v>
      </c>
    </row>
    <row r="60" spans="1:11" ht="15.75" customHeight="1">
      <c r="A60" s="8" t="s">
        <v>13</v>
      </c>
      <c r="B60" s="8">
        <v>40.265840189999999</v>
      </c>
      <c r="C60" s="8">
        <v>0.91500000000000004</v>
      </c>
      <c r="D60" s="8">
        <v>5.7000000000000002E-2</v>
      </c>
      <c r="E60" s="8"/>
      <c r="F60" s="7"/>
      <c r="G60" s="7"/>
      <c r="H60" s="8">
        <v>20</v>
      </c>
      <c r="I60" s="8" t="s">
        <v>14</v>
      </c>
      <c r="J60" s="7"/>
      <c r="K60" s="10">
        <v>3.99</v>
      </c>
    </row>
    <row r="61" spans="1:11" ht="15.75" customHeight="1">
      <c r="A61" s="8" t="s">
        <v>13</v>
      </c>
      <c r="B61" s="8">
        <v>58.058448857999998</v>
      </c>
      <c r="C61" s="8">
        <v>0.91500000000000004</v>
      </c>
      <c r="D61" s="8">
        <v>5.7000000000000002E-2</v>
      </c>
      <c r="E61" s="8"/>
      <c r="F61" s="7"/>
      <c r="G61" s="7"/>
      <c r="H61" s="8">
        <v>20</v>
      </c>
      <c r="I61" s="8" t="s">
        <v>14</v>
      </c>
      <c r="J61" s="7"/>
      <c r="K61" s="10">
        <v>4.1399999999999997</v>
      </c>
    </row>
    <row r="62" spans="1:11" ht="15.75" customHeight="1">
      <c r="A62" s="8" t="s">
        <v>13</v>
      </c>
      <c r="B62" s="8">
        <v>7.981831068</v>
      </c>
      <c r="C62" s="8">
        <v>0.91500000000000004</v>
      </c>
      <c r="D62" s="8">
        <v>3.5000000000000003E-2</v>
      </c>
      <c r="E62" s="8"/>
      <c r="F62" s="7"/>
      <c r="G62" s="7"/>
      <c r="H62" s="8">
        <v>20</v>
      </c>
      <c r="I62" s="8" t="s">
        <v>14</v>
      </c>
      <c r="J62" s="7"/>
      <c r="K62" s="10">
        <v>3.9</v>
      </c>
    </row>
    <row r="63" spans="1:11" ht="15.75" customHeight="1">
      <c r="A63" s="8" t="s">
        <v>13</v>
      </c>
      <c r="B63" s="8">
        <v>13.421075009999999</v>
      </c>
      <c r="C63" s="8">
        <v>0.91500000000000004</v>
      </c>
      <c r="D63" s="8">
        <v>3.5000000000000003E-2</v>
      </c>
      <c r="E63" s="8"/>
      <c r="F63" s="7"/>
      <c r="G63" s="7"/>
      <c r="H63" s="8">
        <v>20</v>
      </c>
      <c r="I63" s="8" t="s">
        <v>14</v>
      </c>
      <c r="J63" s="7"/>
      <c r="K63" s="10">
        <v>4</v>
      </c>
    </row>
    <row r="64" spans="1:11" ht="15.75" customHeight="1">
      <c r="A64" s="8" t="s">
        <v>13</v>
      </c>
      <c r="B64" s="8">
        <v>21.148257539999999</v>
      </c>
      <c r="C64" s="8">
        <v>0.91500000000000004</v>
      </c>
      <c r="D64" s="8">
        <v>3.5000000000000003E-2</v>
      </c>
      <c r="E64" s="8"/>
      <c r="F64" s="7"/>
      <c r="G64" s="7"/>
      <c r="H64" s="8">
        <v>20</v>
      </c>
      <c r="I64" s="8" t="s">
        <v>14</v>
      </c>
      <c r="J64" s="7"/>
      <c r="K64" s="10">
        <v>4.0999999999999996</v>
      </c>
    </row>
    <row r="65" spans="1:11" ht="15.75" customHeight="1">
      <c r="A65" s="8" t="s">
        <v>13</v>
      </c>
      <c r="B65" s="8">
        <v>29.091277806000001</v>
      </c>
      <c r="C65" s="8">
        <v>0.91500000000000004</v>
      </c>
      <c r="D65" s="8">
        <v>3.5000000000000003E-2</v>
      </c>
      <c r="E65" s="8"/>
      <c r="F65" s="7"/>
      <c r="G65" s="7"/>
      <c r="H65" s="8">
        <v>20</v>
      </c>
      <c r="I65" s="8" t="s">
        <v>14</v>
      </c>
      <c r="J65" s="7"/>
      <c r="K65" s="10">
        <v>4.21</v>
      </c>
    </row>
    <row r="66" spans="1:11" ht="15.75" customHeight="1">
      <c r="A66" s="8" t="s">
        <v>13</v>
      </c>
      <c r="B66" s="8">
        <v>33.494475287999997</v>
      </c>
      <c r="C66" s="8">
        <v>0.91500000000000004</v>
      </c>
      <c r="D66" s="8">
        <v>3.5000000000000003E-2</v>
      </c>
      <c r="E66" s="8"/>
      <c r="F66" s="7"/>
      <c r="G66" s="7"/>
      <c r="H66" s="8">
        <v>20</v>
      </c>
      <c r="I66" s="8" t="s">
        <v>14</v>
      </c>
      <c r="J66" s="7"/>
      <c r="K66" s="10">
        <v>4.26</v>
      </c>
    </row>
    <row r="67" spans="1:11" ht="15.75" customHeight="1">
      <c r="A67" s="8" t="s">
        <v>13</v>
      </c>
      <c r="B67" s="8">
        <v>38.847379392000001</v>
      </c>
      <c r="C67" s="8">
        <v>0.91500000000000004</v>
      </c>
      <c r="D67" s="8">
        <v>3.5000000000000003E-2</v>
      </c>
      <c r="E67" s="8"/>
      <c r="F67" s="7"/>
      <c r="G67" s="7"/>
      <c r="H67" s="8">
        <v>20</v>
      </c>
      <c r="I67" s="8" t="s">
        <v>14</v>
      </c>
      <c r="J67" s="7"/>
      <c r="K67" s="10">
        <v>4.34</v>
      </c>
    </row>
    <row r="68" spans="1:11" ht="15.75" customHeight="1">
      <c r="A68" s="8" t="s">
        <v>13</v>
      </c>
      <c r="B68" s="8">
        <v>40.919472317999997</v>
      </c>
      <c r="C68" s="8">
        <v>0.91500000000000004</v>
      </c>
      <c r="D68" s="8">
        <v>3.5000000000000003E-2</v>
      </c>
      <c r="E68" s="8"/>
      <c r="F68" s="7"/>
      <c r="G68" s="7"/>
      <c r="H68" s="8">
        <v>20</v>
      </c>
      <c r="I68" s="8" t="s">
        <v>14</v>
      </c>
      <c r="J68" s="7"/>
      <c r="K68" s="10">
        <v>4.41</v>
      </c>
    </row>
    <row r="69" spans="1:11" ht="15.75" customHeight="1">
      <c r="A69" s="8" t="s">
        <v>13</v>
      </c>
      <c r="B69" s="8">
        <v>46.531395947999997</v>
      </c>
      <c r="C69" s="8">
        <v>0.91500000000000004</v>
      </c>
      <c r="D69" s="8">
        <v>3.5000000000000003E-2</v>
      </c>
      <c r="E69" s="8"/>
      <c r="F69" s="7"/>
      <c r="G69" s="7"/>
      <c r="H69" s="8">
        <v>20</v>
      </c>
      <c r="I69" s="8" t="s">
        <v>14</v>
      </c>
      <c r="J69" s="7"/>
      <c r="K69" s="10">
        <v>4.5199999999999996</v>
      </c>
    </row>
    <row r="70" spans="1:11" ht="15.75" customHeight="1">
      <c r="A70" s="8" t="s">
        <v>13</v>
      </c>
      <c r="B70" s="8">
        <v>49.553195502000001</v>
      </c>
      <c r="C70" s="8">
        <v>0.91500000000000004</v>
      </c>
      <c r="D70" s="8">
        <v>3.5000000000000003E-2</v>
      </c>
      <c r="E70" s="8"/>
      <c r="F70" s="7"/>
      <c r="G70" s="7"/>
      <c r="H70" s="8">
        <v>20</v>
      </c>
      <c r="I70" s="8" t="s">
        <v>14</v>
      </c>
      <c r="J70" s="7"/>
      <c r="K70" s="10">
        <v>4.5999999999999996</v>
      </c>
    </row>
    <row r="71" spans="1:11" ht="15.75" customHeight="1">
      <c r="A71" s="8" t="s">
        <v>13</v>
      </c>
      <c r="B71" s="8">
        <v>54.431250245999998</v>
      </c>
      <c r="C71" s="8">
        <v>0.91500000000000004</v>
      </c>
      <c r="D71" s="8">
        <v>3.5000000000000003E-2</v>
      </c>
      <c r="E71" s="8"/>
      <c r="F71" s="7"/>
      <c r="G71" s="7"/>
      <c r="H71" s="8">
        <v>20</v>
      </c>
      <c r="I71" s="8" t="s">
        <v>14</v>
      </c>
      <c r="J71" s="7"/>
      <c r="K71" s="10">
        <v>4.74</v>
      </c>
    </row>
    <row r="72" spans="1:11" ht="15.75" customHeight="1">
      <c r="A72" s="8" t="s">
        <v>13</v>
      </c>
      <c r="B72" s="8">
        <v>3.9167537513999999</v>
      </c>
      <c r="C72" s="8">
        <v>0.91500000000000004</v>
      </c>
      <c r="D72" s="8">
        <v>3.5000000000000003E-2</v>
      </c>
      <c r="E72" s="8"/>
      <c r="F72" s="7"/>
      <c r="G72" s="7"/>
      <c r="H72" s="8">
        <v>20</v>
      </c>
      <c r="I72" s="8" t="s">
        <v>14</v>
      </c>
      <c r="J72" s="7"/>
      <c r="K72" s="10">
        <v>3.13</v>
      </c>
    </row>
    <row r="73" spans="1:11" ht="15.75" customHeight="1">
      <c r="A73" s="8" t="s">
        <v>13</v>
      </c>
      <c r="B73" s="8">
        <v>6.2858590679999997</v>
      </c>
      <c r="C73" s="8">
        <v>0.91500000000000004</v>
      </c>
      <c r="D73" s="8">
        <v>3.5000000000000003E-2</v>
      </c>
      <c r="E73" s="8"/>
      <c r="F73" s="7"/>
      <c r="G73" s="7"/>
      <c r="H73" s="8">
        <v>20</v>
      </c>
      <c r="I73" s="8" t="s">
        <v>14</v>
      </c>
      <c r="J73" s="7"/>
      <c r="K73" s="10">
        <v>3.2</v>
      </c>
    </row>
    <row r="74" spans="1:11" ht="15.75" customHeight="1">
      <c r="A74" s="8" t="s">
        <v>13</v>
      </c>
      <c r="B74" s="8">
        <v>10.4641053</v>
      </c>
      <c r="C74" s="8">
        <v>0.91500000000000004</v>
      </c>
      <c r="D74" s="8">
        <v>3.5000000000000003E-2</v>
      </c>
      <c r="E74" s="8"/>
      <c r="F74" s="7"/>
      <c r="G74" s="7"/>
      <c r="H74" s="8">
        <v>20</v>
      </c>
      <c r="I74" s="8" t="s">
        <v>14</v>
      </c>
      <c r="J74" s="7"/>
      <c r="K74" s="10">
        <v>3.3</v>
      </c>
    </row>
    <row r="75" spans="1:11" ht="15.75" customHeight="1">
      <c r="A75" s="8" t="s">
        <v>13</v>
      </c>
      <c r="B75" s="8">
        <v>14.513127468</v>
      </c>
      <c r="C75" s="8">
        <v>0.91500000000000004</v>
      </c>
      <c r="D75" s="8">
        <v>3.5000000000000003E-2</v>
      </c>
      <c r="E75" s="8"/>
      <c r="F75" s="7"/>
      <c r="G75" s="7"/>
      <c r="H75" s="8">
        <v>20</v>
      </c>
      <c r="I75" s="8" t="s">
        <v>14</v>
      </c>
      <c r="J75" s="7"/>
      <c r="K75" s="10">
        <v>3.42</v>
      </c>
    </row>
    <row r="76" spans="1:11" ht="15.75" customHeight="1">
      <c r="A76" s="8" t="s">
        <v>13</v>
      </c>
      <c r="B76" s="8">
        <v>15.848440224000001</v>
      </c>
      <c r="C76" s="8">
        <v>0.91500000000000004</v>
      </c>
      <c r="D76" s="8">
        <v>3.5000000000000003E-2</v>
      </c>
      <c r="E76" s="8"/>
      <c r="F76" s="7"/>
      <c r="G76" s="7"/>
      <c r="H76" s="8">
        <v>20</v>
      </c>
      <c r="I76" s="8" t="s">
        <v>14</v>
      </c>
      <c r="J76" s="7"/>
      <c r="K76" s="10">
        <v>3.43</v>
      </c>
    </row>
    <row r="77" spans="1:11" ht="15.75" customHeight="1">
      <c r="A77" s="8" t="s">
        <v>13</v>
      </c>
      <c r="B77" s="8">
        <v>21.318931098</v>
      </c>
      <c r="C77" s="8">
        <v>0.91500000000000004</v>
      </c>
      <c r="D77" s="8">
        <v>3.5000000000000003E-2</v>
      </c>
      <c r="E77" s="8"/>
      <c r="F77" s="7"/>
      <c r="G77" s="7"/>
      <c r="H77" s="8">
        <v>20</v>
      </c>
      <c r="I77" s="8" t="s">
        <v>14</v>
      </c>
      <c r="J77" s="7"/>
      <c r="K77" s="10">
        <v>3.6</v>
      </c>
    </row>
    <row r="78" spans="1:11" ht="15.75" customHeight="1">
      <c r="A78" s="8" t="s">
        <v>13</v>
      </c>
      <c r="B78" s="8">
        <v>26.186365800000001</v>
      </c>
      <c r="C78" s="8">
        <v>0.91500000000000004</v>
      </c>
      <c r="D78" s="8">
        <v>3.5000000000000003E-2</v>
      </c>
      <c r="E78" s="8"/>
      <c r="F78" s="7"/>
      <c r="G78" s="7"/>
      <c r="H78" s="8">
        <v>20</v>
      </c>
      <c r="I78" s="8" t="s">
        <v>14</v>
      </c>
      <c r="J78" s="7"/>
      <c r="K78" s="10">
        <v>3.69</v>
      </c>
    </row>
    <row r="79" spans="1:11" ht="15.75" customHeight="1">
      <c r="A79" s="8" t="s">
        <v>13</v>
      </c>
      <c r="B79" s="8">
        <v>31.139960393999999</v>
      </c>
      <c r="C79" s="8">
        <v>0.91500000000000004</v>
      </c>
      <c r="D79" s="8">
        <v>3.5000000000000003E-2</v>
      </c>
      <c r="E79" s="8"/>
      <c r="F79" s="7"/>
      <c r="G79" s="7"/>
      <c r="H79" s="8">
        <v>20</v>
      </c>
      <c r="I79" s="8" t="s">
        <v>14</v>
      </c>
      <c r="J79" s="7"/>
      <c r="K79" s="10">
        <v>3.77</v>
      </c>
    </row>
    <row r="80" spans="1:11" ht="15.75" customHeight="1">
      <c r="A80" s="8" t="s">
        <v>13</v>
      </c>
      <c r="B80" s="8">
        <v>33.379841640000002</v>
      </c>
      <c r="C80" s="8">
        <v>0.91500000000000004</v>
      </c>
      <c r="D80" s="8">
        <v>3.5000000000000003E-2</v>
      </c>
      <c r="E80" s="8"/>
      <c r="F80" s="7"/>
      <c r="G80" s="7"/>
      <c r="H80" s="8">
        <v>20</v>
      </c>
      <c r="I80" s="8" t="s">
        <v>14</v>
      </c>
      <c r="J80" s="7"/>
      <c r="K80" s="10">
        <v>3.9</v>
      </c>
    </row>
    <row r="81" spans="1:11" ht="15.75" customHeight="1">
      <c r="A81" s="8" t="s">
        <v>13</v>
      </c>
      <c r="B81" s="8">
        <v>37.94575614</v>
      </c>
      <c r="C81" s="8">
        <v>0.91500000000000004</v>
      </c>
      <c r="D81" s="8">
        <v>3.5000000000000003E-2</v>
      </c>
      <c r="E81" s="8"/>
      <c r="F81" s="7"/>
      <c r="G81" s="7"/>
      <c r="H81" s="8">
        <v>20</v>
      </c>
      <c r="I81" s="8" t="s">
        <v>14</v>
      </c>
      <c r="J81" s="7"/>
      <c r="K81" s="10">
        <v>3.94</v>
      </c>
    </row>
    <row r="82" spans="1:11" ht="15.75" customHeight="1">
      <c r="A82" s="8" t="s">
        <v>13</v>
      </c>
      <c r="B82" s="8">
        <v>40.573317486000001</v>
      </c>
      <c r="C82" s="8">
        <v>0.91500000000000004</v>
      </c>
      <c r="D82" s="8">
        <v>3.5000000000000003E-2</v>
      </c>
      <c r="E82" s="8"/>
      <c r="F82" s="7"/>
      <c r="G82" s="7"/>
      <c r="H82" s="8">
        <v>20</v>
      </c>
      <c r="I82" s="8" t="s">
        <v>14</v>
      </c>
      <c r="J82" s="7"/>
      <c r="K82" s="10">
        <v>4</v>
      </c>
    </row>
    <row r="83" spans="1:11" ht="15.75" customHeight="1">
      <c r="A83" s="8" t="s">
        <v>13</v>
      </c>
      <c r="B83" s="8">
        <v>45.742280274000002</v>
      </c>
      <c r="C83" s="8">
        <v>0.91500000000000004</v>
      </c>
      <c r="D83" s="8">
        <v>3.5000000000000003E-2</v>
      </c>
      <c r="E83" s="8"/>
      <c r="F83" s="7"/>
      <c r="G83" s="7"/>
      <c r="H83" s="8">
        <v>20</v>
      </c>
      <c r="I83" s="8" t="s">
        <v>14</v>
      </c>
      <c r="J83" s="7"/>
      <c r="K83" s="10">
        <v>4.2</v>
      </c>
    </row>
    <row r="84" spans="1:11" ht="15.75" customHeight="1">
      <c r="A84" s="8" t="s">
        <v>13</v>
      </c>
      <c r="B84" s="8">
        <v>50.351266836000001</v>
      </c>
      <c r="C84" s="8">
        <v>0.91500000000000004</v>
      </c>
      <c r="D84" s="8">
        <v>3.5000000000000003E-2</v>
      </c>
      <c r="E84" s="8"/>
      <c r="F84" s="7"/>
      <c r="G84" s="7"/>
      <c r="H84" s="8">
        <v>20</v>
      </c>
      <c r="I84" s="8" t="s">
        <v>14</v>
      </c>
      <c r="J84" s="7"/>
      <c r="K84" s="10">
        <v>4.38</v>
      </c>
    </row>
    <row r="85" spans="1:11" ht="15.75" customHeight="1">
      <c r="A85" s="8" t="s">
        <v>13</v>
      </c>
      <c r="B85" s="8">
        <v>4.3673344289999996</v>
      </c>
      <c r="C85" s="8">
        <v>0.91500000000000004</v>
      </c>
      <c r="D85" s="8">
        <v>5.7000000000000002E-2</v>
      </c>
      <c r="E85" s="8"/>
      <c r="F85" s="7"/>
      <c r="G85" s="7"/>
      <c r="H85" s="8">
        <v>20</v>
      </c>
      <c r="I85" s="8" t="s">
        <v>14</v>
      </c>
      <c r="J85" s="7"/>
      <c r="K85" s="10">
        <v>5.23</v>
      </c>
    </row>
    <row r="86" spans="1:11" ht="15.75" customHeight="1">
      <c r="A86" s="8" t="s">
        <v>13</v>
      </c>
      <c r="B86" s="8">
        <v>8.4443079300000008</v>
      </c>
      <c r="C86" s="8">
        <v>0.91500000000000004</v>
      </c>
      <c r="D86" s="8">
        <v>5.7000000000000002E-2</v>
      </c>
      <c r="E86" s="8"/>
      <c r="F86" s="7"/>
      <c r="G86" s="7"/>
      <c r="H86" s="8">
        <v>20</v>
      </c>
      <c r="I86" s="8" t="s">
        <v>14</v>
      </c>
      <c r="J86" s="7"/>
      <c r="K86" s="10">
        <v>5.18</v>
      </c>
    </row>
    <row r="87" spans="1:11" ht="15.75" customHeight="1">
      <c r="A87" s="8" t="s">
        <v>13</v>
      </c>
      <c r="B87" s="8">
        <v>12.211647084000001</v>
      </c>
      <c r="C87" s="8">
        <v>0.91500000000000004</v>
      </c>
      <c r="D87" s="8">
        <v>5.7000000000000002E-2</v>
      </c>
      <c r="E87" s="8"/>
      <c r="F87" s="7"/>
      <c r="G87" s="7"/>
      <c r="H87" s="8">
        <v>20</v>
      </c>
      <c r="I87" s="8" t="s">
        <v>14</v>
      </c>
      <c r="J87" s="7"/>
      <c r="K87" s="10">
        <v>5.17</v>
      </c>
    </row>
    <row r="88" spans="1:11" ht="15.75" customHeight="1">
      <c r="A88" s="8" t="s">
        <v>13</v>
      </c>
      <c r="B88" s="8">
        <v>17.578799916000001</v>
      </c>
      <c r="C88" s="8">
        <v>0.91500000000000004</v>
      </c>
      <c r="D88" s="8">
        <v>5.7000000000000002E-2</v>
      </c>
      <c r="E88" s="8"/>
      <c r="F88" s="7"/>
      <c r="G88" s="7"/>
      <c r="H88" s="8">
        <v>20</v>
      </c>
      <c r="I88" s="8" t="s">
        <v>14</v>
      </c>
      <c r="J88" s="7"/>
      <c r="K88" s="10">
        <v>5.15</v>
      </c>
    </row>
    <row r="89" spans="1:11" ht="15.75" customHeight="1">
      <c r="A89" s="8" t="s">
        <v>13</v>
      </c>
      <c r="B89" s="8">
        <v>21.604169268</v>
      </c>
      <c r="C89" s="8">
        <v>0.91500000000000004</v>
      </c>
      <c r="D89" s="8">
        <v>5.7000000000000002E-2</v>
      </c>
      <c r="E89" s="8"/>
      <c r="F89" s="7"/>
      <c r="G89" s="7"/>
      <c r="H89" s="8">
        <v>20</v>
      </c>
      <c r="I89" s="8" t="s">
        <v>14</v>
      </c>
      <c r="J89" s="7"/>
      <c r="K89" s="10">
        <v>5.1100000000000003</v>
      </c>
    </row>
    <row r="90" spans="1:11" ht="15.75" customHeight="1">
      <c r="A90" s="8" t="s">
        <v>13</v>
      </c>
      <c r="B90" s="8">
        <v>28.467946386000001</v>
      </c>
      <c r="C90" s="8">
        <v>0.91500000000000004</v>
      </c>
      <c r="D90" s="8">
        <v>5.7000000000000002E-2</v>
      </c>
      <c r="E90" s="8"/>
      <c r="F90" s="7"/>
      <c r="G90" s="7"/>
      <c r="H90" s="8">
        <v>20</v>
      </c>
      <c r="I90" s="8" t="s">
        <v>14</v>
      </c>
      <c r="J90" s="7"/>
      <c r="K90" s="10">
        <v>5.08</v>
      </c>
    </row>
    <row r="91" spans="1:11" ht="15.75" customHeight="1">
      <c r="A91" s="8" t="s">
        <v>13</v>
      </c>
      <c r="B91" s="8">
        <v>31.667592647999999</v>
      </c>
      <c r="C91" s="8">
        <v>0.91500000000000004</v>
      </c>
      <c r="D91" s="8">
        <v>5.7000000000000002E-2</v>
      </c>
      <c r="E91" s="8"/>
      <c r="F91" s="7"/>
      <c r="G91" s="7"/>
      <c r="H91" s="8">
        <v>20</v>
      </c>
      <c r="I91" s="8" t="s">
        <v>14</v>
      </c>
      <c r="J91" s="7"/>
      <c r="K91" s="10">
        <v>5.05</v>
      </c>
    </row>
    <row r="92" spans="1:11" ht="15.75" customHeight="1">
      <c r="A92" s="8" t="s">
        <v>13</v>
      </c>
      <c r="B92" s="8">
        <v>35.899397495999999</v>
      </c>
      <c r="C92" s="8">
        <v>0.91500000000000004</v>
      </c>
      <c r="D92" s="8">
        <v>5.7000000000000002E-2</v>
      </c>
      <c r="E92" s="8"/>
      <c r="F92" s="7"/>
      <c r="G92" s="7"/>
      <c r="H92" s="8">
        <v>20</v>
      </c>
      <c r="I92" s="8" t="s">
        <v>14</v>
      </c>
      <c r="J92" s="7"/>
      <c r="K92" s="10">
        <v>5.03</v>
      </c>
    </row>
    <row r="93" spans="1:11" ht="15.75" customHeight="1">
      <c r="A93" s="8" t="s">
        <v>13</v>
      </c>
      <c r="B93" s="8">
        <v>39.202261505999999</v>
      </c>
      <c r="C93" s="8">
        <v>0.91500000000000004</v>
      </c>
      <c r="D93" s="8">
        <v>5.7000000000000002E-2</v>
      </c>
      <c r="E93" s="8"/>
      <c r="F93" s="7"/>
      <c r="G93" s="7"/>
      <c r="H93" s="8">
        <v>20</v>
      </c>
      <c r="I93" s="8" t="s">
        <v>14</v>
      </c>
      <c r="J93" s="7"/>
      <c r="K93" s="10">
        <v>5.01</v>
      </c>
    </row>
    <row r="94" spans="1:11" ht="15.75" customHeight="1">
      <c r="A94" s="8" t="s">
        <v>13</v>
      </c>
      <c r="B94" s="8">
        <v>43.485670499999998</v>
      </c>
      <c r="C94" s="8">
        <v>0.91500000000000004</v>
      </c>
      <c r="D94" s="8">
        <v>5.7000000000000002E-2</v>
      </c>
      <c r="E94" s="8"/>
      <c r="F94" s="7"/>
      <c r="G94" s="7"/>
      <c r="H94" s="8">
        <v>20</v>
      </c>
      <c r="I94" s="8" t="s">
        <v>14</v>
      </c>
      <c r="J94" s="7"/>
      <c r="K94" s="10">
        <v>4.9400000000000004</v>
      </c>
    </row>
    <row r="95" spans="1:11" ht="15.75" customHeight="1">
      <c r="A95" s="8" t="s">
        <v>13</v>
      </c>
      <c r="B95" s="8">
        <v>46.840138662000001</v>
      </c>
      <c r="C95" s="8">
        <v>0.91500000000000004</v>
      </c>
      <c r="D95" s="8">
        <v>5.7000000000000002E-2</v>
      </c>
      <c r="E95" s="8"/>
      <c r="F95" s="7"/>
      <c r="G95" s="7"/>
      <c r="H95" s="8">
        <v>20</v>
      </c>
      <c r="I95" s="8" t="s">
        <v>14</v>
      </c>
      <c r="J95" s="7"/>
      <c r="K95" s="10">
        <v>4.9000000000000004</v>
      </c>
    </row>
    <row r="96" spans="1:11" ht="15.75" customHeight="1">
      <c r="A96" s="8" t="s">
        <v>13</v>
      </c>
      <c r="B96" s="8">
        <v>50.504260068000001</v>
      </c>
      <c r="C96" s="8">
        <v>0.91500000000000004</v>
      </c>
      <c r="D96" s="8">
        <v>5.7000000000000002E-2</v>
      </c>
      <c r="E96" s="8"/>
      <c r="F96" s="7"/>
      <c r="G96" s="7"/>
      <c r="H96" s="8">
        <v>20</v>
      </c>
      <c r="I96" s="8" t="s">
        <v>14</v>
      </c>
      <c r="J96" s="7"/>
      <c r="K96" s="10">
        <v>4.83</v>
      </c>
    </row>
    <row r="97" spans="1:11" ht="15.75" customHeight="1">
      <c r="A97" s="8" t="s">
        <v>13</v>
      </c>
      <c r="B97" s="8">
        <v>54.632847167999998</v>
      </c>
      <c r="C97" s="8">
        <v>0.91500000000000004</v>
      </c>
      <c r="D97" s="8">
        <v>5.7000000000000002E-2</v>
      </c>
      <c r="E97" s="8"/>
      <c r="F97" s="7"/>
      <c r="G97" s="7"/>
      <c r="H97" s="8">
        <v>20</v>
      </c>
      <c r="I97" s="8" t="s">
        <v>14</v>
      </c>
      <c r="J97" s="7"/>
      <c r="K97" s="10">
        <v>4.7</v>
      </c>
    </row>
    <row r="98" spans="1:11" ht="15.75" customHeight="1">
      <c r="A98" s="8" t="s">
        <v>13</v>
      </c>
      <c r="B98" s="8">
        <v>58.709820665999999</v>
      </c>
      <c r="C98" s="8">
        <v>0.91500000000000004</v>
      </c>
      <c r="D98" s="8">
        <v>5.7000000000000002E-2</v>
      </c>
      <c r="E98" s="8"/>
      <c r="F98" s="7"/>
      <c r="G98" s="7"/>
      <c r="H98" s="8">
        <v>20</v>
      </c>
      <c r="I98" s="8" t="s">
        <v>14</v>
      </c>
      <c r="J98" s="7"/>
      <c r="K98" s="10">
        <v>4.57</v>
      </c>
    </row>
    <row r="99" spans="1:11" ht="15.75" customHeight="1">
      <c r="A99" s="8" t="s">
        <v>13</v>
      </c>
      <c r="B99" s="8">
        <v>62.012684700000001</v>
      </c>
      <c r="C99" s="8">
        <v>0.91500000000000004</v>
      </c>
      <c r="D99" s="8">
        <v>5.7000000000000002E-2</v>
      </c>
      <c r="E99" s="8"/>
      <c r="F99" s="7"/>
      <c r="G99" s="7"/>
      <c r="H99" s="8">
        <v>20</v>
      </c>
      <c r="I99" s="8" t="s">
        <v>14</v>
      </c>
      <c r="J99" s="7"/>
      <c r="K99" s="10">
        <v>4.4800000000000004</v>
      </c>
    </row>
    <row r="100" spans="1:11" ht="15.75" customHeight="1">
      <c r="A100" s="8" t="s">
        <v>13</v>
      </c>
      <c r="B100" s="8">
        <v>64.386626759999999</v>
      </c>
      <c r="C100" s="8">
        <v>0.91500000000000004</v>
      </c>
      <c r="D100" s="8">
        <v>5.7000000000000002E-2</v>
      </c>
      <c r="E100" s="8"/>
      <c r="F100" s="7"/>
      <c r="G100" s="7"/>
      <c r="H100" s="8">
        <v>20</v>
      </c>
      <c r="I100" s="8" t="s">
        <v>14</v>
      </c>
      <c r="J100" s="7"/>
      <c r="K100" s="10">
        <v>4.41</v>
      </c>
    </row>
    <row r="101" spans="1:11" ht="15.75" customHeight="1">
      <c r="A101" s="8" t="s">
        <v>15</v>
      </c>
      <c r="B101" s="7">
        <v>30</v>
      </c>
      <c r="C101" s="15">
        <v>0.66800000000000004</v>
      </c>
      <c r="D101" s="7">
        <v>7.2700000000000001E-2</v>
      </c>
      <c r="E101" s="7"/>
      <c r="F101" s="7">
        <v>1000</v>
      </c>
      <c r="G101" s="7"/>
      <c r="H101" s="8">
        <v>25</v>
      </c>
      <c r="I101" s="16" t="s">
        <v>12</v>
      </c>
      <c r="J101" s="7"/>
      <c r="K101" s="10">
        <v>3.9916140000000002</v>
      </c>
    </row>
    <row r="102" spans="1:11" ht="15.75" customHeight="1">
      <c r="A102" s="8" t="s">
        <v>15</v>
      </c>
      <c r="B102" s="7">
        <v>60</v>
      </c>
      <c r="C102" s="15">
        <v>0.66800000000000004</v>
      </c>
      <c r="D102" s="7">
        <v>7.2700000000000001E-2</v>
      </c>
      <c r="E102" s="7"/>
      <c r="F102" s="7">
        <v>1000</v>
      </c>
      <c r="G102" s="7"/>
      <c r="H102" s="8">
        <v>25</v>
      </c>
      <c r="I102" s="16" t="s">
        <v>12</v>
      </c>
      <c r="J102" s="7"/>
      <c r="K102" s="10">
        <v>4.51213569</v>
      </c>
    </row>
    <row r="103" spans="1:11" ht="15.75" customHeight="1">
      <c r="A103" s="8" t="s">
        <v>15</v>
      </c>
      <c r="B103" s="7">
        <v>90</v>
      </c>
      <c r="C103" s="15">
        <v>0.66800000000000004</v>
      </c>
      <c r="D103" s="7">
        <v>7.2700000000000001E-2</v>
      </c>
      <c r="E103" s="7"/>
      <c r="F103" s="7">
        <v>1000</v>
      </c>
      <c r="G103" s="7"/>
      <c r="H103" s="8">
        <v>25</v>
      </c>
      <c r="I103" s="16" t="s">
        <v>12</v>
      </c>
      <c r="J103" s="7"/>
      <c r="K103" s="10">
        <v>4.9420388099999997</v>
      </c>
    </row>
    <row r="104" spans="1:11" ht="15.75" customHeight="1">
      <c r="A104" s="8" t="s">
        <v>15</v>
      </c>
      <c r="B104" s="7">
        <v>120</v>
      </c>
      <c r="C104" s="15">
        <v>0.66800000000000004</v>
      </c>
      <c r="D104" s="7">
        <v>7.2700000000000001E-2</v>
      </c>
      <c r="E104" s="7"/>
      <c r="F104" s="7">
        <v>1000</v>
      </c>
      <c r="G104" s="7"/>
      <c r="H104" s="8">
        <v>25</v>
      </c>
      <c r="I104" s="16" t="s">
        <v>12</v>
      </c>
      <c r="J104" s="7"/>
      <c r="K104" s="10">
        <v>5.32140272</v>
      </c>
    </row>
    <row r="105" spans="1:11" ht="15.75" customHeight="1">
      <c r="A105" s="8" t="s">
        <v>15</v>
      </c>
      <c r="B105" s="7">
        <v>150</v>
      </c>
      <c r="C105" s="15">
        <v>0.66800000000000004</v>
      </c>
      <c r="D105" s="7">
        <v>7.2700000000000001E-2</v>
      </c>
      <c r="E105" s="7"/>
      <c r="F105" s="7">
        <v>1000</v>
      </c>
      <c r="G105" s="7"/>
      <c r="H105" s="8">
        <v>25</v>
      </c>
      <c r="I105" s="16" t="s">
        <v>12</v>
      </c>
      <c r="J105" s="7"/>
      <c r="K105" s="10">
        <v>5.66516777</v>
      </c>
    </row>
    <row r="106" spans="1:11" ht="15.75" customHeight="1">
      <c r="A106" s="8" t="s">
        <v>15</v>
      </c>
      <c r="B106" s="7">
        <v>30</v>
      </c>
      <c r="C106" s="15">
        <v>0.66800000000000004</v>
      </c>
      <c r="D106" s="7">
        <v>2.7099999999999999E-2</v>
      </c>
      <c r="E106" s="7"/>
      <c r="F106" s="7">
        <v>810</v>
      </c>
      <c r="G106" s="7"/>
      <c r="H106" s="8">
        <v>25</v>
      </c>
      <c r="I106" s="16" t="s">
        <v>12</v>
      </c>
      <c r="J106" s="7"/>
      <c r="K106" s="10">
        <v>3.4499537999999998</v>
      </c>
    </row>
    <row r="107" spans="1:11" ht="15.75" customHeight="1">
      <c r="A107" s="8" t="s">
        <v>15</v>
      </c>
      <c r="B107" s="7">
        <v>60</v>
      </c>
      <c r="C107" s="15">
        <v>0.66800000000000004</v>
      </c>
      <c r="D107" s="7">
        <v>2.7099999999999999E-2</v>
      </c>
      <c r="E107" s="7"/>
      <c r="F107" s="7">
        <v>810</v>
      </c>
      <c r="G107" s="7"/>
      <c r="H107" s="8">
        <v>25</v>
      </c>
      <c r="I107" s="16" t="s">
        <v>12</v>
      </c>
      <c r="J107" s="7"/>
      <c r="K107" s="10">
        <v>4.0584151799999999</v>
      </c>
    </row>
    <row r="108" spans="1:11" ht="15.75" customHeight="1">
      <c r="A108" s="8" t="s">
        <v>15</v>
      </c>
      <c r="B108" s="7">
        <v>300</v>
      </c>
      <c r="C108" s="15">
        <v>4</v>
      </c>
      <c r="D108" s="7">
        <v>7.2700000000000001E-2</v>
      </c>
      <c r="E108" s="7"/>
      <c r="F108" s="7">
        <v>1000</v>
      </c>
      <c r="G108" s="7"/>
      <c r="H108" s="8">
        <v>25</v>
      </c>
      <c r="I108" s="16" t="s">
        <v>12</v>
      </c>
      <c r="J108" s="7"/>
      <c r="K108" s="10">
        <v>8.4023533799999992</v>
      </c>
    </row>
    <row r="109" spans="1:11" ht="15.75" customHeight="1">
      <c r="A109" s="8" t="s">
        <v>15</v>
      </c>
      <c r="B109" s="7">
        <v>600</v>
      </c>
      <c r="C109" s="15">
        <v>4</v>
      </c>
      <c r="D109" s="7">
        <v>7.2700000000000001E-2</v>
      </c>
      <c r="E109" s="7"/>
      <c r="F109" s="7">
        <v>1000</v>
      </c>
      <c r="G109" s="7"/>
      <c r="H109" s="8">
        <v>25</v>
      </c>
      <c r="I109" s="16" t="s">
        <v>12</v>
      </c>
      <c r="J109" s="7"/>
      <c r="K109" s="10">
        <v>9.9834282299999995</v>
      </c>
    </row>
    <row r="110" spans="1:11" ht="15.75" customHeight="1">
      <c r="A110" s="8" t="s">
        <v>15</v>
      </c>
      <c r="B110" s="7">
        <v>1200</v>
      </c>
      <c r="C110" s="15">
        <v>4</v>
      </c>
      <c r="D110" s="7">
        <v>7.2700000000000001E-2</v>
      </c>
      <c r="E110" s="7"/>
      <c r="F110" s="7">
        <v>1000</v>
      </c>
      <c r="G110" s="7"/>
      <c r="H110" s="8">
        <v>25</v>
      </c>
      <c r="I110" s="16" t="s">
        <v>12</v>
      </c>
      <c r="J110" s="7"/>
      <c r="K110" s="10">
        <v>12.3642653</v>
      </c>
    </row>
    <row r="111" spans="1:11" ht="15.75" customHeight="1">
      <c r="A111" s="8" t="s">
        <v>15</v>
      </c>
      <c r="B111" s="7">
        <v>1800</v>
      </c>
      <c r="C111" s="15">
        <v>4</v>
      </c>
      <c r="D111" s="7">
        <v>7.2700000000000001E-2</v>
      </c>
      <c r="E111" s="7"/>
      <c r="F111" s="7">
        <v>1000</v>
      </c>
      <c r="G111" s="7"/>
      <c r="H111" s="8">
        <v>25</v>
      </c>
      <c r="I111" s="16" t="s">
        <v>12</v>
      </c>
      <c r="J111" s="7"/>
      <c r="K111" s="10">
        <v>14.22391</v>
      </c>
    </row>
    <row r="112" spans="1:11" ht="15.75" customHeight="1">
      <c r="A112" s="8" t="s">
        <v>15</v>
      </c>
      <c r="B112" s="7">
        <v>300</v>
      </c>
      <c r="C112" s="15">
        <v>4</v>
      </c>
      <c r="D112" s="7">
        <v>2.7099999999999999E-2</v>
      </c>
      <c r="E112" s="7"/>
      <c r="F112" s="7">
        <v>810</v>
      </c>
      <c r="G112" s="7"/>
      <c r="H112" s="8">
        <v>25</v>
      </c>
      <c r="I112" s="16" t="s">
        <v>12</v>
      </c>
      <c r="J112" s="7"/>
      <c r="K112" s="10">
        <v>7.60828712</v>
      </c>
    </row>
    <row r="113" spans="1:11" ht="15.75" customHeight="1">
      <c r="A113" s="8" t="s">
        <v>15</v>
      </c>
      <c r="B113" s="7">
        <v>600</v>
      </c>
      <c r="C113" s="15">
        <v>4</v>
      </c>
      <c r="D113" s="7">
        <v>2.7099999999999999E-2</v>
      </c>
      <c r="E113" s="7"/>
      <c r="F113" s="7">
        <v>810</v>
      </c>
      <c r="G113" s="7"/>
      <c r="H113" s="8">
        <v>25</v>
      </c>
      <c r="I113" s="16" t="s">
        <v>12</v>
      </c>
      <c r="J113" s="7"/>
      <c r="K113" s="10">
        <v>9.3993315899999992</v>
      </c>
    </row>
    <row r="114" spans="1:11" ht="15.75" customHeight="1">
      <c r="A114" s="8" t="s">
        <v>15</v>
      </c>
      <c r="B114" s="7">
        <v>1200</v>
      </c>
      <c r="C114" s="15">
        <v>4</v>
      </c>
      <c r="D114" s="7">
        <v>2.7099999999999999E-2</v>
      </c>
      <c r="E114" s="7"/>
      <c r="F114" s="7">
        <v>810</v>
      </c>
      <c r="G114" s="7"/>
      <c r="H114" s="8">
        <v>25</v>
      </c>
      <c r="I114" s="16" t="s">
        <v>12</v>
      </c>
      <c r="J114" s="7"/>
      <c r="K114" s="10">
        <v>11.9819411</v>
      </c>
    </row>
    <row r="115" spans="1:11" ht="15.75" customHeight="1">
      <c r="A115" s="8" t="s">
        <v>15</v>
      </c>
      <c r="B115" s="7">
        <v>1800</v>
      </c>
      <c r="C115" s="15">
        <v>4</v>
      </c>
      <c r="D115" s="7">
        <v>2.7099999999999999E-2</v>
      </c>
      <c r="E115" s="7"/>
      <c r="F115" s="7">
        <v>810</v>
      </c>
      <c r="G115" s="7"/>
      <c r="H115" s="8">
        <v>25</v>
      </c>
      <c r="I115" s="16" t="s">
        <v>12</v>
      </c>
      <c r="J115" s="7"/>
      <c r="K115" s="10">
        <v>13.9365215</v>
      </c>
    </row>
    <row r="116" spans="1:11" ht="15.75" customHeight="1">
      <c r="A116" s="8" t="s">
        <v>15</v>
      </c>
      <c r="B116" s="7">
        <v>0.48599999999999999</v>
      </c>
      <c r="C116" s="17">
        <v>0.36</v>
      </c>
      <c r="D116" s="7">
        <v>7.2800000000000004E-2</v>
      </c>
      <c r="E116" s="7">
        <v>1.1999999999999999E-3</v>
      </c>
      <c r="F116" s="7">
        <v>999.4</v>
      </c>
      <c r="G116" s="7"/>
      <c r="H116" s="8">
        <v>25</v>
      </c>
      <c r="I116" s="16" t="s">
        <v>12</v>
      </c>
      <c r="J116" s="7"/>
      <c r="K116" s="10">
        <v>2.73397823</v>
      </c>
    </row>
    <row r="117" spans="1:11" ht="15.75" customHeight="1">
      <c r="A117" s="8" t="s">
        <v>15</v>
      </c>
      <c r="B117" s="7">
        <v>0.47220000000000001</v>
      </c>
      <c r="C117" s="17">
        <v>0.36</v>
      </c>
      <c r="D117" s="7">
        <v>6.83E-2</v>
      </c>
      <c r="E117" s="7">
        <v>1.54E-2</v>
      </c>
      <c r="F117" s="7">
        <v>1170</v>
      </c>
      <c r="G117" s="7"/>
      <c r="H117" s="8">
        <v>25</v>
      </c>
      <c r="I117" s="16" t="s">
        <v>12</v>
      </c>
      <c r="J117" s="7"/>
      <c r="K117" s="10">
        <v>2.4499884299999999</v>
      </c>
    </row>
    <row r="118" spans="1:11" ht="15.75" customHeight="1">
      <c r="A118" s="8" t="s">
        <v>15</v>
      </c>
      <c r="B118" s="7">
        <v>0.47220000000000001</v>
      </c>
      <c r="C118" s="17">
        <v>0.36</v>
      </c>
      <c r="D118" s="7">
        <v>6.7599999999999993E-2</v>
      </c>
      <c r="E118" s="7">
        <v>2.35E-2</v>
      </c>
      <c r="F118" s="7">
        <v>1185</v>
      </c>
      <c r="G118" s="7"/>
      <c r="H118" s="8">
        <v>25</v>
      </c>
      <c r="I118" s="16" t="s">
        <v>12</v>
      </c>
      <c r="J118" s="7"/>
      <c r="K118" s="10">
        <v>2.4499884299999999</v>
      </c>
    </row>
    <row r="119" spans="1:11" ht="15.75" customHeight="1">
      <c r="A119" s="8" t="s">
        <v>15</v>
      </c>
      <c r="B119" s="7">
        <v>0.45900000000000002</v>
      </c>
      <c r="C119" s="17">
        <v>0.36</v>
      </c>
      <c r="D119" s="7">
        <v>6.6400000000000001E-2</v>
      </c>
      <c r="E119" s="7">
        <v>4.9700000000000001E-2</v>
      </c>
      <c r="F119" s="7">
        <v>1210</v>
      </c>
      <c r="G119" s="7"/>
      <c r="H119" s="8">
        <v>25</v>
      </c>
      <c r="I119" s="16" t="s">
        <v>12</v>
      </c>
      <c r="J119" s="7"/>
      <c r="K119" s="10">
        <v>2.4285900599999999</v>
      </c>
    </row>
    <row r="120" spans="1:11" ht="15.75" customHeight="1">
      <c r="A120" s="8" t="s">
        <v>15</v>
      </c>
      <c r="B120" s="7">
        <v>0.45900000000000002</v>
      </c>
      <c r="C120" s="17">
        <v>0.36</v>
      </c>
      <c r="D120" s="7">
        <v>6.5699999999999995E-2</v>
      </c>
      <c r="E120" s="7">
        <v>0.1108</v>
      </c>
      <c r="F120" s="7">
        <v>1220</v>
      </c>
      <c r="G120" s="7"/>
      <c r="H120" s="8">
        <v>25</v>
      </c>
      <c r="I120" s="16" t="s">
        <v>12</v>
      </c>
      <c r="J120" s="7"/>
      <c r="K120" s="10">
        <v>2.417748</v>
      </c>
    </row>
    <row r="121" spans="1:11" ht="15.75" customHeight="1">
      <c r="A121" s="8" t="s">
        <v>15</v>
      </c>
      <c r="B121" s="7">
        <v>4.0979999999999999</v>
      </c>
      <c r="C121" s="17">
        <v>1.41</v>
      </c>
      <c r="D121" s="7">
        <v>7.2800000000000004E-2</v>
      </c>
      <c r="E121" s="7">
        <v>1.1999999999999999E-3</v>
      </c>
      <c r="F121" s="7">
        <v>999.4</v>
      </c>
      <c r="G121" s="7"/>
      <c r="H121" s="8">
        <v>25</v>
      </c>
      <c r="I121" s="16" t="s">
        <v>12</v>
      </c>
      <c r="J121" s="7"/>
      <c r="K121" s="10">
        <v>4.8872164600000003</v>
      </c>
    </row>
    <row r="122" spans="1:11" ht="15.75" customHeight="1">
      <c r="A122" s="8" t="s">
        <v>15</v>
      </c>
      <c r="B122" s="7">
        <v>3.1248</v>
      </c>
      <c r="C122" s="17">
        <v>1.41</v>
      </c>
      <c r="D122" s="7">
        <v>6.83E-2</v>
      </c>
      <c r="E122" s="7">
        <v>1.54E-2</v>
      </c>
      <c r="F122" s="7">
        <v>1170</v>
      </c>
      <c r="G122" s="7"/>
      <c r="H122" s="8">
        <v>25</v>
      </c>
      <c r="I122" s="16" t="s">
        <v>12</v>
      </c>
      <c r="J122" s="7"/>
      <c r="K122" s="10">
        <v>3.9340501899999998</v>
      </c>
    </row>
    <row r="123" spans="1:11" ht="15.75" customHeight="1">
      <c r="A123" s="8" t="s">
        <v>15</v>
      </c>
      <c r="B123" s="7">
        <v>3.0623999999999998</v>
      </c>
      <c r="C123" s="17">
        <v>1.41</v>
      </c>
      <c r="D123" s="7">
        <v>6.7599999999999993E-2</v>
      </c>
      <c r="E123" s="7">
        <v>2.35E-2</v>
      </c>
      <c r="F123" s="7">
        <v>1185</v>
      </c>
      <c r="G123" s="7"/>
      <c r="H123" s="8">
        <v>25</v>
      </c>
      <c r="I123" s="16" t="s">
        <v>12</v>
      </c>
      <c r="J123" s="7"/>
      <c r="K123" s="10">
        <v>3.9062950999999999</v>
      </c>
    </row>
    <row r="124" spans="1:11" ht="15.75" customHeight="1">
      <c r="A124" s="8" t="s">
        <v>15</v>
      </c>
      <c r="B124" s="7">
        <v>2.8872</v>
      </c>
      <c r="C124" s="17">
        <v>1.41</v>
      </c>
      <c r="D124" s="7">
        <v>6.6400000000000001E-2</v>
      </c>
      <c r="E124" s="7">
        <v>4.9700000000000001E-2</v>
      </c>
      <c r="F124" s="7">
        <v>1210</v>
      </c>
      <c r="G124" s="7"/>
      <c r="H124" s="8">
        <v>25</v>
      </c>
      <c r="I124" s="16" t="s">
        <v>12</v>
      </c>
      <c r="J124" s="7"/>
      <c r="K124" s="10">
        <v>3.9033724699999999</v>
      </c>
    </row>
    <row r="125" spans="1:11" ht="15.75" customHeight="1">
      <c r="A125" s="8" t="s">
        <v>15</v>
      </c>
      <c r="B125" s="7">
        <v>2.7498</v>
      </c>
      <c r="C125" s="17">
        <v>1.41</v>
      </c>
      <c r="D125" s="7">
        <v>6.5699999999999995E-2</v>
      </c>
      <c r="E125" s="7">
        <v>0.1108</v>
      </c>
      <c r="F125" s="7">
        <v>1220</v>
      </c>
      <c r="G125" s="7"/>
      <c r="H125" s="8">
        <v>25</v>
      </c>
      <c r="I125" s="16" t="s">
        <v>12</v>
      </c>
      <c r="J125" s="7"/>
      <c r="K125" s="10">
        <v>3.85771481</v>
      </c>
    </row>
    <row r="126" spans="1:11" ht="15.75" customHeight="1">
      <c r="A126" s="8" t="s">
        <v>15</v>
      </c>
      <c r="B126" s="7">
        <v>12.3</v>
      </c>
      <c r="C126" s="17">
        <v>3.88</v>
      </c>
      <c r="D126" s="7">
        <v>7.2800000000000004E-2</v>
      </c>
      <c r="E126" s="7">
        <v>1.1999999999999999E-3</v>
      </c>
      <c r="F126" s="7">
        <v>999.4</v>
      </c>
      <c r="G126" s="7"/>
      <c r="H126" s="8">
        <v>25</v>
      </c>
      <c r="I126" s="16" t="s">
        <v>12</v>
      </c>
      <c r="J126" s="7"/>
      <c r="K126" s="10">
        <v>7.3420612199999997</v>
      </c>
    </row>
    <row r="127" spans="1:11" ht="15.75" customHeight="1">
      <c r="A127" s="8" t="s">
        <v>15</v>
      </c>
      <c r="B127" s="7">
        <v>10.872</v>
      </c>
      <c r="C127" s="17">
        <v>3.88</v>
      </c>
      <c r="D127" s="7">
        <v>6.83E-2</v>
      </c>
      <c r="E127" s="7">
        <v>1.54E-2</v>
      </c>
      <c r="F127" s="7">
        <v>1170</v>
      </c>
      <c r="G127" s="7"/>
      <c r="H127" s="8">
        <v>25</v>
      </c>
      <c r="I127" s="16" t="s">
        <v>12</v>
      </c>
      <c r="J127" s="7"/>
      <c r="K127" s="10">
        <v>5.6914277599999998</v>
      </c>
    </row>
    <row r="128" spans="1:11" ht="15.75" customHeight="1">
      <c r="A128" s="8" t="s">
        <v>15</v>
      </c>
      <c r="B128" s="7">
        <v>10.872</v>
      </c>
      <c r="C128" s="17">
        <v>3.88</v>
      </c>
      <c r="D128" s="7">
        <v>6.7599999999999993E-2</v>
      </c>
      <c r="E128" s="7">
        <v>2.35E-2</v>
      </c>
      <c r="F128" s="7">
        <v>1185</v>
      </c>
      <c r="G128" s="7"/>
      <c r="H128" s="8">
        <v>25</v>
      </c>
      <c r="I128" s="16" t="s">
        <v>12</v>
      </c>
      <c r="J128" s="7"/>
      <c r="K128" s="10">
        <v>5.59222793</v>
      </c>
    </row>
    <row r="129" spans="1:11" ht="15.75" customHeight="1">
      <c r="A129" s="8" t="s">
        <v>15</v>
      </c>
      <c r="B129" s="7">
        <v>10.302</v>
      </c>
      <c r="C129" s="17">
        <v>3.88</v>
      </c>
      <c r="D129" s="7">
        <v>6.6400000000000001E-2</v>
      </c>
      <c r="E129" s="7">
        <v>4.9700000000000001E-2</v>
      </c>
      <c r="F129" s="7">
        <v>1210</v>
      </c>
      <c r="G129" s="7"/>
      <c r="H129" s="8">
        <v>25</v>
      </c>
      <c r="I129" s="16" t="s">
        <v>12</v>
      </c>
      <c r="J129" s="7"/>
      <c r="K129" s="10">
        <v>5.5106336799999998</v>
      </c>
    </row>
    <row r="130" spans="1:11" ht="15.75" customHeight="1">
      <c r="A130" s="8" t="s">
        <v>15</v>
      </c>
      <c r="B130" s="7">
        <v>10.5</v>
      </c>
      <c r="C130" s="17">
        <v>3.88</v>
      </c>
      <c r="D130" s="7">
        <v>6.5699999999999995E-2</v>
      </c>
      <c r="E130" s="7">
        <v>0.1108</v>
      </c>
      <c r="F130" s="7">
        <v>1220</v>
      </c>
      <c r="G130" s="7"/>
      <c r="H130" s="8">
        <v>25</v>
      </c>
      <c r="I130" s="16" t="s">
        <v>12</v>
      </c>
      <c r="J130" s="7"/>
      <c r="K130" s="10">
        <v>5.4859956399999996</v>
      </c>
    </row>
    <row r="131" spans="1:11" ht="15.75" customHeight="1">
      <c r="A131" s="8" t="s">
        <v>15</v>
      </c>
      <c r="B131" s="8">
        <v>94.327183140000002</v>
      </c>
      <c r="C131" s="8">
        <v>3.673</v>
      </c>
      <c r="D131" s="8">
        <v>6.3E-2</v>
      </c>
      <c r="E131" s="8">
        <v>5.5199999999999999E-2</v>
      </c>
      <c r="F131" s="8">
        <v>1257</v>
      </c>
      <c r="G131" s="7"/>
      <c r="H131" s="8">
        <v>25</v>
      </c>
      <c r="I131" s="16" t="s">
        <v>12</v>
      </c>
      <c r="J131" s="7"/>
      <c r="K131" s="10">
        <v>7.8506568000000003</v>
      </c>
    </row>
    <row r="132" spans="1:11" ht="15.75" customHeight="1">
      <c r="A132" s="8" t="s">
        <v>15</v>
      </c>
      <c r="B132" s="8">
        <v>151.60275966</v>
      </c>
      <c r="C132" s="8">
        <v>3.673</v>
      </c>
      <c r="D132" s="8">
        <v>6.3E-2</v>
      </c>
      <c r="E132" s="8">
        <v>5.5199999999999999E-2</v>
      </c>
      <c r="F132" s="8">
        <v>1257</v>
      </c>
      <c r="G132" s="7"/>
      <c r="H132" s="8">
        <v>25</v>
      </c>
      <c r="I132" s="16" t="s">
        <v>12</v>
      </c>
      <c r="J132" s="7"/>
      <c r="K132" s="10">
        <v>8.5758655000000008</v>
      </c>
    </row>
    <row r="133" spans="1:11" ht="15.75" customHeight="1">
      <c r="A133" s="8" t="s">
        <v>15</v>
      </c>
      <c r="B133" s="8">
        <v>210.31956402</v>
      </c>
      <c r="C133" s="8">
        <v>3.673</v>
      </c>
      <c r="D133" s="8">
        <v>6.3E-2</v>
      </c>
      <c r="E133" s="8">
        <v>5.5199999999999999E-2</v>
      </c>
      <c r="F133" s="8">
        <v>1257</v>
      </c>
      <c r="G133" s="7"/>
      <c r="H133" s="8">
        <v>25</v>
      </c>
      <c r="I133" s="16" t="s">
        <v>12</v>
      </c>
      <c r="J133" s="7"/>
      <c r="K133" s="10">
        <v>9.20626882</v>
      </c>
    </row>
    <row r="134" spans="1:11" ht="15.75" customHeight="1">
      <c r="A134" s="8" t="s">
        <v>15</v>
      </c>
      <c r="B134" s="8">
        <v>291.77772174</v>
      </c>
      <c r="C134" s="8">
        <v>3.673</v>
      </c>
      <c r="D134" s="8">
        <v>6.3E-2</v>
      </c>
      <c r="E134" s="8">
        <v>5.5199999999999999E-2</v>
      </c>
      <c r="F134" s="8">
        <v>1257</v>
      </c>
      <c r="G134" s="7"/>
      <c r="H134" s="8">
        <v>25</v>
      </c>
      <c r="I134" s="16" t="s">
        <v>12</v>
      </c>
      <c r="J134" s="7"/>
      <c r="K134" s="10">
        <v>9.9943233800000009</v>
      </c>
    </row>
    <row r="135" spans="1:11" ht="15.75" customHeight="1">
      <c r="A135" s="8" t="s">
        <v>15</v>
      </c>
      <c r="B135" s="8">
        <v>363.83018304000001</v>
      </c>
      <c r="C135" s="8">
        <v>3.673</v>
      </c>
      <c r="D135" s="8">
        <v>6.3E-2</v>
      </c>
      <c r="E135" s="8">
        <v>5.5199999999999999E-2</v>
      </c>
      <c r="F135" s="8">
        <v>1257</v>
      </c>
      <c r="G135" s="7"/>
      <c r="H135" s="8">
        <v>25</v>
      </c>
      <c r="I135" s="16" t="s">
        <v>12</v>
      </c>
      <c r="J135" s="7"/>
      <c r="K135" s="10">
        <v>10.5305803</v>
      </c>
    </row>
    <row r="136" spans="1:11" ht="15.75" customHeight="1">
      <c r="A136" s="8" t="s">
        <v>15</v>
      </c>
      <c r="B136" s="8">
        <v>429.32254907999999</v>
      </c>
      <c r="C136" s="8">
        <v>3.673</v>
      </c>
      <c r="D136" s="8">
        <v>6.3E-2</v>
      </c>
      <c r="E136" s="8">
        <v>5.5199999999999999E-2</v>
      </c>
      <c r="F136" s="8">
        <v>1257</v>
      </c>
      <c r="G136" s="7"/>
      <c r="H136" s="8">
        <v>25</v>
      </c>
      <c r="I136" s="16" t="s">
        <v>12</v>
      </c>
      <c r="J136" s="7"/>
      <c r="K136" s="10">
        <v>11.0542654</v>
      </c>
    </row>
    <row r="137" spans="1:11" ht="15.75" customHeight="1">
      <c r="A137" s="8" t="s">
        <v>15</v>
      </c>
      <c r="B137" s="8">
        <v>502.8910515</v>
      </c>
      <c r="C137" s="8">
        <v>3.673</v>
      </c>
      <c r="D137" s="8">
        <v>6.3E-2</v>
      </c>
      <c r="E137" s="8">
        <v>5.5199999999999999E-2</v>
      </c>
      <c r="F137" s="8">
        <v>1257</v>
      </c>
      <c r="G137" s="7"/>
      <c r="H137" s="8">
        <v>25</v>
      </c>
      <c r="I137" s="16" t="s">
        <v>12</v>
      </c>
      <c r="J137" s="7"/>
      <c r="K137" s="10">
        <v>11.389395800000001</v>
      </c>
    </row>
    <row r="138" spans="1:11" ht="15.75" customHeight="1">
      <c r="A138" s="8" t="s">
        <v>15</v>
      </c>
      <c r="B138" s="8">
        <v>576.20798219999995</v>
      </c>
      <c r="C138" s="8">
        <v>3.673</v>
      </c>
      <c r="D138" s="8">
        <v>6.3E-2</v>
      </c>
      <c r="E138" s="8">
        <v>5.5199999999999999E-2</v>
      </c>
      <c r="F138" s="8">
        <v>1257</v>
      </c>
      <c r="G138" s="7"/>
      <c r="H138" s="8">
        <v>25</v>
      </c>
      <c r="I138" s="16" t="s">
        <v>12</v>
      </c>
      <c r="J138" s="7"/>
      <c r="K138" s="10">
        <v>11.807929400000001</v>
      </c>
    </row>
    <row r="139" spans="1:11" ht="15.75" customHeight="1">
      <c r="A139" s="8" t="s">
        <v>15</v>
      </c>
      <c r="B139" s="8">
        <v>648.18279419999999</v>
      </c>
      <c r="C139" s="8">
        <v>3.673</v>
      </c>
      <c r="D139" s="8">
        <v>6.3E-2</v>
      </c>
      <c r="E139" s="8">
        <v>5.5199999999999999E-2</v>
      </c>
      <c r="F139" s="8">
        <v>1257</v>
      </c>
      <c r="G139" s="7"/>
      <c r="H139" s="8">
        <v>25</v>
      </c>
      <c r="I139" s="16" t="s">
        <v>12</v>
      </c>
      <c r="J139" s="7"/>
      <c r="K139" s="10">
        <v>12.075409199999999</v>
      </c>
    </row>
    <row r="140" spans="1:11" ht="15.75" customHeight="1">
      <c r="A140" s="8" t="s">
        <v>15</v>
      </c>
      <c r="B140" s="8">
        <v>718.49850060000006</v>
      </c>
      <c r="C140" s="8">
        <v>3.673</v>
      </c>
      <c r="D140" s="8">
        <v>6.3E-2</v>
      </c>
      <c r="E140" s="8">
        <v>5.5199999999999999E-2</v>
      </c>
      <c r="F140" s="8">
        <v>1257</v>
      </c>
      <c r="G140" s="7"/>
      <c r="H140" s="8">
        <v>25</v>
      </c>
      <c r="I140" s="16" t="s">
        <v>12</v>
      </c>
      <c r="J140" s="7"/>
      <c r="K140" s="10">
        <v>12.488032499999999</v>
      </c>
    </row>
    <row r="141" spans="1:11" ht="15.75" customHeight="1">
      <c r="A141" s="8" t="s">
        <v>15</v>
      </c>
      <c r="B141" s="8">
        <v>793.51812480000001</v>
      </c>
      <c r="C141" s="8">
        <v>3.673</v>
      </c>
      <c r="D141" s="8">
        <v>6.3E-2</v>
      </c>
      <c r="E141" s="8">
        <v>5.5199999999999999E-2</v>
      </c>
      <c r="F141" s="8">
        <v>1257</v>
      </c>
      <c r="G141" s="7"/>
      <c r="H141" s="8">
        <v>25</v>
      </c>
      <c r="I141" s="16" t="s">
        <v>12</v>
      </c>
      <c r="J141" s="7"/>
      <c r="K141" s="10">
        <v>12.723330300000001</v>
      </c>
    </row>
    <row r="142" spans="1:11" ht="15.75" customHeight="1">
      <c r="A142" s="8" t="s">
        <v>15</v>
      </c>
      <c r="B142" s="8">
        <v>882.84144119999996</v>
      </c>
      <c r="C142" s="8">
        <v>3.673</v>
      </c>
      <c r="D142" s="8">
        <v>6.3E-2</v>
      </c>
      <c r="E142" s="8">
        <v>5.5199999999999999E-2</v>
      </c>
      <c r="F142" s="8">
        <v>1257</v>
      </c>
      <c r="G142" s="7"/>
      <c r="H142" s="8">
        <v>25</v>
      </c>
      <c r="I142" s="16" t="s">
        <v>12</v>
      </c>
      <c r="J142" s="7"/>
      <c r="K142" s="10">
        <v>13.1580934</v>
      </c>
    </row>
    <row r="143" spans="1:11" ht="15.75" customHeight="1">
      <c r="A143" s="8" t="s">
        <v>15</v>
      </c>
      <c r="B143" s="8">
        <v>1229.2855296</v>
      </c>
      <c r="C143" s="8">
        <v>3.673</v>
      </c>
      <c r="D143" s="8">
        <v>6.3E-2</v>
      </c>
      <c r="E143" s="8">
        <v>5.5199999999999999E-2</v>
      </c>
      <c r="F143" s="8">
        <v>1257</v>
      </c>
      <c r="G143" s="7"/>
      <c r="H143" s="8">
        <v>25</v>
      </c>
      <c r="I143" s="16" t="s">
        <v>12</v>
      </c>
      <c r="J143" s="7"/>
      <c r="K143" s="10">
        <v>14.3735783</v>
      </c>
    </row>
    <row r="144" spans="1:11" ht="15.75" customHeight="1">
      <c r="A144" s="8" t="s">
        <v>15</v>
      </c>
      <c r="B144" s="8">
        <v>1510.4609591999999</v>
      </c>
      <c r="C144" s="8">
        <v>3.673</v>
      </c>
      <c r="D144" s="8">
        <v>6.3E-2</v>
      </c>
      <c r="E144" s="8">
        <v>5.5199999999999999E-2</v>
      </c>
      <c r="F144" s="8">
        <v>1257</v>
      </c>
      <c r="G144" s="7"/>
      <c r="H144" s="8">
        <v>25</v>
      </c>
      <c r="I144" s="16" t="s">
        <v>12</v>
      </c>
      <c r="J144" s="7"/>
      <c r="K144" s="10">
        <v>15.239338099999999</v>
      </c>
    </row>
    <row r="145" spans="1:11" ht="15.75" customHeight="1">
      <c r="A145" s="8" t="s">
        <v>15</v>
      </c>
      <c r="B145" s="8">
        <v>1788.9243342</v>
      </c>
      <c r="C145" s="8">
        <v>3.673</v>
      </c>
      <c r="D145" s="8">
        <v>6.3E-2</v>
      </c>
      <c r="E145" s="8">
        <v>5.5199999999999999E-2</v>
      </c>
      <c r="F145" s="8">
        <v>1257</v>
      </c>
      <c r="G145" s="7"/>
      <c r="H145" s="8">
        <v>25</v>
      </c>
      <c r="I145" s="16" t="s">
        <v>12</v>
      </c>
      <c r="J145" s="7"/>
      <c r="K145" s="10">
        <v>15.9971894</v>
      </c>
    </row>
    <row r="146" spans="1:11" ht="15.75" customHeight="1">
      <c r="A146" s="8" t="s">
        <v>15</v>
      </c>
      <c r="B146" s="8">
        <v>2103.1945775999998</v>
      </c>
      <c r="C146" s="8">
        <v>3.673</v>
      </c>
      <c r="D146" s="8">
        <v>6.3E-2</v>
      </c>
      <c r="E146" s="8">
        <v>5.5199999999999999E-2</v>
      </c>
      <c r="F146" s="8">
        <v>1257</v>
      </c>
      <c r="G146" s="7"/>
      <c r="H146" s="8">
        <v>25</v>
      </c>
      <c r="I146" s="16" t="s">
        <v>12</v>
      </c>
      <c r="J146" s="7"/>
      <c r="K146" s="10">
        <v>16.7093454</v>
      </c>
    </row>
    <row r="147" spans="1:11" ht="15.75" customHeight="1">
      <c r="A147" s="8" t="s">
        <v>15</v>
      </c>
      <c r="B147" s="8">
        <v>2348.5667927999998</v>
      </c>
      <c r="C147" s="8">
        <v>3.673</v>
      </c>
      <c r="D147" s="8">
        <v>6.3E-2</v>
      </c>
      <c r="E147" s="8">
        <v>5.5199999999999999E-2</v>
      </c>
      <c r="F147" s="8">
        <v>1257</v>
      </c>
      <c r="G147" s="7"/>
      <c r="H147" s="8">
        <v>25</v>
      </c>
      <c r="I147" s="16" t="s">
        <v>12</v>
      </c>
      <c r="J147" s="7"/>
      <c r="K147" s="10">
        <v>17.409821900000001</v>
      </c>
    </row>
    <row r="148" spans="1:11" ht="15.75" customHeight="1">
      <c r="A148" s="8" t="s">
        <v>15</v>
      </c>
      <c r="B148" s="8">
        <v>2730.8504646000001</v>
      </c>
      <c r="C148" s="8">
        <v>3.673</v>
      </c>
      <c r="D148" s="8">
        <v>6.3E-2</v>
      </c>
      <c r="E148" s="8">
        <v>5.5199999999999999E-2</v>
      </c>
      <c r="F148" s="8">
        <v>1257</v>
      </c>
      <c r="G148" s="7"/>
      <c r="H148" s="8">
        <v>25</v>
      </c>
      <c r="I148" s="16" t="s">
        <v>12</v>
      </c>
      <c r="J148" s="7"/>
      <c r="K148" s="10">
        <v>18.027143800000001</v>
      </c>
    </row>
    <row r="149" spans="1:11" ht="15.75" customHeight="1">
      <c r="A149" s="8" t="s">
        <v>15</v>
      </c>
      <c r="B149" s="8">
        <v>3060.6866903999999</v>
      </c>
      <c r="C149" s="8">
        <v>3.673</v>
      </c>
      <c r="D149" s="8">
        <v>6.3E-2</v>
      </c>
      <c r="E149" s="8">
        <v>5.5199999999999999E-2</v>
      </c>
      <c r="F149" s="8">
        <v>1257</v>
      </c>
      <c r="G149" s="7"/>
      <c r="H149" s="8">
        <v>25</v>
      </c>
      <c r="I149" s="16" t="s">
        <v>12</v>
      </c>
      <c r="J149" s="7"/>
      <c r="K149" s="10">
        <v>18.527500100000001</v>
      </c>
    </row>
    <row r="150" spans="1:11" ht="15.75" customHeight="1">
      <c r="A150" s="8" t="s">
        <v>15</v>
      </c>
      <c r="B150" s="8">
        <v>3380.2580802000002</v>
      </c>
      <c r="C150" s="8">
        <v>3.673</v>
      </c>
      <c r="D150" s="8">
        <v>6.3E-2</v>
      </c>
      <c r="E150" s="8">
        <v>5.5199999999999999E-2</v>
      </c>
      <c r="F150" s="8">
        <v>1257</v>
      </c>
      <c r="G150" s="7"/>
      <c r="H150" s="8">
        <v>25</v>
      </c>
      <c r="I150" s="16" t="s">
        <v>12</v>
      </c>
      <c r="J150" s="7"/>
      <c r="K150" s="10">
        <v>19.1367665</v>
      </c>
    </row>
    <row r="151" spans="1:11" ht="15.75" customHeight="1">
      <c r="A151" s="8" t="s">
        <v>15</v>
      </c>
      <c r="B151" s="8">
        <v>102.27761832</v>
      </c>
      <c r="C151" s="8">
        <v>5.9450000000000003</v>
      </c>
      <c r="D151" s="8">
        <v>6.3E-2</v>
      </c>
      <c r="E151" s="8">
        <v>5.5199999999999999E-2</v>
      </c>
      <c r="F151" s="8">
        <v>1257</v>
      </c>
      <c r="G151" s="7"/>
      <c r="H151" s="8">
        <v>25</v>
      </c>
      <c r="I151" s="16" t="s">
        <v>12</v>
      </c>
      <c r="J151" s="7"/>
      <c r="K151" s="10">
        <v>8.71573083</v>
      </c>
    </row>
    <row r="152" spans="1:11" ht="15.75" customHeight="1">
      <c r="A152" s="8" t="s">
        <v>15</v>
      </c>
      <c r="B152" s="8">
        <v>174.34518671999999</v>
      </c>
      <c r="C152" s="8">
        <v>5.9450000000000003</v>
      </c>
      <c r="D152" s="8">
        <v>6.3E-2</v>
      </c>
      <c r="E152" s="8">
        <v>5.5199999999999999E-2</v>
      </c>
      <c r="F152" s="8">
        <v>1257</v>
      </c>
      <c r="G152" s="7"/>
      <c r="H152" s="8">
        <v>25</v>
      </c>
      <c r="I152" s="16" t="s">
        <v>12</v>
      </c>
      <c r="J152" s="7"/>
      <c r="K152" s="10">
        <v>9.4853746399999999</v>
      </c>
    </row>
    <row r="153" spans="1:11" ht="15.75" customHeight="1">
      <c r="A153" s="8" t="s">
        <v>15</v>
      </c>
      <c r="B153" s="8">
        <v>236.59076664</v>
      </c>
      <c r="C153" s="8">
        <v>5.9450000000000003</v>
      </c>
      <c r="D153" s="8">
        <v>6.3E-2</v>
      </c>
      <c r="E153" s="8">
        <v>5.5199999999999999E-2</v>
      </c>
      <c r="F153" s="8">
        <v>1257</v>
      </c>
      <c r="G153" s="7"/>
      <c r="H153" s="8">
        <v>25</v>
      </c>
      <c r="I153" s="16" t="s">
        <v>12</v>
      </c>
      <c r="J153" s="7"/>
      <c r="K153" s="10">
        <v>9.8953183899999999</v>
      </c>
    </row>
    <row r="154" spans="1:11" ht="15.75" customHeight="1">
      <c r="A154" s="8" t="s">
        <v>15</v>
      </c>
      <c r="B154" s="8">
        <v>296.10244247999998</v>
      </c>
      <c r="C154" s="8">
        <v>5.9450000000000003</v>
      </c>
      <c r="D154" s="8">
        <v>6.3E-2</v>
      </c>
      <c r="E154" s="8">
        <v>5.5199999999999999E-2</v>
      </c>
      <c r="F154" s="8">
        <v>1257</v>
      </c>
      <c r="G154" s="7"/>
      <c r="H154" s="8">
        <v>25</v>
      </c>
      <c r="I154" s="16" t="s">
        <v>12</v>
      </c>
      <c r="J154" s="7"/>
      <c r="K154" s="10">
        <v>10.465260499999999</v>
      </c>
    </row>
    <row r="155" spans="1:11" ht="15.75" customHeight="1">
      <c r="A155" s="8" t="s">
        <v>15</v>
      </c>
      <c r="B155" s="8">
        <v>354.58193490000002</v>
      </c>
      <c r="C155" s="8">
        <v>5.9450000000000003</v>
      </c>
      <c r="D155" s="8">
        <v>6.3E-2</v>
      </c>
      <c r="E155" s="8">
        <v>5.5199999999999999E-2</v>
      </c>
      <c r="F155" s="8">
        <v>1257</v>
      </c>
      <c r="G155" s="7"/>
      <c r="H155" s="8">
        <v>25</v>
      </c>
      <c r="I155" s="16" t="s">
        <v>12</v>
      </c>
      <c r="J155" s="7"/>
      <c r="K155" s="10">
        <v>10.9311495</v>
      </c>
    </row>
    <row r="156" spans="1:11" ht="15.75" customHeight="1">
      <c r="A156" s="8" t="s">
        <v>15</v>
      </c>
      <c r="B156" s="8">
        <v>419.95143791999999</v>
      </c>
      <c r="C156" s="8">
        <v>5.9450000000000003</v>
      </c>
      <c r="D156" s="8">
        <v>6.3E-2</v>
      </c>
      <c r="E156" s="8">
        <v>5.5199999999999999E-2</v>
      </c>
      <c r="F156" s="8">
        <v>1257</v>
      </c>
      <c r="G156" s="7"/>
      <c r="H156" s="8">
        <v>25</v>
      </c>
      <c r="I156" s="16" t="s">
        <v>12</v>
      </c>
      <c r="J156" s="7"/>
      <c r="K156" s="10">
        <v>11.346955700000001</v>
      </c>
    </row>
    <row r="157" spans="1:11" ht="15.75" customHeight="1">
      <c r="A157" s="8" t="s">
        <v>15</v>
      </c>
      <c r="B157" s="8">
        <v>514.11293939999996</v>
      </c>
      <c r="C157" s="8">
        <v>5.9450000000000003</v>
      </c>
      <c r="D157" s="8">
        <v>6.3E-2</v>
      </c>
      <c r="E157" s="8">
        <v>5.5199999999999999E-2</v>
      </c>
      <c r="F157" s="8">
        <v>1257</v>
      </c>
      <c r="G157" s="7"/>
      <c r="H157" s="8">
        <v>25</v>
      </c>
      <c r="I157" s="16" t="s">
        <v>12</v>
      </c>
      <c r="J157" s="7"/>
      <c r="K157" s="10">
        <v>11.7785777</v>
      </c>
    </row>
    <row r="158" spans="1:11" ht="15.75" customHeight="1">
      <c r="A158" s="8" t="s">
        <v>15</v>
      </c>
      <c r="B158" s="8">
        <v>606.6574134</v>
      </c>
      <c r="C158" s="8">
        <v>5.9450000000000003</v>
      </c>
      <c r="D158" s="8">
        <v>6.3E-2</v>
      </c>
      <c r="E158" s="8">
        <v>5.5199999999999999E-2</v>
      </c>
      <c r="F158" s="8">
        <v>1257</v>
      </c>
      <c r="G158" s="7"/>
      <c r="H158" s="8">
        <v>25</v>
      </c>
      <c r="I158" s="16" t="s">
        <v>12</v>
      </c>
      <c r="J158" s="7"/>
      <c r="K158" s="10">
        <v>12.165909600000001</v>
      </c>
    </row>
    <row r="159" spans="1:11" ht="15.75" customHeight="1">
      <c r="A159" s="8" t="s">
        <v>15</v>
      </c>
      <c r="B159" s="8">
        <v>672.46839239999997</v>
      </c>
      <c r="C159" s="8">
        <v>5.9450000000000003</v>
      </c>
      <c r="D159" s="8">
        <v>6.3E-2</v>
      </c>
      <c r="E159" s="8">
        <v>5.5199999999999999E-2</v>
      </c>
      <c r="F159" s="8">
        <v>1257</v>
      </c>
      <c r="G159" s="7"/>
      <c r="H159" s="8">
        <v>25</v>
      </c>
      <c r="I159" s="16" t="s">
        <v>12</v>
      </c>
      <c r="J159" s="7"/>
      <c r="K159" s="10">
        <v>12.581625300000001</v>
      </c>
    </row>
    <row r="160" spans="1:11" ht="15.75" customHeight="1">
      <c r="A160" s="8" t="s">
        <v>15</v>
      </c>
      <c r="B160" s="8">
        <v>767.67934560000003</v>
      </c>
      <c r="C160" s="8">
        <v>5.9450000000000003</v>
      </c>
      <c r="D160" s="8">
        <v>6.3E-2</v>
      </c>
      <c r="E160" s="8">
        <v>5.5199999999999999E-2</v>
      </c>
      <c r="F160" s="8">
        <v>1257</v>
      </c>
      <c r="G160" s="7"/>
      <c r="H160" s="8">
        <v>25</v>
      </c>
      <c r="I160" s="16" t="s">
        <v>12</v>
      </c>
      <c r="J160" s="7"/>
      <c r="K160" s="10">
        <v>13.0277478</v>
      </c>
    </row>
    <row r="161" spans="1:11" ht="15.75" customHeight="1">
      <c r="A161" s="8" t="s">
        <v>15</v>
      </c>
      <c r="B161" s="8">
        <v>863.57106899999997</v>
      </c>
      <c r="C161" s="8">
        <v>5.9450000000000003</v>
      </c>
      <c r="D161" s="8">
        <v>6.3E-2</v>
      </c>
      <c r="E161" s="8">
        <v>5.5199999999999999E-2</v>
      </c>
      <c r="F161" s="8">
        <v>1257</v>
      </c>
      <c r="G161" s="7"/>
      <c r="H161" s="8">
        <v>25</v>
      </c>
      <c r="I161" s="16" t="s">
        <v>12</v>
      </c>
      <c r="J161" s="7"/>
      <c r="K161" s="10">
        <v>13.3560596</v>
      </c>
    </row>
    <row r="162" spans="1:11" ht="15.75" customHeight="1">
      <c r="A162" s="8" t="s">
        <v>15</v>
      </c>
      <c r="B162" s="8">
        <v>1184.8906758000001</v>
      </c>
      <c r="C162" s="8">
        <v>5.9450000000000003</v>
      </c>
      <c r="D162" s="8">
        <v>6.3E-2</v>
      </c>
      <c r="E162" s="8">
        <v>5.5199999999999999E-2</v>
      </c>
      <c r="F162" s="8">
        <v>1257</v>
      </c>
      <c r="G162" s="7"/>
      <c r="H162" s="8">
        <v>25</v>
      </c>
      <c r="I162" s="16" t="s">
        <v>12</v>
      </c>
      <c r="J162" s="7"/>
      <c r="K162" s="10">
        <v>14.4993353</v>
      </c>
    </row>
    <row r="163" spans="1:11" ht="15.75" customHeight="1">
      <c r="A163" s="8" t="s">
        <v>15</v>
      </c>
      <c r="B163" s="8">
        <v>1455.9116363999999</v>
      </c>
      <c r="C163" s="8">
        <v>5.9450000000000003</v>
      </c>
      <c r="D163" s="8">
        <v>6.3E-2</v>
      </c>
      <c r="E163" s="8">
        <v>5.5199999999999999E-2</v>
      </c>
      <c r="F163" s="8">
        <v>1257</v>
      </c>
      <c r="G163" s="7"/>
      <c r="H163" s="8">
        <v>25</v>
      </c>
      <c r="I163" s="16" t="s">
        <v>12</v>
      </c>
      <c r="J163" s="7"/>
      <c r="K163" s="10">
        <v>15.44938</v>
      </c>
    </row>
    <row r="164" spans="1:11" ht="15.75" customHeight="1">
      <c r="A164" s="8" t="s">
        <v>15</v>
      </c>
      <c r="B164" s="8">
        <v>1762.7966664</v>
      </c>
      <c r="C164" s="8">
        <v>5.9450000000000003</v>
      </c>
      <c r="D164" s="8">
        <v>6.3E-2</v>
      </c>
      <c r="E164" s="8">
        <v>5.5199999999999999E-2</v>
      </c>
      <c r="F164" s="8">
        <v>1257</v>
      </c>
      <c r="G164" s="7"/>
      <c r="H164" s="8">
        <v>25</v>
      </c>
      <c r="I164" s="16" t="s">
        <v>12</v>
      </c>
      <c r="J164" s="7"/>
      <c r="K164" s="10">
        <v>16.197506799999999</v>
      </c>
    </row>
    <row r="165" spans="1:11" ht="15.75" customHeight="1">
      <c r="A165" s="8" t="s">
        <v>15</v>
      </c>
      <c r="B165" s="8">
        <v>2095.4724762000001</v>
      </c>
      <c r="C165" s="8">
        <v>5.9450000000000003</v>
      </c>
      <c r="D165" s="8">
        <v>6.3E-2</v>
      </c>
      <c r="E165" s="8">
        <v>5.5199999999999999E-2</v>
      </c>
      <c r="F165" s="8">
        <v>1257</v>
      </c>
      <c r="G165" s="7"/>
      <c r="H165" s="8">
        <v>25</v>
      </c>
      <c r="I165" s="16" t="s">
        <v>12</v>
      </c>
      <c r="J165" s="7"/>
      <c r="K165" s="10">
        <v>17.024180699999999</v>
      </c>
    </row>
    <row r="166" spans="1:11" ht="15.75" customHeight="1">
      <c r="A166" s="8" t="s">
        <v>15</v>
      </c>
      <c r="B166" s="8">
        <v>2472.674415</v>
      </c>
      <c r="C166" s="8">
        <v>5.9450000000000003</v>
      </c>
      <c r="D166" s="8">
        <v>6.3E-2</v>
      </c>
      <c r="E166" s="8">
        <v>5.5199999999999999E-2</v>
      </c>
      <c r="F166" s="8">
        <v>1257</v>
      </c>
      <c r="G166" s="7"/>
      <c r="H166" s="8">
        <v>25</v>
      </c>
      <c r="I166" s="16" t="s">
        <v>12</v>
      </c>
      <c r="J166" s="7"/>
      <c r="K166" s="10">
        <v>17.870790499999998</v>
      </c>
    </row>
    <row r="167" spans="1:11" ht="15.75" customHeight="1">
      <c r="A167" s="8" t="s">
        <v>15</v>
      </c>
      <c r="B167" s="8">
        <v>2802.0775386</v>
      </c>
      <c r="C167" s="8">
        <v>5.9450000000000003</v>
      </c>
      <c r="D167" s="8">
        <v>6.3E-2</v>
      </c>
      <c r="E167" s="8">
        <v>5.5199999999999999E-2</v>
      </c>
      <c r="F167" s="8">
        <v>1257</v>
      </c>
      <c r="G167" s="7"/>
      <c r="H167" s="8">
        <v>25</v>
      </c>
      <c r="I167" s="16" t="s">
        <v>12</v>
      </c>
      <c r="J167" s="7"/>
      <c r="K167" s="10">
        <v>18.458461400000001</v>
      </c>
    </row>
    <row r="168" spans="1:11" ht="15.75" customHeight="1">
      <c r="A168" s="8" t="s">
        <v>15</v>
      </c>
      <c r="B168" s="8">
        <v>3210.5957094</v>
      </c>
      <c r="C168" s="8">
        <v>5.9450000000000003</v>
      </c>
      <c r="D168" s="8">
        <v>6.3E-2</v>
      </c>
      <c r="E168" s="8">
        <v>5.5199999999999999E-2</v>
      </c>
      <c r="F168" s="8">
        <v>1257</v>
      </c>
      <c r="G168" s="7"/>
      <c r="H168" s="8">
        <v>25</v>
      </c>
      <c r="I168" s="16" t="s">
        <v>12</v>
      </c>
      <c r="J168" s="7"/>
      <c r="K168" s="10">
        <v>19.232261399999999</v>
      </c>
    </row>
    <row r="169" spans="1:11" ht="15.75" customHeight="1">
      <c r="A169" s="8" t="s">
        <v>15</v>
      </c>
      <c r="B169" s="8">
        <v>92.268228780000001</v>
      </c>
      <c r="C169" s="8">
        <v>7.0419999999999998</v>
      </c>
      <c r="D169" s="8">
        <v>6.3E-2</v>
      </c>
      <c r="E169" s="8">
        <v>5.5199999999999999E-2</v>
      </c>
      <c r="F169" s="8">
        <v>1257</v>
      </c>
      <c r="G169" s="7"/>
      <c r="H169" s="8">
        <v>25</v>
      </c>
      <c r="I169" s="16" t="s">
        <v>12</v>
      </c>
      <c r="J169" s="7"/>
      <c r="K169" s="10">
        <v>8.3546550899999996</v>
      </c>
    </row>
    <row r="170" spans="1:11" ht="15.75" customHeight="1">
      <c r="A170" s="8" t="s">
        <v>15</v>
      </c>
      <c r="B170" s="8">
        <v>144.52412910000001</v>
      </c>
      <c r="C170" s="8">
        <v>7.0419999999999998</v>
      </c>
      <c r="D170" s="8">
        <v>6.3E-2</v>
      </c>
      <c r="E170" s="8">
        <v>5.5199999999999999E-2</v>
      </c>
      <c r="F170" s="8">
        <v>1257</v>
      </c>
      <c r="G170" s="7"/>
      <c r="H170" s="8">
        <v>25</v>
      </c>
      <c r="I170" s="16" t="s">
        <v>12</v>
      </c>
      <c r="J170" s="7"/>
      <c r="K170" s="10">
        <v>9.4853746399999999</v>
      </c>
    </row>
    <row r="171" spans="1:11" ht="15.75" customHeight="1">
      <c r="A171" s="8" t="s">
        <v>15</v>
      </c>
      <c r="B171" s="8">
        <v>206.48686427999999</v>
      </c>
      <c r="C171" s="8">
        <v>7.0419999999999998</v>
      </c>
      <c r="D171" s="8">
        <v>6.3E-2</v>
      </c>
      <c r="E171" s="8">
        <v>5.5199999999999999E-2</v>
      </c>
      <c r="F171" s="8">
        <v>1257</v>
      </c>
      <c r="G171" s="7"/>
      <c r="H171" s="8">
        <v>25</v>
      </c>
      <c r="I171" s="16" t="s">
        <v>12</v>
      </c>
      <c r="J171" s="7"/>
      <c r="K171" s="10">
        <v>10.0817646</v>
      </c>
    </row>
    <row r="172" spans="1:11" ht="15.75" customHeight="1">
      <c r="A172" s="8" t="s">
        <v>15</v>
      </c>
      <c r="B172" s="8">
        <v>264.19290138000002</v>
      </c>
      <c r="C172" s="8">
        <v>7.0419999999999998</v>
      </c>
      <c r="D172" s="8">
        <v>6.3E-2</v>
      </c>
      <c r="E172" s="8">
        <v>5.5199999999999999E-2</v>
      </c>
      <c r="F172" s="8">
        <v>1257</v>
      </c>
      <c r="G172" s="7"/>
      <c r="H172" s="8">
        <v>25</v>
      </c>
      <c r="I172" s="16" t="s">
        <v>12</v>
      </c>
      <c r="J172" s="7"/>
      <c r="K172" s="10">
        <v>10.5044038</v>
      </c>
    </row>
    <row r="173" spans="1:11" ht="15.75" customHeight="1">
      <c r="A173" s="8" t="s">
        <v>15</v>
      </c>
      <c r="B173" s="8">
        <v>328.22401775999998</v>
      </c>
      <c r="C173" s="8">
        <v>7.0419999999999998</v>
      </c>
      <c r="D173" s="8">
        <v>6.3E-2</v>
      </c>
      <c r="E173" s="8">
        <v>5.5199999999999999E-2</v>
      </c>
      <c r="F173" s="8">
        <v>1257</v>
      </c>
      <c r="G173" s="7"/>
      <c r="H173" s="8">
        <v>25</v>
      </c>
      <c r="I173" s="16" t="s">
        <v>12</v>
      </c>
      <c r="J173" s="7"/>
      <c r="K173" s="10">
        <v>10.9993772</v>
      </c>
    </row>
    <row r="174" spans="1:11" ht="15.75" customHeight="1">
      <c r="A174" s="8" t="s">
        <v>15</v>
      </c>
      <c r="B174" s="8">
        <v>387.30698699999999</v>
      </c>
      <c r="C174" s="8">
        <v>7.0419999999999998</v>
      </c>
      <c r="D174" s="8">
        <v>6.3E-2</v>
      </c>
      <c r="E174" s="8">
        <v>5.5199999999999999E-2</v>
      </c>
      <c r="F174" s="8">
        <v>1257</v>
      </c>
      <c r="G174" s="7"/>
      <c r="H174" s="8">
        <v>25</v>
      </c>
      <c r="I174" s="16" t="s">
        <v>12</v>
      </c>
      <c r="J174" s="7"/>
      <c r="K174" s="10">
        <v>11.403577500000001</v>
      </c>
    </row>
    <row r="175" spans="1:11" ht="15.75" customHeight="1">
      <c r="A175" s="8" t="s">
        <v>15</v>
      </c>
      <c r="B175" s="8">
        <v>453.67560864000001</v>
      </c>
      <c r="C175" s="8">
        <v>7.0419999999999998</v>
      </c>
      <c r="D175" s="8">
        <v>6.3E-2</v>
      </c>
      <c r="E175" s="8">
        <v>5.5199999999999999E-2</v>
      </c>
      <c r="F175" s="8">
        <v>1257</v>
      </c>
      <c r="G175" s="7"/>
      <c r="H175" s="8">
        <v>25</v>
      </c>
      <c r="I175" s="16" t="s">
        <v>12</v>
      </c>
      <c r="J175" s="7"/>
      <c r="K175" s="10">
        <v>11.7785777</v>
      </c>
    </row>
    <row r="176" spans="1:11" ht="15.75" customHeight="1">
      <c r="A176" s="8" t="s">
        <v>15</v>
      </c>
      <c r="B176" s="8">
        <v>506.60406899999998</v>
      </c>
      <c r="C176" s="8">
        <v>7.0419999999999998</v>
      </c>
      <c r="D176" s="8">
        <v>6.3E-2</v>
      </c>
      <c r="E176" s="8">
        <v>5.5199999999999999E-2</v>
      </c>
      <c r="F176" s="8">
        <v>1257</v>
      </c>
      <c r="G176" s="7"/>
      <c r="H176" s="8">
        <v>25</v>
      </c>
      <c r="I176" s="16" t="s">
        <v>12</v>
      </c>
      <c r="J176" s="7"/>
      <c r="K176" s="10">
        <v>11.970676599999999</v>
      </c>
    </row>
    <row r="177" spans="1:11" ht="15.75" customHeight="1">
      <c r="A177" s="8" t="s">
        <v>15</v>
      </c>
      <c r="B177" s="8">
        <v>563.63056182000003</v>
      </c>
      <c r="C177" s="8">
        <v>7.0419999999999998</v>
      </c>
      <c r="D177" s="8">
        <v>6.3E-2</v>
      </c>
      <c r="E177" s="8">
        <v>5.5199999999999999E-2</v>
      </c>
      <c r="F177" s="8">
        <v>1257</v>
      </c>
      <c r="G177" s="7"/>
      <c r="H177" s="8">
        <v>25</v>
      </c>
      <c r="I177" s="16" t="s">
        <v>12</v>
      </c>
      <c r="J177" s="7"/>
      <c r="K177" s="10">
        <v>12.272350299999999</v>
      </c>
    </row>
    <row r="178" spans="1:11" ht="15.75" customHeight="1">
      <c r="A178" s="8" t="s">
        <v>15</v>
      </c>
      <c r="B178" s="8">
        <v>629.38717140000006</v>
      </c>
      <c r="C178" s="8">
        <v>7.0419999999999998</v>
      </c>
      <c r="D178" s="8">
        <v>6.3E-2</v>
      </c>
      <c r="E178" s="8">
        <v>5.5199999999999999E-2</v>
      </c>
      <c r="F178" s="8">
        <v>1257</v>
      </c>
      <c r="G178" s="7"/>
      <c r="H178" s="8">
        <v>25</v>
      </c>
      <c r="I178" s="16" t="s">
        <v>12</v>
      </c>
      <c r="J178" s="7"/>
      <c r="K178" s="10">
        <v>12.5347416</v>
      </c>
    </row>
    <row r="179" spans="1:11" ht="15.75" customHeight="1">
      <c r="A179" s="8" t="s">
        <v>15</v>
      </c>
      <c r="B179" s="8">
        <v>713.23228019999999</v>
      </c>
      <c r="C179" s="8">
        <v>7.0419999999999998</v>
      </c>
      <c r="D179" s="8">
        <v>6.3E-2</v>
      </c>
      <c r="E179" s="8">
        <v>5.5199999999999999E-2</v>
      </c>
      <c r="F179" s="8">
        <v>1257</v>
      </c>
      <c r="G179" s="7"/>
      <c r="H179" s="8">
        <v>25</v>
      </c>
      <c r="I179" s="16" t="s">
        <v>12</v>
      </c>
      <c r="J179" s="7"/>
      <c r="K179" s="10">
        <v>13.0277478</v>
      </c>
    </row>
    <row r="180" spans="1:11" ht="15.75" customHeight="1">
      <c r="A180" s="8" t="s">
        <v>15</v>
      </c>
      <c r="B180" s="8">
        <v>787.70204939999996</v>
      </c>
      <c r="C180" s="8">
        <v>7.0419999999999998</v>
      </c>
      <c r="D180" s="8">
        <v>6.3E-2</v>
      </c>
      <c r="E180" s="8">
        <v>5.5199999999999999E-2</v>
      </c>
      <c r="F180" s="8">
        <v>1257</v>
      </c>
      <c r="G180" s="7"/>
      <c r="H180" s="8">
        <v>25</v>
      </c>
      <c r="I180" s="16" t="s">
        <v>12</v>
      </c>
      <c r="J180" s="7"/>
      <c r="K180" s="10">
        <v>13.256707</v>
      </c>
    </row>
    <row r="181" spans="1:11" ht="15.75" customHeight="1">
      <c r="A181" s="8" t="s">
        <v>15</v>
      </c>
      <c r="B181" s="8">
        <v>1108.9814766</v>
      </c>
      <c r="C181" s="8">
        <v>7.0419999999999998</v>
      </c>
      <c r="D181" s="8">
        <v>6.3E-2</v>
      </c>
      <c r="E181" s="8">
        <v>5.5199999999999999E-2</v>
      </c>
      <c r="F181" s="8">
        <v>1257</v>
      </c>
      <c r="G181" s="7"/>
      <c r="H181" s="8">
        <v>25</v>
      </c>
      <c r="I181" s="16" t="s">
        <v>12</v>
      </c>
      <c r="J181" s="7"/>
      <c r="K181" s="10">
        <v>14.409397800000001</v>
      </c>
    </row>
    <row r="182" spans="1:11" ht="15.75" customHeight="1">
      <c r="A182" s="8" t="s">
        <v>15</v>
      </c>
      <c r="B182" s="8">
        <v>1377.7597883999999</v>
      </c>
      <c r="C182" s="8">
        <v>7.0419999999999998</v>
      </c>
      <c r="D182" s="8">
        <v>6.3E-2</v>
      </c>
      <c r="E182" s="8">
        <v>5.5199999999999999E-2</v>
      </c>
      <c r="F182" s="8">
        <v>1257</v>
      </c>
      <c r="G182" s="7"/>
      <c r="H182" s="8">
        <v>25</v>
      </c>
      <c r="I182" s="16" t="s">
        <v>12</v>
      </c>
      <c r="J182" s="7"/>
      <c r="K182" s="10">
        <v>15.3153843</v>
      </c>
    </row>
    <row r="183" spans="1:11" ht="15.75" customHeight="1">
      <c r="A183" s="8" t="s">
        <v>15</v>
      </c>
      <c r="B183" s="8">
        <v>1631.7588330000001</v>
      </c>
      <c r="C183" s="8">
        <v>7.0419999999999998</v>
      </c>
      <c r="D183" s="8">
        <v>6.3E-2</v>
      </c>
      <c r="E183" s="8">
        <v>5.5199999999999999E-2</v>
      </c>
      <c r="F183" s="8">
        <v>1257</v>
      </c>
      <c r="G183" s="7"/>
      <c r="H183" s="8">
        <v>25</v>
      </c>
      <c r="I183" s="16" t="s">
        <v>12</v>
      </c>
      <c r="J183" s="7"/>
      <c r="K183" s="10">
        <v>16.097037199999999</v>
      </c>
    </row>
    <row r="184" spans="1:11" ht="15.75" customHeight="1">
      <c r="A184" s="8" t="s">
        <v>15</v>
      </c>
      <c r="B184" s="8">
        <v>2042.2078968000001</v>
      </c>
      <c r="C184" s="8">
        <v>7.0419999999999998</v>
      </c>
      <c r="D184" s="8">
        <v>6.3E-2</v>
      </c>
      <c r="E184" s="8">
        <v>5.5199999999999999E-2</v>
      </c>
      <c r="F184" s="8">
        <v>1257</v>
      </c>
      <c r="G184" s="7"/>
      <c r="H184" s="8">
        <v>25</v>
      </c>
      <c r="I184" s="16" t="s">
        <v>12</v>
      </c>
      <c r="J184" s="7"/>
      <c r="K184" s="10">
        <v>16.981862599999999</v>
      </c>
    </row>
    <row r="185" spans="1:11" ht="15.75" customHeight="1">
      <c r="A185" s="8" t="s">
        <v>15</v>
      </c>
      <c r="B185" s="8">
        <v>2348.5667927999998</v>
      </c>
      <c r="C185" s="8">
        <v>7.0419999999999998</v>
      </c>
      <c r="D185" s="8">
        <v>6.3E-2</v>
      </c>
      <c r="E185" s="8">
        <v>5.5199999999999999E-2</v>
      </c>
      <c r="F185" s="8">
        <v>1257</v>
      </c>
      <c r="G185" s="7"/>
      <c r="H185" s="8">
        <v>25</v>
      </c>
      <c r="I185" s="16" t="s">
        <v>12</v>
      </c>
      <c r="J185" s="7"/>
      <c r="K185" s="10">
        <v>17.737853900000001</v>
      </c>
    </row>
    <row r="186" spans="1:11" ht="15.75" customHeight="1">
      <c r="A186" s="8" t="s">
        <v>15</v>
      </c>
      <c r="B186" s="8">
        <v>65.72652798</v>
      </c>
      <c r="C186" s="8">
        <v>7.0419999999999998</v>
      </c>
      <c r="D186" s="14">
        <v>6.4000000000000001E-2</v>
      </c>
      <c r="E186" s="8">
        <v>3.0200000000000001E-2</v>
      </c>
      <c r="F186" s="8">
        <v>1247</v>
      </c>
      <c r="G186" s="7"/>
      <c r="H186" s="8">
        <v>25</v>
      </c>
      <c r="I186" s="16" t="s">
        <v>12</v>
      </c>
      <c r="J186" s="7"/>
      <c r="K186" s="10">
        <v>7.5342044799999996</v>
      </c>
    </row>
    <row r="187" spans="1:11" ht="15.75" customHeight="1">
      <c r="A187" s="8" t="s">
        <v>15</v>
      </c>
      <c r="B187" s="8">
        <v>119.07080694</v>
      </c>
      <c r="C187" s="8">
        <v>7.0419999999999998</v>
      </c>
      <c r="D187" s="14">
        <v>6.4000000000000001E-2</v>
      </c>
      <c r="E187" s="8">
        <v>3.0200000000000001E-2</v>
      </c>
      <c r="F187" s="8">
        <v>1247</v>
      </c>
      <c r="G187" s="7"/>
      <c r="H187" s="8">
        <v>25</v>
      </c>
      <c r="I187" s="16" t="s">
        <v>12</v>
      </c>
      <c r="J187" s="7"/>
      <c r="K187" s="10">
        <v>8.6127722599999998</v>
      </c>
    </row>
    <row r="188" spans="1:11" ht="15.75" customHeight="1">
      <c r="A188" s="8" t="s">
        <v>15</v>
      </c>
      <c r="B188" s="8">
        <v>176.75001516</v>
      </c>
      <c r="C188" s="8">
        <v>7.0419999999999998</v>
      </c>
      <c r="D188" s="14">
        <v>6.4000000000000001E-2</v>
      </c>
      <c r="E188" s="8">
        <v>3.0200000000000001E-2</v>
      </c>
      <c r="F188" s="8">
        <v>1247</v>
      </c>
      <c r="G188" s="7"/>
      <c r="H188" s="8">
        <v>25</v>
      </c>
      <c r="I188" s="16" t="s">
        <v>12</v>
      </c>
      <c r="J188" s="7"/>
      <c r="K188" s="10">
        <v>9.0430937700000005</v>
      </c>
    </row>
    <row r="189" spans="1:11" ht="15.75" customHeight="1">
      <c r="A189" s="8" t="s">
        <v>15</v>
      </c>
      <c r="B189" s="8">
        <v>242.76698472000001</v>
      </c>
      <c r="C189" s="8">
        <v>7.0419999999999998</v>
      </c>
      <c r="D189" s="14">
        <v>6.4000000000000001E-2</v>
      </c>
      <c r="E189" s="8">
        <v>3.0200000000000001E-2</v>
      </c>
      <c r="F189" s="8">
        <v>1247</v>
      </c>
      <c r="G189" s="7"/>
      <c r="H189" s="8">
        <v>25</v>
      </c>
      <c r="I189" s="16" t="s">
        <v>12</v>
      </c>
      <c r="J189" s="7"/>
      <c r="K189" s="10">
        <v>9.5705752200000003</v>
      </c>
    </row>
    <row r="190" spans="1:11" ht="15.75" customHeight="1">
      <c r="A190" s="8" t="s">
        <v>15</v>
      </c>
      <c r="B190" s="8">
        <v>300.30661967999998</v>
      </c>
      <c r="C190" s="8">
        <v>7.0419999999999998</v>
      </c>
      <c r="D190" s="14">
        <v>6.4000000000000001E-2</v>
      </c>
      <c r="E190" s="8">
        <v>3.0200000000000001E-2</v>
      </c>
      <c r="F190" s="8">
        <v>1247</v>
      </c>
      <c r="G190" s="7"/>
      <c r="H190" s="8">
        <v>25</v>
      </c>
      <c r="I190" s="16" t="s">
        <v>12</v>
      </c>
      <c r="J190" s="7"/>
      <c r="K190" s="10">
        <v>10.0373637</v>
      </c>
    </row>
    <row r="191" spans="1:11" ht="15.75" customHeight="1">
      <c r="A191" s="8" t="s">
        <v>15</v>
      </c>
      <c r="B191" s="8">
        <v>354.33360804</v>
      </c>
      <c r="C191" s="8">
        <v>7.0419999999999998</v>
      </c>
      <c r="D191" s="14">
        <v>6.4000000000000001E-2</v>
      </c>
      <c r="E191" s="8">
        <v>3.0200000000000001E-2</v>
      </c>
      <c r="F191" s="8">
        <v>1247</v>
      </c>
      <c r="G191" s="7"/>
      <c r="H191" s="8">
        <v>25</v>
      </c>
      <c r="I191" s="16" t="s">
        <v>12</v>
      </c>
      <c r="J191" s="7"/>
      <c r="K191" s="10">
        <v>10.3611378</v>
      </c>
    </row>
    <row r="192" spans="1:11" ht="15.75" customHeight="1">
      <c r="A192" s="8" t="s">
        <v>15</v>
      </c>
      <c r="B192" s="8">
        <v>411.08212092000002</v>
      </c>
      <c r="C192" s="8">
        <v>7.0419999999999998</v>
      </c>
      <c r="D192" s="14">
        <v>6.4000000000000001E-2</v>
      </c>
      <c r="E192" s="8">
        <v>3.0200000000000001E-2</v>
      </c>
      <c r="F192" s="8">
        <v>1247</v>
      </c>
      <c r="G192" s="7"/>
      <c r="H192" s="8">
        <v>25</v>
      </c>
      <c r="I192" s="16" t="s">
        <v>12</v>
      </c>
      <c r="J192" s="7"/>
      <c r="K192" s="10">
        <v>10.7196354</v>
      </c>
    </row>
    <row r="193" spans="1:11" ht="15.75" customHeight="1">
      <c r="A193" s="8" t="s">
        <v>15</v>
      </c>
      <c r="B193" s="8">
        <v>475.31152967999998</v>
      </c>
      <c r="C193" s="8">
        <v>7.0419999999999998</v>
      </c>
      <c r="D193" s="14">
        <v>6.4000000000000001E-2</v>
      </c>
      <c r="E193" s="8">
        <v>3.0200000000000001E-2</v>
      </c>
      <c r="F193" s="8">
        <v>1247</v>
      </c>
      <c r="G193" s="7"/>
      <c r="H193" s="8">
        <v>25</v>
      </c>
      <c r="I193" s="16" t="s">
        <v>12</v>
      </c>
      <c r="J193" s="7"/>
      <c r="K193" s="10">
        <v>10.953073699999999</v>
      </c>
    </row>
    <row r="194" spans="1:11" ht="15.75" customHeight="1">
      <c r="A194" s="8" t="s">
        <v>15</v>
      </c>
      <c r="B194" s="8">
        <v>533.12826726000003</v>
      </c>
      <c r="C194" s="8">
        <v>7.0419999999999998</v>
      </c>
      <c r="D194" s="14">
        <v>6.4000000000000001E-2</v>
      </c>
      <c r="E194" s="8">
        <v>3.0200000000000001E-2</v>
      </c>
      <c r="F194" s="8">
        <v>1247</v>
      </c>
      <c r="G194" s="7"/>
      <c r="H194" s="8">
        <v>25</v>
      </c>
      <c r="I194" s="16" t="s">
        <v>12</v>
      </c>
      <c r="J194" s="7"/>
      <c r="K194" s="10">
        <v>11.2297288</v>
      </c>
    </row>
    <row r="195" spans="1:11" ht="15.75" customHeight="1">
      <c r="A195" s="8" t="s">
        <v>15</v>
      </c>
      <c r="B195" s="8">
        <v>578.12558544000001</v>
      </c>
      <c r="C195" s="8">
        <v>7.0419999999999998</v>
      </c>
      <c r="D195" s="14">
        <v>6.4000000000000001E-2</v>
      </c>
      <c r="E195" s="8">
        <v>3.0200000000000001E-2</v>
      </c>
      <c r="F195" s="8">
        <v>1247</v>
      </c>
      <c r="G195" s="7"/>
      <c r="H195" s="8">
        <v>25</v>
      </c>
      <c r="I195" s="16" t="s">
        <v>12</v>
      </c>
      <c r="J195" s="7"/>
      <c r="K195" s="10">
        <v>11.3835649</v>
      </c>
    </row>
    <row r="196" spans="1:11" ht="15.75" customHeight="1">
      <c r="A196" s="8" t="s">
        <v>15</v>
      </c>
      <c r="B196" s="8">
        <v>663.95626140000002</v>
      </c>
      <c r="C196" s="8">
        <v>7.0419999999999998</v>
      </c>
      <c r="D196" s="14">
        <v>6.4000000000000001E-2</v>
      </c>
      <c r="E196" s="8">
        <v>3.0200000000000001E-2</v>
      </c>
      <c r="F196" s="8">
        <v>1247</v>
      </c>
      <c r="G196" s="7"/>
      <c r="H196" s="8">
        <v>25</v>
      </c>
      <c r="I196" s="16" t="s">
        <v>12</v>
      </c>
      <c r="J196" s="7"/>
      <c r="K196" s="10">
        <v>11.7774397</v>
      </c>
    </row>
    <row r="197" spans="1:11" ht="15.75" customHeight="1">
      <c r="A197" s="8" t="s">
        <v>15</v>
      </c>
      <c r="B197" s="8">
        <v>739.70847419999996</v>
      </c>
      <c r="C197" s="8">
        <v>7.0419999999999998</v>
      </c>
      <c r="D197" s="14">
        <v>6.4000000000000001E-2</v>
      </c>
      <c r="E197" s="8">
        <v>3.0200000000000001E-2</v>
      </c>
      <c r="F197" s="8">
        <v>1247</v>
      </c>
      <c r="G197" s="7"/>
      <c r="H197" s="8">
        <v>25</v>
      </c>
      <c r="I197" s="16" t="s">
        <v>12</v>
      </c>
      <c r="J197" s="7"/>
      <c r="K197" s="10">
        <v>12.116058900000001</v>
      </c>
    </row>
    <row r="198" spans="1:11" ht="15.75" customHeight="1">
      <c r="A198" s="8" t="s">
        <v>15</v>
      </c>
      <c r="B198" s="8">
        <v>846.66458399999999</v>
      </c>
      <c r="C198" s="8">
        <v>7.0419999999999998</v>
      </c>
      <c r="D198" s="14">
        <v>6.4000000000000001E-2</v>
      </c>
      <c r="E198" s="8">
        <v>3.0200000000000001E-2</v>
      </c>
      <c r="F198" s="8">
        <v>1247</v>
      </c>
      <c r="G198" s="7"/>
      <c r="H198" s="8">
        <v>25</v>
      </c>
      <c r="I198" s="16" t="s">
        <v>12</v>
      </c>
      <c r="J198" s="7"/>
      <c r="K198" s="10">
        <v>12.5352782</v>
      </c>
    </row>
    <row r="199" spans="1:11" ht="15.75" customHeight="1">
      <c r="A199" s="8" t="s">
        <v>15</v>
      </c>
      <c r="B199" s="8">
        <v>1198.7751072000001</v>
      </c>
      <c r="C199" s="8">
        <v>7.0419999999999998</v>
      </c>
      <c r="D199" s="14">
        <v>6.4000000000000001E-2</v>
      </c>
      <c r="E199" s="8">
        <v>3.0200000000000001E-2</v>
      </c>
      <c r="F199" s="8">
        <v>1247</v>
      </c>
      <c r="G199" s="7"/>
      <c r="H199" s="8">
        <v>25</v>
      </c>
      <c r="I199" s="16" t="s">
        <v>12</v>
      </c>
      <c r="J199" s="7"/>
      <c r="K199" s="10">
        <v>13.7878726</v>
      </c>
    </row>
    <row r="200" spans="1:11" ht="15.75" customHeight="1">
      <c r="A200" s="8" t="s">
        <v>15</v>
      </c>
      <c r="B200" s="8">
        <v>1498.0005000000001</v>
      </c>
      <c r="C200" s="8">
        <v>7.0419999999999998</v>
      </c>
      <c r="D200" s="14">
        <v>6.4000000000000001E-2</v>
      </c>
      <c r="E200" s="8">
        <v>3.0200000000000001E-2</v>
      </c>
      <c r="F200" s="8">
        <v>1247</v>
      </c>
      <c r="G200" s="7"/>
      <c r="H200" s="8">
        <v>25</v>
      </c>
      <c r="I200" s="16" t="s">
        <v>12</v>
      </c>
      <c r="J200" s="7"/>
      <c r="K200" s="10">
        <v>14.4112489</v>
      </c>
    </row>
    <row r="201" spans="1:11" ht="15.75" customHeight="1">
      <c r="A201" s="8" t="s">
        <v>15</v>
      </c>
      <c r="B201" s="8">
        <v>1749.688269</v>
      </c>
      <c r="C201" s="8">
        <v>7.0419999999999998</v>
      </c>
      <c r="D201" s="14">
        <v>6.4000000000000001E-2</v>
      </c>
      <c r="E201" s="8">
        <v>3.0200000000000001E-2</v>
      </c>
      <c r="F201" s="8">
        <v>1247</v>
      </c>
      <c r="G201" s="7"/>
      <c r="H201" s="8">
        <v>25</v>
      </c>
      <c r="I201" s="16" t="s">
        <v>12</v>
      </c>
      <c r="J201" s="7"/>
      <c r="K201" s="10">
        <v>15.079900200000001</v>
      </c>
    </row>
    <row r="202" spans="1:11" ht="15.75" customHeight="1">
      <c r="A202" s="8" t="s">
        <v>15</v>
      </c>
      <c r="B202" s="8">
        <v>2092.5378473999999</v>
      </c>
      <c r="C202" s="8">
        <v>7.0419999999999998</v>
      </c>
      <c r="D202" s="14">
        <v>6.4000000000000001E-2</v>
      </c>
      <c r="E202" s="8">
        <v>3.0200000000000001E-2</v>
      </c>
      <c r="F202" s="8">
        <v>1247</v>
      </c>
      <c r="G202" s="7"/>
      <c r="H202" s="8">
        <v>25</v>
      </c>
      <c r="I202" s="16" t="s">
        <v>12</v>
      </c>
      <c r="J202" s="7"/>
      <c r="K202" s="10">
        <v>15.941421500000001</v>
      </c>
    </row>
    <row r="203" spans="1:11" ht="15.75" customHeight="1">
      <c r="A203" s="8" t="s">
        <v>15</v>
      </c>
      <c r="B203" s="8">
        <v>2444.1172901999998</v>
      </c>
      <c r="C203" s="8">
        <v>7.0419999999999998</v>
      </c>
      <c r="D203" s="14">
        <v>6.4000000000000001E-2</v>
      </c>
      <c r="E203" s="8">
        <v>3.0200000000000001E-2</v>
      </c>
      <c r="F203" s="8">
        <v>1247</v>
      </c>
      <c r="G203" s="7"/>
      <c r="H203" s="8">
        <v>25</v>
      </c>
      <c r="I203" s="16" t="s">
        <v>12</v>
      </c>
      <c r="J203" s="7"/>
      <c r="K203" s="10">
        <v>16.662164700000002</v>
      </c>
    </row>
    <row r="204" spans="1:11" ht="15.75" customHeight="1">
      <c r="A204" s="8" t="s">
        <v>15</v>
      </c>
      <c r="B204" s="8">
        <v>74.471978579999998</v>
      </c>
      <c r="C204" s="8">
        <v>7.0419999999999998</v>
      </c>
      <c r="D204" s="14">
        <v>6.6000000000000003E-2</v>
      </c>
      <c r="E204" s="8">
        <v>4.4900000000000002E-2</v>
      </c>
      <c r="F204" s="8">
        <v>1210</v>
      </c>
      <c r="G204" s="7"/>
      <c r="H204" s="8">
        <v>25</v>
      </c>
      <c r="I204" s="16" t="s">
        <v>12</v>
      </c>
      <c r="J204" s="7"/>
      <c r="K204" s="10">
        <v>7.2083031999999996</v>
      </c>
    </row>
    <row r="205" spans="1:11" ht="15.75" customHeight="1">
      <c r="A205" s="8" t="s">
        <v>15</v>
      </c>
      <c r="B205" s="8">
        <v>118.26944958</v>
      </c>
      <c r="C205" s="8">
        <v>7.0419999999999998</v>
      </c>
      <c r="D205" s="14">
        <v>6.6000000000000003E-2</v>
      </c>
      <c r="E205" s="8">
        <v>4.4900000000000002E-2</v>
      </c>
      <c r="F205" s="8">
        <v>1210</v>
      </c>
      <c r="G205" s="7"/>
      <c r="H205" s="8">
        <v>25</v>
      </c>
      <c r="I205" s="16" t="s">
        <v>12</v>
      </c>
      <c r="J205" s="7"/>
      <c r="K205" s="10">
        <v>7.5513093099999997</v>
      </c>
    </row>
    <row r="206" spans="1:11" ht="15.75" customHeight="1">
      <c r="A206" s="8" t="s">
        <v>15</v>
      </c>
      <c r="B206" s="8">
        <v>182.20314096000001</v>
      </c>
      <c r="C206" s="8">
        <v>7.0419999999999998</v>
      </c>
      <c r="D206" s="14">
        <v>6.6000000000000003E-2</v>
      </c>
      <c r="E206" s="8">
        <v>4.4900000000000002E-2</v>
      </c>
      <c r="F206" s="8">
        <v>1210</v>
      </c>
      <c r="G206" s="7"/>
      <c r="H206" s="8">
        <v>25</v>
      </c>
      <c r="I206" s="16" t="s">
        <v>12</v>
      </c>
      <c r="J206" s="7"/>
      <c r="K206" s="10">
        <v>8.0008416400000009</v>
      </c>
    </row>
    <row r="207" spans="1:11" ht="15.75" customHeight="1">
      <c r="A207" s="8" t="s">
        <v>15</v>
      </c>
      <c r="B207" s="8">
        <v>237.89863152000001</v>
      </c>
      <c r="C207" s="8">
        <v>7.0419999999999998</v>
      </c>
      <c r="D207" s="14">
        <v>6.6000000000000003E-2</v>
      </c>
      <c r="E207" s="8">
        <v>4.4900000000000002E-2</v>
      </c>
      <c r="F207" s="8">
        <v>1210</v>
      </c>
      <c r="G207" s="7"/>
      <c r="H207" s="8">
        <v>25</v>
      </c>
      <c r="I207" s="16" t="s">
        <v>12</v>
      </c>
      <c r="J207" s="7"/>
      <c r="K207" s="10">
        <v>8.3815605800000004</v>
      </c>
    </row>
    <row r="208" spans="1:11" ht="15.75" customHeight="1">
      <c r="A208" s="8" t="s">
        <v>15</v>
      </c>
      <c r="B208" s="8">
        <v>299.29428497999999</v>
      </c>
      <c r="C208" s="8">
        <v>7.0419999999999998</v>
      </c>
      <c r="D208" s="14">
        <v>6.6000000000000003E-2</v>
      </c>
      <c r="E208" s="8">
        <v>4.4900000000000002E-2</v>
      </c>
      <c r="F208" s="8">
        <v>1210</v>
      </c>
      <c r="G208" s="7"/>
      <c r="H208" s="8">
        <v>25</v>
      </c>
      <c r="I208" s="16" t="s">
        <v>12</v>
      </c>
      <c r="J208" s="7"/>
      <c r="K208" s="10">
        <v>8.8503620900000008</v>
      </c>
    </row>
    <row r="209" spans="1:11" ht="15.75" customHeight="1">
      <c r="A209" s="8" t="s">
        <v>15</v>
      </c>
      <c r="B209" s="8">
        <v>356.73446339999998</v>
      </c>
      <c r="C209" s="8">
        <v>7.0419999999999998</v>
      </c>
      <c r="D209" s="14">
        <v>6.6000000000000003E-2</v>
      </c>
      <c r="E209" s="8">
        <v>4.4900000000000002E-2</v>
      </c>
      <c r="F209" s="8">
        <v>1210</v>
      </c>
      <c r="G209" s="7"/>
      <c r="H209" s="8">
        <v>25</v>
      </c>
      <c r="I209" s="16" t="s">
        <v>12</v>
      </c>
      <c r="J209" s="7"/>
      <c r="K209" s="10">
        <v>9.0739064700000007</v>
      </c>
    </row>
    <row r="210" spans="1:11" ht="15.75" customHeight="1">
      <c r="A210" s="8" t="s">
        <v>15</v>
      </c>
      <c r="B210" s="8">
        <v>428.07902544000001</v>
      </c>
      <c r="C210" s="8">
        <v>7.0419999999999998</v>
      </c>
      <c r="D210" s="14">
        <v>6.6000000000000003E-2</v>
      </c>
      <c r="E210" s="8">
        <v>4.4900000000000002E-2</v>
      </c>
      <c r="F210" s="8">
        <v>1210</v>
      </c>
      <c r="G210" s="7"/>
      <c r="H210" s="8">
        <v>25</v>
      </c>
      <c r="I210" s="16" t="s">
        <v>12</v>
      </c>
      <c r="J210" s="7"/>
      <c r="K210" s="10">
        <v>9.4305403000000005</v>
      </c>
    </row>
    <row r="211" spans="1:11" ht="15.75" customHeight="1">
      <c r="A211" s="8" t="s">
        <v>15</v>
      </c>
      <c r="B211" s="8">
        <v>473.70951636000001</v>
      </c>
      <c r="C211" s="8">
        <v>7.0419999999999998</v>
      </c>
      <c r="D211" s="14">
        <v>6.6000000000000003E-2</v>
      </c>
      <c r="E211" s="8">
        <v>4.4900000000000002E-2</v>
      </c>
      <c r="F211" s="8">
        <v>1210</v>
      </c>
      <c r="G211" s="7"/>
      <c r="H211" s="8">
        <v>25</v>
      </c>
      <c r="I211" s="16" t="s">
        <v>12</v>
      </c>
      <c r="J211" s="7"/>
      <c r="K211" s="10">
        <v>9.6797076900000008</v>
      </c>
    </row>
    <row r="212" spans="1:11" ht="15.75" customHeight="1">
      <c r="A212" s="8" t="s">
        <v>15</v>
      </c>
      <c r="B212" s="8">
        <v>533.12826726000003</v>
      </c>
      <c r="C212" s="8">
        <v>7.0419999999999998</v>
      </c>
      <c r="D212" s="14">
        <v>6.6000000000000003E-2</v>
      </c>
      <c r="E212" s="8">
        <v>4.4900000000000002E-2</v>
      </c>
      <c r="F212" s="8">
        <v>1210</v>
      </c>
      <c r="G212" s="7"/>
      <c r="H212" s="8">
        <v>25</v>
      </c>
      <c r="I212" s="16" t="s">
        <v>12</v>
      </c>
      <c r="J212" s="7"/>
      <c r="K212" s="10">
        <v>9.9693116899999996</v>
      </c>
    </row>
    <row r="213" spans="1:11" ht="15.75" customHeight="1">
      <c r="A213" s="8" t="s">
        <v>15</v>
      </c>
      <c r="B213" s="8">
        <v>597.97781369999996</v>
      </c>
      <c r="C213" s="8">
        <v>7.0419999999999998</v>
      </c>
      <c r="D213" s="14">
        <v>6.6000000000000003E-2</v>
      </c>
      <c r="E213" s="8">
        <v>4.4900000000000002E-2</v>
      </c>
      <c r="F213" s="8">
        <v>1210</v>
      </c>
      <c r="G213" s="7"/>
      <c r="H213" s="8">
        <v>25</v>
      </c>
      <c r="I213" s="16" t="s">
        <v>12</v>
      </c>
      <c r="J213" s="7"/>
      <c r="K213" s="10">
        <v>10.255944400000001</v>
      </c>
    </row>
    <row r="214" spans="1:11" ht="15.75" customHeight="1">
      <c r="A214" s="8" t="s">
        <v>15</v>
      </c>
      <c r="B214" s="8">
        <v>655.05009180000002</v>
      </c>
      <c r="C214" s="8">
        <v>7.0419999999999998</v>
      </c>
      <c r="D214" s="14">
        <v>6.6000000000000003E-2</v>
      </c>
      <c r="E214" s="8">
        <v>4.4900000000000002E-2</v>
      </c>
      <c r="F214" s="8">
        <v>1210</v>
      </c>
      <c r="G214" s="7"/>
      <c r="H214" s="8">
        <v>25</v>
      </c>
      <c r="I214" s="16" t="s">
        <v>12</v>
      </c>
      <c r="J214" s="7"/>
      <c r="K214" s="10">
        <v>10.503075000000001</v>
      </c>
    </row>
    <row r="215" spans="1:11" ht="15.75" customHeight="1">
      <c r="A215" s="8" t="s">
        <v>15</v>
      </c>
      <c r="B215" s="8">
        <v>739.70847419999996</v>
      </c>
      <c r="C215" s="8">
        <v>7.0419999999999998</v>
      </c>
      <c r="D215" s="14">
        <v>6.6000000000000003E-2</v>
      </c>
      <c r="E215" s="8">
        <v>4.4900000000000002E-2</v>
      </c>
      <c r="F215" s="8">
        <v>1210</v>
      </c>
      <c r="G215" s="7"/>
      <c r="H215" s="8">
        <v>25</v>
      </c>
      <c r="I215" s="16" t="s">
        <v>12</v>
      </c>
      <c r="J215" s="7"/>
      <c r="K215" s="10">
        <v>10.768364</v>
      </c>
    </row>
    <row r="216" spans="1:11" ht="15.75" customHeight="1">
      <c r="A216" s="8" t="s">
        <v>15</v>
      </c>
      <c r="B216" s="8">
        <v>843.81094380000002</v>
      </c>
      <c r="C216" s="8">
        <v>7.0419999999999998</v>
      </c>
      <c r="D216" s="14">
        <v>6.6000000000000003E-2</v>
      </c>
      <c r="E216" s="8">
        <v>4.4900000000000002E-2</v>
      </c>
      <c r="F216" s="8">
        <v>1210</v>
      </c>
      <c r="G216" s="7"/>
      <c r="H216" s="8">
        <v>25</v>
      </c>
      <c r="I216" s="16" t="s">
        <v>12</v>
      </c>
      <c r="J216" s="7"/>
      <c r="K216" s="10">
        <v>11.2552225</v>
      </c>
    </row>
    <row r="217" spans="1:11" ht="15.75" customHeight="1">
      <c r="A217" s="8" t="s">
        <v>15</v>
      </c>
      <c r="B217" s="8">
        <v>1162.8971772</v>
      </c>
      <c r="C217" s="8">
        <v>7.0419999999999998</v>
      </c>
      <c r="D217" s="14">
        <v>6.6000000000000003E-2</v>
      </c>
      <c r="E217" s="8">
        <v>4.4900000000000002E-2</v>
      </c>
      <c r="F217" s="8">
        <v>1210</v>
      </c>
      <c r="G217" s="7"/>
      <c r="H217" s="8">
        <v>25</v>
      </c>
      <c r="I217" s="16" t="s">
        <v>12</v>
      </c>
      <c r="J217" s="7"/>
      <c r="K217" s="10">
        <v>12.2403312</v>
      </c>
    </row>
    <row r="218" spans="1:11" ht="15.75" customHeight="1">
      <c r="A218" s="8" t="s">
        <v>15</v>
      </c>
      <c r="B218" s="8">
        <v>61.607473319999997</v>
      </c>
      <c r="C218" s="8">
        <v>5.9450000000000003</v>
      </c>
      <c r="D218" s="14">
        <v>6.4000000000000001E-2</v>
      </c>
      <c r="E218" s="8">
        <v>3.0200000000000001E-2</v>
      </c>
      <c r="F218" s="8">
        <v>1247</v>
      </c>
      <c r="G218" s="7"/>
      <c r="H218" s="8">
        <v>25</v>
      </c>
      <c r="I218" s="16" t="s">
        <v>12</v>
      </c>
      <c r="J218" s="7"/>
      <c r="K218" s="10">
        <v>7.0877220100000002</v>
      </c>
    </row>
    <row r="219" spans="1:11" ht="15.75" customHeight="1">
      <c r="A219" s="8" t="s">
        <v>15</v>
      </c>
      <c r="B219" s="8">
        <v>97.500567239999995</v>
      </c>
      <c r="C219" s="8">
        <v>5.9450000000000003</v>
      </c>
      <c r="D219" s="14">
        <v>6.4000000000000001E-2</v>
      </c>
      <c r="E219" s="8">
        <v>3.0200000000000001E-2</v>
      </c>
      <c r="F219" s="8">
        <v>1247</v>
      </c>
      <c r="G219" s="7"/>
      <c r="H219" s="8">
        <v>25</v>
      </c>
      <c r="I219" s="16" t="s">
        <v>12</v>
      </c>
      <c r="J219" s="7"/>
      <c r="K219" s="10">
        <v>8.0592488800000002</v>
      </c>
    </row>
    <row r="220" spans="1:11" ht="15.75" customHeight="1">
      <c r="A220" s="8" t="s">
        <v>15</v>
      </c>
      <c r="B220" s="8">
        <v>156.17087838</v>
      </c>
      <c r="C220" s="8">
        <v>5.9450000000000003</v>
      </c>
      <c r="D220" s="14">
        <v>6.4000000000000001E-2</v>
      </c>
      <c r="E220" s="8">
        <v>3.0200000000000001E-2</v>
      </c>
      <c r="F220" s="8">
        <v>1247</v>
      </c>
      <c r="G220" s="7"/>
      <c r="H220" s="8">
        <v>25</v>
      </c>
      <c r="I220" s="16" t="s">
        <v>12</v>
      </c>
      <c r="J220" s="7"/>
      <c r="K220" s="10">
        <v>8.5973371299999997</v>
      </c>
    </row>
    <row r="221" spans="1:11" ht="15.75" customHeight="1">
      <c r="A221" s="8" t="s">
        <v>15</v>
      </c>
      <c r="B221" s="8">
        <v>221.28759102000001</v>
      </c>
      <c r="C221" s="8">
        <v>5.9450000000000003</v>
      </c>
      <c r="D221" s="14">
        <v>6.4000000000000001E-2</v>
      </c>
      <c r="E221" s="8">
        <v>3.0200000000000001E-2</v>
      </c>
      <c r="F221" s="8">
        <v>1247</v>
      </c>
      <c r="G221" s="7"/>
      <c r="H221" s="8">
        <v>25</v>
      </c>
      <c r="I221" s="16" t="s">
        <v>12</v>
      </c>
      <c r="J221" s="7"/>
      <c r="K221" s="10">
        <v>9.1565443000000002</v>
      </c>
    </row>
    <row r="222" spans="1:11" ht="15.75" customHeight="1">
      <c r="A222" s="8" t="s">
        <v>15</v>
      </c>
      <c r="B222" s="8">
        <v>284.12972423999997</v>
      </c>
      <c r="C222" s="8">
        <v>5.9450000000000003</v>
      </c>
      <c r="D222" s="14">
        <v>6.4000000000000001E-2</v>
      </c>
      <c r="E222" s="8">
        <v>3.0200000000000001E-2</v>
      </c>
      <c r="F222" s="8">
        <v>1247</v>
      </c>
      <c r="G222" s="7"/>
      <c r="H222" s="8">
        <v>25</v>
      </c>
      <c r="I222" s="16" t="s">
        <v>12</v>
      </c>
      <c r="J222" s="7"/>
      <c r="K222" s="10">
        <v>9.6113327799999997</v>
      </c>
    </row>
    <row r="223" spans="1:11" ht="15.75" customHeight="1">
      <c r="A223" s="8" t="s">
        <v>15</v>
      </c>
      <c r="B223" s="8">
        <v>340.25518865999999</v>
      </c>
      <c r="C223" s="8">
        <v>5.9450000000000003</v>
      </c>
      <c r="D223" s="14">
        <v>6.4000000000000001E-2</v>
      </c>
      <c r="E223" s="8">
        <v>3.0200000000000001E-2</v>
      </c>
      <c r="F223" s="8">
        <v>1247</v>
      </c>
      <c r="G223" s="7"/>
      <c r="H223" s="8">
        <v>25</v>
      </c>
      <c r="I223" s="16" t="s">
        <v>12</v>
      </c>
      <c r="J223" s="7"/>
      <c r="K223" s="10">
        <v>10.056161100000001</v>
      </c>
    </row>
    <row r="224" spans="1:11" ht="15.75" customHeight="1">
      <c r="A224" s="8" t="s">
        <v>15</v>
      </c>
      <c r="B224" s="8">
        <v>389.27796816</v>
      </c>
      <c r="C224" s="8">
        <v>5.9450000000000003</v>
      </c>
      <c r="D224" s="14">
        <v>6.4000000000000001E-2</v>
      </c>
      <c r="E224" s="8">
        <v>3.0200000000000001E-2</v>
      </c>
      <c r="F224" s="8">
        <v>1247</v>
      </c>
      <c r="G224" s="7"/>
      <c r="H224" s="8">
        <v>25</v>
      </c>
      <c r="I224" s="16" t="s">
        <v>12</v>
      </c>
      <c r="J224" s="7"/>
      <c r="K224" s="10">
        <v>10.3948392</v>
      </c>
    </row>
    <row r="225" spans="1:11" ht="15.75" customHeight="1">
      <c r="A225" s="8" t="s">
        <v>15</v>
      </c>
      <c r="B225" s="8">
        <v>452.92028970000001</v>
      </c>
      <c r="C225" s="8">
        <v>5.9450000000000003</v>
      </c>
      <c r="D225" s="14">
        <v>6.4000000000000001E-2</v>
      </c>
      <c r="E225" s="8">
        <v>3.0200000000000001E-2</v>
      </c>
      <c r="F225" s="8">
        <v>1247</v>
      </c>
      <c r="G225" s="7"/>
      <c r="H225" s="8">
        <v>25</v>
      </c>
      <c r="I225" s="16" t="s">
        <v>12</v>
      </c>
      <c r="J225" s="7"/>
      <c r="K225" s="10">
        <v>10.710256299999999</v>
      </c>
    </row>
    <row r="226" spans="1:11" ht="15.75" customHeight="1">
      <c r="A226" s="8" t="s">
        <v>15</v>
      </c>
      <c r="B226" s="8">
        <v>516.93174197999997</v>
      </c>
      <c r="C226" s="8">
        <v>5.9450000000000003</v>
      </c>
      <c r="D226" s="14">
        <v>6.4000000000000001E-2</v>
      </c>
      <c r="E226" s="8">
        <v>3.0200000000000001E-2</v>
      </c>
      <c r="F226" s="8">
        <v>1247</v>
      </c>
      <c r="G226" s="7"/>
      <c r="H226" s="8">
        <v>25</v>
      </c>
      <c r="I226" s="16" t="s">
        <v>12</v>
      </c>
      <c r="J226" s="7"/>
      <c r="K226" s="10">
        <v>11.017427700000001</v>
      </c>
    </row>
    <row r="227" spans="1:11" ht="15.75" customHeight="1">
      <c r="A227" s="8" t="s">
        <v>15</v>
      </c>
      <c r="B227" s="8">
        <v>566.36846748000005</v>
      </c>
      <c r="C227" s="8">
        <v>5.9450000000000003</v>
      </c>
      <c r="D227" s="14">
        <v>6.4000000000000001E-2</v>
      </c>
      <c r="E227" s="8">
        <v>3.0200000000000001E-2</v>
      </c>
      <c r="F227" s="8">
        <v>1247</v>
      </c>
      <c r="G227" s="7"/>
      <c r="H227" s="8">
        <v>25</v>
      </c>
      <c r="I227" s="16" t="s">
        <v>12</v>
      </c>
      <c r="J227" s="7"/>
      <c r="K227" s="10">
        <v>11.233136099999999</v>
      </c>
    </row>
    <row r="228" spans="1:11" ht="15.75" customHeight="1">
      <c r="A228" s="8" t="s">
        <v>15</v>
      </c>
      <c r="B228" s="8">
        <v>637.15841399999999</v>
      </c>
      <c r="C228" s="8">
        <v>5.9450000000000003</v>
      </c>
      <c r="D228" s="14">
        <v>6.4000000000000001E-2</v>
      </c>
      <c r="E228" s="8">
        <v>3.0200000000000001E-2</v>
      </c>
      <c r="F228" s="8">
        <v>1247</v>
      </c>
      <c r="G228" s="7"/>
      <c r="H228" s="8">
        <v>25</v>
      </c>
      <c r="I228" s="16" t="s">
        <v>12</v>
      </c>
      <c r="J228" s="7"/>
      <c r="K228" s="10">
        <v>11.545972900000001</v>
      </c>
    </row>
    <row r="229" spans="1:11" ht="15.75" customHeight="1">
      <c r="A229" s="8" t="s">
        <v>15</v>
      </c>
      <c r="B229" s="8">
        <v>693.07756380000001</v>
      </c>
      <c r="C229" s="8">
        <v>5.9450000000000003</v>
      </c>
      <c r="D229" s="14">
        <v>6.4000000000000001E-2</v>
      </c>
      <c r="E229" s="8">
        <v>3.0200000000000001E-2</v>
      </c>
      <c r="F229" s="8">
        <v>1247</v>
      </c>
      <c r="G229" s="7"/>
      <c r="H229" s="8">
        <v>25</v>
      </c>
      <c r="I229" s="16" t="s">
        <v>12</v>
      </c>
      <c r="J229" s="7"/>
      <c r="K229" s="10">
        <v>11.829231399999999</v>
      </c>
    </row>
    <row r="230" spans="1:11" ht="15.75" customHeight="1">
      <c r="A230" s="8" t="s">
        <v>15</v>
      </c>
      <c r="B230" s="8">
        <v>775.96546499999999</v>
      </c>
      <c r="C230" s="8">
        <v>5.9450000000000003</v>
      </c>
      <c r="D230" s="14">
        <v>6.4000000000000001E-2</v>
      </c>
      <c r="E230" s="8">
        <v>3.0200000000000001E-2</v>
      </c>
      <c r="F230" s="8">
        <v>1247</v>
      </c>
      <c r="G230" s="7"/>
      <c r="H230" s="8">
        <v>25</v>
      </c>
      <c r="I230" s="16" t="s">
        <v>12</v>
      </c>
      <c r="J230" s="7"/>
      <c r="K230" s="10">
        <v>12.2078831</v>
      </c>
    </row>
    <row r="231" spans="1:11" ht="15.75" customHeight="1">
      <c r="A231" s="8" t="s">
        <v>15</v>
      </c>
      <c r="B231" s="8">
        <v>73.071182339999993</v>
      </c>
      <c r="C231" s="8">
        <v>5.9450000000000003</v>
      </c>
      <c r="D231" s="14">
        <v>6.6000000000000003E-2</v>
      </c>
      <c r="E231" s="8">
        <v>4.4900000000000002E-2</v>
      </c>
      <c r="F231" s="8">
        <v>1210</v>
      </c>
      <c r="G231" s="7"/>
      <c r="H231" s="8">
        <v>25</v>
      </c>
      <c r="I231" s="16" t="s">
        <v>12</v>
      </c>
      <c r="J231" s="7"/>
      <c r="K231" s="10">
        <v>6.9684856699999997</v>
      </c>
    </row>
    <row r="232" spans="1:11" ht="15.75" customHeight="1">
      <c r="A232" s="8" t="s">
        <v>15</v>
      </c>
      <c r="B232" s="8">
        <v>94.728594419999993</v>
      </c>
      <c r="C232" s="8">
        <v>5.9450000000000003</v>
      </c>
      <c r="D232" s="14">
        <v>6.6000000000000003E-2</v>
      </c>
      <c r="E232" s="8">
        <v>4.4900000000000002E-2</v>
      </c>
      <c r="F232" s="8">
        <v>1210</v>
      </c>
      <c r="G232" s="7"/>
      <c r="H232" s="8">
        <v>25</v>
      </c>
      <c r="I232" s="16" t="s">
        <v>12</v>
      </c>
      <c r="J232" s="7"/>
      <c r="K232" s="10">
        <v>6.9347881999999998</v>
      </c>
    </row>
    <row r="233" spans="1:11" ht="15.75" customHeight="1">
      <c r="A233" s="8" t="s">
        <v>15</v>
      </c>
      <c r="B233" s="8">
        <v>144.26243796</v>
      </c>
      <c r="C233" s="8">
        <v>5.9450000000000003</v>
      </c>
      <c r="D233" s="14">
        <v>6.6000000000000003E-2</v>
      </c>
      <c r="E233" s="8">
        <v>4.4900000000000002E-2</v>
      </c>
      <c r="F233" s="8">
        <v>1210</v>
      </c>
      <c r="G233" s="7"/>
      <c r="H233" s="8">
        <v>25</v>
      </c>
      <c r="I233" s="16" t="s">
        <v>12</v>
      </c>
      <c r="J233" s="7"/>
      <c r="K233" s="10">
        <v>7.3560823199999996</v>
      </c>
    </row>
    <row r="234" spans="1:11" ht="15.75" customHeight="1">
      <c r="A234" s="8" t="s">
        <v>15</v>
      </c>
      <c r="B234" s="8">
        <v>209.38654872000001</v>
      </c>
      <c r="C234" s="8">
        <v>5.9450000000000003</v>
      </c>
      <c r="D234" s="14">
        <v>6.6000000000000003E-2</v>
      </c>
      <c r="E234" s="8">
        <v>4.4900000000000002E-2</v>
      </c>
      <c r="F234" s="8">
        <v>1210</v>
      </c>
      <c r="G234" s="7"/>
      <c r="H234" s="8">
        <v>25</v>
      </c>
      <c r="I234" s="16" t="s">
        <v>12</v>
      </c>
      <c r="J234" s="7"/>
      <c r="K234" s="10">
        <v>7.8789853399999998</v>
      </c>
    </row>
    <row r="235" spans="1:11" ht="15.75" customHeight="1">
      <c r="A235" s="8" t="s">
        <v>15</v>
      </c>
      <c r="B235" s="8">
        <v>259.9527693</v>
      </c>
      <c r="C235" s="8">
        <v>5.9450000000000003</v>
      </c>
      <c r="D235" s="14">
        <v>6.6000000000000003E-2</v>
      </c>
      <c r="E235" s="8">
        <v>4.4900000000000002E-2</v>
      </c>
      <c r="F235" s="8">
        <v>1210</v>
      </c>
      <c r="G235" s="7"/>
      <c r="H235" s="8">
        <v>25</v>
      </c>
      <c r="I235" s="16" t="s">
        <v>12</v>
      </c>
      <c r="J235" s="7"/>
      <c r="K235" s="10">
        <v>8.1311903700000006</v>
      </c>
    </row>
    <row r="236" spans="1:11" ht="15.75" customHeight="1">
      <c r="A236" s="8" t="s">
        <v>15</v>
      </c>
      <c r="B236" s="8">
        <v>325.06614275999999</v>
      </c>
      <c r="C236" s="8">
        <v>5.9450000000000003</v>
      </c>
      <c r="D236" s="14">
        <v>6.6000000000000003E-2</v>
      </c>
      <c r="E236" s="8">
        <v>4.4900000000000002E-2</v>
      </c>
      <c r="F236" s="8">
        <v>1210</v>
      </c>
      <c r="G236" s="7"/>
      <c r="H236" s="8">
        <v>25</v>
      </c>
      <c r="I236" s="16" t="s">
        <v>12</v>
      </c>
      <c r="J236" s="7"/>
      <c r="K236" s="10">
        <v>8.5419500999999993</v>
      </c>
    </row>
    <row r="237" spans="1:11" ht="15.75" customHeight="1">
      <c r="A237" s="8" t="s">
        <v>15</v>
      </c>
      <c r="B237" s="8">
        <v>379.12085711999998</v>
      </c>
      <c r="C237" s="8">
        <v>5.9450000000000003</v>
      </c>
      <c r="D237" s="14">
        <v>6.6000000000000003E-2</v>
      </c>
      <c r="E237" s="8">
        <v>4.4900000000000002E-2</v>
      </c>
      <c r="F237" s="8">
        <v>1210</v>
      </c>
      <c r="G237" s="7"/>
      <c r="H237" s="8">
        <v>25</v>
      </c>
      <c r="I237" s="16" t="s">
        <v>12</v>
      </c>
      <c r="J237" s="7"/>
      <c r="K237" s="10">
        <v>8.8868839899999994</v>
      </c>
    </row>
    <row r="238" spans="1:11" ht="15.75" customHeight="1">
      <c r="A238" s="8" t="s">
        <v>15</v>
      </c>
      <c r="B238" s="8">
        <v>441.10278648000002</v>
      </c>
      <c r="C238" s="8">
        <v>5.9450000000000003</v>
      </c>
      <c r="D238" s="14">
        <v>6.6000000000000003E-2</v>
      </c>
      <c r="E238" s="8">
        <v>4.4900000000000002E-2</v>
      </c>
      <c r="F238" s="8">
        <v>1210</v>
      </c>
      <c r="G238" s="7"/>
      <c r="H238" s="8">
        <v>25</v>
      </c>
      <c r="I238" s="16" t="s">
        <v>12</v>
      </c>
      <c r="J238" s="7"/>
      <c r="K238" s="10">
        <v>9.1639453</v>
      </c>
    </row>
    <row r="239" spans="1:11" ht="15.75" customHeight="1">
      <c r="A239" s="8" t="s">
        <v>15</v>
      </c>
      <c r="B239" s="8">
        <v>507.08682762000001</v>
      </c>
      <c r="C239" s="8">
        <v>5.9450000000000003</v>
      </c>
      <c r="D239" s="14">
        <v>6.6000000000000003E-2</v>
      </c>
      <c r="E239" s="8">
        <v>4.4900000000000002E-2</v>
      </c>
      <c r="F239" s="8">
        <v>1210</v>
      </c>
      <c r="G239" s="7"/>
      <c r="H239" s="8">
        <v>25</v>
      </c>
      <c r="I239" s="16" t="s">
        <v>12</v>
      </c>
      <c r="J239" s="7"/>
      <c r="K239" s="10">
        <v>9.4039481699999996</v>
      </c>
    </row>
    <row r="240" spans="1:11" ht="15.75" customHeight="1">
      <c r="A240" s="8" t="s">
        <v>15</v>
      </c>
      <c r="B240" s="8">
        <v>559.60293858</v>
      </c>
      <c r="C240" s="8">
        <v>5.9450000000000003</v>
      </c>
      <c r="D240" s="14">
        <v>6.6000000000000003E-2</v>
      </c>
      <c r="E240" s="8">
        <v>4.4900000000000002E-2</v>
      </c>
      <c r="F240" s="8">
        <v>1210</v>
      </c>
      <c r="G240" s="7"/>
      <c r="H240" s="8">
        <v>25</v>
      </c>
      <c r="I240" s="16" t="s">
        <v>12</v>
      </c>
      <c r="J240" s="7"/>
      <c r="K240" s="10">
        <v>9.6424435899999992</v>
      </c>
    </row>
    <row r="241" spans="1:11" ht="15.75" customHeight="1">
      <c r="A241" s="8" t="s">
        <v>15</v>
      </c>
      <c r="B241" s="8">
        <v>619.04367060000004</v>
      </c>
      <c r="C241" s="8">
        <v>5.9450000000000003</v>
      </c>
      <c r="D241" s="14">
        <v>6.6000000000000003E-2</v>
      </c>
      <c r="E241" s="8">
        <v>4.4900000000000002E-2</v>
      </c>
      <c r="F241" s="8">
        <v>1210</v>
      </c>
      <c r="G241" s="7"/>
      <c r="H241" s="8">
        <v>25</v>
      </c>
      <c r="I241" s="16" t="s">
        <v>12</v>
      </c>
      <c r="J241" s="7"/>
      <c r="K241" s="10">
        <v>9.9430598900000007</v>
      </c>
    </row>
    <row r="242" spans="1:11" ht="15.75" customHeight="1">
      <c r="A242" s="8" t="s">
        <v>15</v>
      </c>
      <c r="B242" s="8">
        <v>694.74563699999999</v>
      </c>
      <c r="C242" s="8">
        <v>5.9450000000000003</v>
      </c>
      <c r="D242" s="14">
        <v>6.6000000000000003E-2</v>
      </c>
      <c r="E242" s="8">
        <v>4.4900000000000002E-2</v>
      </c>
      <c r="F242" s="8">
        <v>1210</v>
      </c>
      <c r="G242" s="7"/>
      <c r="H242" s="8">
        <v>25</v>
      </c>
      <c r="I242" s="16" t="s">
        <v>12</v>
      </c>
      <c r="J242" s="7"/>
      <c r="K242" s="10">
        <v>10.2117149</v>
      </c>
    </row>
    <row r="243" spans="1:11" ht="15.75" customHeight="1">
      <c r="A243" s="8" t="s">
        <v>15</v>
      </c>
      <c r="B243" s="8">
        <v>112.57006698000001</v>
      </c>
      <c r="C243" s="8">
        <v>3.673</v>
      </c>
      <c r="D243" s="14">
        <v>6.4000000000000001E-2</v>
      </c>
      <c r="E243" s="8">
        <v>3.0200000000000001E-2</v>
      </c>
      <c r="F243" s="8">
        <v>1247</v>
      </c>
      <c r="G243" s="7"/>
      <c r="H243" s="8">
        <v>25</v>
      </c>
      <c r="I243" s="16" t="s">
        <v>12</v>
      </c>
      <c r="J243" s="7"/>
      <c r="K243" s="10">
        <v>7.30860691</v>
      </c>
    </row>
    <row r="244" spans="1:11" ht="15.75" customHeight="1">
      <c r="A244" s="8" t="s">
        <v>15</v>
      </c>
      <c r="B244" s="8">
        <v>173.25459174</v>
      </c>
      <c r="C244" s="8">
        <v>3.673</v>
      </c>
      <c r="D244" s="14">
        <v>6.4000000000000001E-2</v>
      </c>
      <c r="E244" s="8">
        <v>3.0200000000000001E-2</v>
      </c>
      <c r="F244" s="8">
        <v>1247</v>
      </c>
      <c r="G244" s="7"/>
      <c r="H244" s="8">
        <v>25</v>
      </c>
      <c r="I244" s="16" t="s">
        <v>12</v>
      </c>
      <c r="J244" s="7"/>
      <c r="K244" s="10">
        <v>7.9531104900000003</v>
      </c>
    </row>
    <row r="245" spans="1:11" ht="15.75" customHeight="1">
      <c r="A245" s="8" t="s">
        <v>15</v>
      </c>
      <c r="B245" s="8">
        <v>234.65039178000001</v>
      </c>
      <c r="C245" s="8">
        <v>3.673</v>
      </c>
      <c r="D245" s="14">
        <v>6.4000000000000001E-2</v>
      </c>
      <c r="E245" s="8">
        <v>3.0200000000000001E-2</v>
      </c>
      <c r="F245" s="8">
        <v>1247</v>
      </c>
      <c r="G245" s="7"/>
      <c r="H245" s="8">
        <v>25</v>
      </c>
      <c r="I245" s="16" t="s">
        <v>12</v>
      </c>
      <c r="J245" s="7"/>
      <c r="K245" s="10">
        <v>8.4735190300000003</v>
      </c>
    </row>
    <row r="246" spans="1:11" ht="15.75" customHeight="1">
      <c r="A246" s="8" t="s">
        <v>15</v>
      </c>
      <c r="B246" s="8">
        <v>297.00383843999998</v>
      </c>
      <c r="C246" s="8">
        <v>3.673</v>
      </c>
      <c r="D246" s="14">
        <v>6.4000000000000001E-2</v>
      </c>
      <c r="E246" s="8">
        <v>3.0200000000000001E-2</v>
      </c>
      <c r="F246" s="8">
        <v>1247</v>
      </c>
      <c r="G246" s="7"/>
      <c r="H246" s="8">
        <v>25</v>
      </c>
      <c r="I246" s="16" t="s">
        <v>12</v>
      </c>
      <c r="J246" s="7"/>
      <c r="K246" s="10">
        <v>8.9595749399999995</v>
      </c>
    </row>
    <row r="247" spans="1:11" ht="15.75" customHeight="1">
      <c r="A247" s="8" t="s">
        <v>15</v>
      </c>
      <c r="B247" s="8">
        <v>353.97564618000001</v>
      </c>
      <c r="C247" s="8">
        <v>3.673</v>
      </c>
      <c r="D247" s="14">
        <v>6.4000000000000001E-2</v>
      </c>
      <c r="E247" s="8">
        <v>3.0200000000000001E-2</v>
      </c>
      <c r="F247" s="8">
        <v>1247</v>
      </c>
      <c r="G247" s="7"/>
      <c r="H247" s="8">
        <v>25</v>
      </c>
      <c r="I247" s="16" t="s">
        <v>12</v>
      </c>
      <c r="J247" s="7"/>
      <c r="K247" s="10">
        <v>9.3620863500000002</v>
      </c>
    </row>
    <row r="248" spans="1:11" ht="15.75" customHeight="1">
      <c r="A248" s="8" t="s">
        <v>15</v>
      </c>
      <c r="B248" s="8">
        <v>409.37348154</v>
      </c>
      <c r="C248" s="8">
        <v>3.673</v>
      </c>
      <c r="D248" s="14">
        <v>6.4000000000000001E-2</v>
      </c>
      <c r="E248" s="8">
        <v>3.0200000000000001E-2</v>
      </c>
      <c r="F248" s="8">
        <v>1247</v>
      </c>
      <c r="G248" s="7"/>
      <c r="H248" s="8">
        <v>25</v>
      </c>
      <c r="I248" s="16" t="s">
        <v>12</v>
      </c>
      <c r="J248" s="7"/>
      <c r="K248" s="10">
        <v>9.7661602900000002</v>
      </c>
    </row>
    <row r="249" spans="1:11" ht="15.75" customHeight="1">
      <c r="A249" s="8" t="s">
        <v>15</v>
      </c>
      <c r="B249" s="8">
        <v>472.25582645999998</v>
      </c>
      <c r="C249" s="8">
        <v>3.673</v>
      </c>
      <c r="D249" s="14">
        <v>6.4000000000000001E-2</v>
      </c>
      <c r="E249" s="8">
        <v>3.0200000000000001E-2</v>
      </c>
      <c r="F249" s="8">
        <v>1247</v>
      </c>
      <c r="G249" s="7"/>
      <c r="H249" s="8">
        <v>25</v>
      </c>
      <c r="I249" s="16" t="s">
        <v>12</v>
      </c>
      <c r="J249" s="7"/>
      <c r="K249" s="10">
        <v>10.0763607</v>
      </c>
    </row>
    <row r="250" spans="1:11" ht="15.75" customHeight="1">
      <c r="A250" s="8" t="s">
        <v>15</v>
      </c>
      <c r="B250" s="8">
        <v>536.66430888000002</v>
      </c>
      <c r="C250" s="8">
        <v>3.673</v>
      </c>
      <c r="D250" s="14">
        <v>6.4000000000000001E-2</v>
      </c>
      <c r="E250" s="8">
        <v>3.0200000000000001E-2</v>
      </c>
      <c r="F250" s="8">
        <v>1247</v>
      </c>
      <c r="G250" s="7"/>
      <c r="H250" s="8">
        <v>25</v>
      </c>
      <c r="I250" s="16" t="s">
        <v>12</v>
      </c>
      <c r="J250" s="7"/>
      <c r="K250" s="10">
        <v>10.3089244</v>
      </c>
    </row>
    <row r="251" spans="1:11" ht="15.75" customHeight="1">
      <c r="A251" s="8" t="s">
        <v>15</v>
      </c>
      <c r="B251" s="8">
        <v>626.90858219999996</v>
      </c>
      <c r="C251" s="8">
        <v>3.673</v>
      </c>
      <c r="D251" s="14">
        <v>6.4000000000000001E-2</v>
      </c>
      <c r="E251" s="8">
        <v>3.0200000000000001E-2</v>
      </c>
      <c r="F251" s="8">
        <v>1247</v>
      </c>
      <c r="G251" s="7"/>
      <c r="H251" s="8">
        <v>25</v>
      </c>
      <c r="I251" s="16" t="s">
        <v>12</v>
      </c>
      <c r="J251" s="7"/>
      <c r="K251" s="10">
        <v>10.5379472</v>
      </c>
    </row>
    <row r="252" spans="1:11" ht="15.75" customHeight="1">
      <c r="A252" s="8" t="s">
        <v>15</v>
      </c>
      <c r="B252" s="8">
        <v>714.19717679999997</v>
      </c>
      <c r="C252" s="8">
        <v>3.673</v>
      </c>
      <c r="D252" s="14">
        <v>6.4000000000000001E-2</v>
      </c>
      <c r="E252" s="8">
        <v>3.0200000000000001E-2</v>
      </c>
      <c r="F252" s="8">
        <v>1247</v>
      </c>
      <c r="G252" s="7"/>
      <c r="H252" s="8">
        <v>25</v>
      </c>
      <c r="I252" s="16" t="s">
        <v>12</v>
      </c>
      <c r="J252" s="7"/>
      <c r="K252" s="10">
        <v>10.909478699999999</v>
      </c>
    </row>
    <row r="253" spans="1:11" ht="15.75" customHeight="1">
      <c r="A253" s="8" t="s">
        <v>15</v>
      </c>
      <c r="B253" s="8">
        <v>68.183069579999994</v>
      </c>
      <c r="C253" s="8">
        <v>3.673</v>
      </c>
      <c r="D253" s="14">
        <v>6.6000000000000003E-2</v>
      </c>
      <c r="E253" s="8">
        <v>4.4900000000000002E-2</v>
      </c>
      <c r="F253" s="8">
        <v>1210</v>
      </c>
      <c r="G253" s="7"/>
      <c r="H253" s="8">
        <v>25</v>
      </c>
      <c r="I253" s="16" t="s">
        <v>12</v>
      </c>
      <c r="J253" s="7"/>
      <c r="K253" s="10">
        <v>5.7929931999999997</v>
      </c>
    </row>
    <row r="254" spans="1:11" ht="15.75" customHeight="1">
      <c r="A254" s="8" t="s">
        <v>15</v>
      </c>
      <c r="B254" s="8">
        <v>90.058718040000002</v>
      </c>
      <c r="C254" s="8">
        <v>3.673</v>
      </c>
      <c r="D254" s="14">
        <v>6.6000000000000003E-2</v>
      </c>
      <c r="E254" s="8">
        <v>4.4900000000000002E-2</v>
      </c>
      <c r="F254" s="8">
        <v>1210</v>
      </c>
      <c r="G254" s="7"/>
      <c r="H254" s="8">
        <v>25</v>
      </c>
      <c r="I254" s="16" t="s">
        <v>12</v>
      </c>
      <c r="J254" s="7"/>
      <c r="K254" s="10">
        <v>5.8967201400000002</v>
      </c>
    </row>
    <row r="255" spans="1:11" ht="15.75" customHeight="1">
      <c r="A255" s="8" t="s">
        <v>15</v>
      </c>
      <c r="B255" s="8">
        <v>149.43404274</v>
      </c>
      <c r="C255" s="8">
        <v>3.673</v>
      </c>
      <c r="D255" s="14">
        <v>6.6000000000000003E-2</v>
      </c>
      <c r="E255" s="8">
        <v>4.4900000000000002E-2</v>
      </c>
      <c r="F255" s="8">
        <v>1210</v>
      </c>
      <c r="G255" s="7"/>
      <c r="H255" s="8">
        <v>25</v>
      </c>
      <c r="I255" s="16" t="s">
        <v>12</v>
      </c>
      <c r="J255" s="7"/>
      <c r="K255" s="10">
        <v>6.4602467800000003</v>
      </c>
    </row>
    <row r="256" spans="1:11" ht="15.75" customHeight="1">
      <c r="A256" s="8" t="s">
        <v>15</v>
      </c>
      <c r="B256" s="8">
        <v>210.67146450000001</v>
      </c>
      <c r="C256" s="8">
        <v>3.673</v>
      </c>
      <c r="D256" s="14">
        <v>6.6000000000000003E-2</v>
      </c>
      <c r="E256" s="8">
        <v>4.4900000000000002E-2</v>
      </c>
      <c r="F256" s="8">
        <v>1210</v>
      </c>
      <c r="G256" s="7"/>
      <c r="H256" s="8">
        <v>25</v>
      </c>
      <c r="I256" s="16" t="s">
        <v>12</v>
      </c>
      <c r="J256" s="7"/>
      <c r="K256" s="10">
        <v>6.8829703899999997</v>
      </c>
    </row>
    <row r="257" spans="1:11" ht="15.75" customHeight="1">
      <c r="A257" s="8" t="s">
        <v>15</v>
      </c>
      <c r="B257" s="8">
        <v>265.31944662000001</v>
      </c>
      <c r="C257" s="8">
        <v>3.673</v>
      </c>
      <c r="D257" s="14">
        <v>6.6000000000000003E-2</v>
      </c>
      <c r="E257" s="8">
        <v>4.4900000000000002E-2</v>
      </c>
      <c r="F257" s="8">
        <v>1210</v>
      </c>
      <c r="G257" s="7"/>
      <c r="H257" s="8">
        <v>25</v>
      </c>
      <c r="I257" s="16" t="s">
        <v>12</v>
      </c>
      <c r="J257" s="7"/>
      <c r="K257" s="10">
        <v>7.2654988600000001</v>
      </c>
    </row>
    <row r="258" spans="1:11" ht="15.75" customHeight="1">
      <c r="A258" s="8" t="s">
        <v>15</v>
      </c>
      <c r="B258" s="8">
        <v>324.24077813999997</v>
      </c>
      <c r="C258" s="8">
        <v>3.673</v>
      </c>
      <c r="D258" s="14">
        <v>6.6000000000000003E-2</v>
      </c>
      <c r="E258" s="8">
        <v>4.4900000000000002E-2</v>
      </c>
      <c r="F258" s="8">
        <v>1210</v>
      </c>
      <c r="G258" s="7"/>
      <c r="H258" s="8">
        <v>25</v>
      </c>
      <c r="I258" s="16" t="s">
        <v>12</v>
      </c>
      <c r="J258" s="7"/>
      <c r="K258" s="10">
        <v>7.6240512999999996</v>
      </c>
    </row>
    <row r="259" spans="1:11" ht="15.75" customHeight="1">
      <c r="A259" s="8" t="s">
        <v>15</v>
      </c>
      <c r="B259" s="8">
        <v>400.24047281999998</v>
      </c>
      <c r="C259" s="8">
        <v>3.673</v>
      </c>
      <c r="D259" s="14">
        <v>6.6000000000000003E-2</v>
      </c>
      <c r="E259" s="8">
        <v>4.4900000000000002E-2</v>
      </c>
      <c r="F259" s="8">
        <v>1210</v>
      </c>
      <c r="G259" s="7"/>
      <c r="H259" s="8">
        <v>25</v>
      </c>
      <c r="I259" s="16" t="s">
        <v>12</v>
      </c>
      <c r="J259" s="7"/>
      <c r="K259" s="10">
        <v>8.0955155800000007</v>
      </c>
    </row>
    <row r="260" spans="1:11" ht="15.75" customHeight="1">
      <c r="A260" s="8" t="s">
        <v>15</v>
      </c>
      <c r="B260" s="8">
        <v>458.26058621999999</v>
      </c>
      <c r="C260" s="8">
        <v>3.673</v>
      </c>
      <c r="D260" s="14">
        <v>6.6000000000000003E-2</v>
      </c>
      <c r="E260" s="8">
        <v>4.4900000000000002E-2</v>
      </c>
      <c r="F260" s="8">
        <v>1210</v>
      </c>
      <c r="G260" s="7"/>
      <c r="H260" s="8">
        <v>25</v>
      </c>
      <c r="I260" s="16" t="s">
        <v>12</v>
      </c>
      <c r="J260" s="7"/>
      <c r="K260" s="10">
        <v>8.4592094699999993</v>
      </c>
    </row>
    <row r="261" spans="1:11" ht="15.75" customHeight="1">
      <c r="A261" s="8" t="s">
        <v>15</v>
      </c>
      <c r="B261" s="8">
        <v>529.97942423999996</v>
      </c>
      <c r="C261" s="8">
        <v>3.673</v>
      </c>
      <c r="D261" s="14">
        <v>6.6000000000000003E-2</v>
      </c>
      <c r="E261" s="8">
        <v>4.4900000000000002E-2</v>
      </c>
      <c r="F261" s="8">
        <v>1210</v>
      </c>
      <c r="G261" s="7"/>
      <c r="H261" s="8">
        <v>25</v>
      </c>
      <c r="I261" s="16" t="s">
        <v>12</v>
      </c>
      <c r="J261" s="7"/>
      <c r="K261" s="10">
        <v>8.7352770399999997</v>
      </c>
    </row>
    <row r="262" spans="1:11" ht="15.75" customHeight="1">
      <c r="A262" s="8" t="s">
        <v>15</v>
      </c>
      <c r="B262" s="8">
        <v>606.80690279999999</v>
      </c>
      <c r="C262" s="8">
        <v>3.673</v>
      </c>
      <c r="D262" s="14">
        <v>6.6000000000000003E-2</v>
      </c>
      <c r="E262" s="8">
        <v>4.4900000000000002E-2</v>
      </c>
      <c r="F262" s="8">
        <v>1210</v>
      </c>
      <c r="G262" s="7"/>
      <c r="H262" s="8">
        <v>25</v>
      </c>
      <c r="I262" s="16" t="s">
        <v>12</v>
      </c>
      <c r="J262" s="7"/>
      <c r="K262" s="10">
        <v>9.1122974699999997</v>
      </c>
    </row>
    <row r="263" spans="1:11" ht="15.75" customHeight="1">
      <c r="A263" s="8" t="s">
        <v>15</v>
      </c>
      <c r="B263" s="8">
        <v>691.29718019999996</v>
      </c>
      <c r="C263" s="8">
        <v>3.673</v>
      </c>
      <c r="D263" s="14">
        <v>6.6000000000000003E-2</v>
      </c>
      <c r="E263" s="8">
        <v>4.4900000000000002E-2</v>
      </c>
      <c r="F263" s="8">
        <v>1210</v>
      </c>
      <c r="G263" s="7"/>
      <c r="H263" s="8">
        <v>25</v>
      </c>
      <c r="I263" s="16" t="s">
        <v>12</v>
      </c>
      <c r="J263" s="7"/>
      <c r="K263" s="10">
        <v>9.4815205099999993</v>
      </c>
    </row>
    <row r="264" spans="1:11" ht="15.75" customHeight="1">
      <c r="A264" s="8" t="s">
        <v>15</v>
      </c>
      <c r="B264" s="8">
        <v>785.57923319999998</v>
      </c>
      <c r="C264" s="8">
        <v>3.673</v>
      </c>
      <c r="D264" s="14">
        <v>6.6000000000000003E-2</v>
      </c>
      <c r="E264" s="8">
        <v>4.4900000000000002E-2</v>
      </c>
      <c r="F264" s="8">
        <v>1210</v>
      </c>
      <c r="G264" s="7"/>
      <c r="H264" s="8">
        <v>25</v>
      </c>
      <c r="I264" s="16" t="s">
        <v>12</v>
      </c>
      <c r="J264" s="7"/>
      <c r="K264" s="10">
        <v>9.8490435699999992</v>
      </c>
    </row>
    <row r="265" spans="1:11" ht="15.75" customHeight="1">
      <c r="A265" s="8" t="s">
        <v>15</v>
      </c>
      <c r="B265" s="8">
        <v>881.59983299999999</v>
      </c>
      <c r="C265" s="8">
        <v>3.673</v>
      </c>
      <c r="D265" s="14">
        <v>6.6000000000000003E-2</v>
      </c>
      <c r="E265" s="8">
        <v>4.4900000000000002E-2</v>
      </c>
      <c r="F265" s="8">
        <v>1210</v>
      </c>
      <c r="G265" s="7"/>
      <c r="H265" s="8">
        <v>25</v>
      </c>
      <c r="I265" s="16" t="s">
        <v>12</v>
      </c>
      <c r="J265" s="7"/>
      <c r="K265" s="10">
        <v>10.187674299999999</v>
      </c>
    </row>
    <row r="266" spans="1:11" ht="15.75" customHeight="1">
      <c r="A266" s="8" t="s">
        <v>15</v>
      </c>
      <c r="B266" s="8">
        <v>1419.4838838000001</v>
      </c>
      <c r="C266" s="8">
        <v>3.673</v>
      </c>
      <c r="D266" s="14">
        <v>6.6000000000000003E-2</v>
      </c>
      <c r="E266" s="8">
        <v>4.4900000000000002E-2</v>
      </c>
      <c r="F266" s="8">
        <v>1210</v>
      </c>
      <c r="G266" s="7"/>
      <c r="H266" s="8">
        <v>25</v>
      </c>
      <c r="I266" s="16" t="s">
        <v>12</v>
      </c>
      <c r="J266" s="7"/>
      <c r="K266" s="10">
        <v>11.8414622</v>
      </c>
    </row>
    <row r="267" spans="1:11" ht="15.75" customHeight="1">
      <c r="A267" s="8" t="s">
        <v>15</v>
      </c>
      <c r="B267" s="8">
        <v>1814.7894414</v>
      </c>
      <c r="C267" s="8">
        <v>3.673</v>
      </c>
      <c r="D267" s="14">
        <v>6.6000000000000003E-2</v>
      </c>
      <c r="E267" s="8">
        <v>4.4900000000000002E-2</v>
      </c>
      <c r="F267" s="8">
        <v>1210</v>
      </c>
      <c r="G267" s="7"/>
      <c r="H267" s="8">
        <v>25</v>
      </c>
      <c r="I267" s="16" t="s">
        <v>12</v>
      </c>
      <c r="J267" s="7"/>
      <c r="K267" s="10">
        <v>12.788054799999999</v>
      </c>
    </row>
    <row r="268" spans="1:11" ht="15.75" customHeight="1">
      <c r="A268" s="8" t="s">
        <v>15</v>
      </c>
      <c r="B268" s="8">
        <v>2320.1818314000002</v>
      </c>
      <c r="C268" s="8">
        <v>3.673</v>
      </c>
      <c r="D268" s="14">
        <v>6.6000000000000003E-2</v>
      </c>
      <c r="E268" s="8">
        <v>4.4900000000000002E-2</v>
      </c>
      <c r="F268" s="8">
        <v>1210</v>
      </c>
      <c r="G268" s="7"/>
      <c r="H268" s="8">
        <v>25</v>
      </c>
      <c r="I268" s="16" t="s">
        <v>12</v>
      </c>
      <c r="J268" s="7"/>
      <c r="K268" s="10">
        <v>13.763712699999999</v>
      </c>
    </row>
    <row r="269" spans="1:11" ht="15.75" customHeight="1">
      <c r="A269" s="8" t="s">
        <v>15</v>
      </c>
      <c r="B269" s="8">
        <v>125.44210962</v>
      </c>
      <c r="C269" s="8">
        <v>5.9450000000000003</v>
      </c>
      <c r="D269" s="8">
        <v>7.17E-2</v>
      </c>
      <c r="E269" s="8">
        <v>1E-3</v>
      </c>
      <c r="F269" s="8">
        <v>1000</v>
      </c>
      <c r="G269" s="7"/>
      <c r="H269" s="8">
        <v>25</v>
      </c>
      <c r="I269" s="16" t="s">
        <v>12</v>
      </c>
      <c r="J269" s="7"/>
      <c r="K269" s="10">
        <v>7.3170559099999997</v>
      </c>
    </row>
    <row r="270" spans="1:11" ht="15.75" customHeight="1">
      <c r="A270" s="8" t="s">
        <v>15</v>
      </c>
      <c r="B270" s="8">
        <v>226.51363728000001</v>
      </c>
      <c r="C270" s="8">
        <v>5.9450000000000003</v>
      </c>
      <c r="D270" s="8">
        <v>7.17E-2</v>
      </c>
      <c r="E270" s="8">
        <v>1E-3</v>
      </c>
      <c r="F270" s="8">
        <v>1000</v>
      </c>
      <c r="G270" s="7"/>
      <c r="H270" s="8">
        <v>25</v>
      </c>
      <c r="I270" s="16" t="s">
        <v>12</v>
      </c>
      <c r="J270" s="7"/>
      <c r="K270" s="10">
        <v>7.8995651999999996</v>
      </c>
    </row>
    <row r="271" spans="1:11" ht="15.75" customHeight="1">
      <c r="A271" s="8" t="s">
        <v>15</v>
      </c>
      <c r="B271" s="8">
        <v>285.95272842000003</v>
      </c>
      <c r="C271" s="8">
        <v>5.9450000000000003</v>
      </c>
      <c r="D271" s="8">
        <v>7.17E-2</v>
      </c>
      <c r="E271" s="8">
        <v>1E-3</v>
      </c>
      <c r="F271" s="8">
        <v>1000</v>
      </c>
      <c r="G271" s="7"/>
      <c r="H271" s="8">
        <v>25</v>
      </c>
      <c r="I271" s="16" t="s">
        <v>12</v>
      </c>
      <c r="J271" s="7"/>
      <c r="K271" s="10">
        <v>8.3649963700000001</v>
      </c>
    </row>
    <row r="272" spans="1:11" ht="15.75" customHeight="1">
      <c r="A272" s="8" t="s">
        <v>15</v>
      </c>
      <c r="B272" s="8">
        <v>392.65335929999998</v>
      </c>
      <c r="C272" s="8">
        <v>5.9450000000000003</v>
      </c>
      <c r="D272" s="8">
        <v>7.17E-2</v>
      </c>
      <c r="E272" s="8">
        <v>1E-3</v>
      </c>
      <c r="F272" s="8">
        <v>1000</v>
      </c>
      <c r="G272" s="7"/>
      <c r="H272" s="8">
        <v>25</v>
      </c>
      <c r="I272" s="16" t="s">
        <v>12</v>
      </c>
      <c r="J272" s="7"/>
      <c r="K272" s="10">
        <v>8.8864648699999993</v>
      </c>
    </row>
    <row r="273" spans="1:11" ht="15.75" customHeight="1">
      <c r="A273" s="8" t="s">
        <v>15</v>
      </c>
      <c r="B273" s="8">
        <v>460.11558048000001</v>
      </c>
      <c r="C273" s="8">
        <v>5.9450000000000003</v>
      </c>
      <c r="D273" s="8">
        <v>7.17E-2</v>
      </c>
      <c r="E273" s="8">
        <v>1E-3</v>
      </c>
      <c r="F273" s="8">
        <v>1000</v>
      </c>
      <c r="G273" s="7"/>
      <c r="H273" s="8">
        <v>25</v>
      </c>
      <c r="I273" s="16" t="s">
        <v>12</v>
      </c>
      <c r="J273" s="7"/>
      <c r="K273" s="10">
        <v>9.1481949599999997</v>
      </c>
    </row>
    <row r="274" spans="1:11" ht="15.75" customHeight="1">
      <c r="A274" s="8" t="s">
        <v>15</v>
      </c>
      <c r="B274" s="8">
        <v>511.41316841999998</v>
      </c>
      <c r="C274" s="8">
        <v>5.9450000000000003</v>
      </c>
      <c r="D274" s="8">
        <v>7.17E-2</v>
      </c>
      <c r="E274" s="8">
        <v>1E-3</v>
      </c>
      <c r="F274" s="8">
        <v>1000</v>
      </c>
      <c r="G274" s="7"/>
      <c r="H274" s="8">
        <v>25</v>
      </c>
      <c r="I274" s="16" t="s">
        <v>12</v>
      </c>
      <c r="J274" s="7"/>
      <c r="K274" s="10">
        <v>9.3269501800000008</v>
      </c>
    </row>
    <row r="275" spans="1:11" ht="15.75" customHeight="1">
      <c r="A275" s="8" t="s">
        <v>15</v>
      </c>
      <c r="B275" s="8">
        <v>548.31206801999997</v>
      </c>
      <c r="C275" s="8">
        <v>5.9450000000000003</v>
      </c>
      <c r="D275" s="8">
        <v>7.17E-2</v>
      </c>
      <c r="E275" s="8">
        <v>1E-3</v>
      </c>
      <c r="F275" s="8">
        <v>1000</v>
      </c>
      <c r="G275" s="7"/>
      <c r="H275" s="8">
        <v>25</v>
      </c>
      <c r="I275" s="16" t="s">
        <v>12</v>
      </c>
      <c r="J275" s="7"/>
      <c r="K275" s="10">
        <v>9.3721822600000007</v>
      </c>
    </row>
    <row r="276" spans="1:11" ht="15.75" customHeight="1">
      <c r="A276" s="8" t="s">
        <v>15</v>
      </c>
      <c r="B276" s="8">
        <v>618.29025119999994</v>
      </c>
      <c r="C276" s="8">
        <v>5.9450000000000003</v>
      </c>
      <c r="D276" s="8">
        <v>7.17E-2</v>
      </c>
      <c r="E276" s="8">
        <v>1E-3</v>
      </c>
      <c r="F276" s="8">
        <v>1000</v>
      </c>
      <c r="G276" s="7"/>
      <c r="H276" s="8">
        <v>25</v>
      </c>
      <c r="I276" s="16" t="s">
        <v>12</v>
      </c>
      <c r="J276" s="7"/>
      <c r="K276" s="10">
        <v>9.6950074799999992</v>
      </c>
    </row>
    <row r="277" spans="1:11" ht="15.75" customHeight="1">
      <c r="A277" s="8" t="s">
        <v>15</v>
      </c>
      <c r="B277" s="8">
        <v>687.2227656</v>
      </c>
      <c r="C277" s="8">
        <v>5.9450000000000003</v>
      </c>
      <c r="D277" s="8">
        <v>7.17E-2</v>
      </c>
      <c r="E277" s="8">
        <v>1E-3</v>
      </c>
      <c r="F277" s="8">
        <v>1000</v>
      </c>
      <c r="G277" s="7"/>
      <c r="H277" s="8">
        <v>25</v>
      </c>
      <c r="I277" s="16" t="s">
        <v>12</v>
      </c>
      <c r="J277" s="7"/>
      <c r="K277" s="10">
        <v>9.8526190600000003</v>
      </c>
    </row>
    <row r="278" spans="1:11" ht="15.75" customHeight="1">
      <c r="A278" s="8" t="s">
        <v>15</v>
      </c>
      <c r="B278" s="8">
        <v>886.51659540000003</v>
      </c>
      <c r="C278" s="8">
        <v>5.9450000000000003</v>
      </c>
      <c r="D278" s="8">
        <v>7.17E-2</v>
      </c>
      <c r="E278" s="8">
        <v>1E-3</v>
      </c>
      <c r="F278" s="8">
        <v>1000</v>
      </c>
      <c r="G278" s="7"/>
      <c r="H278" s="8">
        <v>25</v>
      </c>
      <c r="I278" s="16" t="s">
        <v>12</v>
      </c>
      <c r="J278" s="7"/>
      <c r="K278" s="10">
        <v>10.611285499999999</v>
      </c>
    </row>
    <row r="279" spans="1:11" ht="15.75" customHeight="1">
      <c r="A279" s="8" t="s">
        <v>15</v>
      </c>
      <c r="B279" s="8">
        <v>1143.6058656</v>
      </c>
      <c r="C279" s="8">
        <v>5.9450000000000003</v>
      </c>
      <c r="D279" s="8">
        <v>7.17E-2</v>
      </c>
      <c r="E279" s="8">
        <v>1E-3</v>
      </c>
      <c r="F279" s="8">
        <v>1000</v>
      </c>
      <c r="G279" s="7"/>
      <c r="H279" s="8">
        <v>25</v>
      </c>
      <c r="I279" s="16" t="s">
        <v>12</v>
      </c>
      <c r="J279" s="7"/>
      <c r="K279" s="10">
        <v>11.511605100000001</v>
      </c>
    </row>
    <row r="280" spans="1:11" ht="15.75" customHeight="1">
      <c r="A280" s="8" t="s">
        <v>15</v>
      </c>
      <c r="B280" s="8">
        <v>64.638834779999996</v>
      </c>
      <c r="C280" s="8">
        <v>3.673</v>
      </c>
      <c r="D280" s="8">
        <v>7.17E-2</v>
      </c>
      <c r="E280" s="8">
        <v>1E-3</v>
      </c>
      <c r="F280" s="8">
        <v>1000</v>
      </c>
      <c r="G280" s="7"/>
      <c r="H280" s="8">
        <v>25</v>
      </c>
      <c r="I280" s="16" t="s">
        <v>12</v>
      </c>
      <c r="J280" s="7"/>
      <c r="K280" s="10">
        <v>5.94279446</v>
      </c>
    </row>
    <row r="281" spans="1:11" ht="15.75" customHeight="1">
      <c r="A281" s="8" t="s">
        <v>15</v>
      </c>
      <c r="B281" s="8">
        <v>115.8816147</v>
      </c>
      <c r="C281" s="8">
        <v>3.673</v>
      </c>
      <c r="D281" s="8">
        <v>7.17E-2</v>
      </c>
      <c r="E281" s="8">
        <v>1E-3</v>
      </c>
      <c r="F281" s="8">
        <v>1000</v>
      </c>
      <c r="G281" s="7"/>
      <c r="H281" s="8">
        <v>25</v>
      </c>
      <c r="I281" s="16" t="s">
        <v>12</v>
      </c>
      <c r="J281" s="7"/>
      <c r="K281" s="10">
        <v>6.3132644500000001</v>
      </c>
    </row>
    <row r="282" spans="1:11" ht="15.75" customHeight="1">
      <c r="A282" s="8" t="s">
        <v>15</v>
      </c>
      <c r="B282" s="8">
        <v>180.72758640000001</v>
      </c>
      <c r="C282" s="8">
        <v>3.673</v>
      </c>
      <c r="D282" s="8">
        <v>7.17E-2</v>
      </c>
      <c r="E282" s="8">
        <v>1E-3</v>
      </c>
      <c r="F282" s="8">
        <v>1000</v>
      </c>
      <c r="G282" s="7"/>
      <c r="H282" s="8">
        <v>25</v>
      </c>
      <c r="I282" s="16" t="s">
        <v>12</v>
      </c>
      <c r="J282" s="7"/>
      <c r="K282" s="10">
        <v>6.93225464</v>
      </c>
    </row>
    <row r="283" spans="1:11" ht="15.75" customHeight="1">
      <c r="A283" s="8" t="s">
        <v>15</v>
      </c>
      <c r="B283" s="8">
        <v>242.85659856000001</v>
      </c>
      <c r="C283" s="8">
        <v>3.673</v>
      </c>
      <c r="D283" s="8">
        <v>7.17E-2</v>
      </c>
      <c r="E283" s="8">
        <v>1E-3</v>
      </c>
      <c r="F283" s="8">
        <v>1000</v>
      </c>
      <c r="G283" s="7"/>
      <c r="H283" s="8">
        <v>25</v>
      </c>
      <c r="I283" s="16" t="s">
        <v>12</v>
      </c>
      <c r="J283" s="7"/>
      <c r="K283" s="10">
        <v>7.1884042700000004</v>
      </c>
    </row>
    <row r="284" spans="1:11" ht="15.75" customHeight="1">
      <c r="A284" s="8" t="s">
        <v>15</v>
      </c>
      <c r="B284" s="8">
        <v>299.30702789999998</v>
      </c>
      <c r="C284" s="8">
        <v>3.673</v>
      </c>
      <c r="D284" s="8">
        <v>7.17E-2</v>
      </c>
      <c r="E284" s="8">
        <v>1E-3</v>
      </c>
      <c r="F284" s="8">
        <v>1000</v>
      </c>
      <c r="G284" s="7"/>
      <c r="H284" s="8">
        <v>25</v>
      </c>
      <c r="I284" s="16" t="s">
        <v>12</v>
      </c>
      <c r="J284" s="7"/>
      <c r="K284" s="10">
        <v>7.5204251099999997</v>
      </c>
    </row>
    <row r="285" spans="1:11" ht="15.75" customHeight="1">
      <c r="A285" s="8" t="s">
        <v>15</v>
      </c>
      <c r="B285" s="8">
        <v>358.39682196000001</v>
      </c>
      <c r="C285" s="8">
        <v>3.673</v>
      </c>
      <c r="D285" s="8">
        <v>7.17E-2</v>
      </c>
      <c r="E285" s="8">
        <v>1E-3</v>
      </c>
      <c r="F285" s="8">
        <v>1000</v>
      </c>
      <c r="G285" s="7"/>
      <c r="H285" s="8">
        <v>25</v>
      </c>
      <c r="I285" s="16" t="s">
        <v>12</v>
      </c>
      <c r="J285" s="7"/>
      <c r="K285" s="10">
        <v>7.8741282699999999</v>
      </c>
    </row>
    <row r="286" spans="1:11" ht="15.75" customHeight="1">
      <c r="A286" s="8" t="s">
        <v>15</v>
      </c>
      <c r="B286" s="8">
        <v>432.25633926</v>
      </c>
      <c r="C286" s="8">
        <v>3.673</v>
      </c>
      <c r="D286" s="8">
        <v>7.17E-2</v>
      </c>
      <c r="E286" s="8">
        <v>1E-3</v>
      </c>
      <c r="F286" s="8">
        <v>1000</v>
      </c>
      <c r="G286" s="7"/>
      <c r="H286" s="8">
        <v>25</v>
      </c>
      <c r="I286" s="16" t="s">
        <v>12</v>
      </c>
      <c r="J286" s="7"/>
      <c r="K286" s="10">
        <v>8.1980647199999996</v>
      </c>
    </row>
    <row r="287" spans="1:11" ht="15.75" customHeight="1">
      <c r="A287" s="8" t="s">
        <v>15</v>
      </c>
      <c r="B287" s="8">
        <v>516.35116770000002</v>
      </c>
      <c r="C287" s="8">
        <v>3.673</v>
      </c>
      <c r="D287" s="8">
        <v>7.17E-2</v>
      </c>
      <c r="E287" s="8">
        <v>1E-3</v>
      </c>
      <c r="F287" s="8">
        <v>1000</v>
      </c>
      <c r="G287" s="7"/>
      <c r="H287" s="8">
        <v>25</v>
      </c>
      <c r="I287" s="16" t="s">
        <v>12</v>
      </c>
      <c r="J287" s="7"/>
      <c r="K287" s="10">
        <v>8.5147061599999994</v>
      </c>
    </row>
    <row r="288" spans="1:11" ht="15.75" customHeight="1">
      <c r="A288" s="8" t="s">
        <v>15</v>
      </c>
      <c r="B288" s="8">
        <v>600.72098040000003</v>
      </c>
      <c r="C288" s="8">
        <v>3.673</v>
      </c>
      <c r="D288" s="8">
        <v>7.17E-2</v>
      </c>
      <c r="E288" s="8">
        <v>1E-3</v>
      </c>
      <c r="F288" s="8">
        <v>1000</v>
      </c>
      <c r="G288" s="7"/>
      <c r="H288" s="8">
        <v>25</v>
      </c>
      <c r="I288" s="16" t="s">
        <v>12</v>
      </c>
      <c r="J288" s="7"/>
      <c r="K288" s="10">
        <v>8.9151720900000004</v>
      </c>
    </row>
    <row r="289" spans="1:11" ht="15.75" customHeight="1">
      <c r="A289" s="8" t="s">
        <v>15</v>
      </c>
      <c r="B289" s="8">
        <v>672.5239464</v>
      </c>
      <c r="C289" s="8">
        <v>3.673</v>
      </c>
      <c r="D289" s="8">
        <v>7.17E-2</v>
      </c>
      <c r="E289" s="8">
        <v>1E-3</v>
      </c>
      <c r="F289" s="8">
        <v>1000</v>
      </c>
      <c r="G289" s="7"/>
      <c r="H289" s="8">
        <v>25</v>
      </c>
      <c r="I289" s="16" t="s">
        <v>12</v>
      </c>
      <c r="J289" s="7"/>
      <c r="K289" s="10">
        <v>9.2148233499999996</v>
      </c>
    </row>
    <row r="290" spans="1:11" ht="15.75" customHeight="1">
      <c r="A290" s="8" t="s">
        <v>15</v>
      </c>
      <c r="B290" s="8">
        <v>780.53483459999995</v>
      </c>
      <c r="C290" s="8">
        <v>3.673</v>
      </c>
      <c r="D290" s="8">
        <v>7.17E-2</v>
      </c>
      <c r="E290" s="8">
        <v>1E-3</v>
      </c>
      <c r="F290" s="8">
        <v>1000</v>
      </c>
      <c r="G290" s="7"/>
      <c r="H290" s="8">
        <v>25</v>
      </c>
      <c r="I290" s="16" t="s">
        <v>12</v>
      </c>
      <c r="J290" s="7"/>
      <c r="K290" s="10">
        <v>9.6637891499999995</v>
      </c>
    </row>
    <row r="291" spans="1:11" ht="15.75" customHeight="1">
      <c r="A291" s="8" t="s">
        <v>15</v>
      </c>
      <c r="B291" s="8">
        <v>871.73362740000005</v>
      </c>
      <c r="C291" s="8">
        <v>3.673</v>
      </c>
      <c r="D291" s="8">
        <v>7.17E-2</v>
      </c>
      <c r="E291" s="8">
        <v>1E-3</v>
      </c>
      <c r="F291" s="8">
        <v>1000</v>
      </c>
      <c r="G291" s="7"/>
      <c r="H291" s="8">
        <v>25</v>
      </c>
      <c r="I291" s="16" t="s">
        <v>12</v>
      </c>
      <c r="J291" s="7"/>
      <c r="K291" s="10">
        <v>10.0775896</v>
      </c>
    </row>
    <row r="292" spans="1:11" ht="15.75" customHeight="1">
      <c r="A292" s="8" t="s">
        <v>15</v>
      </c>
      <c r="B292" s="8">
        <v>1220.2403609999999</v>
      </c>
      <c r="C292" s="8">
        <v>3.673</v>
      </c>
      <c r="D292" s="8">
        <v>7.17E-2</v>
      </c>
      <c r="E292" s="8">
        <v>1E-3</v>
      </c>
      <c r="F292" s="8">
        <v>1000</v>
      </c>
      <c r="G292" s="7"/>
      <c r="H292" s="8">
        <v>25</v>
      </c>
      <c r="I292" s="16" t="s">
        <v>12</v>
      </c>
      <c r="J292" s="7"/>
      <c r="K292" s="10">
        <v>11.2003047</v>
      </c>
    </row>
    <row r="293" spans="1:11" ht="15.75" customHeight="1">
      <c r="A293" s="8" t="s">
        <v>15</v>
      </c>
      <c r="B293" s="8">
        <v>1703.9768928000001</v>
      </c>
      <c r="C293" s="8">
        <v>3.673</v>
      </c>
      <c r="D293" s="8">
        <v>7.17E-2</v>
      </c>
      <c r="E293" s="8">
        <v>1E-3</v>
      </c>
      <c r="F293" s="8">
        <v>1000</v>
      </c>
      <c r="G293" s="7"/>
      <c r="H293" s="8">
        <v>25</v>
      </c>
      <c r="I293" s="16" t="s">
        <v>12</v>
      </c>
      <c r="J293" s="7"/>
      <c r="K293" s="10">
        <v>12.398014399999999</v>
      </c>
    </row>
    <row r="294" spans="1:11" ht="15.75" customHeight="1">
      <c r="A294" s="8" t="s">
        <v>15</v>
      </c>
      <c r="B294" s="8">
        <v>2306.3177747999998</v>
      </c>
      <c r="C294" s="8">
        <v>3.673</v>
      </c>
      <c r="D294" s="8">
        <v>7.17E-2</v>
      </c>
      <c r="E294" s="8">
        <v>1E-3</v>
      </c>
      <c r="F294" s="8">
        <v>1000</v>
      </c>
      <c r="G294" s="7"/>
      <c r="H294" s="8">
        <v>25</v>
      </c>
      <c r="I294" s="16" t="s">
        <v>12</v>
      </c>
      <c r="J294" s="7"/>
      <c r="K294" s="10">
        <v>13.4066209</v>
      </c>
    </row>
    <row r="295" spans="1:11" ht="15.75" customHeight="1">
      <c r="A295" s="8" t="s">
        <v>15</v>
      </c>
      <c r="B295" s="8">
        <v>154.60024704</v>
      </c>
      <c r="C295" s="8">
        <v>1.3779999999999999</v>
      </c>
      <c r="D295" s="8">
        <v>7.17E-2</v>
      </c>
      <c r="E295" s="8">
        <v>1E-3</v>
      </c>
      <c r="F295" s="8">
        <v>1000</v>
      </c>
      <c r="G295" s="7"/>
      <c r="H295" s="8">
        <v>25</v>
      </c>
      <c r="I295" s="16" t="s">
        <v>12</v>
      </c>
      <c r="J295" s="7"/>
      <c r="K295" s="10">
        <v>6.00057391</v>
      </c>
    </row>
    <row r="296" spans="1:11" ht="15.75" customHeight="1">
      <c r="A296" s="8" t="s">
        <v>15</v>
      </c>
      <c r="B296" s="8">
        <v>220.60644600000001</v>
      </c>
      <c r="C296" s="8">
        <v>1.3779999999999999</v>
      </c>
      <c r="D296" s="8">
        <v>7.17E-2</v>
      </c>
      <c r="E296" s="8">
        <v>1E-3</v>
      </c>
      <c r="F296" s="8">
        <v>1000</v>
      </c>
      <c r="G296" s="7"/>
      <c r="H296" s="8">
        <v>25</v>
      </c>
      <c r="I296" s="16" t="s">
        <v>12</v>
      </c>
      <c r="J296" s="7"/>
      <c r="K296" s="10">
        <v>6.7339231100000001</v>
      </c>
    </row>
    <row r="297" spans="1:11" ht="15.75" customHeight="1">
      <c r="A297" s="8" t="s">
        <v>15</v>
      </c>
      <c r="B297" s="8">
        <v>283.21808879999998</v>
      </c>
      <c r="C297" s="8">
        <v>1.3779999999999999</v>
      </c>
      <c r="D297" s="8">
        <v>7.17E-2</v>
      </c>
      <c r="E297" s="8">
        <v>1E-3</v>
      </c>
      <c r="F297" s="8">
        <v>1000</v>
      </c>
      <c r="G297" s="7"/>
      <c r="H297" s="8">
        <v>25</v>
      </c>
      <c r="I297" s="16" t="s">
        <v>12</v>
      </c>
      <c r="J297" s="7"/>
      <c r="K297" s="10">
        <v>7.1421839299999998</v>
      </c>
    </row>
    <row r="298" spans="1:11" ht="15.75" customHeight="1">
      <c r="A298" s="8" t="s">
        <v>15</v>
      </c>
      <c r="B298" s="8">
        <v>361.85721383999999</v>
      </c>
      <c r="C298" s="8">
        <v>1.3779999999999999</v>
      </c>
      <c r="D298" s="8">
        <v>7.17E-2</v>
      </c>
      <c r="E298" s="8">
        <v>1E-3</v>
      </c>
      <c r="F298" s="8">
        <v>1000</v>
      </c>
      <c r="G298" s="7"/>
      <c r="H298" s="8">
        <v>25</v>
      </c>
      <c r="I298" s="16" t="s">
        <v>12</v>
      </c>
      <c r="J298" s="7"/>
      <c r="K298" s="10">
        <v>7.3406927599999996</v>
      </c>
    </row>
    <row r="299" spans="1:11" ht="15.75" customHeight="1">
      <c r="A299" s="8" t="s">
        <v>15</v>
      </c>
      <c r="B299" s="8">
        <v>413.96342615999998</v>
      </c>
      <c r="C299" s="8">
        <v>1.3779999999999999</v>
      </c>
      <c r="D299" s="8">
        <v>7.17E-2</v>
      </c>
      <c r="E299" s="8">
        <v>1E-3</v>
      </c>
      <c r="F299" s="8">
        <v>1000</v>
      </c>
      <c r="G299" s="7"/>
      <c r="H299" s="8">
        <v>25</v>
      </c>
      <c r="I299" s="16" t="s">
        <v>12</v>
      </c>
      <c r="J299" s="7"/>
      <c r="K299" s="10">
        <v>7.6303694699999998</v>
      </c>
    </row>
    <row r="300" spans="1:11" ht="15.75" customHeight="1">
      <c r="A300" s="8" t="s">
        <v>15</v>
      </c>
      <c r="B300" s="8">
        <v>457.91028383999998</v>
      </c>
      <c r="C300" s="8">
        <v>1.3779999999999999</v>
      </c>
      <c r="D300" s="8">
        <v>7.17E-2</v>
      </c>
      <c r="E300" s="8">
        <v>1E-3</v>
      </c>
      <c r="F300" s="8">
        <v>1000</v>
      </c>
      <c r="G300" s="7"/>
      <c r="H300" s="8">
        <v>25</v>
      </c>
      <c r="I300" s="16" t="s">
        <v>12</v>
      </c>
      <c r="J300" s="7"/>
      <c r="K300" s="10">
        <v>8.0669209199999994</v>
      </c>
    </row>
    <row r="301" spans="1:11" ht="15.75" customHeight="1">
      <c r="A301" s="8" t="s">
        <v>15</v>
      </c>
      <c r="B301" s="8">
        <v>522.59071793999999</v>
      </c>
      <c r="C301" s="8">
        <v>1.3779999999999999</v>
      </c>
      <c r="D301" s="8">
        <v>7.17E-2</v>
      </c>
      <c r="E301" s="8">
        <v>1E-3</v>
      </c>
      <c r="F301" s="8">
        <v>1000</v>
      </c>
      <c r="G301" s="7"/>
      <c r="H301" s="8">
        <v>25</v>
      </c>
      <c r="I301" s="16" t="s">
        <v>12</v>
      </c>
      <c r="J301" s="7"/>
      <c r="K301" s="10">
        <v>8.3380607300000005</v>
      </c>
    </row>
    <row r="302" spans="1:11" ht="15.75" customHeight="1">
      <c r="A302" s="7" t="s">
        <v>16</v>
      </c>
      <c r="B302" s="18">
        <v>9.93925670787816</v>
      </c>
      <c r="C302" s="17">
        <v>5</v>
      </c>
      <c r="D302" s="7">
        <v>7.1999999999999995E-2</v>
      </c>
      <c r="E302" s="18">
        <v>8.0000000000000004E-4</v>
      </c>
      <c r="F302" s="18">
        <v>998</v>
      </c>
      <c r="G302" s="19"/>
      <c r="H302" s="8">
        <v>25</v>
      </c>
      <c r="I302" s="7" t="s">
        <v>12</v>
      </c>
      <c r="J302" s="19"/>
      <c r="K302" s="7">
        <v>7.80144266677652</v>
      </c>
    </row>
    <row r="303" spans="1:11" ht="15.75" customHeight="1">
      <c r="A303" s="7" t="s">
        <v>16</v>
      </c>
      <c r="B303" s="18">
        <v>20.0552167626977</v>
      </c>
      <c r="C303" s="17">
        <v>5</v>
      </c>
      <c r="D303" s="7">
        <v>7.1999999999999995E-2</v>
      </c>
      <c r="E303" s="18">
        <v>8.0000000000000004E-4</v>
      </c>
      <c r="F303" s="18">
        <v>998</v>
      </c>
      <c r="G303" s="19"/>
      <c r="H303" s="8">
        <v>25</v>
      </c>
      <c r="I303" s="7" t="s">
        <v>12</v>
      </c>
      <c r="J303" s="19"/>
      <c r="K303" s="7">
        <v>7.9419134024547002</v>
      </c>
    </row>
    <row r="304" spans="1:11" ht="15.75" customHeight="1">
      <c r="A304" s="7" t="s">
        <v>16</v>
      </c>
      <c r="B304" s="18">
        <v>29.994476706012101</v>
      </c>
      <c r="C304" s="17">
        <v>5</v>
      </c>
      <c r="D304" s="7">
        <v>7.1999999999999995E-2</v>
      </c>
      <c r="E304" s="18">
        <v>8.0000000000000004E-4</v>
      </c>
      <c r="F304" s="18">
        <v>998</v>
      </c>
      <c r="G304" s="19"/>
      <c r="H304" s="8">
        <v>25</v>
      </c>
      <c r="I304" s="7" t="s">
        <v>12</v>
      </c>
      <c r="J304" s="19"/>
      <c r="K304" s="7">
        <v>8.0808655722594604</v>
      </c>
    </row>
    <row r="305" spans="1:11" ht="15.75" customHeight="1">
      <c r="A305" s="7" t="s">
        <v>16</v>
      </c>
      <c r="B305" s="18">
        <v>39.977913294920803</v>
      </c>
      <c r="C305" s="17">
        <v>5</v>
      </c>
      <c r="D305" s="7">
        <v>7.1999999999999995E-2</v>
      </c>
      <c r="E305" s="18">
        <v>8.0000000000000004E-4</v>
      </c>
      <c r="F305" s="18">
        <v>998</v>
      </c>
      <c r="G305" s="19"/>
      <c r="H305" s="8">
        <v>25</v>
      </c>
      <c r="I305" s="7" t="s">
        <v>12</v>
      </c>
      <c r="J305" s="19"/>
      <c r="K305" s="7">
        <v>8.2304479812426496</v>
      </c>
    </row>
    <row r="306" spans="1:11" ht="15.75" customHeight="1">
      <c r="A306" s="7" t="s">
        <v>16</v>
      </c>
      <c r="B306" s="18">
        <v>50.005520058551603</v>
      </c>
      <c r="C306" s="17">
        <v>5</v>
      </c>
      <c r="D306" s="7">
        <v>7.1999999999999995E-2</v>
      </c>
      <c r="E306" s="18">
        <v>8.0000000000000004E-4</v>
      </c>
      <c r="F306" s="18">
        <v>998</v>
      </c>
      <c r="G306" s="19"/>
      <c r="H306" s="8">
        <v>25</v>
      </c>
      <c r="I306" s="7" t="s">
        <v>12</v>
      </c>
      <c r="J306" s="19"/>
      <c r="K306" s="7">
        <v>8.3337129910221108</v>
      </c>
    </row>
    <row r="307" spans="1:11" ht="15.75" customHeight="1">
      <c r="A307" s="7" t="s">
        <v>16</v>
      </c>
      <c r="B307" s="18">
        <v>60.077296996904501</v>
      </c>
      <c r="C307" s="17">
        <v>5</v>
      </c>
      <c r="D307" s="7">
        <v>7.1999999999999995E-2</v>
      </c>
      <c r="E307" s="18">
        <v>8.0000000000000004E-4</v>
      </c>
      <c r="F307" s="18">
        <v>998</v>
      </c>
      <c r="G307" s="19"/>
      <c r="H307" s="8">
        <v>25</v>
      </c>
      <c r="I307" s="7" t="s">
        <v>12</v>
      </c>
      <c r="J307" s="19"/>
      <c r="K307" s="7">
        <v>8.4498861165965895</v>
      </c>
    </row>
    <row r="308" spans="1:11" ht="15.75" customHeight="1">
      <c r="A308" s="7" t="s">
        <v>16</v>
      </c>
      <c r="B308" s="18">
        <v>20.108249872639501</v>
      </c>
      <c r="C308" s="17">
        <v>5</v>
      </c>
      <c r="D308" s="7">
        <v>7.1999999999999995E-2</v>
      </c>
      <c r="E308" s="18">
        <v>8.0000000000000004E-4</v>
      </c>
      <c r="F308" s="18">
        <v>998</v>
      </c>
      <c r="G308" s="19"/>
      <c r="H308" s="8">
        <v>25</v>
      </c>
      <c r="I308" s="7" t="s">
        <v>12</v>
      </c>
      <c r="J308" s="19"/>
      <c r="K308" s="7">
        <v>7.7380321493772897</v>
      </c>
    </row>
    <row r="309" spans="1:11" ht="15.75" customHeight="1">
      <c r="A309" s="7" t="s">
        <v>16</v>
      </c>
      <c r="B309" s="18">
        <v>50.0054889388338</v>
      </c>
      <c r="C309" s="17">
        <v>5</v>
      </c>
      <c r="D309" s="7">
        <v>7.1999999999999995E-2</v>
      </c>
      <c r="E309" s="18">
        <v>8.0000000000000004E-4</v>
      </c>
      <c r="F309" s="18">
        <v>998</v>
      </c>
      <c r="G309" s="19"/>
      <c r="H309" s="8">
        <v>25</v>
      </c>
      <c r="I309" s="7" t="s">
        <v>12</v>
      </c>
      <c r="J309" s="19"/>
      <c r="K309" s="7">
        <v>8.2579985338626791</v>
      </c>
    </row>
    <row r="310" spans="1:11" ht="15.75" customHeight="1">
      <c r="A310" s="7" t="s">
        <v>16</v>
      </c>
      <c r="B310" s="18">
        <v>60.041910032490897</v>
      </c>
      <c r="C310" s="17">
        <v>5</v>
      </c>
      <c r="D310" s="7">
        <v>7.1999999999999995E-2</v>
      </c>
      <c r="E310" s="18">
        <v>8.0000000000000004E-4</v>
      </c>
      <c r="F310" s="18">
        <v>998</v>
      </c>
      <c r="G310" s="19"/>
      <c r="H310" s="8">
        <v>25</v>
      </c>
      <c r="I310" s="7" t="s">
        <v>12</v>
      </c>
      <c r="J310" s="19"/>
      <c r="K310" s="7">
        <v>8.3819157651691292</v>
      </c>
    </row>
    <row r="311" spans="1:11" ht="15.75" customHeight="1">
      <c r="A311" s="7" t="s">
        <v>16</v>
      </c>
      <c r="B311" s="18">
        <v>70.2196935443868</v>
      </c>
      <c r="C311" s="17">
        <v>5</v>
      </c>
      <c r="D311" s="7">
        <v>7.1999999999999995E-2</v>
      </c>
      <c r="E311" s="18">
        <v>8.0000000000000004E-4</v>
      </c>
      <c r="F311" s="18">
        <v>998</v>
      </c>
      <c r="G311" s="19"/>
      <c r="H311" s="8">
        <v>25</v>
      </c>
      <c r="I311" s="7" t="s">
        <v>12</v>
      </c>
      <c r="J311" s="19"/>
      <c r="K311" s="7">
        <v>8.4317256511925809</v>
      </c>
    </row>
    <row r="312" spans="1:11" ht="15.75" customHeight="1">
      <c r="A312" s="7" t="s">
        <v>16</v>
      </c>
      <c r="B312" s="18">
        <v>9.9408269252653092</v>
      </c>
      <c r="C312" s="17">
        <v>2</v>
      </c>
      <c r="D312" s="7">
        <v>7.1999999999999995E-2</v>
      </c>
      <c r="E312" s="18">
        <v>8.0000000000000004E-4</v>
      </c>
      <c r="F312" s="18">
        <v>998</v>
      </c>
      <c r="G312" s="19"/>
      <c r="H312" s="8">
        <v>25</v>
      </c>
      <c r="I312" s="7" t="s">
        <v>12</v>
      </c>
      <c r="J312" s="19"/>
      <c r="K312" s="7">
        <v>5.99755900043938</v>
      </c>
    </row>
    <row r="313" spans="1:11" ht="15.75" customHeight="1">
      <c r="A313" s="7" t="s">
        <v>16</v>
      </c>
      <c r="B313" s="18">
        <v>19.881653850530601</v>
      </c>
      <c r="C313" s="17">
        <v>2</v>
      </c>
      <c r="D313" s="7">
        <v>7.1999999999999995E-2</v>
      </c>
      <c r="E313" s="18">
        <v>8.0000000000000004E-4</v>
      </c>
      <c r="F313" s="18">
        <v>998</v>
      </c>
      <c r="G313" s="19"/>
      <c r="H313" s="8">
        <v>25</v>
      </c>
      <c r="I313" s="7" t="s">
        <v>12</v>
      </c>
      <c r="J313" s="19"/>
      <c r="K313" s="7">
        <v>6.0634664411251302</v>
      </c>
    </row>
    <row r="314" spans="1:11" ht="15.75" customHeight="1">
      <c r="A314" s="7" t="s">
        <v>16</v>
      </c>
      <c r="B314" s="18">
        <v>29.822480775795899</v>
      </c>
      <c r="C314" s="17">
        <v>2</v>
      </c>
      <c r="D314" s="7">
        <v>7.1999999999999995E-2</v>
      </c>
      <c r="E314" s="18">
        <v>8.0000000000000004E-4</v>
      </c>
      <c r="F314" s="18">
        <v>998</v>
      </c>
      <c r="G314" s="19"/>
      <c r="H314" s="8">
        <v>25</v>
      </c>
      <c r="I314" s="7" t="s">
        <v>12</v>
      </c>
      <c r="J314" s="19"/>
      <c r="K314" s="7">
        <v>6.0488201420620298</v>
      </c>
    </row>
    <row r="315" spans="1:11" ht="15.75" customHeight="1">
      <c r="A315" s="7" t="s">
        <v>16</v>
      </c>
      <c r="B315" s="18">
        <v>39.857995541956299</v>
      </c>
      <c r="C315" s="17">
        <v>2</v>
      </c>
      <c r="D315" s="7">
        <v>7.1999999999999995E-2</v>
      </c>
      <c r="E315" s="18">
        <v>8.0000000000000004E-4</v>
      </c>
      <c r="F315" s="18">
        <v>998</v>
      </c>
      <c r="G315" s="19"/>
      <c r="H315" s="8">
        <v>25</v>
      </c>
      <c r="I315" s="7" t="s">
        <v>12</v>
      </c>
      <c r="J315" s="19"/>
      <c r="K315" s="7">
        <v>6.2026038686293798</v>
      </c>
    </row>
    <row r="316" spans="1:11" ht="15.75" customHeight="1">
      <c r="A316" s="7" t="s">
        <v>16</v>
      </c>
      <c r="B316" s="18">
        <v>49.846150785783998</v>
      </c>
      <c r="C316" s="17">
        <v>2</v>
      </c>
      <c r="D316" s="7">
        <v>7.1999999999999995E-2</v>
      </c>
      <c r="E316" s="18">
        <v>8.0000000000000004E-4</v>
      </c>
      <c r="F316" s="18">
        <v>998</v>
      </c>
      <c r="G316" s="19"/>
      <c r="H316" s="8">
        <v>25</v>
      </c>
      <c r="I316" s="7" t="s">
        <v>12</v>
      </c>
      <c r="J316" s="19"/>
      <c r="K316" s="7">
        <v>6.3637104430288902</v>
      </c>
    </row>
    <row r="317" spans="1:11" ht="15.75" customHeight="1">
      <c r="A317" s="7" t="s">
        <v>16</v>
      </c>
      <c r="B317" s="18">
        <v>59.692305472039401</v>
      </c>
      <c r="C317" s="17">
        <v>2</v>
      </c>
      <c r="D317" s="7">
        <v>7.1999999999999995E-2</v>
      </c>
      <c r="E317" s="18">
        <v>8.0000000000000004E-4</v>
      </c>
      <c r="F317" s="18">
        <v>998</v>
      </c>
      <c r="G317" s="19"/>
      <c r="H317" s="8">
        <v>25</v>
      </c>
      <c r="I317" s="7" t="s">
        <v>12</v>
      </c>
      <c r="J317" s="19"/>
      <c r="K317" s="7">
        <v>6.41497158465154</v>
      </c>
    </row>
    <row r="318" spans="1:11" ht="15.75" customHeight="1">
      <c r="A318" s="7" t="s">
        <v>16</v>
      </c>
      <c r="B318" s="18">
        <v>69.869820795772199</v>
      </c>
      <c r="C318" s="17">
        <v>2</v>
      </c>
      <c r="D318" s="7">
        <v>7.1999999999999995E-2</v>
      </c>
      <c r="E318" s="18">
        <v>8.0000000000000004E-4</v>
      </c>
      <c r="F318" s="18">
        <v>998</v>
      </c>
      <c r="G318" s="19"/>
      <c r="H318" s="8">
        <v>25</v>
      </c>
      <c r="I318" s="7" t="s">
        <v>12</v>
      </c>
      <c r="J318" s="19"/>
      <c r="K318" s="7">
        <v>6.5614321616873399</v>
      </c>
    </row>
    <row r="319" spans="1:11" ht="15.75" customHeight="1">
      <c r="A319" s="7" t="s">
        <v>16</v>
      </c>
      <c r="B319" s="18">
        <v>9.9408269252653092</v>
      </c>
      <c r="C319" s="20">
        <v>3.2</v>
      </c>
      <c r="D319" s="7">
        <v>7.1999999999999995E-2</v>
      </c>
      <c r="E319" s="18">
        <v>8.0000000000000004E-4</v>
      </c>
      <c r="F319" s="18">
        <v>998</v>
      </c>
      <c r="G319" s="19"/>
      <c r="H319" s="8">
        <v>25</v>
      </c>
      <c r="I319" s="7" t="s">
        <v>12</v>
      </c>
      <c r="J319" s="19"/>
      <c r="K319" s="7">
        <v>6.41497158465154</v>
      </c>
    </row>
    <row r="320" spans="1:11" ht="15.75" customHeight="1">
      <c r="A320" s="7" t="s">
        <v>16</v>
      </c>
      <c r="B320" s="18">
        <v>19.834325531968201</v>
      </c>
      <c r="C320" s="20">
        <v>3.2</v>
      </c>
      <c r="D320" s="7">
        <v>7.1999999999999995E-2</v>
      </c>
      <c r="E320" s="18">
        <v>8.0000000000000004E-4</v>
      </c>
      <c r="F320" s="18">
        <v>998</v>
      </c>
      <c r="G320" s="19"/>
      <c r="H320" s="8">
        <v>25</v>
      </c>
      <c r="I320" s="7" t="s">
        <v>12</v>
      </c>
      <c r="J320" s="19"/>
      <c r="K320" s="7">
        <v>7.41090332747536</v>
      </c>
    </row>
    <row r="321" spans="1:11" ht="15.75" customHeight="1">
      <c r="A321" s="7" t="s">
        <v>16</v>
      </c>
      <c r="B321" s="18">
        <v>29.869824696243398</v>
      </c>
      <c r="C321" s="20">
        <v>3.2</v>
      </c>
      <c r="D321" s="7">
        <v>7.1999999999999995E-2</v>
      </c>
      <c r="E321" s="18">
        <v>8.0000000000000004E-4</v>
      </c>
      <c r="F321" s="18">
        <v>998</v>
      </c>
      <c r="G321" s="19"/>
      <c r="H321" s="8">
        <v>25</v>
      </c>
      <c r="I321" s="7" t="s">
        <v>12</v>
      </c>
      <c r="J321" s="19"/>
      <c r="K321" s="7">
        <v>7.5573636028117601</v>
      </c>
    </row>
    <row r="322" spans="1:11" ht="15.75" customHeight="1">
      <c r="A322" s="7" t="s">
        <v>16</v>
      </c>
      <c r="B322" s="18">
        <v>39.952659980023697</v>
      </c>
      <c r="C322" s="20">
        <v>3.2</v>
      </c>
      <c r="D322" s="7">
        <v>7.1999999999999995E-2</v>
      </c>
      <c r="E322" s="18">
        <v>8.0000000000000004E-4</v>
      </c>
      <c r="F322" s="18">
        <v>998</v>
      </c>
      <c r="G322" s="19"/>
      <c r="H322" s="8">
        <v>25</v>
      </c>
      <c r="I322" s="7" t="s">
        <v>12</v>
      </c>
      <c r="J322" s="19"/>
      <c r="K322" s="7">
        <v>7.6232707417981196</v>
      </c>
    </row>
    <row r="323" spans="1:11" ht="15.75" customHeight="1">
      <c r="A323" s="7" t="s">
        <v>16</v>
      </c>
      <c r="B323" s="18">
        <v>49.751478546774102</v>
      </c>
      <c r="C323" s="20">
        <v>3.2</v>
      </c>
      <c r="D323" s="7">
        <v>7.1999999999999995E-2</v>
      </c>
      <c r="E323" s="18">
        <v>8.0000000000000004E-4</v>
      </c>
      <c r="F323" s="18">
        <v>998</v>
      </c>
      <c r="G323" s="19"/>
      <c r="H323" s="8">
        <v>25</v>
      </c>
      <c r="I323" s="7" t="s">
        <v>12</v>
      </c>
      <c r="J323" s="19"/>
      <c r="K323" s="7">
        <v>7.6452398886933697</v>
      </c>
    </row>
    <row r="324" spans="1:11" ht="15.75" customHeight="1">
      <c r="A324" s="7" t="s">
        <v>16</v>
      </c>
      <c r="B324" s="18">
        <v>59.881657751001903</v>
      </c>
      <c r="C324" s="20">
        <v>3.2</v>
      </c>
      <c r="D324" s="7">
        <v>7.1999999999999995E-2</v>
      </c>
      <c r="E324" s="18">
        <v>8.0000000000000004E-4</v>
      </c>
      <c r="F324" s="18">
        <v>998</v>
      </c>
      <c r="G324" s="19"/>
      <c r="H324" s="8">
        <v>25</v>
      </c>
      <c r="I324" s="7" t="s">
        <v>12</v>
      </c>
      <c r="J324" s="19"/>
      <c r="K324" s="7">
        <v>7.6965013320154201</v>
      </c>
    </row>
    <row r="325" spans="1:11" ht="15.75" customHeight="1">
      <c r="A325" s="7" t="s">
        <v>16</v>
      </c>
      <c r="B325" s="18">
        <v>69.917156915277104</v>
      </c>
      <c r="C325" s="20">
        <v>3.2</v>
      </c>
      <c r="D325" s="7">
        <v>7.1999999999999995E-2</v>
      </c>
      <c r="E325" s="18">
        <v>8.0000000000000004E-4</v>
      </c>
      <c r="F325" s="18">
        <v>998</v>
      </c>
      <c r="G325" s="19"/>
      <c r="H325" s="8">
        <v>25</v>
      </c>
      <c r="I325" s="7" t="s">
        <v>12</v>
      </c>
      <c r="J325" s="19"/>
      <c r="K325" s="7">
        <v>7.7038243306972696</v>
      </c>
    </row>
    <row r="326" spans="1:11" ht="15.75" customHeight="1">
      <c r="A326" s="7" t="s">
        <v>16</v>
      </c>
      <c r="B326" s="18">
        <v>9.7514785467741092</v>
      </c>
      <c r="C326" s="20">
        <v>5</v>
      </c>
      <c r="D326" s="7">
        <v>7.1999999999999995E-2</v>
      </c>
      <c r="E326" s="18">
        <v>8.0000000000000004E-4</v>
      </c>
      <c r="F326" s="18">
        <v>998</v>
      </c>
      <c r="G326" s="19"/>
      <c r="H326" s="8">
        <v>25</v>
      </c>
      <c r="I326" s="7" t="s">
        <v>12</v>
      </c>
      <c r="J326" s="19"/>
      <c r="K326" s="7">
        <v>7.6525630382249199</v>
      </c>
    </row>
    <row r="327" spans="1:11" ht="15.75" customHeight="1">
      <c r="A327" s="7" t="s">
        <v>16</v>
      </c>
      <c r="B327" s="18">
        <v>19.881653850530601</v>
      </c>
      <c r="C327" s="20">
        <v>5</v>
      </c>
      <c r="D327" s="7">
        <v>7.1999999999999995E-2</v>
      </c>
      <c r="E327" s="18">
        <v>8.0000000000000004E-4</v>
      </c>
      <c r="F327" s="18">
        <v>998</v>
      </c>
      <c r="G327" s="19"/>
      <c r="H327" s="8">
        <v>25</v>
      </c>
      <c r="I327" s="7" t="s">
        <v>12</v>
      </c>
      <c r="J327" s="19"/>
      <c r="K327" s="7">
        <v>7.7624086218514696</v>
      </c>
    </row>
    <row r="328" spans="1:11" ht="15.75" customHeight="1">
      <c r="A328" s="7" t="s">
        <v>16</v>
      </c>
      <c r="B328" s="18">
        <v>29.869824696243398</v>
      </c>
      <c r="C328" s="20">
        <v>5</v>
      </c>
      <c r="D328" s="7">
        <v>7.1999999999999995E-2</v>
      </c>
      <c r="E328" s="18">
        <v>8.0000000000000004E-4</v>
      </c>
      <c r="F328" s="18">
        <v>998</v>
      </c>
      <c r="G328" s="19"/>
      <c r="H328" s="8">
        <v>25</v>
      </c>
      <c r="I328" s="7" t="s">
        <v>12</v>
      </c>
      <c r="J328" s="19"/>
      <c r="K328" s="7">
        <v>7.9528070401286701</v>
      </c>
    </row>
    <row r="329" spans="1:11" ht="15.75" customHeight="1">
      <c r="A329" s="7" t="s">
        <v>16</v>
      </c>
      <c r="B329" s="18">
        <v>39.857995541956299</v>
      </c>
      <c r="C329" s="20">
        <v>5</v>
      </c>
      <c r="D329" s="7">
        <v>7.1999999999999995E-2</v>
      </c>
      <c r="E329" s="18">
        <v>8.0000000000000004E-4</v>
      </c>
      <c r="F329" s="18">
        <v>998</v>
      </c>
      <c r="G329" s="19"/>
      <c r="H329" s="8">
        <v>25</v>
      </c>
      <c r="I329" s="7" t="s">
        <v>12</v>
      </c>
      <c r="J329" s="19"/>
      <c r="K329" s="7">
        <v>8.1358829122731304</v>
      </c>
    </row>
    <row r="330" spans="1:11" ht="15.75" customHeight="1">
      <c r="A330" s="7" t="s">
        <v>16</v>
      </c>
      <c r="B330" s="18">
        <v>49.846150785783998</v>
      </c>
      <c r="C330" s="20">
        <v>5</v>
      </c>
      <c r="D330" s="7">
        <v>7.1999999999999995E-2</v>
      </c>
      <c r="E330" s="18">
        <v>8.0000000000000004E-4</v>
      </c>
      <c r="F330" s="18">
        <v>998</v>
      </c>
      <c r="G330" s="19"/>
      <c r="H330" s="8">
        <v>25</v>
      </c>
      <c r="I330" s="7" t="s">
        <v>12</v>
      </c>
      <c r="J330" s="19"/>
      <c r="K330" s="7">
        <v>8.2676974919452295</v>
      </c>
    </row>
    <row r="331" spans="1:11" ht="15.75" customHeight="1">
      <c r="A331" s="7" t="s">
        <v>16</v>
      </c>
      <c r="B331" s="18">
        <v>59.786977711049303</v>
      </c>
      <c r="C331" s="20">
        <v>5</v>
      </c>
      <c r="D331" s="7">
        <v>7.1999999999999995E-2</v>
      </c>
      <c r="E331" s="18">
        <v>8.0000000000000004E-4</v>
      </c>
      <c r="F331" s="18">
        <v>998</v>
      </c>
      <c r="G331" s="19"/>
      <c r="H331" s="8">
        <v>25</v>
      </c>
      <c r="I331" s="7" t="s">
        <v>12</v>
      </c>
      <c r="J331" s="19"/>
      <c r="K331" s="7">
        <v>8.3775429247220803</v>
      </c>
    </row>
    <row r="332" spans="1:11" ht="15.75" customHeight="1">
      <c r="A332" s="7" t="s">
        <v>16</v>
      </c>
      <c r="B332" s="18">
        <v>70.059173074734602</v>
      </c>
      <c r="C332" s="20">
        <v>5</v>
      </c>
      <c r="D332" s="7">
        <v>7.1999999999999995E-2</v>
      </c>
      <c r="E332" s="18">
        <v>8.0000000000000004E-4</v>
      </c>
      <c r="F332" s="18">
        <v>998</v>
      </c>
      <c r="G332" s="19"/>
      <c r="H332" s="8">
        <v>25</v>
      </c>
      <c r="I332" s="7" t="s">
        <v>12</v>
      </c>
      <c r="J332" s="19"/>
      <c r="K332" s="7">
        <v>8.4434500637084309</v>
      </c>
    </row>
    <row r="333" spans="1:11" ht="15.75" customHeight="1">
      <c r="A333" s="7" t="s">
        <v>16</v>
      </c>
      <c r="B333" s="21">
        <v>10.2306363895547</v>
      </c>
      <c r="C333" s="20">
        <v>2</v>
      </c>
      <c r="D333" s="7">
        <v>2.1680000000000001E-2</v>
      </c>
      <c r="E333" s="7">
        <v>1.745E-3</v>
      </c>
      <c r="F333" s="7">
        <v>836</v>
      </c>
      <c r="G333" s="19"/>
      <c r="H333" s="8">
        <v>25</v>
      </c>
      <c r="I333" s="7" t="s">
        <v>12</v>
      </c>
      <c r="J333" s="19"/>
      <c r="K333" s="22">
        <v>4.3021172297272896</v>
      </c>
    </row>
    <row r="334" spans="1:11" ht="15.75" customHeight="1">
      <c r="A334" s="7" t="s">
        <v>16</v>
      </c>
      <c r="B334" s="21">
        <v>20.0473120276855</v>
      </c>
      <c r="C334" s="20">
        <v>2</v>
      </c>
      <c r="D334" s="7">
        <v>2.1680000000000001E-2</v>
      </c>
      <c r="E334" s="7">
        <v>1.745E-3</v>
      </c>
      <c r="F334" s="7">
        <v>836</v>
      </c>
      <c r="G334" s="19"/>
      <c r="H334" s="8">
        <v>25</v>
      </c>
      <c r="I334" s="7" t="s">
        <v>12</v>
      </c>
      <c r="J334" s="19"/>
      <c r="K334" s="22">
        <v>4.9910423879991503</v>
      </c>
    </row>
    <row r="335" spans="1:11" ht="15.75" customHeight="1">
      <c r="A335" s="7" t="s">
        <v>16</v>
      </c>
      <c r="B335" s="21">
        <v>30.218803509927099</v>
      </c>
      <c r="C335" s="20">
        <v>2</v>
      </c>
      <c r="D335" s="7">
        <v>2.1680000000000001E-2</v>
      </c>
      <c r="E335" s="7">
        <v>1.745E-3</v>
      </c>
      <c r="F335" s="7">
        <v>836</v>
      </c>
      <c r="G335" s="19"/>
      <c r="H335" s="8">
        <v>25</v>
      </c>
      <c r="I335" s="7" t="s">
        <v>12</v>
      </c>
      <c r="J335" s="19"/>
      <c r="K335" s="22">
        <v>5.1083057821721001</v>
      </c>
    </row>
    <row r="336" spans="1:11" ht="15.75" customHeight="1">
      <c r="A336" s="7" t="s">
        <v>16</v>
      </c>
      <c r="B336" s="21">
        <v>40.153754344565698</v>
      </c>
      <c r="C336" s="20">
        <v>2</v>
      </c>
      <c r="D336" s="7">
        <v>2.1680000000000001E-2</v>
      </c>
      <c r="E336" s="7">
        <v>1.745E-3</v>
      </c>
      <c r="F336" s="7">
        <v>836</v>
      </c>
      <c r="G336" s="19"/>
      <c r="H336" s="8">
        <v>25</v>
      </c>
      <c r="I336" s="7" t="s">
        <v>12</v>
      </c>
      <c r="J336" s="19"/>
      <c r="K336" s="22">
        <v>5.1742665923669202</v>
      </c>
    </row>
    <row r="337" spans="1:11" ht="15.75" customHeight="1">
      <c r="A337" s="7" t="s">
        <v>16</v>
      </c>
      <c r="B337" s="21">
        <v>50.2069852484181</v>
      </c>
      <c r="C337" s="20">
        <v>2</v>
      </c>
      <c r="D337" s="7">
        <v>2.1680000000000001E-2</v>
      </c>
      <c r="E337" s="7">
        <v>1.745E-3</v>
      </c>
      <c r="F337" s="7">
        <v>836</v>
      </c>
      <c r="G337" s="19"/>
      <c r="H337" s="8">
        <v>25</v>
      </c>
      <c r="I337" s="7" t="s">
        <v>12</v>
      </c>
      <c r="J337" s="19"/>
      <c r="K337" s="22">
        <v>5.4600977763614598</v>
      </c>
    </row>
    <row r="338" spans="1:11" ht="15.75" customHeight="1">
      <c r="A338" s="7" t="s">
        <v>16</v>
      </c>
      <c r="B338" s="21">
        <v>60.023656013842697</v>
      </c>
      <c r="C338" s="20">
        <v>2</v>
      </c>
      <c r="D338" s="7">
        <v>2.1680000000000001E-2</v>
      </c>
      <c r="E338" s="7">
        <v>1.745E-3</v>
      </c>
      <c r="F338" s="7">
        <v>836</v>
      </c>
      <c r="G338" s="19"/>
      <c r="H338" s="8">
        <v>25</v>
      </c>
      <c r="I338" s="7" t="s">
        <v>12</v>
      </c>
      <c r="J338" s="19"/>
      <c r="K338" s="22">
        <v>5.5260585865562897</v>
      </c>
    </row>
    <row r="339" spans="1:11" ht="15.75" customHeight="1">
      <c r="A339" s="7" t="s">
        <v>16</v>
      </c>
      <c r="B339" s="21">
        <v>69.840336524679699</v>
      </c>
      <c r="C339" s="20">
        <v>2</v>
      </c>
      <c r="D339" s="7">
        <v>2.1680000000000001E-2</v>
      </c>
      <c r="E339" s="7">
        <v>1.745E-3</v>
      </c>
      <c r="F339" s="7">
        <v>836</v>
      </c>
      <c r="G339" s="19"/>
      <c r="H339" s="8">
        <v>25</v>
      </c>
      <c r="I339" s="7" t="s">
        <v>12</v>
      </c>
      <c r="J339" s="19"/>
      <c r="K339" s="22">
        <v>5.6359934715110596</v>
      </c>
    </row>
    <row r="340" spans="1:11" ht="15.75" customHeight="1">
      <c r="A340" s="7" t="s">
        <v>16</v>
      </c>
      <c r="B340" s="21">
        <v>80.130108076135201</v>
      </c>
      <c r="C340" s="20">
        <v>2</v>
      </c>
      <c r="D340" s="7">
        <v>2.1680000000000001E-2</v>
      </c>
      <c r="E340" s="7">
        <v>1.745E-3</v>
      </c>
      <c r="F340" s="7">
        <v>836</v>
      </c>
      <c r="G340" s="19"/>
      <c r="H340" s="8">
        <v>25</v>
      </c>
      <c r="I340" s="7" t="s">
        <v>12</v>
      </c>
      <c r="J340" s="19"/>
      <c r="K340" s="22">
        <v>5.5040715491763201</v>
      </c>
    </row>
    <row r="341" spans="1:11" ht="15.75" customHeight="1">
      <c r="A341" s="7" t="s">
        <v>16</v>
      </c>
      <c r="B341" s="21">
        <v>90.0650589107738</v>
      </c>
      <c r="C341" s="20">
        <v>2</v>
      </c>
      <c r="D341" s="7">
        <v>2.1680000000000001E-2</v>
      </c>
      <c r="E341" s="7">
        <v>1.745E-3</v>
      </c>
      <c r="F341" s="7">
        <v>836</v>
      </c>
      <c r="G341" s="19"/>
      <c r="H341" s="8">
        <v>25</v>
      </c>
      <c r="I341" s="7" t="s">
        <v>12</v>
      </c>
      <c r="J341" s="19"/>
      <c r="K341" s="22">
        <v>6.1050488598733796</v>
      </c>
    </row>
    <row r="342" spans="1:11" ht="15.75" customHeight="1">
      <c r="A342" s="7" t="s">
        <v>16</v>
      </c>
      <c r="B342" s="21">
        <v>10.112361193047001</v>
      </c>
      <c r="C342" s="23">
        <v>3.2</v>
      </c>
      <c r="D342" s="7">
        <v>2.1680000000000001E-2</v>
      </c>
      <c r="E342" s="7">
        <v>1.745E-3</v>
      </c>
      <c r="F342" s="7">
        <v>836</v>
      </c>
      <c r="G342" s="19"/>
      <c r="H342" s="8">
        <v>25</v>
      </c>
      <c r="I342" s="7" t="s">
        <v>12</v>
      </c>
      <c r="J342" s="19"/>
      <c r="K342" s="22">
        <v>5.5407165108279104</v>
      </c>
    </row>
    <row r="343" spans="1:11" ht="15.75" customHeight="1">
      <c r="A343" s="7" t="s">
        <v>16</v>
      </c>
      <c r="B343" s="21">
        <v>20.1655823514871</v>
      </c>
      <c r="C343" s="23">
        <v>3.2</v>
      </c>
      <c r="D343" s="7">
        <v>2.1680000000000001E-2</v>
      </c>
      <c r="E343" s="7">
        <v>1.745E-3</v>
      </c>
      <c r="F343" s="7">
        <v>836</v>
      </c>
      <c r="G343" s="19"/>
      <c r="H343" s="8">
        <v>25</v>
      </c>
      <c r="I343" s="7" t="s">
        <v>12</v>
      </c>
      <c r="J343" s="19"/>
      <c r="K343" s="22">
        <v>5.9951139749186098</v>
      </c>
    </row>
    <row r="344" spans="1:11" ht="15.75" customHeight="1">
      <c r="A344" s="7" t="s">
        <v>16</v>
      </c>
      <c r="B344" s="21">
        <v>29.982272607736299</v>
      </c>
      <c r="C344" s="23">
        <v>3.2</v>
      </c>
      <c r="D344" s="7">
        <v>2.1680000000000001E-2</v>
      </c>
      <c r="E344" s="7">
        <v>1.745E-3</v>
      </c>
      <c r="F344" s="7">
        <v>836</v>
      </c>
      <c r="G344" s="19"/>
      <c r="H344" s="8">
        <v>25</v>
      </c>
      <c r="I344" s="7" t="s">
        <v>12</v>
      </c>
      <c r="J344" s="19"/>
      <c r="K344" s="22">
        <v>6.3982085530860999</v>
      </c>
    </row>
    <row r="345" spans="1:11" ht="15.75" customHeight="1">
      <c r="A345" s="7" t="s">
        <v>16</v>
      </c>
      <c r="B345" s="21">
        <v>40.153754344565698</v>
      </c>
      <c r="C345" s="23">
        <v>3.2</v>
      </c>
      <c r="D345" s="7">
        <v>2.1680000000000001E-2</v>
      </c>
      <c r="E345" s="7">
        <v>1.745E-3</v>
      </c>
      <c r="F345" s="7">
        <v>836</v>
      </c>
      <c r="G345" s="19"/>
      <c r="H345" s="8">
        <v>25</v>
      </c>
      <c r="I345" s="7" t="s">
        <v>12</v>
      </c>
      <c r="J345" s="19"/>
      <c r="K345" s="22">
        <v>6.5521172108557204</v>
      </c>
    </row>
    <row r="346" spans="1:11" ht="15.75" customHeight="1">
      <c r="A346" s="7" t="s">
        <v>16</v>
      </c>
      <c r="B346" s="21">
        <v>50.088705179204197</v>
      </c>
      <c r="C346" s="23">
        <v>3.2</v>
      </c>
      <c r="D346" s="7">
        <v>2.1680000000000001E-2</v>
      </c>
      <c r="E346" s="7">
        <v>1.745E-3</v>
      </c>
      <c r="F346" s="7">
        <v>836</v>
      </c>
      <c r="G346" s="19"/>
      <c r="H346" s="8">
        <v>25</v>
      </c>
      <c r="I346" s="7" t="s">
        <v>12</v>
      </c>
      <c r="J346" s="19"/>
      <c r="K346" s="22">
        <v>6.6400650584305199</v>
      </c>
    </row>
    <row r="347" spans="1:11" ht="15.75" customHeight="1">
      <c r="A347" s="7" t="s">
        <v>16</v>
      </c>
      <c r="B347" s="21">
        <v>59.964520851941998</v>
      </c>
      <c r="C347" s="23">
        <v>3.2</v>
      </c>
      <c r="D347" s="7">
        <v>2.1680000000000001E-2</v>
      </c>
      <c r="E347" s="7">
        <v>1.745E-3</v>
      </c>
      <c r="F347" s="7">
        <v>836</v>
      </c>
      <c r="G347" s="19"/>
      <c r="H347" s="8">
        <v>25</v>
      </c>
      <c r="I347" s="7" t="s">
        <v>12</v>
      </c>
      <c r="J347" s="19"/>
      <c r="K347" s="22">
        <v>6.6400650584305199</v>
      </c>
    </row>
    <row r="348" spans="1:11" ht="15.75" customHeight="1">
      <c r="A348" s="7" t="s">
        <v>16</v>
      </c>
      <c r="B348" s="21">
        <v>70.017742010382094</v>
      </c>
      <c r="C348" s="23">
        <v>3.2</v>
      </c>
      <c r="D348" s="7">
        <v>2.1680000000000001E-2</v>
      </c>
      <c r="E348" s="7">
        <v>1.745E-3</v>
      </c>
      <c r="F348" s="7">
        <v>836</v>
      </c>
      <c r="G348" s="19"/>
      <c r="H348" s="8">
        <v>25</v>
      </c>
      <c r="I348" s="7" t="s">
        <v>12</v>
      </c>
      <c r="J348" s="19"/>
      <c r="K348" s="22">
        <v>6.9112377142632697</v>
      </c>
    </row>
    <row r="349" spans="1:11" ht="15.75" customHeight="1">
      <c r="A349" s="7" t="s">
        <v>16</v>
      </c>
      <c r="B349" s="21">
        <v>80.189243238035999</v>
      </c>
      <c r="C349" s="23">
        <v>3.2</v>
      </c>
      <c r="D349" s="7">
        <v>2.1680000000000001E-2</v>
      </c>
      <c r="E349" s="7">
        <v>1.745E-3</v>
      </c>
      <c r="F349" s="7">
        <v>836</v>
      </c>
      <c r="G349" s="19"/>
      <c r="H349" s="8">
        <v>25</v>
      </c>
      <c r="I349" s="7" t="s">
        <v>12</v>
      </c>
      <c r="J349" s="19"/>
      <c r="K349" s="22">
        <v>6.6620520958104903</v>
      </c>
    </row>
    <row r="350" spans="1:11" ht="15.75" customHeight="1">
      <c r="A350" s="7" t="s">
        <v>16</v>
      </c>
      <c r="B350" s="21">
        <v>89.887643679659107</v>
      </c>
      <c r="C350" s="23">
        <v>3.2</v>
      </c>
      <c r="D350" s="7">
        <v>2.1680000000000001E-2</v>
      </c>
      <c r="E350" s="7">
        <v>1.745E-3</v>
      </c>
      <c r="F350" s="7">
        <v>836</v>
      </c>
      <c r="G350" s="19"/>
      <c r="H350" s="8">
        <v>25</v>
      </c>
      <c r="I350" s="7" t="s">
        <v>12</v>
      </c>
      <c r="J350" s="19"/>
      <c r="K350" s="22">
        <v>6.9771988264031899</v>
      </c>
    </row>
    <row r="351" spans="1:11" ht="15.75" customHeight="1">
      <c r="A351" s="7" t="s">
        <v>16</v>
      </c>
      <c r="B351" s="21">
        <v>10.112361193047001</v>
      </c>
      <c r="C351" s="17">
        <v>5</v>
      </c>
      <c r="D351" s="7">
        <v>2.1680000000000001E-2</v>
      </c>
      <c r="E351" s="7">
        <v>1.745E-3</v>
      </c>
      <c r="F351" s="7">
        <v>836</v>
      </c>
      <c r="G351" s="19"/>
      <c r="H351" s="8">
        <v>25</v>
      </c>
      <c r="I351" s="7" t="s">
        <v>12</v>
      </c>
      <c r="J351" s="19"/>
      <c r="K351" s="22">
        <v>6.5301304754208402</v>
      </c>
    </row>
    <row r="352" spans="1:11" ht="15.75" customHeight="1">
      <c r="A352" s="7" t="s">
        <v>16</v>
      </c>
      <c r="B352" s="21">
        <v>20.1655823514871</v>
      </c>
      <c r="C352" s="17">
        <v>5</v>
      </c>
      <c r="D352" s="7">
        <v>2.1680000000000001E-2</v>
      </c>
      <c r="E352" s="7">
        <v>1.745E-3</v>
      </c>
      <c r="F352" s="7">
        <v>836</v>
      </c>
      <c r="G352" s="19"/>
      <c r="H352" s="8">
        <v>25</v>
      </c>
      <c r="I352" s="7" t="s">
        <v>12</v>
      </c>
      <c r="J352" s="19"/>
      <c r="K352" s="22">
        <v>6.74267083027694</v>
      </c>
    </row>
    <row r="353" spans="1:11" ht="15.75" customHeight="1">
      <c r="A353" s="7" t="s">
        <v>16</v>
      </c>
      <c r="B353" s="21">
        <v>30.041398024224801</v>
      </c>
      <c r="C353" s="17">
        <v>5</v>
      </c>
      <c r="D353" s="7">
        <v>2.1680000000000001E-2</v>
      </c>
      <c r="E353" s="7">
        <v>1.745E-3</v>
      </c>
      <c r="F353" s="7">
        <v>836</v>
      </c>
      <c r="G353" s="19"/>
      <c r="H353" s="8">
        <v>25</v>
      </c>
      <c r="I353" s="7" t="s">
        <v>12</v>
      </c>
      <c r="J353" s="19"/>
      <c r="K353" s="22">
        <v>7.0065143730013304</v>
      </c>
    </row>
    <row r="354" spans="1:11" ht="15.75" customHeight="1">
      <c r="A354" s="7" t="s">
        <v>16</v>
      </c>
      <c r="B354" s="21">
        <v>40.153754344565698</v>
      </c>
      <c r="C354" s="17">
        <v>5</v>
      </c>
      <c r="D354" s="7">
        <v>2.1680000000000001E-2</v>
      </c>
      <c r="E354" s="7">
        <v>1.745E-3</v>
      </c>
      <c r="F354" s="7">
        <v>836</v>
      </c>
      <c r="G354" s="19"/>
      <c r="H354" s="8">
        <v>25</v>
      </c>
      <c r="I354" s="7" t="s">
        <v>12</v>
      </c>
      <c r="J354" s="19"/>
      <c r="K354" s="22">
        <v>7.2483711802908397</v>
      </c>
    </row>
    <row r="355" spans="1:11" ht="15.75" customHeight="1">
      <c r="A355" s="7" t="s">
        <v>16</v>
      </c>
      <c r="B355" s="21">
        <v>50.029579762715699</v>
      </c>
      <c r="C355" s="17">
        <v>5</v>
      </c>
      <c r="D355" s="7">
        <v>2.1680000000000001E-2</v>
      </c>
      <c r="E355" s="7">
        <v>1.745E-3</v>
      </c>
      <c r="F355" s="7">
        <v>836</v>
      </c>
      <c r="G355" s="19"/>
      <c r="H355" s="8">
        <v>25</v>
      </c>
      <c r="I355" s="7" t="s">
        <v>12</v>
      </c>
      <c r="J355" s="19"/>
      <c r="K355" s="22">
        <v>7.4242668754404404</v>
      </c>
    </row>
    <row r="356" spans="1:11" ht="15.75" customHeight="1">
      <c r="A356" s="7" t="s">
        <v>16</v>
      </c>
      <c r="B356" s="21">
        <v>59.964520851941998</v>
      </c>
      <c r="C356" s="17">
        <v>5</v>
      </c>
      <c r="D356" s="7">
        <v>2.1680000000000001E-2</v>
      </c>
      <c r="E356" s="7">
        <v>1.745E-3</v>
      </c>
      <c r="F356" s="7">
        <v>836</v>
      </c>
      <c r="G356" s="19"/>
      <c r="H356" s="8">
        <v>25</v>
      </c>
      <c r="I356" s="7" t="s">
        <v>12</v>
      </c>
      <c r="J356" s="19"/>
      <c r="K356" s="22">
        <v>7.4462539128204099</v>
      </c>
    </row>
    <row r="357" spans="1:11" ht="15.75" customHeight="1">
      <c r="A357" s="7" t="s">
        <v>16</v>
      </c>
      <c r="B357" s="21">
        <v>70.136022079595904</v>
      </c>
      <c r="C357" s="17">
        <v>5</v>
      </c>
      <c r="D357" s="7">
        <v>2.1680000000000001E-2</v>
      </c>
      <c r="E357" s="7">
        <v>1.745E-3</v>
      </c>
      <c r="F357" s="7">
        <v>836</v>
      </c>
      <c r="G357" s="19"/>
      <c r="H357" s="8">
        <v>25</v>
      </c>
      <c r="I357" s="7" t="s">
        <v>12</v>
      </c>
      <c r="J357" s="19"/>
      <c r="K357" s="22">
        <v>7.7614007943856498</v>
      </c>
    </row>
    <row r="358" spans="1:11" ht="15.75" customHeight="1">
      <c r="A358" s="7" t="s">
        <v>16</v>
      </c>
      <c r="B358" s="21">
        <v>80.189243238035999</v>
      </c>
      <c r="C358" s="17">
        <v>5</v>
      </c>
      <c r="D358" s="7">
        <v>2.1680000000000001E-2</v>
      </c>
      <c r="E358" s="7">
        <v>1.745E-3</v>
      </c>
      <c r="F358" s="7">
        <v>836</v>
      </c>
      <c r="G358" s="19"/>
      <c r="H358" s="8">
        <v>25</v>
      </c>
      <c r="I358" s="7" t="s">
        <v>12</v>
      </c>
      <c r="J358" s="19"/>
      <c r="K358" s="22">
        <v>7.8273616045804797</v>
      </c>
    </row>
    <row r="359" spans="1:11" ht="15.75" customHeight="1">
      <c r="A359" s="7" t="s">
        <v>16</v>
      </c>
      <c r="B359" s="21">
        <v>90.005923748873002</v>
      </c>
      <c r="C359" s="17">
        <v>5</v>
      </c>
      <c r="D359" s="7">
        <v>2.1680000000000001E-2</v>
      </c>
      <c r="E359" s="7">
        <v>1.745E-3</v>
      </c>
      <c r="F359" s="7">
        <v>836</v>
      </c>
      <c r="G359" s="19"/>
      <c r="H359" s="8">
        <v>25</v>
      </c>
      <c r="I359" s="7" t="s">
        <v>12</v>
      </c>
      <c r="J359" s="19"/>
      <c r="K359" s="22">
        <v>7.7687297565214601</v>
      </c>
    </row>
    <row r="360" spans="1:11" ht="15.75" customHeight="1">
      <c r="A360" s="7" t="s">
        <v>16</v>
      </c>
      <c r="B360" s="21">
        <v>10.079121112569201</v>
      </c>
      <c r="C360" s="17">
        <v>3.2</v>
      </c>
      <c r="D360" s="7">
        <v>5.3620000000000001E-2</v>
      </c>
      <c r="E360" s="7">
        <v>8.7000000000000001E-4</v>
      </c>
      <c r="F360" s="7">
        <v>1056</v>
      </c>
      <c r="G360" s="19"/>
      <c r="H360" s="8">
        <v>25</v>
      </c>
      <c r="I360" s="7" t="s">
        <v>12</v>
      </c>
      <c r="J360" s="19"/>
      <c r="K360" s="22">
        <v>6.7254409011943297</v>
      </c>
    </row>
    <row r="361" spans="1:11" ht="15.75" customHeight="1">
      <c r="A361" s="7" t="s">
        <v>16</v>
      </c>
      <c r="B361" s="21">
        <v>20.2069364612335</v>
      </c>
      <c r="C361" s="17">
        <v>3.2</v>
      </c>
      <c r="D361" s="7">
        <v>5.3620000000000001E-2</v>
      </c>
      <c r="E361" s="7">
        <v>8.7000000000000001E-4</v>
      </c>
      <c r="F361" s="7">
        <v>1056</v>
      </c>
      <c r="G361" s="19"/>
      <c r="H361" s="8">
        <v>25</v>
      </c>
      <c r="I361" s="7" t="s">
        <v>12</v>
      </c>
      <c r="J361" s="19"/>
      <c r="K361" s="22">
        <v>6.8916877311450504</v>
      </c>
    </row>
    <row r="362" spans="1:11" ht="15.75" customHeight="1">
      <c r="A362" s="7" t="s">
        <v>16</v>
      </c>
      <c r="B362" s="21">
        <v>30.042610465619799</v>
      </c>
      <c r="C362" s="17">
        <v>3.2</v>
      </c>
      <c r="D362" s="7">
        <v>5.3620000000000001E-2</v>
      </c>
      <c r="E362" s="7">
        <v>8.7000000000000001E-4</v>
      </c>
      <c r="F362" s="7">
        <v>1056</v>
      </c>
      <c r="G362" s="19"/>
      <c r="H362" s="8">
        <v>25</v>
      </c>
      <c r="I362" s="7" t="s">
        <v>12</v>
      </c>
      <c r="J362" s="19"/>
      <c r="K362" s="22">
        <v>7.0654913625448401</v>
      </c>
    </row>
    <row r="363" spans="1:11" ht="15.75" customHeight="1">
      <c r="A363" s="7" t="s">
        <v>16</v>
      </c>
      <c r="B363" s="21">
        <v>40.073037342093897</v>
      </c>
      <c r="C363" s="17">
        <v>3.2</v>
      </c>
      <c r="D363" s="7">
        <v>5.3620000000000001E-2</v>
      </c>
      <c r="E363" s="7">
        <v>8.7000000000000001E-4</v>
      </c>
      <c r="F363" s="7">
        <v>1056</v>
      </c>
      <c r="G363" s="19"/>
      <c r="H363" s="8">
        <v>25</v>
      </c>
      <c r="I363" s="7" t="s">
        <v>12</v>
      </c>
      <c r="J363" s="19"/>
      <c r="K363" s="22">
        <v>7.25440828551735</v>
      </c>
    </row>
    <row r="364" spans="1:11" ht="15.75" customHeight="1">
      <c r="A364" s="7" t="s">
        <v>16</v>
      </c>
      <c r="B364" s="21">
        <v>50.200852690758197</v>
      </c>
      <c r="C364" s="17">
        <v>3.2</v>
      </c>
      <c r="D364" s="7">
        <v>5.3620000000000001E-2</v>
      </c>
      <c r="E364" s="7">
        <v>8.7000000000000001E-4</v>
      </c>
      <c r="F364" s="7">
        <v>1056</v>
      </c>
      <c r="G364" s="19"/>
      <c r="H364" s="8">
        <v>25</v>
      </c>
      <c r="I364" s="7" t="s">
        <v>12</v>
      </c>
      <c r="J364" s="19"/>
      <c r="K364" s="22">
        <v>7.4055415125699602</v>
      </c>
    </row>
    <row r="365" spans="1:11" ht="15.75" customHeight="1">
      <c r="A365" s="7" t="s">
        <v>16</v>
      </c>
      <c r="B365" s="21">
        <v>60.182589343185903</v>
      </c>
      <c r="C365" s="17">
        <v>3.2</v>
      </c>
      <c r="D365" s="7">
        <v>5.3620000000000001E-2</v>
      </c>
      <c r="E365" s="7">
        <v>8.7000000000000001E-4</v>
      </c>
      <c r="F365" s="7">
        <v>1056</v>
      </c>
      <c r="G365" s="19"/>
      <c r="H365" s="8">
        <v>25</v>
      </c>
      <c r="I365" s="7" t="s">
        <v>12</v>
      </c>
      <c r="J365" s="19"/>
      <c r="K365" s="22">
        <v>7.5340049579261796</v>
      </c>
    </row>
    <row r="366" spans="1:11" ht="15.75" customHeight="1">
      <c r="A366" s="7" t="s">
        <v>16</v>
      </c>
      <c r="B366" s="21">
        <v>69.920874875381998</v>
      </c>
      <c r="C366" s="17">
        <v>3.2</v>
      </c>
      <c r="D366" s="7">
        <v>5.3620000000000001E-2</v>
      </c>
      <c r="E366" s="7">
        <v>8.7000000000000001E-4</v>
      </c>
      <c r="F366" s="7">
        <v>1056</v>
      </c>
      <c r="G366" s="19"/>
      <c r="H366" s="8">
        <v>25</v>
      </c>
      <c r="I366" s="7" t="s">
        <v>12</v>
      </c>
      <c r="J366" s="19"/>
      <c r="K366" s="22">
        <v>7.5717884981833903</v>
      </c>
    </row>
    <row r="367" spans="1:11" ht="15.75" customHeight="1">
      <c r="A367" s="7" t="s">
        <v>16</v>
      </c>
      <c r="B367" s="21">
        <v>10.079121112569201</v>
      </c>
      <c r="C367" s="17">
        <v>3.2</v>
      </c>
      <c r="D367" s="7">
        <v>4.7399999999999998E-2</v>
      </c>
      <c r="E367" s="7">
        <v>9.5E-4</v>
      </c>
      <c r="F367" s="7">
        <v>1128</v>
      </c>
      <c r="G367" s="19"/>
      <c r="H367" s="8">
        <v>25</v>
      </c>
      <c r="I367" s="7" t="s">
        <v>12</v>
      </c>
      <c r="J367" s="19"/>
      <c r="K367" s="22">
        <v>6.6120907474108197</v>
      </c>
    </row>
    <row r="368" spans="1:11" ht="15.75" customHeight="1">
      <c r="A368" s="7" t="s">
        <v>16</v>
      </c>
      <c r="B368" s="21">
        <v>20.0608657890945</v>
      </c>
      <c r="C368" s="17">
        <v>3.2</v>
      </c>
      <c r="D368" s="7">
        <v>4.7399999999999998E-2</v>
      </c>
      <c r="E368" s="7">
        <v>9.5E-4</v>
      </c>
      <c r="F368" s="7">
        <v>1128</v>
      </c>
      <c r="G368" s="19"/>
      <c r="H368" s="8">
        <v>25</v>
      </c>
      <c r="I368" s="7" t="s">
        <v>12</v>
      </c>
      <c r="J368" s="19"/>
      <c r="K368" s="22">
        <v>6.5743073628163202</v>
      </c>
    </row>
    <row r="369" spans="1:11" ht="15.75" customHeight="1">
      <c r="A369" s="7" t="s">
        <v>16</v>
      </c>
      <c r="B369" s="21">
        <v>30.091292665568599</v>
      </c>
      <c r="C369" s="17">
        <v>3.2</v>
      </c>
      <c r="D369" s="7">
        <v>4.7399999999999998E-2</v>
      </c>
      <c r="E369" s="7">
        <v>9.5E-4</v>
      </c>
      <c r="F369" s="7">
        <v>1128</v>
      </c>
      <c r="G369" s="19"/>
      <c r="H369" s="8">
        <v>25</v>
      </c>
      <c r="I369" s="7" t="s">
        <v>12</v>
      </c>
      <c r="J369" s="19"/>
      <c r="K369" s="22">
        <v>6.7481109942161099</v>
      </c>
    </row>
    <row r="370" spans="1:11" ht="15.75" customHeight="1">
      <c r="A370" s="7" t="s">
        <v>16</v>
      </c>
      <c r="B370" s="21">
        <v>40.073037342093897</v>
      </c>
      <c r="C370" s="17">
        <v>3.2</v>
      </c>
      <c r="D370" s="7">
        <v>4.7399999999999998E-2</v>
      </c>
      <c r="E370" s="7">
        <v>9.5E-4</v>
      </c>
      <c r="F370" s="7">
        <v>1128</v>
      </c>
      <c r="G370" s="19"/>
      <c r="H370" s="8">
        <v>25</v>
      </c>
      <c r="I370" s="7" t="s">
        <v>12</v>
      </c>
      <c r="J370" s="19"/>
      <c r="K370" s="22">
        <v>6.8614611479996102</v>
      </c>
    </row>
    <row r="371" spans="1:11" ht="15.75" customHeight="1">
      <c r="A371" s="7" t="s">
        <v>16</v>
      </c>
      <c r="B371" s="21">
        <v>50.152154442614297</v>
      </c>
      <c r="C371" s="17">
        <v>3.2</v>
      </c>
      <c r="D371" s="7">
        <v>4.7399999999999998E-2</v>
      </c>
      <c r="E371" s="7">
        <v>9.5E-4</v>
      </c>
      <c r="F371" s="7">
        <v>1128</v>
      </c>
      <c r="G371" s="19"/>
      <c r="H371" s="8">
        <v>25</v>
      </c>
      <c r="I371" s="7" t="s">
        <v>12</v>
      </c>
      <c r="J371" s="19"/>
      <c r="K371" s="22">
        <v>7.25440828551735</v>
      </c>
    </row>
    <row r="372" spans="1:11" ht="15.75" customHeight="1">
      <c r="A372" s="7" t="s">
        <v>16</v>
      </c>
      <c r="B372" s="21">
        <v>60.085208895093302</v>
      </c>
      <c r="C372" s="17">
        <v>3.2</v>
      </c>
      <c r="D372" s="7">
        <v>4.7399999999999998E-2</v>
      </c>
      <c r="E372" s="7">
        <v>9.5E-4</v>
      </c>
      <c r="F372" s="7">
        <v>1128</v>
      </c>
      <c r="G372" s="19"/>
      <c r="H372" s="8">
        <v>25</v>
      </c>
      <c r="I372" s="7" t="s">
        <v>12</v>
      </c>
      <c r="J372" s="19"/>
      <c r="K372" s="22">
        <v>7.4130983140190203</v>
      </c>
    </row>
    <row r="373" spans="1:11" ht="15.75" customHeight="1">
      <c r="A373" s="7" t="s">
        <v>16</v>
      </c>
      <c r="B373" s="21">
        <v>70.066945547521001</v>
      </c>
      <c r="C373" s="17">
        <v>3.2</v>
      </c>
      <c r="D373" s="7">
        <v>4.7399999999999998E-2</v>
      </c>
      <c r="E373" s="7">
        <v>9.5E-4</v>
      </c>
      <c r="F373" s="7">
        <v>1128</v>
      </c>
      <c r="G373" s="19"/>
      <c r="H373" s="8">
        <v>25</v>
      </c>
      <c r="I373" s="7" t="s">
        <v>12</v>
      </c>
      <c r="J373" s="19"/>
      <c r="K373" s="22">
        <v>7.6700250490687703</v>
      </c>
    </row>
    <row r="374" spans="1:11" ht="15.75" customHeight="1">
      <c r="A374" s="24" t="s">
        <v>17</v>
      </c>
      <c r="B374" s="25">
        <v>229.60722480000001</v>
      </c>
      <c r="C374" s="26">
        <v>0.65</v>
      </c>
      <c r="D374" s="25">
        <v>7.1999999999999995E-2</v>
      </c>
      <c r="E374" s="26"/>
      <c r="F374" s="25">
        <v>1000</v>
      </c>
      <c r="G374" s="26"/>
      <c r="H374" s="8">
        <v>25</v>
      </c>
      <c r="I374" s="25" t="s">
        <v>12</v>
      </c>
      <c r="J374" s="26"/>
      <c r="K374" s="25">
        <v>6.3806272499999999</v>
      </c>
    </row>
    <row r="375" spans="1:11" ht="15.75" customHeight="1">
      <c r="A375" s="24" t="s">
        <v>17</v>
      </c>
      <c r="B375" s="14">
        <v>291.59364642000003</v>
      </c>
      <c r="C375" s="26">
        <v>0.65</v>
      </c>
      <c r="D375" s="25">
        <v>7.1999999999999995E-2</v>
      </c>
      <c r="E375" s="26"/>
      <c r="F375" s="25">
        <v>1000</v>
      </c>
      <c r="G375" s="26"/>
      <c r="H375" s="8">
        <v>25</v>
      </c>
      <c r="I375" s="25" t="s">
        <v>12</v>
      </c>
      <c r="J375" s="26"/>
      <c r="K375" s="25">
        <v>6.8601774100000004</v>
      </c>
    </row>
    <row r="376" spans="1:11" ht="15.75" customHeight="1">
      <c r="A376" s="24" t="s">
        <v>17</v>
      </c>
      <c r="B376" s="14">
        <v>409.71574362000001</v>
      </c>
      <c r="C376" s="26">
        <v>0.65</v>
      </c>
      <c r="D376" s="25">
        <v>7.1999999999999995E-2</v>
      </c>
      <c r="E376" s="26"/>
      <c r="F376" s="25">
        <v>1000</v>
      </c>
      <c r="G376" s="26"/>
      <c r="H376" s="8">
        <v>25</v>
      </c>
      <c r="I376" s="25" t="s">
        <v>12</v>
      </c>
      <c r="J376" s="26"/>
      <c r="K376" s="25">
        <v>7.61262711</v>
      </c>
    </row>
    <row r="377" spans="1:11" ht="15.75" customHeight="1">
      <c r="A377" s="24" t="s">
        <v>17</v>
      </c>
      <c r="B377" s="14">
        <v>457.49549652000002</v>
      </c>
      <c r="C377" s="26">
        <v>0.65</v>
      </c>
      <c r="D377" s="25">
        <v>7.1999999999999995E-2</v>
      </c>
      <c r="E377" s="26"/>
      <c r="F377" s="25">
        <v>1000</v>
      </c>
      <c r="G377" s="26"/>
      <c r="H377" s="8">
        <v>25</v>
      </c>
      <c r="I377" s="25" t="s">
        <v>12</v>
      </c>
      <c r="J377" s="26"/>
      <c r="K377" s="25">
        <v>7.9423506799999997</v>
      </c>
    </row>
    <row r="378" spans="1:11" ht="15.75" customHeight="1">
      <c r="A378" s="24" t="s">
        <v>17</v>
      </c>
      <c r="B378" s="14">
        <v>496.95253511999999</v>
      </c>
      <c r="C378" s="26">
        <v>0.65</v>
      </c>
      <c r="D378" s="25">
        <v>7.1999999999999995E-2</v>
      </c>
      <c r="E378" s="26"/>
      <c r="F378" s="25">
        <v>1000</v>
      </c>
      <c r="G378" s="26"/>
      <c r="H378" s="8">
        <v>25</v>
      </c>
      <c r="I378" s="25" t="s">
        <v>12</v>
      </c>
      <c r="J378" s="26"/>
      <c r="K378" s="25">
        <v>8.1784647199999991</v>
      </c>
    </row>
    <row r="379" spans="1:11" ht="15.75" customHeight="1">
      <c r="A379" s="24" t="s">
        <v>17</v>
      </c>
      <c r="B379" s="14">
        <v>453.30958806000001</v>
      </c>
      <c r="C379" s="26">
        <v>0.65</v>
      </c>
      <c r="D379" s="25">
        <v>7.1999999999999995E-2</v>
      </c>
      <c r="E379" s="26"/>
      <c r="F379" s="25">
        <v>1000</v>
      </c>
      <c r="G379" s="26"/>
      <c r="H379" s="8">
        <v>25</v>
      </c>
      <c r="I379" s="25" t="s">
        <v>12</v>
      </c>
      <c r="J379" s="26"/>
      <c r="K379" s="25">
        <v>7.7547886200000002</v>
      </c>
    </row>
    <row r="380" spans="1:11" ht="15.75" customHeight="1">
      <c r="A380" s="24" t="s">
        <v>17</v>
      </c>
      <c r="B380" s="14">
        <v>767.25133979999998</v>
      </c>
      <c r="C380" s="26">
        <v>0.65</v>
      </c>
      <c r="D380" s="25">
        <v>7.1999999999999995E-2</v>
      </c>
      <c r="E380" s="26"/>
      <c r="F380" s="25">
        <v>1000</v>
      </c>
      <c r="G380" s="26"/>
      <c r="H380" s="8">
        <v>25</v>
      </c>
      <c r="I380" s="25" t="s">
        <v>12</v>
      </c>
      <c r="J380" s="26"/>
      <c r="K380" s="25">
        <v>9.1881465700000007</v>
      </c>
    </row>
    <row r="381" spans="1:11" ht="15.75" customHeight="1">
      <c r="A381" s="24" t="s">
        <v>17</v>
      </c>
      <c r="B381" s="14">
        <v>888.81217079999999</v>
      </c>
      <c r="C381" s="26">
        <v>0.65</v>
      </c>
      <c r="D381" s="25">
        <v>7.1999999999999995E-2</v>
      </c>
      <c r="E381" s="26"/>
      <c r="F381" s="25">
        <v>1000</v>
      </c>
      <c r="G381" s="26"/>
      <c r="H381" s="8">
        <v>25</v>
      </c>
      <c r="I381" s="25" t="s">
        <v>12</v>
      </c>
      <c r="J381" s="26"/>
      <c r="K381" s="25">
        <v>9.6602969600000002</v>
      </c>
    </row>
    <row r="382" spans="1:11" ht="15.75" customHeight="1">
      <c r="A382" s="24" t="s">
        <v>17</v>
      </c>
      <c r="B382" s="14">
        <v>1131.358686</v>
      </c>
      <c r="C382" s="26">
        <v>0.65</v>
      </c>
      <c r="D382" s="25">
        <v>7.1999999999999995E-2</v>
      </c>
      <c r="E382" s="8"/>
      <c r="F382" s="25">
        <v>1000</v>
      </c>
      <c r="G382" s="7"/>
      <c r="H382" s="8">
        <v>25</v>
      </c>
      <c r="I382" s="25" t="s">
        <v>12</v>
      </c>
      <c r="J382" s="7"/>
      <c r="K382" s="27">
        <v>10.235313</v>
      </c>
    </row>
    <row r="383" spans="1:11" ht="15.75" customHeight="1">
      <c r="A383" s="24" t="s">
        <v>17</v>
      </c>
      <c r="B383" s="14">
        <v>170.31193356</v>
      </c>
      <c r="C383" s="28">
        <v>0.51</v>
      </c>
      <c r="D383" s="25">
        <v>7.1999999999999995E-2</v>
      </c>
      <c r="E383" s="8"/>
      <c r="F383" s="25">
        <v>1000</v>
      </c>
      <c r="G383" s="7"/>
      <c r="H383" s="8">
        <v>25</v>
      </c>
      <c r="I383" s="25" t="s">
        <v>12</v>
      </c>
      <c r="J383" s="7"/>
      <c r="K383" s="29">
        <v>6.2491872500000003</v>
      </c>
    </row>
    <row r="384" spans="1:11" ht="15.75" customHeight="1">
      <c r="A384" s="24" t="s">
        <v>17</v>
      </c>
      <c r="B384" s="14">
        <v>206.57487666</v>
      </c>
      <c r="C384" s="28">
        <v>0.51</v>
      </c>
      <c r="D384" s="25">
        <v>7.1999999999999995E-2</v>
      </c>
      <c r="E384" s="8"/>
      <c r="F384" s="25">
        <v>1000</v>
      </c>
      <c r="G384" s="7"/>
      <c r="H384" s="8">
        <v>25</v>
      </c>
      <c r="I384" s="25" t="s">
        <v>12</v>
      </c>
      <c r="J384" s="7"/>
      <c r="K384" s="29">
        <v>6.4897668900000003</v>
      </c>
    </row>
    <row r="385" spans="1:11" ht="15.75" customHeight="1">
      <c r="A385" s="24" t="s">
        <v>17</v>
      </c>
      <c r="B385" s="14">
        <v>177.91279602</v>
      </c>
      <c r="C385" s="28">
        <v>0.51</v>
      </c>
      <c r="D385" s="25">
        <v>7.1999999999999995E-2</v>
      </c>
      <c r="E385" s="8"/>
      <c r="F385" s="25">
        <v>1000</v>
      </c>
      <c r="G385" s="7"/>
      <c r="H385" s="8">
        <v>25</v>
      </c>
      <c r="I385" s="25" t="s">
        <v>12</v>
      </c>
      <c r="J385" s="7"/>
      <c r="K385" s="29">
        <v>6.1016099800000001</v>
      </c>
    </row>
    <row r="386" spans="1:11" ht="15.75" customHeight="1">
      <c r="A386" s="24" t="s">
        <v>17</v>
      </c>
      <c r="B386" s="14">
        <v>228.02980224000001</v>
      </c>
      <c r="C386" s="28">
        <v>0.51</v>
      </c>
      <c r="D386" s="25">
        <v>7.1999999999999995E-2</v>
      </c>
      <c r="E386" s="8"/>
      <c r="F386" s="25">
        <v>1000</v>
      </c>
      <c r="G386" s="7"/>
      <c r="H386" s="8">
        <v>25</v>
      </c>
      <c r="I386" s="25" t="s">
        <v>12</v>
      </c>
      <c r="J386" s="7"/>
      <c r="K386" s="29">
        <v>6.5804512099999997</v>
      </c>
    </row>
    <row r="387" spans="1:11" ht="15.75" customHeight="1">
      <c r="A387" s="24" t="s">
        <v>17</v>
      </c>
      <c r="B387" s="14">
        <v>272.16859518000001</v>
      </c>
      <c r="C387" s="28">
        <v>0.51</v>
      </c>
      <c r="D387" s="25">
        <v>7.1999999999999995E-2</v>
      </c>
      <c r="E387" s="8"/>
      <c r="F387" s="25">
        <v>1000</v>
      </c>
      <c r="G387" s="7"/>
      <c r="H387" s="8">
        <v>25</v>
      </c>
      <c r="I387" s="25" t="s">
        <v>12</v>
      </c>
      <c r="J387" s="7"/>
      <c r="K387" s="29">
        <v>6.9990707399999996</v>
      </c>
    </row>
    <row r="388" spans="1:11" ht="15.75" customHeight="1">
      <c r="A388" s="24" t="s">
        <v>17</v>
      </c>
      <c r="B388" s="14">
        <v>316.01533974</v>
      </c>
      <c r="C388" s="28">
        <v>0.51</v>
      </c>
      <c r="D388" s="25">
        <v>7.1999999999999995E-2</v>
      </c>
      <c r="E388" s="8"/>
      <c r="F388" s="25">
        <v>1000</v>
      </c>
      <c r="G388" s="7"/>
      <c r="H388" s="8">
        <v>25</v>
      </c>
      <c r="I388" s="25" t="s">
        <v>12</v>
      </c>
      <c r="J388" s="7"/>
      <c r="K388" s="29">
        <v>7.1738828000000003</v>
      </c>
    </row>
    <row r="389" spans="1:11" ht="15.75" customHeight="1">
      <c r="A389" s="24" t="s">
        <v>17</v>
      </c>
      <c r="B389" s="14">
        <v>347.23725450000001</v>
      </c>
      <c r="C389" s="28">
        <v>0.51</v>
      </c>
      <c r="D389" s="25">
        <v>7.1999999999999995E-2</v>
      </c>
      <c r="E389" s="8"/>
      <c r="F389" s="25">
        <v>1000</v>
      </c>
      <c r="G389" s="7"/>
      <c r="H389" s="8">
        <v>25</v>
      </c>
      <c r="I389" s="25" t="s">
        <v>12</v>
      </c>
      <c r="J389" s="7"/>
      <c r="K389" s="29">
        <v>7.2182635900000003</v>
      </c>
    </row>
    <row r="390" spans="1:11" ht="15.75" customHeight="1">
      <c r="A390" s="24" t="s">
        <v>17</v>
      </c>
      <c r="B390" s="14">
        <v>385.06721676000001</v>
      </c>
      <c r="C390" s="28">
        <v>0.51</v>
      </c>
      <c r="D390" s="25">
        <v>7.1999999999999995E-2</v>
      </c>
      <c r="E390" s="8"/>
      <c r="F390" s="25">
        <v>1000</v>
      </c>
      <c r="G390" s="7"/>
      <c r="H390" s="8">
        <v>25</v>
      </c>
      <c r="I390" s="25" t="s">
        <v>12</v>
      </c>
      <c r="J390" s="7"/>
      <c r="K390" s="29">
        <v>7.3700863099999996</v>
      </c>
    </row>
    <row r="391" spans="1:11" ht="15.75" customHeight="1">
      <c r="A391" s="24" t="s">
        <v>17</v>
      </c>
      <c r="B391" s="14">
        <v>501.54163704000001</v>
      </c>
      <c r="C391" s="28">
        <v>0.51</v>
      </c>
      <c r="D391" s="25">
        <v>7.1999999999999995E-2</v>
      </c>
      <c r="E391" s="8"/>
      <c r="F391" s="25">
        <v>1000</v>
      </c>
      <c r="G391" s="7"/>
      <c r="H391" s="8">
        <v>25</v>
      </c>
      <c r="I391" s="25" t="s">
        <v>12</v>
      </c>
      <c r="J391" s="7"/>
      <c r="K391" s="29">
        <v>8.0038169400000001</v>
      </c>
    </row>
    <row r="392" spans="1:11" ht="15.75" customHeight="1">
      <c r="A392" s="24" t="s">
        <v>17</v>
      </c>
      <c r="B392" s="14">
        <v>546.05102202</v>
      </c>
      <c r="C392" s="28">
        <v>0.51</v>
      </c>
      <c r="D392" s="25">
        <v>7.1999999999999995E-2</v>
      </c>
      <c r="E392" s="8"/>
      <c r="F392" s="25">
        <v>1000</v>
      </c>
      <c r="G392" s="7"/>
      <c r="H392" s="8">
        <v>25</v>
      </c>
      <c r="I392" s="25" t="s">
        <v>12</v>
      </c>
      <c r="J392" s="7"/>
      <c r="K392" s="29">
        <v>8.2227189000000003</v>
      </c>
    </row>
    <row r="393" spans="1:11" ht="15.75" customHeight="1">
      <c r="A393" s="24" t="s">
        <v>17</v>
      </c>
      <c r="B393" s="14">
        <v>1039.1404458</v>
      </c>
      <c r="C393" s="28">
        <v>0.51</v>
      </c>
      <c r="D393" s="25">
        <v>7.1999999999999995E-2</v>
      </c>
      <c r="E393" s="8"/>
      <c r="F393" s="25">
        <v>1000</v>
      </c>
      <c r="G393" s="7"/>
      <c r="H393" s="8">
        <v>25</v>
      </c>
      <c r="I393" s="25" t="s">
        <v>12</v>
      </c>
      <c r="J393" s="7"/>
      <c r="K393" s="29">
        <v>9.8179644400000008</v>
      </c>
    </row>
    <row r="394" spans="1:11" ht="15.75" customHeight="1">
      <c r="A394" s="24" t="s">
        <v>17</v>
      </c>
      <c r="B394" s="14">
        <v>131.66446266</v>
      </c>
      <c r="C394" s="28">
        <v>0.51</v>
      </c>
      <c r="D394" s="8">
        <v>5.2299999999999999E-2</v>
      </c>
      <c r="E394" s="8"/>
      <c r="F394" s="7"/>
      <c r="G394" s="7"/>
      <c r="H394" s="8">
        <v>25</v>
      </c>
      <c r="I394" s="25" t="s">
        <v>12</v>
      </c>
      <c r="J394" s="7"/>
      <c r="K394" s="29">
        <v>5.8302974499999998</v>
      </c>
    </row>
    <row r="395" spans="1:11" ht="15.75" customHeight="1">
      <c r="A395" s="24" t="s">
        <v>17</v>
      </c>
      <c r="B395" s="14">
        <v>165.29930064000001</v>
      </c>
      <c r="C395" s="28">
        <v>0.51</v>
      </c>
      <c r="D395" s="8">
        <v>5.2299999999999999E-2</v>
      </c>
      <c r="E395" s="8"/>
      <c r="F395" s="7"/>
      <c r="G395" s="7"/>
      <c r="H395" s="8">
        <v>25</v>
      </c>
      <c r="I395" s="25" t="s">
        <v>12</v>
      </c>
      <c r="J395" s="7"/>
      <c r="K395" s="29">
        <v>6.08751496</v>
      </c>
    </row>
    <row r="396" spans="1:11" ht="15.75" customHeight="1">
      <c r="A396" s="24" t="s">
        <v>17</v>
      </c>
      <c r="B396" s="14">
        <v>242.62621157999999</v>
      </c>
      <c r="C396" s="28">
        <v>0.51</v>
      </c>
      <c r="D396" s="8">
        <v>5.2299999999999999E-2</v>
      </c>
      <c r="E396" s="8"/>
      <c r="F396" s="7"/>
      <c r="G396" s="7"/>
      <c r="H396" s="8">
        <v>25</v>
      </c>
      <c r="I396" s="25" t="s">
        <v>12</v>
      </c>
      <c r="J396" s="7"/>
      <c r="K396" s="29">
        <v>6.6672608899999997</v>
      </c>
    </row>
    <row r="397" spans="1:11" ht="15.75" customHeight="1">
      <c r="A397" s="24" t="s">
        <v>17</v>
      </c>
      <c r="B397" s="14">
        <v>354.49351469999999</v>
      </c>
      <c r="C397" s="28">
        <v>0.51</v>
      </c>
      <c r="D397" s="8">
        <v>5.2299999999999999E-2</v>
      </c>
      <c r="E397" s="8"/>
      <c r="F397" s="7"/>
      <c r="G397" s="7"/>
      <c r="H397" s="8">
        <v>25</v>
      </c>
      <c r="I397" s="25" t="s">
        <v>12</v>
      </c>
      <c r="J397" s="7"/>
      <c r="K397" s="29">
        <v>7.3191265799999998</v>
      </c>
    </row>
    <row r="398" spans="1:11" ht="15.75" customHeight="1">
      <c r="A398" s="24" t="s">
        <v>17</v>
      </c>
      <c r="B398" s="14">
        <v>565.20142338000005</v>
      </c>
      <c r="C398" s="28">
        <v>0.51</v>
      </c>
      <c r="D398" s="8">
        <v>5.2299999999999999E-2</v>
      </c>
      <c r="E398" s="8"/>
      <c r="F398" s="7"/>
      <c r="G398" s="7"/>
      <c r="H398" s="8">
        <v>25</v>
      </c>
      <c r="I398" s="25" t="s">
        <v>12</v>
      </c>
      <c r="J398" s="7"/>
      <c r="K398" s="29">
        <v>8.6385968299999991</v>
      </c>
    </row>
    <row r="399" spans="1:11" ht="15.75" customHeight="1">
      <c r="A399" s="24" t="s">
        <v>17</v>
      </c>
      <c r="B399" s="14">
        <v>656.25616979999995</v>
      </c>
      <c r="C399" s="28">
        <v>0.51</v>
      </c>
      <c r="D399" s="8">
        <v>5.2299999999999999E-2</v>
      </c>
      <c r="E399" s="8"/>
      <c r="F399" s="7"/>
      <c r="G399" s="7"/>
      <c r="H399" s="8">
        <v>25</v>
      </c>
      <c r="I399" s="25" t="s">
        <v>12</v>
      </c>
      <c r="J399" s="7"/>
      <c r="K399" s="29">
        <v>8.8748598199999993</v>
      </c>
    </row>
    <row r="400" spans="1:11" ht="15.75" customHeight="1">
      <c r="A400" s="24" t="s">
        <v>17</v>
      </c>
      <c r="B400" s="14">
        <v>767.25133979999998</v>
      </c>
      <c r="C400" s="28">
        <v>0.51</v>
      </c>
      <c r="D400" s="8">
        <v>5.2299999999999999E-2</v>
      </c>
      <c r="E400" s="8"/>
      <c r="F400" s="7"/>
      <c r="G400" s="7"/>
      <c r="H400" s="8">
        <v>25</v>
      </c>
      <c r="I400" s="25" t="s">
        <v>12</v>
      </c>
      <c r="J400" s="7"/>
      <c r="K400" s="29">
        <v>9.2950136899999993</v>
      </c>
    </row>
    <row r="401" spans="1:11" ht="15.75" customHeight="1">
      <c r="A401" s="24" t="s">
        <v>17</v>
      </c>
      <c r="B401" s="14">
        <v>1053.5673191999999</v>
      </c>
      <c r="C401" s="28">
        <v>0.51</v>
      </c>
      <c r="D401" s="8">
        <v>5.2299999999999999E-2</v>
      </c>
      <c r="E401" s="8"/>
      <c r="F401" s="7"/>
      <c r="G401" s="7"/>
      <c r="H401" s="8">
        <v>25</v>
      </c>
      <c r="I401" s="25" t="s">
        <v>12</v>
      </c>
      <c r="J401" s="7"/>
      <c r="K401" s="29">
        <v>10.0709433</v>
      </c>
    </row>
    <row r="402" spans="1:11" ht="15.75" customHeight="1">
      <c r="A402" s="24" t="s">
        <v>17</v>
      </c>
      <c r="B402" s="14">
        <v>1384.9199016</v>
      </c>
      <c r="C402" s="28">
        <v>0.51</v>
      </c>
      <c r="D402" s="8">
        <v>5.2299999999999999E-2</v>
      </c>
      <c r="E402" s="8"/>
      <c r="F402" s="7"/>
      <c r="G402" s="7"/>
      <c r="H402" s="8">
        <v>25</v>
      </c>
      <c r="I402" s="25" t="s">
        <v>12</v>
      </c>
      <c r="J402" s="7"/>
      <c r="K402" s="29">
        <v>10.7945104</v>
      </c>
    </row>
    <row r="403" spans="1:11" ht="15.75" customHeight="1">
      <c r="A403" s="24" t="s">
        <v>17</v>
      </c>
      <c r="B403" s="14">
        <v>1695.3095052000001</v>
      </c>
      <c r="C403" s="28">
        <v>0.51</v>
      </c>
      <c r="D403" s="8">
        <v>5.2299999999999999E-2</v>
      </c>
      <c r="E403" s="8"/>
      <c r="F403" s="7"/>
      <c r="G403" s="7"/>
      <c r="H403" s="8">
        <v>25</v>
      </c>
      <c r="I403" s="25" t="s">
        <v>12</v>
      </c>
      <c r="J403" s="7"/>
      <c r="K403" s="29">
        <v>11.2620492</v>
      </c>
    </row>
    <row r="404" spans="1:11" ht="15.75" customHeight="1">
      <c r="A404" s="24" t="s">
        <v>17</v>
      </c>
      <c r="B404" s="14">
        <v>1959.4011341999999</v>
      </c>
      <c r="C404" s="28">
        <v>0.51</v>
      </c>
      <c r="D404" s="8">
        <v>5.2299999999999999E-2</v>
      </c>
      <c r="E404" s="8"/>
      <c r="F404" s="7"/>
      <c r="G404" s="7"/>
      <c r="H404" s="8">
        <v>25</v>
      </c>
      <c r="I404" s="25" t="s">
        <v>12</v>
      </c>
      <c r="J404" s="7"/>
      <c r="K404" s="29">
        <v>12.006227300000001</v>
      </c>
    </row>
    <row r="405" spans="1:11" ht="15.75" customHeight="1">
      <c r="A405" s="24" t="s">
        <v>17</v>
      </c>
      <c r="B405" s="14">
        <v>2075.2639307999998</v>
      </c>
      <c r="C405" s="28">
        <v>0.51</v>
      </c>
      <c r="D405" s="8">
        <v>5.2299999999999999E-2</v>
      </c>
      <c r="E405" s="8"/>
      <c r="F405" s="7"/>
      <c r="G405" s="7"/>
      <c r="H405" s="8">
        <v>25</v>
      </c>
      <c r="I405" s="25" t="s">
        <v>12</v>
      </c>
      <c r="J405" s="7"/>
      <c r="K405" s="29">
        <v>11.96926</v>
      </c>
    </row>
    <row r="406" spans="1:11" ht="15.75" customHeight="1">
      <c r="A406" s="24" t="s">
        <v>17</v>
      </c>
      <c r="B406" s="14">
        <v>330.11880905999999</v>
      </c>
      <c r="C406" s="28">
        <v>0.91999999999999993</v>
      </c>
      <c r="D406" s="8">
        <v>3.7499999999999999E-2</v>
      </c>
      <c r="E406" s="8"/>
      <c r="F406" s="7"/>
      <c r="G406" s="7"/>
      <c r="H406" s="8">
        <v>25</v>
      </c>
      <c r="I406" s="25" t="s">
        <v>12</v>
      </c>
      <c r="J406" s="7"/>
      <c r="K406" s="29">
        <v>7.2573220699999998</v>
      </c>
    </row>
    <row r="407" spans="1:11" ht="15.75" customHeight="1">
      <c r="A407" s="24" t="s">
        <v>17</v>
      </c>
      <c r="B407" s="14">
        <v>364.40504274</v>
      </c>
      <c r="C407" s="28">
        <v>0.91999999999999993</v>
      </c>
      <c r="D407" s="8">
        <v>3.7499999999999999E-2</v>
      </c>
      <c r="E407" s="8"/>
      <c r="F407" s="7"/>
      <c r="G407" s="7"/>
      <c r="H407" s="8">
        <v>25</v>
      </c>
      <c r="I407" s="25" t="s">
        <v>12</v>
      </c>
      <c r="J407" s="7"/>
      <c r="K407" s="29">
        <v>7.4213999099999999</v>
      </c>
    </row>
    <row r="408" spans="1:11" ht="15.75" customHeight="1">
      <c r="A408" s="24" t="s">
        <v>17</v>
      </c>
      <c r="B408" s="14">
        <v>482.32637543999999</v>
      </c>
      <c r="C408" s="28">
        <v>0.91999999999999993</v>
      </c>
      <c r="D408" s="8">
        <v>3.7499999999999999E-2</v>
      </c>
      <c r="E408" s="8"/>
      <c r="F408" s="7"/>
      <c r="G408" s="7"/>
      <c r="H408" s="8">
        <v>25</v>
      </c>
      <c r="I408" s="25" t="s">
        <v>12</v>
      </c>
      <c r="J408" s="7"/>
      <c r="K408" s="29">
        <v>7.7547886200000002</v>
      </c>
    </row>
    <row r="409" spans="1:11" ht="15.75" customHeight="1">
      <c r="A409" s="24" t="s">
        <v>17</v>
      </c>
      <c r="B409" s="14">
        <v>539.81257524</v>
      </c>
      <c r="C409" s="28">
        <v>0.91999999999999993</v>
      </c>
      <c r="D409" s="8">
        <v>3.7499999999999999E-2</v>
      </c>
      <c r="E409" s="8"/>
      <c r="F409" s="7"/>
      <c r="G409" s="7"/>
      <c r="H409" s="8">
        <v>25</v>
      </c>
      <c r="I409" s="25" t="s">
        <v>12</v>
      </c>
      <c r="J409" s="7"/>
      <c r="K409" s="29">
        <v>8.3827333500000005</v>
      </c>
    </row>
    <row r="410" spans="1:11" ht="15.75" customHeight="1">
      <c r="A410" s="24" t="s">
        <v>17</v>
      </c>
      <c r="B410" s="14">
        <v>609.72953280000002</v>
      </c>
      <c r="C410" s="28">
        <v>0.91999999999999993</v>
      </c>
      <c r="D410" s="8">
        <v>3.7499999999999999E-2</v>
      </c>
      <c r="E410" s="8"/>
      <c r="F410" s="7"/>
      <c r="G410" s="7"/>
      <c r="H410" s="8">
        <v>25</v>
      </c>
      <c r="I410" s="25" t="s">
        <v>12</v>
      </c>
      <c r="J410" s="7"/>
      <c r="K410" s="29">
        <v>8.4151083</v>
      </c>
    </row>
    <row r="411" spans="1:11" ht="15.75" customHeight="1">
      <c r="A411" s="24" t="s">
        <v>17</v>
      </c>
      <c r="B411" s="14">
        <v>690.2866014</v>
      </c>
      <c r="C411" s="28">
        <v>0.91999999999999993</v>
      </c>
      <c r="D411" s="8">
        <v>3.7499999999999999E-2</v>
      </c>
      <c r="E411" s="8"/>
      <c r="F411" s="7"/>
      <c r="G411" s="7"/>
      <c r="H411" s="8">
        <v>25</v>
      </c>
      <c r="I411" s="25" t="s">
        <v>12</v>
      </c>
      <c r="J411" s="7"/>
      <c r="K411" s="29">
        <v>8.6119991000000002</v>
      </c>
    </row>
    <row r="412" spans="1:11" ht="15.75" customHeight="1">
      <c r="A412" s="24" t="s">
        <v>17</v>
      </c>
      <c r="B412" s="14">
        <v>737.85610259999999</v>
      </c>
      <c r="C412" s="28">
        <v>0.91999999999999993</v>
      </c>
      <c r="D412" s="8">
        <v>3.7499999999999999E-2</v>
      </c>
      <c r="E412" s="8"/>
      <c r="F412" s="7"/>
      <c r="G412" s="7"/>
      <c r="H412" s="8">
        <v>25</v>
      </c>
      <c r="I412" s="25" t="s">
        <v>12</v>
      </c>
      <c r="J412" s="7"/>
      <c r="K412" s="29">
        <v>8.9435428199999993</v>
      </c>
    </row>
    <row r="413" spans="1:11" ht="15.75" customHeight="1">
      <c r="A413" s="24" t="s">
        <v>17</v>
      </c>
      <c r="B413" s="14">
        <v>801.49305000000004</v>
      </c>
      <c r="C413" s="28">
        <v>0.91999999999999993</v>
      </c>
      <c r="D413" s="8">
        <v>3.7499999999999999E-2</v>
      </c>
      <c r="E413" s="8"/>
      <c r="F413" s="7"/>
      <c r="G413" s="7"/>
      <c r="H413" s="8">
        <v>25</v>
      </c>
      <c r="I413" s="25" t="s">
        <v>12</v>
      </c>
      <c r="J413" s="7"/>
      <c r="K413" s="29">
        <v>9.04756553</v>
      </c>
    </row>
    <row r="414" spans="1:11" ht="15.75" customHeight="1">
      <c r="A414" s="24" t="s">
        <v>17</v>
      </c>
      <c r="B414" s="14">
        <v>852.79739940000002</v>
      </c>
      <c r="C414" s="28">
        <v>0.91999999999999993</v>
      </c>
      <c r="D414" s="8">
        <v>3.7499999999999999E-2</v>
      </c>
      <c r="E414" s="8"/>
      <c r="F414" s="7"/>
      <c r="G414" s="7"/>
      <c r="H414" s="8">
        <v>25</v>
      </c>
      <c r="I414" s="25" t="s">
        <v>12</v>
      </c>
      <c r="J414" s="7"/>
      <c r="K414" s="29">
        <v>9.1669209299999999</v>
      </c>
    </row>
    <row r="415" spans="1:11" ht="15.75" customHeight="1">
      <c r="A415" s="24" t="s">
        <v>17</v>
      </c>
      <c r="B415" s="14">
        <v>1295.634759</v>
      </c>
      <c r="C415" s="28">
        <v>0.91999999999999993</v>
      </c>
      <c r="D415" s="8">
        <v>3.7499999999999999E-2</v>
      </c>
      <c r="E415" s="8"/>
      <c r="F415" s="7"/>
      <c r="G415" s="7"/>
      <c r="H415" s="8">
        <v>25</v>
      </c>
      <c r="I415" s="25" t="s">
        <v>12</v>
      </c>
      <c r="J415" s="7"/>
      <c r="K415" s="29">
        <v>10.531471399999999</v>
      </c>
    </row>
    <row r="416" spans="1:11" ht="15.75" customHeight="1">
      <c r="A416" s="24" t="s">
        <v>17</v>
      </c>
      <c r="B416" s="14">
        <v>1539.3340218000001</v>
      </c>
      <c r="C416" s="28">
        <v>0.91999999999999993</v>
      </c>
      <c r="D416" s="8">
        <v>3.7499999999999999E-2</v>
      </c>
      <c r="E416" s="8"/>
      <c r="F416" s="7"/>
      <c r="G416" s="7"/>
      <c r="H416" s="8">
        <v>25</v>
      </c>
      <c r="I416" s="25" t="s">
        <v>12</v>
      </c>
      <c r="J416" s="7"/>
      <c r="K416" s="29">
        <v>10.928483399999999</v>
      </c>
    </row>
    <row r="417" spans="1:11" ht="15.75" customHeight="1">
      <c r="A417" s="24" t="s">
        <v>17</v>
      </c>
      <c r="B417" s="14">
        <v>362.73412866000001</v>
      </c>
      <c r="C417" s="28">
        <v>0.91999999999999993</v>
      </c>
      <c r="D417" s="8">
        <v>5.2299999999999999E-2</v>
      </c>
      <c r="E417" s="8"/>
      <c r="F417" s="7"/>
      <c r="G417" s="7"/>
      <c r="H417" s="8">
        <v>25</v>
      </c>
      <c r="I417" s="25" t="s">
        <v>12</v>
      </c>
      <c r="J417" s="7"/>
      <c r="K417" s="29">
        <v>7.6715416300000001</v>
      </c>
    </row>
    <row r="418" spans="1:11" ht="15.75" customHeight="1">
      <c r="A418" s="24" t="s">
        <v>17</v>
      </c>
      <c r="B418" s="14">
        <v>599.99994317999995</v>
      </c>
      <c r="C418" s="28">
        <v>0.91999999999999993</v>
      </c>
      <c r="D418" s="8">
        <v>5.2299999999999999E-2</v>
      </c>
      <c r="E418" s="8"/>
      <c r="F418" s="7"/>
      <c r="G418" s="7"/>
      <c r="H418" s="8">
        <v>25</v>
      </c>
      <c r="I418" s="25" t="s">
        <v>12</v>
      </c>
      <c r="J418" s="7"/>
      <c r="K418" s="29">
        <v>8.5921044200000001</v>
      </c>
    </row>
    <row r="419" spans="1:11" ht="15.75" customHeight="1">
      <c r="A419" s="24" t="s">
        <v>17</v>
      </c>
      <c r="B419" s="14">
        <v>919.98345180000001</v>
      </c>
      <c r="C419" s="28">
        <v>0.91999999999999993</v>
      </c>
      <c r="D419" s="8">
        <v>5.2299999999999999E-2</v>
      </c>
      <c r="E419" s="8"/>
      <c r="F419" s="7"/>
      <c r="G419" s="7"/>
      <c r="H419" s="8">
        <v>25</v>
      </c>
      <c r="I419" s="25" t="s">
        <v>12</v>
      </c>
      <c r="J419" s="7"/>
      <c r="K419" s="29">
        <v>9.4103761000000006</v>
      </c>
    </row>
    <row r="420" spans="1:11" ht="15.75" customHeight="1">
      <c r="A420" s="24" t="s">
        <v>17</v>
      </c>
      <c r="B420" s="14">
        <v>974.3840424</v>
      </c>
      <c r="C420" s="28">
        <v>0.91999999999999993</v>
      </c>
      <c r="D420" s="8">
        <v>5.2299999999999999E-2</v>
      </c>
      <c r="E420" s="8"/>
      <c r="F420" s="7"/>
      <c r="G420" s="7"/>
      <c r="H420" s="8">
        <v>25</v>
      </c>
      <c r="I420" s="25" t="s">
        <v>12</v>
      </c>
      <c r="J420" s="7"/>
      <c r="K420" s="29">
        <v>9.6602969600000002</v>
      </c>
    </row>
    <row r="421" spans="1:11" ht="15.75" customHeight="1">
      <c r="A421" s="24" t="s">
        <v>17</v>
      </c>
      <c r="B421" s="14">
        <v>1149.7047798000001</v>
      </c>
      <c r="C421" s="28">
        <v>0.91999999999999993</v>
      </c>
      <c r="D421" s="8">
        <v>5.2299999999999999E-2</v>
      </c>
      <c r="E421" s="8"/>
      <c r="F421" s="7"/>
      <c r="G421" s="7"/>
      <c r="H421" s="8">
        <v>25</v>
      </c>
      <c r="I421" s="25" t="s">
        <v>12</v>
      </c>
      <c r="J421" s="7"/>
      <c r="K421" s="29">
        <v>10.0013094</v>
      </c>
    </row>
    <row r="422" spans="1:11" ht="15.75" customHeight="1">
      <c r="A422" s="24" t="s">
        <v>17</v>
      </c>
      <c r="B422" s="14">
        <v>1217.6892846000001</v>
      </c>
      <c r="C422" s="28">
        <v>0.91999999999999993</v>
      </c>
      <c r="D422" s="8">
        <v>5.2299999999999999E-2</v>
      </c>
      <c r="E422" s="8"/>
      <c r="F422" s="7"/>
      <c r="G422" s="7"/>
      <c r="H422" s="8">
        <v>25</v>
      </c>
      <c r="I422" s="25" t="s">
        <v>12</v>
      </c>
      <c r="J422" s="7"/>
      <c r="K422" s="29">
        <v>10.2986331</v>
      </c>
    </row>
    <row r="423" spans="1:11" ht="15.75" customHeight="1">
      <c r="A423" s="24" t="s">
        <v>17</v>
      </c>
      <c r="B423" s="14">
        <v>1542.8753753999999</v>
      </c>
      <c r="C423" s="28">
        <v>0.91999999999999993</v>
      </c>
      <c r="D423" s="8">
        <v>5.2299999999999999E-2</v>
      </c>
      <c r="E423" s="8"/>
      <c r="F423" s="7"/>
      <c r="G423" s="7"/>
      <c r="H423" s="8">
        <v>25</v>
      </c>
      <c r="I423" s="25" t="s">
        <v>12</v>
      </c>
      <c r="J423" s="7"/>
      <c r="K423" s="29">
        <v>11.149744200000001</v>
      </c>
    </row>
    <row r="424" spans="1:11" ht="15.75" customHeight="1">
      <c r="A424" s="24" t="s">
        <v>17</v>
      </c>
      <c r="B424" s="14">
        <v>1652.9931630000001</v>
      </c>
      <c r="C424" s="28">
        <v>0.91999999999999993</v>
      </c>
      <c r="D424" s="8">
        <v>5.2299999999999999E-2</v>
      </c>
      <c r="E424" s="8"/>
      <c r="F424" s="7"/>
      <c r="G424" s="7"/>
      <c r="H424" s="8">
        <v>25</v>
      </c>
      <c r="I424" s="25" t="s">
        <v>12</v>
      </c>
      <c r="J424" s="7"/>
      <c r="K424" s="29">
        <v>11.384258300000001</v>
      </c>
    </row>
    <row r="425" spans="1:11" ht="15.75" customHeight="1">
      <c r="A425" s="24" t="s">
        <v>17</v>
      </c>
      <c r="B425" s="14">
        <v>799.65338699999995</v>
      </c>
      <c r="C425" s="28">
        <v>0.91999999999999993</v>
      </c>
      <c r="D425" s="8">
        <v>5.2299999999999999E-2</v>
      </c>
      <c r="E425" s="8"/>
      <c r="F425" s="7"/>
      <c r="G425" s="7"/>
      <c r="H425" s="8">
        <v>25</v>
      </c>
      <c r="I425" s="25" t="s">
        <v>12</v>
      </c>
      <c r="J425" s="7"/>
      <c r="K425" s="29">
        <v>9.0685148099999999</v>
      </c>
    </row>
    <row r="426" spans="1:11" ht="15.75" customHeight="1">
      <c r="A426" s="24" t="s">
        <v>17</v>
      </c>
      <c r="B426" s="14">
        <v>469.20748073999999</v>
      </c>
      <c r="C426" s="28">
        <v>0.91999999999999993</v>
      </c>
      <c r="D426" s="8">
        <v>5.2299999999999999E-2</v>
      </c>
      <c r="E426" s="8"/>
      <c r="F426" s="7"/>
      <c r="G426" s="7"/>
      <c r="H426" s="8">
        <v>25</v>
      </c>
      <c r="I426" s="25" t="s">
        <v>12</v>
      </c>
      <c r="J426" s="7"/>
      <c r="K426" s="29">
        <v>7.9178961499999998</v>
      </c>
    </row>
    <row r="427" spans="1:11" ht="15.75" customHeight="1">
      <c r="A427" s="24" t="s">
        <v>17</v>
      </c>
      <c r="B427" s="14">
        <v>202.81185461999999</v>
      </c>
      <c r="C427" s="28">
        <v>0.51</v>
      </c>
      <c r="D427" s="8">
        <v>3.7499999999999999E-2</v>
      </c>
      <c r="E427" s="8"/>
      <c r="F427" s="7"/>
      <c r="G427" s="7"/>
      <c r="H427" s="8">
        <v>25</v>
      </c>
      <c r="I427" s="25" t="s">
        <v>12</v>
      </c>
      <c r="J427" s="7"/>
      <c r="K427" s="29">
        <v>6.2830011900000002</v>
      </c>
    </row>
    <row r="428" spans="1:11" ht="15.75" customHeight="1">
      <c r="A428" s="24" t="s">
        <v>17</v>
      </c>
      <c r="B428" s="14">
        <v>264.76582536000001</v>
      </c>
      <c r="C428" s="28">
        <v>0.51</v>
      </c>
      <c r="D428" s="8">
        <v>3.7499999999999999E-2</v>
      </c>
      <c r="E428" s="8"/>
      <c r="F428" s="7"/>
      <c r="G428" s="7"/>
      <c r="H428" s="8">
        <v>25</v>
      </c>
      <c r="I428" s="25" t="s">
        <v>12</v>
      </c>
      <c r="J428" s="7"/>
      <c r="K428" s="29">
        <v>6.7188587399999999</v>
      </c>
    </row>
    <row r="429" spans="1:11" ht="15.75" customHeight="1">
      <c r="A429" s="24" t="s">
        <v>17</v>
      </c>
      <c r="B429" s="14">
        <v>300.43610310000003</v>
      </c>
      <c r="C429" s="28">
        <v>0.51</v>
      </c>
      <c r="D429" s="8">
        <v>3.7499999999999999E-2</v>
      </c>
      <c r="E429" s="8"/>
      <c r="F429" s="7"/>
      <c r="G429" s="7"/>
      <c r="H429" s="8">
        <v>25</v>
      </c>
      <c r="I429" s="25" t="s">
        <v>12</v>
      </c>
      <c r="J429" s="7"/>
      <c r="K429" s="30">
        <v>6.9882869000000003</v>
      </c>
    </row>
    <row r="430" spans="1:11" ht="15.75" customHeight="1">
      <c r="A430" s="24" t="s">
        <v>17</v>
      </c>
      <c r="B430" s="8">
        <v>330.11880905999999</v>
      </c>
      <c r="C430" s="28">
        <v>0.51</v>
      </c>
      <c r="D430" s="8">
        <v>3.7499999999999999E-2</v>
      </c>
      <c r="E430" s="8"/>
      <c r="F430" s="7"/>
      <c r="G430" s="7"/>
      <c r="H430" s="8">
        <v>25</v>
      </c>
      <c r="I430" s="25" t="s">
        <v>12</v>
      </c>
      <c r="J430" s="7"/>
      <c r="K430" s="29">
        <v>7.0695683999999996</v>
      </c>
    </row>
    <row r="431" spans="1:11" ht="15.75" customHeight="1">
      <c r="A431" s="24" t="s">
        <v>17</v>
      </c>
      <c r="B431" s="14">
        <v>177.73468926000001</v>
      </c>
      <c r="C431" s="28">
        <v>4.05</v>
      </c>
      <c r="D431" s="8">
        <v>7.1999999999999995E-2</v>
      </c>
      <c r="E431" s="8"/>
      <c r="F431" s="7"/>
      <c r="G431" s="7"/>
      <c r="H431" s="8">
        <v>25</v>
      </c>
      <c r="I431" s="25" t="s">
        <v>12</v>
      </c>
      <c r="J431" s="7"/>
      <c r="K431" s="29">
        <v>21.642688499999998</v>
      </c>
    </row>
    <row r="432" spans="1:11" ht="15.75" customHeight="1">
      <c r="A432" s="24" t="s">
        <v>17</v>
      </c>
      <c r="B432" s="14">
        <v>299.96566775999997</v>
      </c>
      <c r="C432" s="28">
        <v>4.05</v>
      </c>
      <c r="D432" s="8">
        <v>7.1999999999999995E-2</v>
      </c>
      <c r="E432" s="8"/>
      <c r="F432" s="7"/>
      <c r="G432" s="7"/>
      <c r="H432" s="8">
        <v>25</v>
      </c>
      <c r="I432" s="25" t="s">
        <v>12</v>
      </c>
      <c r="J432" s="7"/>
      <c r="K432" s="29">
        <v>21.9779135</v>
      </c>
    </row>
    <row r="433" spans="1:11" ht="15.75" customHeight="1">
      <c r="A433" s="24" t="s">
        <v>17</v>
      </c>
      <c r="B433" s="14">
        <v>420.98381669999998</v>
      </c>
      <c r="C433" s="28">
        <v>4.05</v>
      </c>
      <c r="D433" s="8">
        <v>7.1999999999999995E-2</v>
      </c>
      <c r="E433" s="8"/>
      <c r="F433" s="7"/>
      <c r="G433" s="7"/>
      <c r="H433" s="8">
        <v>25</v>
      </c>
      <c r="I433" s="25" t="s">
        <v>12</v>
      </c>
      <c r="J433" s="7"/>
      <c r="K433" s="29">
        <v>21.910454600000001</v>
      </c>
    </row>
    <row r="434" spans="1:11" ht="15.75" customHeight="1">
      <c r="A434" s="24" t="s">
        <v>17</v>
      </c>
      <c r="B434" s="14">
        <v>592.18906061999996</v>
      </c>
      <c r="C434" s="28">
        <v>4.05</v>
      </c>
      <c r="D434" s="8">
        <v>7.1999999999999995E-2</v>
      </c>
      <c r="E434" s="8"/>
      <c r="F434" s="7"/>
      <c r="G434" s="7"/>
      <c r="H434" s="8">
        <v>25</v>
      </c>
      <c r="I434" s="25" t="s">
        <v>12</v>
      </c>
      <c r="J434" s="7"/>
      <c r="K434" s="29">
        <v>22.559755200000001</v>
      </c>
    </row>
    <row r="435" spans="1:11" ht="15.75" customHeight="1">
      <c r="A435" s="24" t="s">
        <v>17</v>
      </c>
      <c r="B435" s="14">
        <v>1977.6526733999999</v>
      </c>
      <c r="C435" s="28">
        <v>4.05</v>
      </c>
      <c r="D435" s="8">
        <v>7.1999999999999995E-2</v>
      </c>
      <c r="E435" s="8"/>
      <c r="F435" s="7"/>
      <c r="G435" s="7"/>
      <c r="H435" s="8">
        <v>25</v>
      </c>
      <c r="I435" s="25" t="s">
        <v>12</v>
      </c>
      <c r="J435" s="7"/>
      <c r="K435" s="29">
        <v>22.490511699999999</v>
      </c>
    </row>
    <row r="436" spans="1:11" ht="15.75" customHeight="1">
      <c r="A436" s="24" t="s">
        <v>17</v>
      </c>
      <c r="B436" s="14">
        <v>2433.7088819999999</v>
      </c>
      <c r="C436" s="28">
        <v>4.05</v>
      </c>
      <c r="D436" s="8">
        <v>7.1999999999999995E-2</v>
      </c>
      <c r="E436" s="8"/>
      <c r="F436" s="7"/>
      <c r="G436" s="7"/>
      <c r="H436" s="8">
        <v>25</v>
      </c>
      <c r="I436" s="25" t="s">
        <v>12</v>
      </c>
      <c r="J436" s="7"/>
      <c r="K436" s="29">
        <v>23.8432399</v>
      </c>
    </row>
    <row r="437" spans="1:11" ht="15.75" customHeight="1">
      <c r="A437" s="24" t="s">
        <v>17</v>
      </c>
      <c r="B437" s="14">
        <v>2699.7777437999998</v>
      </c>
      <c r="C437" s="28">
        <v>4.05</v>
      </c>
      <c r="D437" s="8">
        <v>7.1999999999999995E-2</v>
      </c>
      <c r="E437" s="8"/>
      <c r="F437" s="7"/>
      <c r="G437" s="7"/>
      <c r="H437" s="8">
        <v>25</v>
      </c>
      <c r="I437" s="25" t="s">
        <v>12</v>
      </c>
      <c r="J437" s="7"/>
      <c r="K437" s="29">
        <v>24.119689999999999</v>
      </c>
    </row>
    <row r="438" spans="1:11" ht="15.75" customHeight="1">
      <c r="A438" s="24" t="s">
        <v>17</v>
      </c>
      <c r="B438" s="14">
        <v>3307.0749012000001</v>
      </c>
      <c r="C438" s="28">
        <v>4.05</v>
      </c>
      <c r="D438" s="8">
        <v>7.1999999999999995E-2</v>
      </c>
      <c r="E438" s="8"/>
      <c r="F438" s="7"/>
      <c r="G438" s="7"/>
      <c r="H438" s="8">
        <v>25</v>
      </c>
      <c r="I438" s="25" t="s">
        <v>12</v>
      </c>
      <c r="J438" s="7"/>
      <c r="K438" s="29">
        <v>24.625400800000001</v>
      </c>
    </row>
    <row r="439" spans="1:11" ht="15.75" customHeight="1">
      <c r="A439" s="24" t="s">
        <v>17</v>
      </c>
      <c r="B439" s="14">
        <v>3877.349667</v>
      </c>
      <c r="C439" s="28">
        <v>4.05</v>
      </c>
      <c r="D439" s="8">
        <v>7.1999999999999995E-2</v>
      </c>
      <c r="E439" s="8"/>
      <c r="F439" s="7"/>
      <c r="G439" s="7"/>
      <c r="H439" s="8">
        <v>25</v>
      </c>
      <c r="I439" s="25" t="s">
        <v>12</v>
      </c>
      <c r="J439" s="7"/>
      <c r="K439" s="29">
        <v>24.9300693</v>
      </c>
    </row>
    <row r="440" spans="1:11" ht="15.75" customHeight="1">
      <c r="A440" s="24" t="s">
        <v>17</v>
      </c>
      <c r="B440" s="14">
        <v>4421.9131883999999</v>
      </c>
      <c r="C440" s="28">
        <v>4.05</v>
      </c>
      <c r="D440" s="8">
        <v>7.1999999999999995E-2</v>
      </c>
      <c r="E440" s="8"/>
      <c r="F440" s="7"/>
      <c r="G440" s="7"/>
      <c r="H440" s="8">
        <v>25</v>
      </c>
      <c r="I440" s="25" t="s">
        <v>12</v>
      </c>
      <c r="J440" s="7"/>
      <c r="K440" s="29">
        <v>25.609741199999998</v>
      </c>
    </row>
    <row r="441" spans="1:11" ht="15.75" customHeight="1">
      <c r="A441" s="24" t="s">
        <v>17</v>
      </c>
      <c r="B441" s="14">
        <v>4882.7764907999999</v>
      </c>
      <c r="C441" s="28">
        <v>4.05</v>
      </c>
      <c r="D441" s="8">
        <v>7.1999999999999995E-2</v>
      </c>
      <c r="E441" s="8"/>
      <c r="F441" s="7"/>
      <c r="G441" s="7"/>
      <c r="H441" s="8">
        <v>25</v>
      </c>
      <c r="I441" s="25" t="s">
        <v>12</v>
      </c>
      <c r="J441" s="7"/>
      <c r="K441" s="29">
        <v>25.966469499999999</v>
      </c>
    </row>
    <row r="442" spans="1:11" ht="15.75" customHeight="1">
      <c r="A442" s="24" t="s">
        <v>17</v>
      </c>
      <c r="B442" s="14">
        <v>5724.7687343999996</v>
      </c>
      <c r="C442" s="28">
        <v>4.05</v>
      </c>
      <c r="D442" s="8">
        <v>7.1999999999999995E-2</v>
      </c>
      <c r="E442" s="8"/>
      <c r="F442" s="7"/>
      <c r="G442" s="7"/>
      <c r="H442" s="8">
        <v>25</v>
      </c>
      <c r="I442" s="25" t="s">
        <v>12</v>
      </c>
      <c r="J442" s="7"/>
      <c r="K442" s="29">
        <v>26.6539021</v>
      </c>
    </row>
    <row r="443" spans="1:11" ht="15.75" customHeight="1">
      <c r="A443" s="24" t="s">
        <v>17</v>
      </c>
      <c r="B443" s="14">
        <v>6558.9695400000001</v>
      </c>
      <c r="C443" s="28">
        <v>4.05</v>
      </c>
      <c r="D443" s="8">
        <v>7.1999999999999995E-2</v>
      </c>
      <c r="E443" s="8"/>
      <c r="F443" s="7"/>
      <c r="G443" s="7"/>
      <c r="H443" s="8">
        <v>25</v>
      </c>
      <c r="I443" s="25" t="s">
        <v>12</v>
      </c>
      <c r="J443" s="7"/>
      <c r="K443" s="29">
        <v>27.422688999999998</v>
      </c>
    </row>
    <row r="444" spans="1:11" ht="15.75" customHeight="1">
      <c r="A444" s="24" t="s">
        <v>17</v>
      </c>
      <c r="B444" s="14">
        <v>7514.733972</v>
      </c>
      <c r="C444" s="28">
        <v>4.05</v>
      </c>
      <c r="D444" s="8">
        <v>7.1999999999999995E-2</v>
      </c>
      <c r="E444" s="8"/>
      <c r="F444" s="7"/>
      <c r="G444" s="7"/>
      <c r="H444" s="8">
        <v>25</v>
      </c>
      <c r="I444" s="25" t="s">
        <v>12</v>
      </c>
      <c r="J444" s="7"/>
      <c r="K444" s="29">
        <v>27.976143199999999</v>
      </c>
    </row>
    <row r="445" spans="1:11" ht="15.75" customHeight="1">
      <c r="A445" s="24" t="s">
        <v>17</v>
      </c>
      <c r="B445" s="14">
        <v>8729.694426</v>
      </c>
      <c r="C445" s="28">
        <v>4.05</v>
      </c>
      <c r="D445" s="8">
        <v>7.1999999999999995E-2</v>
      </c>
      <c r="E445" s="8"/>
      <c r="F445" s="7"/>
      <c r="G445" s="7"/>
      <c r="H445" s="8">
        <v>25</v>
      </c>
      <c r="I445" s="25" t="s">
        <v>12</v>
      </c>
      <c r="J445" s="7"/>
      <c r="K445" s="29">
        <v>28.738861499999999</v>
      </c>
    </row>
    <row r="446" spans="1:11" ht="15.75" customHeight="1">
      <c r="A446" s="24" t="s">
        <v>17</v>
      </c>
      <c r="B446" s="14">
        <v>10001.77404</v>
      </c>
      <c r="C446" s="28">
        <v>4.05</v>
      </c>
      <c r="D446" s="8">
        <v>7.1999999999999995E-2</v>
      </c>
      <c r="E446" s="8"/>
      <c r="F446" s="7"/>
      <c r="G446" s="7"/>
      <c r="H446" s="8">
        <v>25</v>
      </c>
      <c r="I446" s="25" t="s">
        <v>12</v>
      </c>
      <c r="J446" s="7"/>
      <c r="K446" s="29">
        <v>29.681618799999999</v>
      </c>
    </row>
    <row r="447" spans="1:11" ht="15.75" customHeight="1">
      <c r="A447" s="24" t="s">
        <v>17</v>
      </c>
      <c r="B447" s="14">
        <v>10867.365738</v>
      </c>
      <c r="C447" s="28">
        <v>4.05</v>
      </c>
      <c r="D447" s="8">
        <v>7.1999999999999995E-2</v>
      </c>
      <c r="E447" s="8"/>
      <c r="F447" s="7"/>
      <c r="G447" s="7"/>
      <c r="H447" s="8">
        <v>25</v>
      </c>
      <c r="I447" s="25" t="s">
        <v>12</v>
      </c>
      <c r="J447" s="7"/>
      <c r="K447" s="29">
        <v>30.373892099999999</v>
      </c>
    </row>
    <row r="448" spans="1:11" ht="15.75" customHeight="1">
      <c r="A448" s="24" t="s">
        <v>17</v>
      </c>
      <c r="B448" s="14">
        <v>12027.698694000001</v>
      </c>
      <c r="C448" s="28">
        <v>4.05</v>
      </c>
      <c r="D448" s="8">
        <v>7.1999999999999995E-2</v>
      </c>
      <c r="E448" s="8"/>
      <c r="F448" s="7"/>
      <c r="G448" s="7"/>
      <c r="H448" s="8">
        <v>25</v>
      </c>
      <c r="I448" s="25" t="s">
        <v>12</v>
      </c>
      <c r="J448" s="7"/>
      <c r="K448" s="29">
        <v>31.1540572</v>
      </c>
    </row>
    <row r="449" spans="1:11" ht="15.75" customHeight="1">
      <c r="A449" s="24" t="s">
        <v>17</v>
      </c>
      <c r="B449" s="14">
        <v>118.72480272</v>
      </c>
      <c r="C449" s="28">
        <v>2.532</v>
      </c>
      <c r="D449" s="8">
        <v>7.1999999999999995E-2</v>
      </c>
      <c r="E449" s="8"/>
      <c r="F449" s="7"/>
      <c r="G449" s="7"/>
      <c r="H449" s="8">
        <v>25</v>
      </c>
      <c r="I449" s="25" t="s">
        <v>12</v>
      </c>
      <c r="J449" s="7"/>
      <c r="K449" s="29">
        <v>16.211251300000001</v>
      </c>
    </row>
    <row r="450" spans="1:11" ht="15.75" customHeight="1">
      <c r="A450" s="24" t="s">
        <v>17</v>
      </c>
      <c r="B450" s="14">
        <v>205.0472331</v>
      </c>
      <c r="C450" s="28">
        <v>2.532</v>
      </c>
      <c r="D450" s="8">
        <v>7.1999999999999995E-2</v>
      </c>
      <c r="E450" s="8"/>
      <c r="F450" s="7"/>
      <c r="G450" s="7"/>
      <c r="H450" s="8">
        <v>25</v>
      </c>
      <c r="I450" s="25" t="s">
        <v>12</v>
      </c>
      <c r="J450" s="7"/>
      <c r="K450" s="29">
        <v>16.361444599999999</v>
      </c>
    </row>
    <row r="451" spans="1:11" ht="15.75" customHeight="1">
      <c r="A451" s="24" t="s">
        <v>17</v>
      </c>
      <c r="B451" s="14">
        <v>279.91869539999999</v>
      </c>
      <c r="C451" s="28">
        <v>2.532</v>
      </c>
      <c r="D451" s="8">
        <v>7.1999999999999995E-2</v>
      </c>
      <c r="E451" s="26"/>
      <c r="F451" s="26"/>
      <c r="G451" s="26"/>
      <c r="H451" s="8">
        <v>25</v>
      </c>
      <c r="I451" s="25" t="s">
        <v>12</v>
      </c>
      <c r="J451" s="26"/>
      <c r="K451" s="31">
        <v>16.411819000000001</v>
      </c>
    </row>
    <row r="452" spans="1:11" ht="15.75" customHeight="1">
      <c r="A452" s="24" t="s">
        <v>17</v>
      </c>
      <c r="B452" s="14">
        <v>393.75587772</v>
      </c>
      <c r="C452" s="28">
        <v>2.532</v>
      </c>
      <c r="D452" s="8">
        <v>7.1999999999999995E-2</v>
      </c>
      <c r="E452" s="26"/>
      <c r="F452" s="26"/>
      <c r="G452" s="26"/>
      <c r="H452" s="8">
        <v>25</v>
      </c>
      <c r="I452" s="25" t="s">
        <v>12</v>
      </c>
      <c r="J452" s="26"/>
      <c r="K452" s="31">
        <v>16.5257276</v>
      </c>
    </row>
    <row r="453" spans="1:11" ht="15.75" customHeight="1">
      <c r="A453" s="24" t="s">
        <v>17</v>
      </c>
      <c r="B453" s="14">
        <v>470.24985354</v>
      </c>
      <c r="C453" s="28">
        <v>2.532</v>
      </c>
      <c r="D453" s="8">
        <v>7.1999999999999995E-2</v>
      </c>
      <c r="E453" s="26"/>
      <c r="F453" s="26"/>
      <c r="G453" s="26"/>
      <c r="H453" s="8">
        <v>25</v>
      </c>
      <c r="I453" s="25" t="s">
        <v>12</v>
      </c>
      <c r="J453" s="26"/>
      <c r="K453" s="31">
        <v>16.755921000000001</v>
      </c>
    </row>
    <row r="454" spans="1:11" ht="15.75" customHeight="1">
      <c r="A454" s="24" t="s">
        <v>17</v>
      </c>
      <c r="B454" s="14">
        <v>1941.509427</v>
      </c>
      <c r="C454" s="28">
        <v>2.532</v>
      </c>
      <c r="D454" s="8">
        <v>7.1999999999999995E-2</v>
      </c>
      <c r="E454" s="26"/>
      <c r="F454" s="26"/>
      <c r="G454" s="26"/>
      <c r="H454" s="8">
        <v>25</v>
      </c>
      <c r="I454" s="25" t="s">
        <v>12</v>
      </c>
      <c r="J454" s="26"/>
      <c r="K454" s="31">
        <v>17.054729900000002</v>
      </c>
    </row>
    <row r="455" spans="1:11" ht="15.75" customHeight="1">
      <c r="A455" s="24" t="s">
        <v>17</v>
      </c>
      <c r="B455" s="14">
        <v>2372.7622704</v>
      </c>
      <c r="C455" s="28">
        <v>2.532</v>
      </c>
      <c r="D455" s="8">
        <v>7.1999999999999995E-2</v>
      </c>
      <c r="E455" s="26"/>
      <c r="F455" s="26"/>
      <c r="G455" s="26"/>
      <c r="H455" s="8">
        <v>25</v>
      </c>
      <c r="I455" s="25" t="s">
        <v>12</v>
      </c>
      <c r="J455" s="26"/>
      <c r="K455" s="31">
        <v>17.439094900000001</v>
      </c>
    </row>
    <row r="456" spans="1:11" ht="15.75" customHeight="1">
      <c r="A456" s="24" t="s">
        <v>17</v>
      </c>
      <c r="B456" s="14">
        <v>2906.4994584000001</v>
      </c>
      <c r="C456" s="28">
        <v>2.532</v>
      </c>
      <c r="D456" s="8">
        <v>7.1999999999999995E-2</v>
      </c>
      <c r="E456" s="26"/>
      <c r="F456" s="26"/>
      <c r="G456" s="26"/>
      <c r="H456" s="8">
        <v>25</v>
      </c>
      <c r="I456" s="25" t="s">
        <v>12</v>
      </c>
      <c r="J456" s="26"/>
      <c r="K456" s="31">
        <v>17.722826000000001</v>
      </c>
    </row>
    <row r="457" spans="1:11" ht="15.75" customHeight="1">
      <c r="A457" s="24" t="s">
        <v>17</v>
      </c>
      <c r="B457" s="14">
        <v>3291.860655</v>
      </c>
      <c r="C457" s="28">
        <v>2.532</v>
      </c>
      <c r="D457" s="8">
        <v>7.1999999999999995E-2</v>
      </c>
      <c r="E457" s="26"/>
      <c r="F457" s="26"/>
      <c r="G457" s="26"/>
      <c r="H457" s="8">
        <v>25</v>
      </c>
      <c r="I457" s="25" t="s">
        <v>12</v>
      </c>
      <c r="J457" s="26"/>
      <c r="K457" s="31">
        <v>18.360564499999999</v>
      </c>
    </row>
    <row r="458" spans="1:11" ht="15.75" customHeight="1">
      <c r="A458" s="24" t="s">
        <v>17</v>
      </c>
      <c r="B458" s="14">
        <v>3832.9089095999998</v>
      </c>
      <c r="C458" s="28">
        <v>2.532</v>
      </c>
      <c r="D458" s="8">
        <v>7.1999999999999995E-2</v>
      </c>
      <c r="E458" s="26"/>
      <c r="F458" s="26"/>
      <c r="G458" s="26"/>
      <c r="H458" s="8">
        <v>25</v>
      </c>
      <c r="I458" s="25" t="s">
        <v>12</v>
      </c>
      <c r="J458" s="26"/>
      <c r="K458" s="31">
        <v>18.919200400000001</v>
      </c>
    </row>
    <row r="459" spans="1:11" ht="15.75" customHeight="1">
      <c r="A459" s="24" t="s">
        <v>17</v>
      </c>
      <c r="B459" s="14">
        <v>4341.0990492000001</v>
      </c>
      <c r="C459" s="28">
        <v>2.532</v>
      </c>
      <c r="D459" s="8">
        <v>7.1999999999999995E-2</v>
      </c>
      <c r="E459" s="26"/>
      <c r="F459" s="26"/>
      <c r="G459" s="26"/>
      <c r="H459" s="8">
        <v>25</v>
      </c>
      <c r="I459" s="25" t="s">
        <v>12</v>
      </c>
      <c r="J459" s="26"/>
      <c r="K459" s="31">
        <v>19.360459200000001</v>
      </c>
    </row>
    <row r="460" spans="1:11" ht="15.75" customHeight="1">
      <c r="A460" s="24" t="s">
        <v>17</v>
      </c>
      <c r="B460" s="14">
        <v>4588.0827953999997</v>
      </c>
      <c r="C460" s="28">
        <v>2.532</v>
      </c>
      <c r="D460" s="8">
        <v>7.1999999999999995E-2</v>
      </c>
      <c r="E460" s="26"/>
      <c r="F460" s="26"/>
      <c r="G460" s="26"/>
      <c r="H460" s="8">
        <v>25</v>
      </c>
      <c r="I460" s="25" t="s">
        <v>12</v>
      </c>
      <c r="J460" s="26"/>
      <c r="K460" s="31">
        <v>19.9035747</v>
      </c>
    </row>
    <row r="461" spans="1:11" ht="15.75" customHeight="1">
      <c r="A461" s="24" t="s">
        <v>17</v>
      </c>
      <c r="B461" s="14">
        <v>5479.3982376000004</v>
      </c>
      <c r="C461" s="28">
        <v>2.532</v>
      </c>
      <c r="D461" s="8">
        <v>7.1999999999999995E-2</v>
      </c>
      <c r="E461" s="26"/>
      <c r="F461" s="26"/>
      <c r="G461" s="26"/>
      <c r="H461" s="8">
        <v>25</v>
      </c>
      <c r="I461" s="25" t="s">
        <v>12</v>
      </c>
      <c r="J461" s="26"/>
      <c r="K461" s="31">
        <v>20.493402799999998</v>
      </c>
    </row>
    <row r="462" spans="1:11" ht="15.75" customHeight="1">
      <c r="A462" s="24" t="s">
        <v>17</v>
      </c>
      <c r="B462" s="14">
        <v>6604.4931779999997</v>
      </c>
      <c r="C462" s="28">
        <v>2.532</v>
      </c>
      <c r="D462" s="8">
        <v>7.1999999999999995E-2</v>
      </c>
      <c r="E462" s="26"/>
      <c r="F462" s="26"/>
      <c r="G462" s="26"/>
      <c r="H462" s="8">
        <v>25</v>
      </c>
      <c r="I462" s="25" t="s">
        <v>12</v>
      </c>
      <c r="J462" s="26"/>
      <c r="K462" s="31">
        <v>21.510033799999999</v>
      </c>
    </row>
    <row r="463" spans="1:11" ht="15.75" customHeight="1">
      <c r="A463" s="24" t="s">
        <v>17</v>
      </c>
      <c r="B463" s="14">
        <v>6996.3657720000001</v>
      </c>
      <c r="C463" s="28">
        <v>2.532</v>
      </c>
      <c r="D463" s="8">
        <v>7.1999999999999995E-2</v>
      </c>
      <c r="E463" s="26"/>
      <c r="F463" s="26"/>
      <c r="G463" s="26"/>
      <c r="H463" s="8">
        <v>25</v>
      </c>
      <c r="I463" s="25" t="s">
        <v>12</v>
      </c>
      <c r="J463" s="26"/>
      <c r="K463" s="31">
        <v>21.759430099999999</v>
      </c>
    </row>
    <row r="464" spans="1:11" ht="15.75" customHeight="1">
      <c r="A464" s="24" t="s">
        <v>17</v>
      </c>
      <c r="B464" s="14">
        <v>8165.0877300000002</v>
      </c>
      <c r="C464" s="28">
        <v>2.532</v>
      </c>
      <c r="D464" s="8">
        <v>7.1999999999999995E-2</v>
      </c>
      <c r="E464" s="26"/>
      <c r="F464" s="26"/>
      <c r="G464" s="26"/>
      <c r="H464" s="8">
        <v>25</v>
      </c>
      <c r="I464" s="25" t="s">
        <v>12</v>
      </c>
      <c r="J464" s="26"/>
      <c r="K464" s="31">
        <v>22.232734700000002</v>
      </c>
    </row>
    <row r="465" spans="1:11" ht="15.75" customHeight="1">
      <c r="A465" s="24" t="s">
        <v>17</v>
      </c>
      <c r="B465" s="14">
        <v>9078.6589199999999</v>
      </c>
      <c r="C465" s="28">
        <v>2.532</v>
      </c>
      <c r="D465" s="8">
        <v>7.1999999999999995E-2</v>
      </c>
      <c r="E465" s="26"/>
      <c r="F465" s="26"/>
      <c r="G465" s="26"/>
      <c r="H465" s="8">
        <v>25</v>
      </c>
      <c r="I465" s="25" t="s">
        <v>12</v>
      </c>
      <c r="J465" s="26"/>
      <c r="K465" s="31">
        <v>23.103670699999999</v>
      </c>
    </row>
    <row r="466" spans="1:11" ht="15.75" customHeight="1">
      <c r="A466" s="24" t="s">
        <v>17</v>
      </c>
      <c r="B466" s="14">
        <v>230.63288309999999</v>
      </c>
      <c r="C466" s="26">
        <v>4.05</v>
      </c>
      <c r="D466" s="25">
        <v>5.2299999999999999E-2</v>
      </c>
      <c r="E466" s="26"/>
      <c r="F466" s="26"/>
      <c r="G466" s="26"/>
      <c r="H466" s="8">
        <v>25</v>
      </c>
      <c r="I466" s="25" t="s">
        <v>12</v>
      </c>
      <c r="J466" s="26"/>
      <c r="K466" s="31">
        <v>22.0794888</v>
      </c>
    </row>
    <row r="467" spans="1:11" ht="15.75" customHeight="1">
      <c r="A467" s="24" t="s">
        <v>17</v>
      </c>
      <c r="B467" s="14">
        <v>374.28140525999999</v>
      </c>
      <c r="C467" s="26">
        <v>4.05</v>
      </c>
      <c r="D467" s="25">
        <v>5.2299999999999999E-2</v>
      </c>
      <c r="E467" s="26"/>
      <c r="F467" s="26"/>
      <c r="G467" s="26"/>
      <c r="H467" s="8">
        <v>25</v>
      </c>
      <c r="I467" s="25" t="s">
        <v>12</v>
      </c>
      <c r="J467" s="26"/>
      <c r="K467" s="31">
        <v>21.994810000000001</v>
      </c>
    </row>
    <row r="468" spans="1:11" ht="15.75" customHeight="1">
      <c r="A468" s="24" t="s">
        <v>17</v>
      </c>
      <c r="B468" s="14">
        <v>513.30874896</v>
      </c>
      <c r="C468" s="26">
        <v>4.05</v>
      </c>
      <c r="D468" s="25">
        <v>5.2299999999999999E-2</v>
      </c>
      <c r="E468" s="26"/>
      <c r="F468" s="26"/>
      <c r="G468" s="26"/>
      <c r="H468" s="8">
        <v>25</v>
      </c>
      <c r="I468" s="25" t="s">
        <v>12</v>
      </c>
      <c r="J468" s="26"/>
      <c r="K468" s="31">
        <v>22.490511699999999</v>
      </c>
    </row>
    <row r="469" spans="1:11" ht="15.75" customHeight="1">
      <c r="A469" s="24" t="s">
        <v>17</v>
      </c>
      <c r="B469" s="14">
        <v>868.31901600000003</v>
      </c>
      <c r="C469" s="26">
        <v>4.05</v>
      </c>
      <c r="D469" s="25">
        <v>5.2299999999999999E-2</v>
      </c>
      <c r="E469" s="26"/>
      <c r="F469" s="26"/>
      <c r="G469" s="26"/>
      <c r="H469" s="8">
        <v>25</v>
      </c>
      <c r="I469" s="25" t="s">
        <v>12</v>
      </c>
      <c r="J469" s="26"/>
      <c r="K469" s="31">
        <v>22.062525900000001</v>
      </c>
    </row>
    <row r="470" spans="1:11" ht="15.75" customHeight="1">
      <c r="A470" s="24" t="s">
        <v>17</v>
      </c>
      <c r="B470" s="14">
        <v>2173.7223227999998</v>
      </c>
      <c r="C470" s="26">
        <v>4.05</v>
      </c>
      <c r="D470" s="25">
        <v>5.2299999999999999E-2</v>
      </c>
      <c r="E470" s="26"/>
      <c r="F470" s="26"/>
      <c r="G470" s="26"/>
      <c r="H470" s="8">
        <v>25</v>
      </c>
      <c r="I470" s="25" t="s">
        <v>12</v>
      </c>
      <c r="J470" s="26"/>
      <c r="K470" s="31">
        <v>23.606214699999999</v>
      </c>
    </row>
    <row r="471" spans="1:11" ht="15.75" customHeight="1">
      <c r="A471" s="24" t="s">
        <v>17</v>
      </c>
      <c r="B471" s="14">
        <v>2507.7588942000002</v>
      </c>
      <c r="C471" s="26">
        <v>4.05</v>
      </c>
      <c r="D471" s="25">
        <v>5.2299999999999999E-2</v>
      </c>
      <c r="E471" s="26"/>
      <c r="F471" s="26"/>
      <c r="G471" s="26"/>
      <c r="H471" s="8">
        <v>25</v>
      </c>
      <c r="I471" s="25" t="s">
        <v>12</v>
      </c>
      <c r="J471" s="26"/>
      <c r="K471" s="31">
        <v>23.569959999999998</v>
      </c>
    </row>
    <row r="472" spans="1:11" ht="15.75" customHeight="1">
      <c r="A472" s="24" t="s">
        <v>17</v>
      </c>
      <c r="B472" s="14">
        <v>2967.4407581999999</v>
      </c>
      <c r="C472" s="26">
        <v>4.05</v>
      </c>
      <c r="D472" s="25">
        <v>5.2299999999999999E-2</v>
      </c>
      <c r="E472" s="26"/>
      <c r="F472" s="26"/>
      <c r="G472" s="26"/>
      <c r="H472" s="8">
        <v>25</v>
      </c>
      <c r="I472" s="25" t="s">
        <v>12</v>
      </c>
      <c r="J472" s="26"/>
      <c r="K472" s="31">
        <v>24.343154500000001</v>
      </c>
    </row>
    <row r="473" spans="1:11" ht="15.75" customHeight="1">
      <c r="A473" s="24" t="s">
        <v>17</v>
      </c>
      <c r="B473" s="14">
        <v>3439.2720042000001</v>
      </c>
      <c r="C473" s="26">
        <v>4.05</v>
      </c>
      <c r="D473" s="25">
        <v>5.2299999999999999E-2</v>
      </c>
      <c r="E473" s="26"/>
      <c r="F473" s="26"/>
      <c r="G473" s="26"/>
      <c r="H473" s="8">
        <v>25</v>
      </c>
      <c r="I473" s="25" t="s">
        <v>12</v>
      </c>
      <c r="J473" s="26"/>
      <c r="K473" s="31">
        <v>24.474464099999999</v>
      </c>
    </row>
    <row r="474" spans="1:11" ht="15.75" customHeight="1">
      <c r="A474" s="24" t="s">
        <v>17</v>
      </c>
      <c r="B474" s="14">
        <v>4174.2379469999996</v>
      </c>
      <c r="C474" s="26">
        <v>4.05</v>
      </c>
      <c r="D474" s="25">
        <v>5.2299999999999999E-2</v>
      </c>
      <c r="E474" s="26"/>
      <c r="F474" s="26"/>
      <c r="G474" s="26"/>
      <c r="H474" s="8">
        <v>25</v>
      </c>
      <c r="I474" s="25" t="s">
        <v>12</v>
      </c>
      <c r="J474" s="26"/>
      <c r="K474" s="25">
        <v>25.141714700000001</v>
      </c>
    </row>
    <row r="475" spans="1:11" ht="15.75" customHeight="1">
      <c r="A475" s="24" t="s">
        <v>17</v>
      </c>
      <c r="B475" s="14">
        <v>4619.9289173999996</v>
      </c>
      <c r="C475" s="26">
        <v>4.05</v>
      </c>
      <c r="D475" s="25">
        <v>5.2299999999999999E-2</v>
      </c>
      <c r="E475" s="26"/>
      <c r="F475" s="26"/>
      <c r="G475" s="26"/>
      <c r="H475" s="8">
        <v>25</v>
      </c>
      <c r="I475" s="25" t="s">
        <v>12</v>
      </c>
      <c r="J475" s="26"/>
      <c r="K475" s="25">
        <v>25.4919236</v>
      </c>
    </row>
    <row r="476" spans="1:11" ht="15.75" customHeight="1">
      <c r="A476" s="24" t="s">
        <v>17</v>
      </c>
      <c r="B476" s="14">
        <v>5466.7796826000003</v>
      </c>
      <c r="C476" s="26">
        <v>4.05</v>
      </c>
      <c r="D476" s="25">
        <v>5.2299999999999999E-2</v>
      </c>
      <c r="E476" s="26"/>
      <c r="F476" s="26"/>
      <c r="G476" s="26"/>
      <c r="H476" s="8">
        <v>25</v>
      </c>
      <c r="I476" s="25" t="s">
        <v>12</v>
      </c>
      <c r="J476" s="26"/>
      <c r="K476" s="25">
        <v>26.247356799999999</v>
      </c>
    </row>
    <row r="477" spans="1:11" ht="15.75" customHeight="1">
      <c r="A477" s="24" t="s">
        <v>17</v>
      </c>
      <c r="B477" s="14">
        <v>7110.2012699999996</v>
      </c>
      <c r="C477" s="26">
        <v>4.05</v>
      </c>
      <c r="D477" s="25">
        <v>5.2299999999999999E-2</v>
      </c>
      <c r="E477" s="26"/>
      <c r="F477" s="26"/>
      <c r="G477" s="26"/>
      <c r="H477" s="8">
        <v>25</v>
      </c>
      <c r="I477" s="25" t="s">
        <v>12</v>
      </c>
      <c r="J477" s="26"/>
      <c r="K477" s="25">
        <v>27.6130201</v>
      </c>
    </row>
    <row r="478" spans="1:11" ht="15.75" customHeight="1">
      <c r="A478" s="24" t="s">
        <v>17</v>
      </c>
      <c r="B478" s="14">
        <v>11432.821206000001</v>
      </c>
      <c r="C478" s="26">
        <v>4.05</v>
      </c>
      <c r="D478" s="25">
        <v>5.2299999999999999E-2</v>
      </c>
      <c r="E478" s="26"/>
      <c r="F478" s="26"/>
      <c r="G478" s="26"/>
      <c r="H478" s="8">
        <v>25</v>
      </c>
      <c r="I478" s="25" t="s">
        <v>12</v>
      </c>
      <c r="J478" s="26"/>
      <c r="K478" s="25">
        <v>30.4440016</v>
      </c>
    </row>
    <row r="479" spans="1:11" ht="15.75" customHeight="1">
      <c r="A479" s="24" t="s">
        <v>17</v>
      </c>
      <c r="B479" s="14">
        <v>12027.698694000001</v>
      </c>
      <c r="C479" s="26">
        <v>4.05</v>
      </c>
      <c r="D479" s="25">
        <v>5.2299999999999999E-2</v>
      </c>
      <c r="E479" s="26"/>
      <c r="F479" s="26"/>
      <c r="G479" s="26"/>
      <c r="H479" s="8">
        <v>25</v>
      </c>
      <c r="I479" s="25" t="s">
        <v>12</v>
      </c>
      <c r="J479" s="26"/>
      <c r="K479" s="25">
        <v>30.584706499999999</v>
      </c>
    </row>
    <row r="480" spans="1:11" ht="15.75" customHeight="1">
      <c r="A480" s="24" t="s">
        <v>17</v>
      </c>
      <c r="B480" s="14">
        <v>238.74867408</v>
      </c>
      <c r="C480" s="26">
        <v>4.05</v>
      </c>
      <c r="D480" s="25">
        <v>3.7249999999999998E-2</v>
      </c>
      <c r="E480" s="26"/>
      <c r="F480" s="26"/>
      <c r="G480" s="26"/>
      <c r="H480" s="8">
        <v>25</v>
      </c>
      <c r="I480" s="25" t="s">
        <v>12</v>
      </c>
      <c r="J480" s="26"/>
      <c r="K480" s="25">
        <v>20.180820799999999</v>
      </c>
    </row>
    <row r="481" spans="1:11" ht="15.75" customHeight="1">
      <c r="A481" s="24" t="s">
        <v>17</v>
      </c>
      <c r="B481" s="14">
        <v>576.02944955999999</v>
      </c>
      <c r="C481" s="26">
        <v>4.05</v>
      </c>
      <c r="D481" s="25">
        <v>3.7249999999999998E-2</v>
      </c>
      <c r="E481" s="26"/>
      <c r="F481" s="26"/>
      <c r="G481" s="26"/>
      <c r="H481" s="8">
        <v>25</v>
      </c>
      <c r="I481" s="25" t="s">
        <v>12</v>
      </c>
      <c r="J481" s="26"/>
      <c r="K481" s="25">
        <v>19.9955642</v>
      </c>
    </row>
    <row r="482" spans="1:11" ht="15.75" customHeight="1">
      <c r="A482" s="24" t="s">
        <v>17</v>
      </c>
      <c r="B482" s="14">
        <v>723.72754980000002</v>
      </c>
      <c r="C482" s="26">
        <v>4.05</v>
      </c>
      <c r="D482" s="25">
        <v>3.7249999999999998E-2</v>
      </c>
      <c r="E482" s="26"/>
      <c r="F482" s="26"/>
      <c r="G482" s="26"/>
      <c r="H482" s="8">
        <v>25</v>
      </c>
      <c r="I482" s="25" t="s">
        <v>12</v>
      </c>
      <c r="J482" s="26"/>
      <c r="K482" s="25">
        <v>20.352145799999999</v>
      </c>
    </row>
    <row r="483" spans="1:11" ht="15.75" customHeight="1">
      <c r="A483" s="24" t="s">
        <v>17</v>
      </c>
      <c r="B483" s="14">
        <v>2168.7164388000001</v>
      </c>
      <c r="C483" s="26">
        <v>4.05</v>
      </c>
      <c r="D483" s="25">
        <v>3.7249999999999998E-2</v>
      </c>
      <c r="E483" s="26"/>
      <c r="F483" s="26"/>
      <c r="G483" s="26"/>
      <c r="H483" s="8">
        <v>25</v>
      </c>
      <c r="I483" s="25" t="s">
        <v>12</v>
      </c>
      <c r="J483" s="26"/>
      <c r="K483" s="25">
        <v>22.147468199999999</v>
      </c>
    </row>
    <row r="484" spans="1:11" ht="15.75" customHeight="1">
      <c r="A484" s="24" t="s">
        <v>17</v>
      </c>
      <c r="B484" s="14">
        <v>4050.9795389999999</v>
      </c>
      <c r="C484" s="26">
        <v>4.05</v>
      </c>
      <c r="D484" s="25">
        <v>3.7249999999999998E-2</v>
      </c>
      <c r="E484" s="26"/>
      <c r="F484" s="26"/>
      <c r="G484" s="26"/>
      <c r="H484" s="8">
        <v>25</v>
      </c>
      <c r="I484" s="25" t="s">
        <v>12</v>
      </c>
      <c r="J484" s="26"/>
      <c r="K484" s="25">
        <v>24.2125494</v>
      </c>
    </row>
    <row r="485" spans="1:11" ht="15.75" customHeight="1">
      <c r="A485" s="24" t="s">
        <v>17</v>
      </c>
      <c r="B485" s="14">
        <v>4281.4587683999998</v>
      </c>
      <c r="C485" s="26">
        <v>4.05</v>
      </c>
      <c r="D485" s="25">
        <v>3.7249999999999998E-2</v>
      </c>
      <c r="E485" s="26"/>
      <c r="F485" s="26"/>
      <c r="G485" s="26"/>
      <c r="H485" s="8">
        <v>25</v>
      </c>
      <c r="I485" s="25" t="s">
        <v>12</v>
      </c>
      <c r="J485" s="26"/>
      <c r="K485" s="25">
        <v>24.625400800000001</v>
      </c>
    </row>
    <row r="486" spans="1:11" ht="15.75" customHeight="1">
      <c r="A486" s="24" t="s">
        <v>17</v>
      </c>
      <c r="B486" s="14">
        <v>5354.5082928000002</v>
      </c>
      <c r="C486" s="26">
        <v>4.05</v>
      </c>
      <c r="D486" s="25">
        <v>3.7249999999999998E-2</v>
      </c>
      <c r="E486" s="26"/>
      <c r="F486" s="26"/>
      <c r="G486" s="26"/>
      <c r="H486" s="8">
        <v>25</v>
      </c>
      <c r="I486" s="25" t="s">
        <v>12</v>
      </c>
      <c r="J486" s="26"/>
      <c r="K486" s="25">
        <v>25.5704061</v>
      </c>
    </row>
    <row r="487" spans="1:11" ht="15.75" customHeight="1">
      <c r="A487" s="24" t="s">
        <v>17</v>
      </c>
      <c r="B487" s="14">
        <v>5885.3704613999998</v>
      </c>
      <c r="C487" s="26">
        <v>4.05</v>
      </c>
      <c r="D487" s="25">
        <v>3.7249999999999998E-2</v>
      </c>
      <c r="E487" s="26"/>
      <c r="F487" s="26"/>
      <c r="G487" s="26"/>
      <c r="H487" s="8">
        <v>25</v>
      </c>
      <c r="I487" s="25" t="s">
        <v>12</v>
      </c>
      <c r="J487" s="26"/>
      <c r="K487" s="25">
        <v>26.006412099999999</v>
      </c>
    </row>
    <row r="488" spans="1:11" ht="15.75" customHeight="1">
      <c r="A488" s="24" t="s">
        <v>17</v>
      </c>
      <c r="B488" s="14">
        <v>6836.9001360000002</v>
      </c>
      <c r="C488" s="26">
        <v>4.05</v>
      </c>
      <c r="D488" s="25">
        <v>3.7249999999999998E-2</v>
      </c>
      <c r="E488" s="26"/>
      <c r="F488" s="26"/>
      <c r="G488" s="26"/>
      <c r="H488" s="8">
        <v>25</v>
      </c>
      <c r="I488" s="25" t="s">
        <v>12</v>
      </c>
      <c r="J488" s="26"/>
      <c r="K488" s="25">
        <v>26.921530199999999</v>
      </c>
    </row>
    <row r="489" spans="1:11" ht="15.75" customHeight="1">
      <c r="A489" s="24" t="s">
        <v>17</v>
      </c>
      <c r="B489" s="14">
        <v>8221.7589059999991</v>
      </c>
      <c r="C489" s="26">
        <v>4.05</v>
      </c>
      <c r="D489" s="25">
        <v>3.7249999999999998E-2</v>
      </c>
      <c r="E489" s="26"/>
      <c r="F489" s="26"/>
      <c r="G489" s="26"/>
      <c r="H489" s="8">
        <v>25</v>
      </c>
      <c r="I489" s="25" t="s">
        <v>12</v>
      </c>
      <c r="J489" s="26"/>
      <c r="K489" s="25">
        <v>28.191974600000002</v>
      </c>
    </row>
    <row r="490" spans="1:11" ht="15.75" customHeight="1">
      <c r="A490" s="24" t="s">
        <v>17</v>
      </c>
      <c r="B490" s="14">
        <v>137.60234688</v>
      </c>
      <c r="C490" s="26">
        <v>2.532</v>
      </c>
      <c r="D490" s="25">
        <v>5.2299999999999999E-2</v>
      </c>
      <c r="E490" s="26"/>
      <c r="F490" s="26"/>
      <c r="G490" s="26"/>
      <c r="H490" s="8">
        <v>25</v>
      </c>
      <c r="I490" s="25" t="s">
        <v>12</v>
      </c>
      <c r="J490" s="26"/>
      <c r="K490" s="25">
        <v>16.361444599999999</v>
      </c>
    </row>
    <row r="491" spans="1:11" ht="15.75" customHeight="1">
      <c r="A491" s="24" t="s">
        <v>17</v>
      </c>
      <c r="B491" s="14">
        <v>184.83942551999999</v>
      </c>
      <c r="C491" s="26">
        <v>2.532</v>
      </c>
      <c r="D491" s="25">
        <v>5.2299999999999999E-2</v>
      </c>
      <c r="E491" s="26"/>
      <c r="F491" s="26"/>
      <c r="G491" s="26"/>
      <c r="H491" s="8">
        <v>25</v>
      </c>
      <c r="I491" s="25" t="s">
        <v>12</v>
      </c>
      <c r="J491" s="26"/>
      <c r="K491" s="25">
        <v>16.211251300000001</v>
      </c>
    </row>
    <row r="492" spans="1:11" ht="15.75" customHeight="1">
      <c r="A492" s="24" t="s">
        <v>17</v>
      </c>
      <c r="B492" s="14">
        <v>204.575028</v>
      </c>
      <c r="C492" s="26">
        <v>2.532</v>
      </c>
      <c r="D492" s="25">
        <v>5.2299999999999999E-2</v>
      </c>
      <c r="E492" s="26"/>
      <c r="F492" s="26"/>
      <c r="G492" s="26"/>
      <c r="H492" s="8">
        <v>25</v>
      </c>
      <c r="I492" s="25" t="s">
        <v>12</v>
      </c>
      <c r="J492" s="26"/>
      <c r="K492" s="25">
        <v>16.099507299999999</v>
      </c>
    </row>
    <row r="493" spans="1:11" ht="15.75" customHeight="1">
      <c r="A493" s="24" t="s">
        <v>17</v>
      </c>
      <c r="B493" s="14">
        <v>234.92635758</v>
      </c>
      <c r="C493" s="26">
        <v>2.532</v>
      </c>
      <c r="D493" s="25">
        <v>5.2299999999999999E-2</v>
      </c>
      <c r="E493" s="26"/>
      <c r="F493" s="26"/>
      <c r="G493" s="26"/>
      <c r="H493" s="8">
        <v>25</v>
      </c>
      <c r="I493" s="25" t="s">
        <v>12</v>
      </c>
      <c r="J493" s="26"/>
      <c r="K493" s="25">
        <v>16.198795700000002</v>
      </c>
    </row>
    <row r="494" spans="1:11" ht="15.75" customHeight="1">
      <c r="A494" s="24" t="s">
        <v>17</v>
      </c>
      <c r="B494" s="14">
        <v>372.55937669999997</v>
      </c>
      <c r="C494" s="26">
        <v>2.532</v>
      </c>
      <c r="D494" s="25">
        <v>5.2299999999999999E-2</v>
      </c>
      <c r="E494" s="26"/>
      <c r="F494" s="26"/>
      <c r="G494" s="26"/>
      <c r="H494" s="8">
        <v>25</v>
      </c>
      <c r="I494" s="25" t="s">
        <v>12</v>
      </c>
      <c r="J494" s="26"/>
      <c r="K494" s="25">
        <v>16.198795700000002</v>
      </c>
    </row>
    <row r="495" spans="1:11" ht="15.75" customHeight="1">
      <c r="A495" s="24" t="s">
        <v>17</v>
      </c>
      <c r="B495" s="14">
        <v>437.81206902000002</v>
      </c>
      <c r="C495" s="26">
        <v>2.532</v>
      </c>
      <c r="D495" s="25">
        <v>5.2299999999999999E-2</v>
      </c>
      <c r="E495" s="26"/>
      <c r="F495" s="26"/>
      <c r="G495" s="26"/>
      <c r="H495" s="8">
        <v>25</v>
      </c>
      <c r="I495" s="25" t="s">
        <v>12</v>
      </c>
      <c r="J495" s="26"/>
      <c r="K495" s="25">
        <v>16.538432400000001</v>
      </c>
    </row>
    <row r="496" spans="1:11" ht="15.75" customHeight="1">
      <c r="A496" s="24" t="s">
        <v>17</v>
      </c>
      <c r="B496" s="14">
        <v>546.27869711999995</v>
      </c>
      <c r="C496" s="26">
        <v>2.532</v>
      </c>
      <c r="D496" s="25">
        <v>5.2299999999999999E-2</v>
      </c>
      <c r="E496" s="26"/>
      <c r="F496" s="26"/>
      <c r="G496" s="26"/>
      <c r="H496" s="8">
        <v>25</v>
      </c>
      <c r="I496" s="25" t="s">
        <v>12</v>
      </c>
      <c r="J496" s="26"/>
      <c r="K496" s="25">
        <v>16.538432400000001</v>
      </c>
    </row>
    <row r="497" spans="1:11" ht="15.75" customHeight="1">
      <c r="A497" s="24" t="s">
        <v>17</v>
      </c>
      <c r="B497" s="14">
        <v>1742.117847</v>
      </c>
      <c r="C497" s="26">
        <v>2.532</v>
      </c>
      <c r="D497" s="25">
        <v>5.2299999999999999E-2</v>
      </c>
      <c r="E497" s="26"/>
      <c r="F497" s="26"/>
      <c r="G497" s="26"/>
      <c r="H497" s="8">
        <v>25</v>
      </c>
      <c r="I497" s="25" t="s">
        <v>12</v>
      </c>
      <c r="J497" s="26"/>
      <c r="K497" s="25">
        <v>16.8981703</v>
      </c>
    </row>
    <row r="498" spans="1:11" ht="15.75" customHeight="1">
      <c r="A498" s="24" t="s">
        <v>17</v>
      </c>
      <c r="B498" s="14">
        <v>2687.3573778</v>
      </c>
      <c r="C498" s="26">
        <v>2.532</v>
      </c>
      <c r="D498" s="25">
        <v>5.2299999999999999E-2</v>
      </c>
      <c r="E498" s="26"/>
      <c r="F498" s="26"/>
      <c r="G498" s="26"/>
      <c r="H498" s="8">
        <v>25</v>
      </c>
      <c r="I498" s="25" t="s">
        <v>12</v>
      </c>
      <c r="J498" s="26"/>
      <c r="K498" s="25">
        <v>17.7092101</v>
      </c>
    </row>
    <row r="499" spans="1:11" ht="15.75" customHeight="1">
      <c r="A499" s="24" t="s">
        <v>17</v>
      </c>
      <c r="B499" s="14">
        <v>3527.6129129999999</v>
      </c>
      <c r="C499" s="26">
        <v>2.532</v>
      </c>
      <c r="D499" s="25">
        <v>5.2299999999999999E-2</v>
      </c>
      <c r="E499" s="26"/>
      <c r="F499" s="26"/>
      <c r="G499" s="26"/>
      <c r="H499" s="8">
        <v>25</v>
      </c>
      <c r="I499" s="25" t="s">
        <v>12</v>
      </c>
      <c r="J499" s="26"/>
      <c r="K499" s="25">
        <v>18.774360399999999</v>
      </c>
    </row>
    <row r="500" spans="1:11" ht="15.75" customHeight="1">
      <c r="A500" s="24" t="s">
        <v>17</v>
      </c>
      <c r="B500" s="14">
        <v>4826.8119005999997</v>
      </c>
      <c r="C500" s="26">
        <v>2.532</v>
      </c>
      <c r="D500" s="25">
        <v>5.2299999999999999E-2</v>
      </c>
      <c r="E500" s="26"/>
      <c r="F500" s="26"/>
      <c r="G500" s="26"/>
      <c r="H500" s="8">
        <v>25</v>
      </c>
      <c r="I500" s="25" t="s">
        <v>12</v>
      </c>
      <c r="J500" s="26"/>
      <c r="K500" s="25">
        <v>20.026322199999999</v>
      </c>
    </row>
    <row r="501" spans="1:11" ht="15.75" customHeight="1">
      <c r="A501" s="24" t="s">
        <v>17</v>
      </c>
      <c r="B501" s="14">
        <v>5981.1247854000003</v>
      </c>
      <c r="C501" s="26">
        <v>2.532</v>
      </c>
      <c r="D501" s="25">
        <v>5.2299999999999999E-2</v>
      </c>
      <c r="E501" s="26"/>
      <c r="F501" s="26"/>
      <c r="G501" s="26"/>
      <c r="H501" s="8">
        <v>25</v>
      </c>
      <c r="I501" s="25" t="s">
        <v>12</v>
      </c>
      <c r="J501" s="26"/>
      <c r="K501" s="25">
        <v>21.003634999999999</v>
      </c>
    </row>
    <row r="502" spans="1:11" ht="15.75" customHeight="1">
      <c r="A502" s="24" t="s">
        <v>17</v>
      </c>
      <c r="B502" s="14">
        <v>118.89267498</v>
      </c>
      <c r="C502" s="26">
        <v>2.532</v>
      </c>
      <c r="D502" s="25">
        <v>3.7249999999999998E-2</v>
      </c>
      <c r="E502" s="26"/>
      <c r="F502" s="26"/>
      <c r="G502" s="26"/>
      <c r="H502" s="8">
        <v>25</v>
      </c>
      <c r="I502" s="25" t="s">
        <v>12</v>
      </c>
      <c r="J502" s="26"/>
      <c r="K502" s="14">
        <v>14.3951201</v>
      </c>
    </row>
    <row r="503" spans="1:11" ht="15.75" customHeight="1">
      <c r="A503" s="24" t="s">
        <v>17</v>
      </c>
      <c r="B503" s="14">
        <v>201.91011036</v>
      </c>
      <c r="C503" s="26">
        <v>2.532</v>
      </c>
      <c r="D503" s="25">
        <v>3.7249999999999998E-2</v>
      </c>
      <c r="E503" s="26"/>
      <c r="F503" s="26"/>
      <c r="G503" s="26"/>
      <c r="H503" s="8">
        <v>25</v>
      </c>
      <c r="I503" s="25" t="s">
        <v>12</v>
      </c>
      <c r="J503" s="26"/>
      <c r="K503" s="14">
        <v>14.550350699999999</v>
      </c>
    </row>
    <row r="504" spans="1:11" ht="15.75" customHeight="1">
      <c r="A504" s="24" t="s">
        <v>17</v>
      </c>
      <c r="B504" s="14">
        <v>354.12889794</v>
      </c>
      <c r="C504" s="26">
        <v>2.532</v>
      </c>
      <c r="D504" s="25">
        <v>3.7249999999999998E-2</v>
      </c>
      <c r="E504" s="26"/>
      <c r="F504" s="26"/>
      <c r="G504" s="26"/>
      <c r="H504" s="8">
        <v>25</v>
      </c>
      <c r="I504" s="25" t="s">
        <v>12</v>
      </c>
      <c r="J504" s="26"/>
      <c r="K504" s="14">
        <v>14.5058288</v>
      </c>
    </row>
    <row r="505" spans="1:11" ht="15.75" customHeight="1">
      <c r="A505" s="24" t="s">
        <v>17</v>
      </c>
      <c r="B505" s="14">
        <v>544.70790102000001</v>
      </c>
      <c r="C505" s="26">
        <v>2.532</v>
      </c>
      <c r="D505" s="25">
        <v>3.7249999999999998E-2</v>
      </c>
      <c r="E505" s="26"/>
      <c r="F505" s="26"/>
      <c r="G505" s="26"/>
      <c r="H505" s="8">
        <v>25</v>
      </c>
      <c r="I505" s="25" t="s">
        <v>12</v>
      </c>
      <c r="J505" s="26"/>
      <c r="K505" s="14">
        <v>14.5838304</v>
      </c>
    </row>
    <row r="506" spans="1:11" ht="15.75" customHeight="1">
      <c r="A506" s="24" t="s">
        <v>17</v>
      </c>
      <c r="B506" s="14">
        <v>1096.9014420000001</v>
      </c>
      <c r="C506" s="26">
        <v>2.532</v>
      </c>
      <c r="D506" s="25">
        <v>3.7249999999999998E-2</v>
      </c>
      <c r="E506" s="26"/>
      <c r="F506" s="26"/>
      <c r="G506" s="26"/>
      <c r="H506" s="8">
        <v>25</v>
      </c>
      <c r="I506" s="25" t="s">
        <v>12</v>
      </c>
      <c r="J506" s="26"/>
      <c r="K506" s="14">
        <v>15.049195599999999</v>
      </c>
    </row>
    <row r="507" spans="1:11" ht="15.75" customHeight="1">
      <c r="A507" s="24" t="s">
        <v>17</v>
      </c>
      <c r="B507" s="14">
        <v>1239.2767968000001</v>
      </c>
      <c r="C507" s="26">
        <v>2.532</v>
      </c>
      <c r="D507" s="25">
        <v>3.7249999999999998E-2</v>
      </c>
      <c r="E507" s="26"/>
      <c r="F507" s="26"/>
      <c r="G507" s="26"/>
      <c r="H507" s="8">
        <v>25</v>
      </c>
      <c r="I507" s="25" t="s">
        <v>12</v>
      </c>
      <c r="J507" s="26"/>
      <c r="K507" s="14">
        <v>15.3167221</v>
      </c>
    </row>
    <row r="508" spans="1:11" ht="15.75" customHeight="1">
      <c r="A508" s="24" t="s">
        <v>17</v>
      </c>
      <c r="B508" s="14">
        <v>1503.7287335999999</v>
      </c>
      <c r="C508" s="26">
        <v>2.532</v>
      </c>
      <c r="D508" s="25">
        <v>3.7249999999999998E-2</v>
      </c>
      <c r="E508" s="26"/>
      <c r="F508" s="26"/>
      <c r="G508" s="26"/>
      <c r="H508" s="8">
        <v>25</v>
      </c>
      <c r="I508" s="25" t="s">
        <v>12</v>
      </c>
      <c r="J508" s="26"/>
      <c r="K508" s="14">
        <v>15.565139</v>
      </c>
    </row>
    <row r="509" spans="1:11" ht="15.75" customHeight="1">
      <c r="A509" s="24" t="s">
        <v>17</v>
      </c>
      <c r="B509" s="14">
        <v>1714.6289952</v>
      </c>
      <c r="C509" s="26">
        <v>2.532</v>
      </c>
      <c r="D509" s="25">
        <v>3.7249999999999998E-2</v>
      </c>
      <c r="E509" s="26"/>
      <c r="F509" s="26"/>
      <c r="G509" s="26"/>
      <c r="H509" s="8">
        <v>25</v>
      </c>
      <c r="I509" s="25" t="s">
        <v>12</v>
      </c>
      <c r="J509" s="26"/>
      <c r="K509" s="14">
        <v>16.098776999999998</v>
      </c>
    </row>
    <row r="510" spans="1:11" ht="15.75" customHeight="1">
      <c r="A510" s="24" t="s">
        <v>17</v>
      </c>
      <c r="B510" s="14">
        <v>2042.542518</v>
      </c>
      <c r="C510" s="26">
        <v>2.532</v>
      </c>
      <c r="D510" s="25">
        <v>3.7249999999999998E-2</v>
      </c>
      <c r="E510" s="26"/>
      <c r="F510" s="26"/>
      <c r="G510" s="26"/>
      <c r="H510" s="8">
        <v>25</v>
      </c>
      <c r="I510" s="25" t="s">
        <v>12</v>
      </c>
      <c r="J510" s="26"/>
      <c r="K510" s="14">
        <v>16.322318800000001</v>
      </c>
    </row>
    <row r="511" spans="1:11" ht="15.75" customHeight="1">
      <c r="A511" s="24" t="s">
        <v>17</v>
      </c>
      <c r="B511" s="14">
        <v>2680.2340482</v>
      </c>
      <c r="C511" s="26">
        <v>2.532</v>
      </c>
      <c r="D511" s="25">
        <v>3.7249999999999998E-2</v>
      </c>
      <c r="E511" s="26"/>
      <c r="F511" s="26"/>
      <c r="G511" s="26"/>
      <c r="H511" s="8">
        <v>25</v>
      </c>
      <c r="I511" s="25" t="s">
        <v>12</v>
      </c>
      <c r="J511" s="26"/>
      <c r="K511" s="14">
        <v>16.9726924</v>
      </c>
    </row>
    <row r="512" spans="1:11" ht="15.75" customHeight="1">
      <c r="A512" s="24" t="s">
        <v>17</v>
      </c>
      <c r="B512" s="14">
        <v>3312.6379505999998</v>
      </c>
      <c r="C512" s="26">
        <v>2.532</v>
      </c>
      <c r="D512" s="25">
        <v>3.7249999999999998E-2</v>
      </c>
      <c r="E512" s="26"/>
      <c r="F512" s="26"/>
      <c r="G512" s="26"/>
      <c r="H512" s="8">
        <v>25</v>
      </c>
      <c r="I512" s="25" t="s">
        <v>12</v>
      </c>
      <c r="J512" s="26"/>
      <c r="K512" s="14">
        <v>17.5815017</v>
      </c>
    </row>
    <row r="513" spans="1:11" ht="15.75" customHeight="1">
      <c r="A513" s="24" t="s">
        <v>17</v>
      </c>
      <c r="B513" s="14">
        <v>3820.9798350000001</v>
      </c>
      <c r="C513" s="26">
        <v>2.532</v>
      </c>
      <c r="D513" s="25">
        <v>3.7249999999999998E-2</v>
      </c>
      <c r="E513" s="26"/>
      <c r="F513" s="26"/>
      <c r="G513" s="26"/>
      <c r="H513" s="8">
        <v>25</v>
      </c>
      <c r="I513" s="25" t="s">
        <v>12</v>
      </c>
      <c r="J513" s="26"/>
      <c r="K513" s="14">
        <v>18.2820483</v>
      </c>
    </row>
    <row r="514" spans="1:11" ht="15.75" customHeight="1">
      <c r="A514" s="24" t="s">
        <v>17</v>
      </c>
      <c r="B514" s="14">
        <v>4832.5465818000002</v>
      </c>
      <c r="C514" s="26">
        <v>2.532</v>
      </c>
      <c r="D514" s="25">
        <v>3.7249999999999998E-2</v>
      </c>
      <c r="E514" s="26"/>
      <c r="F514" s="26"/>
      <c r="G514" s="14"/>
      <c r="H514" s="8">
        <v>25</v>
      </c>
      <c r="I514" s="25" t="s">
        <v>12</v>
      </c>
      <c r="J514" s="26"/>
      <c r="K514" s="14">
        <v>19.274481600000001</v>
      </c>
    </row>
    <row r="515" spans="1:11" ht="15.75" customHeight="1">
      <c r="A515" s="24" t="s">
        <v>17</v>
      </c>
      <c r="B515" s="26"/>
      <c r="C515" s="26">
        <v>2.532</v>
      </c>
      <c r="D515" s="26"/>
      <c r="E515" s="25">
        <v>5.6583258900000002E-2</v>
      </c>
      <c r="F515" s="26"/>
      <c r="G515" s="14"/>
      <c r="H515" s="8">
        <v>25</v>
      </c>
      <c r="I515" s="25" t="s">
        <v>12</v>
      </c>
      <c r="J515" s="26"/>
      <c r="K515" s="25">
        <v>20.6410008</v>
      </c>
    </row>
    <row r="516" spans="1:11" ht="15.75" customHeight="1">
      <c r="A516" s="24" t="s">
        <v>17</v>
      </c>
      <c r="B516" s="26"/>
      <c r="C516" s="26">
        <v>2.532</v>
      </c>
      <c r="D516" s="26"/>
      <c r="E516" s="25">
        <v>0.16931445989999999</v>
      </c>
      <c r="F516" s="26"/>
      <c r="G516" s="14"/>
      <c r="H516" s="8">
        <v>25</v>
      </c>
      <c r="I516" s="25" t="s">
        <v>12</v>
      </c>
      <c r="J516" s="26"/>
      <c r="K516" s="25">
        <v>21.7789517</v>
      </c>
    </row>
    <row r="517" spans="1:11" ht="15.75" customHeight="1">
      <c r="A517" s="24" t="s">
        <v>17</v>
      </c>
      <c r="B517" s="26"/>
      <c r="C517" s="26">
        <v>2.532</v>
      </c>
      <c r="D517" s="26"/>
      <c r="E517" s="25">
        <v>0.297714914</v>
      </c>
      <c r="F517" s="26"/>
      <c r="G517" s="14"/>
      <c r="H517" s="8">
        <v>25</v>
      </c>
      <c r="I517" s="25" t="s">
        <v>12</v>
      </c>
      <c r="J517" s="26"/>
      <c r="K517" s="25">
        <v>22.669426999999999</v>
      </c>
    </row>
    <row r="518" spans="1:11" ht="15.75" customHeight="1">
      <c r="A518" s="24" t="s">
        <v>17</v>
      </c>
      <c r="B518" s="26"/>
      <c r="C518" s="26">
        <v>2.532</v>
      </c>
      <c r="D518" s="26"/>
      <c r="E518" s="25">
        <v>0.59673559909999996</v>
      </c>
      <c r="F518" s="14"/>
      <c r="G518" s="14"/>
      <c r="H518" s="8">
        <v>25</v>
      </c>
      <c r="I518" s="25" t="s">
        <v>12</v>
      </c>
      <c r="J518" s="26"/>
      <c r="K518" s="25">
        <v>24.634120100000001</v>
      </c>
    </row>
    <row r="519" spans="1:11" ht="15.75" customHeight="1">
      <c r="A519" s="24" t="s">
        <v>17</v>
      </c>
      <c r="B519" s="26"/>
      <c r="C519" s="26">
        <v>2.532</v>
      </c>
      <c r="D519" s="26"/>
      <c r="E519" s="25">
        <v>5.8324275100000003E-2</v>
      </c>
      <c r="F519" s="14"/>
      <c r="G519" s="14"/>
      <c r="H519" s="8">
        <v>25</v>
      </c>
      <c r="I519" s="25" t="s">
        <v>12</v>
      </c>
      <c r="J519" s="26"/>
      <c r="K519" s="25">
        <v>19.138916999999999</v>
      </c>
    </row>
    <row r="520" spans="1:11" ht="15.75" customHeight="1">
      <c r="A520" s="24" t="s">
        <v>17</v>
      </c>
      <c r="B520" s="26"/>
      <c r="C520" s="26">
        <v>2.532</v>
      </c>
      <c r="D520" s="26"/>
      <c r="E520" s="25">
        <v>0.16974977669999999</v>
      </c>
      <c r="F520" s="14"/>
      <c r="G520" s="14"/>
      <c r="H520" s="8">
        <v>25</v>
      </c>
      <c r="I520" s="25" t="s">
        <v>12</v>
      </c>
      <c r="J520" s="26"/>
      <c r="K520" s="25">
        <v>20.429115299999999</v>
      </c>
    </row>
    <row r="521" spans="1:11" ht="15.75" customHeight="1">
      <c r="A521" s="24" t="s">
        <v>17</v>
      </c>
      <c r="B521" s="26"/>
      <c r="C521" s="26">
        <v>2.532</v>
      </c>
      <c r="D521" s="26"/>
      <c r="E521" s="25">
        <v>0.30032645619999998</v>
      </c>
      <c r="F521" s="14"/>
      <c r="G521" s="14"/>
      <c r="H521" s="8">
        <v>25</v>
      </c>
      <c r="I521" s="25" t="s">
        <v>12</v>
      </c>
      <c r="J521" s="26"/>
      <c r="K521" s="25">
        <v>21.3503528</v>
      </c>
    </row>
    <row r="522" spans="1:11" ht="15.75" customHeight="1">
      <c r="A522" s="24" t="s">
        <v>17</v>
      </c>
      <c r="B522" s="26"/>
      <c r="C522" s="26">
        <v>2.532</v>
      </c>
      <c r="D522" s="26"/>
      <c r="E522" s="25">
        <v>0.59978238640000003</v>
      </c>
      <c r="F522" s="14"/>
      <c r="G522" s="14"/>
      <c r="H522" s="8">
        <v>25</v>
      </c>
      <c r="I522" s="25" t="s">
        <v>12</v>
      </c>
      <c r="J522" s="26"/>
      <c r="K522" s="25">
        <v>23.134603599999998</v>
      </c>
    </row>
    <row r="523" spans="1:11" ht="15.75" customHeight="1">
      <c r="A523" s="24" t="s">
        <v>17</v>
      </c>
      <c r="B523" s="26"/>
      <c r="C523" s="26">
        <v>2.532</v>
      </c>
      <c r="D523" s="26"/>
      <c r="E523" s="25">
        <v>6.0065291200000002E-2</v>
      </c>
      <c r="F523" s="14"/>
      <c r="G523" s="14"/>
      <c r="H523" s="8">
        <v>25</v>
      </c>
      <c r="I523" s="25" t="s">
        <v>12</v>
      </c>
      <c r="J523" s="26"/>
      <c r="K523" s="25">
        <v>17.366101100000002</v>
      </c>
    </row>
    <row r="524" spans="1:11" ht="15.75" customHeight="1">
      <c r="A524" s="24" t="s">
        <v>17</v>
      </c>
      <c r="B524" s="26"/>
      <c r="C524" s="26">
        <v>2.532</v>
      </c>
      <c r="D524" s="26"/>
      <c r="E524" s="25">
        <v>0.1719260021</v>
      </c>
      <c r="F524" s="14"/>
      <c r="G524" s="14"/>
      <c r="H524" s="8">
        <v>25</v>
      </c>
      <c r="I524" s="25" t="s">
        <v>12</v>
      </c>
      <c r="J524" s="26"/>
      <c r="K524" s="25">
        <v>18.315966</v>
      </c>
    </row>
    <row r="525" spans="1:11" ht="15.75" customHeight="1">
      <c r="A525" s="24" t="s">
        <v>17</v>
      </c>
      <c r="B525" s="26"/>
      <c r="C525" s="26">
        <v>2.532</v>
      </c>
      <c r="D525" s="26"/>
      <c r="E525" s="25">
        <v>0.30163226319999997</v>
      </c>
      <c r="F525" s="14"/>
      <c r="G525" s="14"/>
      <c r="H525" s="8">
        <v>25</v>
      </c>
      <c r="I525" s="25" t="s">
        <v>12</v>
      </c>
      <c r="J525" s="26"/>
      <c r="K525" s="25">
        <v>19.204366400000001</v>
      </c>
    </row>
    <row r="526" spans="1:11" ht="15.75" customHeight="1">
      <c r="A526" s="24" t="s">
        <v>17</v>
      </c>
      <c r="B526" s="26"/>
      <c r="C526" s="26">
        <v>2.532</v>
      </c>
      <c r="D526" s="26"/>
      <c r="E526" s="25">
        <v>0.60065294830000004</v>
      </c>
      <c r="F526" s="14"/>
      <c r="G526" s="14"/>
      <c r="H526" s="8">
        <v>25</v>
      </c>
      <c r="I526" s="25" t="s">
        <v>12</v>
      </c>
      <c r="J526" s="26"/>
      <c r="K526" s="25">
        <v>21.2518934</v>
      </c>
    </row>
    <row r="527" spans="1:11" ht="15.75" customHeight="1">
      <c r="A527" s="24" t="s">
        <v>17</v>
      </c>
      <c r="B527" s="26"/>
      <c r="C527" s="26">
        <v>2.532</v>
      </c>
      <c r="D527" s="26"/>
      <c r="E527" s="25">
        <v>6.0065291200000002E-2</v>
      </c>
      <c r="F527" s="14"/>
      <c r="G527" s="14"/>
      <c r="H527" s="8">
        <v>25</v>
      </c>
      <c r="I527" s="25" t="s">
        <v>12</v>
      </c>
      <c r="J527" s="26"/>
      <c r="K527" s="25">
        <v>15.8194546</v>
      </c>
    </row>
    <row r="528" spans="1:11" ht="15.75" customHeight="1">
      <c r="A528" s="24" t="s">
        <v>17</v>
      </c>
      <c r="B528" s="26"/>
      <c r="C528" s="26">
        <v>2.532</v>
      </c>
      <c r="D528" s="26"/>
      <c r="E528" s="25">
        <v>0.17105551190000001</v>
      </c>
      <c r="F528" s="14"/>
      <c r="G528" s="14"/>
      <c r="H528" s="8">
        <v>25</v>
      </c>
      <c r="I528" s="25" t="s">
        <v>12</v>
      </c>
      <c r="J528" s="26"/>
      <c r="K528" s="25">
        <v>16.641160299999999</v>
      </c>
    </row>
    <row r="529" spans="1:11" ht="15.75" customHeight="1">
      <c r="A529" s="24" t="s">
        <v>17</v>
      </c>
      <c r="B529" s="26"/>
      <c r="C529" s="26">
        <v>2.532</v>
      </c>
      <c r="D529" s="26"/>
      <c r="E529" s="25">
        <v>0.30119701809999999</v>
      </c>
      <c r="F529" s="14"/>
      <c r="G529" s="14"/>
      <c r="H529" s="8">
        <v>25</v>
      </c>
      <c r="I529" s="25" t="s">
        <v>12</v>
      </c>
      <c r="J529" s="26"/>
      <c r="K529" s="25">
        <v>17.568836099999999</v>
      </c>
    </row>
    <row r="530" spans="1:11" ht="15.75" customHeight="1">
      <c r="A530" s="24" t="s">
        <v>17</v>
      </c>
      <c r="B530" s="26"/>
      <c r="C530" s="26">
        <v>2.532</v>
      </c>
      <c r="D530" s="26"/>
      <c r="E530" s="25">
        <v>0.60021763149999996</v>
      </c>
      <c r="F530" s="14"/>
      <c r="G530" s="14"/>
      <c r="H530" s="8">
        <v>25</v>
      </c>
      <c r="I530" s="25" t="s">
        <v>12</v>
      </c>
      <c r="J530" s="26"/>
      <c r="K530" s="25">
        <v>19.614840099999999</v>
      </c>
    </row>
    <row r="531" spans="1:11" ht="15.75" customHeight="1">
      <c r="A531" s="32" t="s">
        <v>18</v>
      </c>
      <c r="B531" s="32">
        <v>33.81</v>
      </c>
      <c r="C531" s="33">
        <v>2</v>
      </c>
      <c r="D531" s="32">
        <v>7.2999999999999995E-2</v>
      </c>
      <c r="E531" s="32">
        <v>1E-3</v>
      </c>
      <c r="F531" s="32">
        <v>1000</v>
      </c>
      <c r="G531" s="34"/>
      <c r="H531" s="32">
        <v>22</v>
      </c>
      <c r="I531" s="32" t="s">
        <v>12</v>
      </c>
      <c r="J531" s="34"/>
      <c r="K531" s="35">
        <v>4.7699999999999996</v>
      </c>
    </row>
    <row r="532" spans="1:11" ht="15.75" customHeight="1">
      <c r="A532" s="32" t="s">
        <v>18</v>
      </c>
      <c r="B532" s="32">
        <v>57.56</v>
      </c>
      <c r="C532" s="33">
        <v>2</v>
      </c>
      <c r="D532" s="32">
        <v>7.2999999999999995E-2</v>
      </c>
      <c r="E532" s="32">
        <v>1E-3</v>
      </c>
      <c r="F532" s="32">
        <v>1000</v>
      </c>
      <c r="G532" s="34"/>
      <c r="H532" s="32">
        <v>22</v>
      </c>
      <c r="I532" s="32" t="s">
        <v>12</v>
      </c>
      <c r="J532" s="34"/>
      <c r="K532" s="35">
        <v>4.9800000000000004</v>
      </c>
    </row>
    <row r="533" spans="1:11" ht="15.75" customHeight="1">
      <c r="A533" s="32" t="s">
        <v>18</v>
      </c>
      <c r="B533" s="32">
        <v>74.010000000000005</v>
      </c>
      <c r="C533" s="33">
        <v>2</v>
      </c>
      <c r="D533" s="32">
        <v>7.2999999999999995E-2</v>
      </c>
      <c r="E533" s="32">
        <v>1E-3</v>
      </c>
      <c r="F533" s="32">
        <v>1000</v>
      </c>
      <c r="G533" s="34"/>
      <c r="H533" s="32">
        <v>22</v>
      </c>
      <c r="I533" s="32" t="s">
        <v>12</v>
      </c>
      <c r="J533" s="34"/>
      <c r="K533" s="35">
        <v>5.2</v>
      </c>
    </row>
    <row r="534" spans="1:11" ht="15.75" customHeight="1">
      <c r="A534" s="32" t="s">
        <v>18</v>
      </c>
      <c r="B534" s="32">
        <v>108.73</v>
      </c>
      <c r="C534" s="33">
        <v>2</v>
      </c>
      <c r="D534" s="32">
        <v>7.2999999999999995E-2</v>
      </c>
      <c r="E534" s="32">
        <v>1E-3</v>
      </c>
      <c r="F534" s="32">
        <v>1000</v>
      </c>
      <c r="G534" s="34"/>
      <c r="H534" s="32">
        <v>22</v>
      </c>
      <c r="I534" s="32" t="s">
        <v>12</v>
      </c>
      <c r="J534" s="34"/>
      <c r="K534" s="35">
        <v>5.4</v>
      </c>
    </row>
    <row r="535" spans="1:11" ht="15.75" customHeight="1">
      <c r="A535" s="32" t="s">
        <v>18</v>
      </c>
      <c r="B535" s="32">
        <v>144.37</v>
      </c>
      <c r="C535" s="33">
        <v>2</v>
      </c>
      <c r="D535" s="32">
        <v>7.2999999999999995E-2</v>
      </c>
      <c r="E535" s="32">
        <v>1E-3</v>
      </c>
      <c r="F535" s="32">
        <v>1000</v>
      </c>
      <c r="G535" s="34"/>
      <c r="H535" s="32">
        <v>22</v>
      </c>
      <c r="I535" s="32" t="s">
        <v>12</v>
      </c>
      <c r="J535" s="34"/>
      <c r="K535" s="35">
        <v>5.71</v>
      </c>
    </row>
    <row r="536" spans="1:11" ht="15.75" customHeight="1">
      <c r="A536" s="32" t="s">
        <v>18</v>
      </c>
      <c r="B536" s="32">
        <v>168.12</v>
      </c>
      <c r="C536" s="33">
        <v>2</v>
      </c>
      <c r="D536" s="32">
        <v>7.2999999999999995E-2</v>
      </c>
      <c r="E536" s="32">
        <v>1E-3</v>
      </c>
      <c r="F536" s="32">
        <v>1000</v>
      </c>
      <c r="G536" s="34"/>
      <c r="H536" s="32">
        <v>22</v>
      </c>
      <c r="I536" s="32" t="s">
        <v>12</v>
      </c>
      <c r="J536" s="34"/>
      <c r="K536" s="35">
        <v>6</v>
      </c>
    </row>
    <row r="537" spans="1:11" ht="15.75" customHeight="1">
      <c r="A537" s="32" t="s">
        <v>18</v>
      </c>
      <c r="B537" s="32">
        <v>205.58</v>
      </c>
      <c r="C537" s="33">
        <v>2</v>
      </c>
      <c r="D537" s="32">
        <v>7.2999999999999995E-2</v>
      </c>
      <c r="E537" s="32">
        <v>1E-3</v>
      </c>
      <c r="F537" s="32">
        <v>1000</v>
      </c>
      <c r="G537" s="34"/>
      <c r="H537" s="32">
        <v>22</v>
      </c>
      <c r="I537" s="32" t="s">
        <v>12</v>
      </c>
      <c r="J537" s="34"/>
      <c r="K537" s="35">
        <v>6.21</v>
      </c>
    </row>
    <row r="538" spans="1:11" ht="15.75" customHeight="1">
      <c r="A538" s="32" t="s">
        <v>18</v>
      </c>
      <c r="B538" s="32">
        <v>231.17</v>
      </c>
      <c r="C538" s="33">
        <v>2</v>
      </c>
      <c r="D538" s="32">
        <v>7.2999999999999995E-2</v>
      </c>
      <c r="E538" s="32">
        <v>1E-3</v>
      </c>
      <c r="F538" s="32">
        <v>1000</v>
      </c>
      <c r="G538" s="34"/>
      <c r="H538" s="32">
        <v>22</v>
      </c>
      <c r="I538" s="32" t="s">
        <v>12</v>
      </c>
      <c r="J538" s="34"/>
      <c r="K538" s="35">
        <v>6.47</v>
      </c>
    </row>
    <row r="539" spans="1:11" ht="15.75" customHeight="1">
      <c r="A539" s="32" t="s">
        <v>18</v>
      </c>
      <c r="B539" s="32">
        <v>269.54000000000002</v>
      </c>
      <c r="C539" s="33">
        <v>2</v>
      </c>
      <c r="D539" s="32">
        <v>7.2999999999999995E-2</v>
      </c>
      <c r="E539" s="32">
        <v>1E-3</v>
      </c>
      <c r="F539" s="32">
        <v>1000</v>
      </c>
      <c r="G539" s="34"/>
      <c r="H539" s="32">
        <v>22</v>
      </c>
      <c r="I539" s="32" t="s">
        <v>12</v>
      </c>
      <c r="J539" s="34"/>
      <c r="K539" s="35">
        <v>6.72</v>
      </c>
    </row>
    <row r="540" spans="1:11" ht="15.75" customHeight="1">
      <c r="A540" s="32" t="s">
        <v>18</v>
      </c>
      <c r="B540" s="32">
        <v>300.61</v>
      </c>
      <c r="C540" s="33">
        <v>2</v>
      </c>
      <c r="D540" s="32">
        <v>7.2999999999999995E-2</v>
      </c>
      <c r="E540" s="32">
        <v>1E-3</v>
      </c>
      <c r="F540" s="32">
        <v>1000</v>
      </c>
      <c r="G540" s="34"/>
      <c r="H540" s="32">
        <v>22</v>
      </c>
      <c r="I540" s="32" t="s">
        <v>12</v>
      </c>
      <c r="J540" s="34"/>
      <c r="K540" s="35">
        <v>7</v>
      </c>
    </row>
    <row r="541" spans="1:11" ht="15.75" customHeight="1">
      <c r="A541" s="32" t="s">
        <v>18</v>
      </c>
      <c r="B541" s="32">
        <v>345.38</v>
      </c>
      <c r="C541" s="33">
        <v>2</v>
      </c>
      <c r="D541" s="32">
        <v>7.2999999999999995E-2</v>
      </c>
      <c r="E541" s="32">
        <v>1E-3</v>
      </c>
      <c r="F541" s="32">
        <v>1000</v>
      </c>
      <c r="G541" s="34"/>
      <c r="H541" s="32">
        <v>22</v>
      </c>
      <c r="I541" s="32" t="s">
        <v>12</v>
      </c>
      <c r="J541" s="34"/>
      <c r="K541" s="35">
        <v>7.1</v>
      </c>
    </row>
    <row r="542" spans="1:11" ht="15.75" customHeight="1">
      <c r="A542" s="32" t="s">
        <v>18</v>
      </c>
      <c r="B542" s="32">
        <v>379.19</v>
      </c>
      <c r="C542" s="33">
        <v>2</v>
      </c>
      <c r="D542" s="32">
        <v>7.2999999999999995E-2</v>
      </c>
      <c r="E542" s="32">
        <v>1E-3</v>
      </c>
      <c r="F542" s="32">
        <v>1000</v>
      </c>
      <c r="G542" s="34"/>
      <c r="H542" s="32">
        <v>22</v>
      </c>
      <c r="I542" s="32" t="s">
        <v>12</v>
      </c>
      <c r="J542" s="34"/>
      <c r="K542" s="35">
        <v>7.31</v>
      </c>
    </row>
    <row r="543" spans="1:11" ht="15.75" customHeight="1">
      <c r="A543" s="32" t="s">
        <v>18</v>
      </c>
      <c r="B543" s="32">
        <v>415.74</v>
      </c>
      <c r="C543" s="33">
        <v>2</v>
      </c>
      <c r="D543" s="32">
        <v>7.2999999999999995E-2</v>
      </c>
      <c r="E543" s="32">
        <v>1E-3</v>
      </c>
      <c r="F543" s="32">
        <v>1000</v>
      </c>
      <c r="G543" s="34"/>
      <c r="H543" s="32">
        <v>22</v>
      </c>
      <c r="I543" s="32" t="s">
        <v>12</v>
      </c>
      <c r="J543" s="34"/>
      <c r="K543" s="35">
        <v>7.55</v>
      </c>
    </row>
    <row r="544" spans="1:11" ht="15.75" customHeight="1">
      <c r="A544" s="32" t="s">
        <v>18</v>
      </c>
      <c r="B544" s="32">
        <v>458.68</v>
      </c>
      <c r="C544" s="33">
        <v>2</v>
      </c>
      <c r="D544" s="32">
        <v>7.2999999999999995E-2</v>
      </c>
      <c r="E544" s="32">
        <v>1E-3</v>
      </c>
      <c r="F544" s="32">
        <v>1000</v>
      </c>
      <c r="G544" s="34"/>
      <c r="H544" s="32">
        <v>22</v>
      </c>
      <c r="I544" s="32" t="s">
        <v>12</v>
      </c>
      <c r="J544" s="34"/>
      <c r="K544" s="35">
        <v>7.69</v>
      </c>
    </row>
    <row r="545" spans="1:11" ht="15.75" customHeight="1">
      <c r="A545" s="32" t="s">
        <v>18</v>
      </c>
      <c r="B545" s="32">
        <v>488.83</v>
      </c>
      <c r="C545" s="33">
        <v>2</v>
      </c>
      <c r="D545" s="32">
        <v>7.2999999999999995E-2</v>
      </c>
      <c r="E545" s="32">
        <v>1E-3</v>
      </c>
      <c r="F545" s="32">
        <v>1000</v>
      </c>
      <c r="G545" s="34"/>
      <c r="H545" s="32">
        <v>22</v>
      </c>
      <c r="I545" s="32" t="s">
        <v>12</v>
      </c>
      <c r="J545" s="34"/>
      <c r="K545" s="35">
        <v>7.82</v>
      </c>
    </row>
    <row r="546" spans="1:11" ht="15.75" customHeight="1">
      <c r="A546" s="32" t="s">
        <v>18</v>
      </c>
      <c r="B546" s="32">
        <v>534.52</v>
      </c>
      <c r="C546" s="33">
        <v>2</v>
      </c>
      <c r="D546" s="32">
        <v>7.2999999999999995E-2</v>
      </c>
      <c r="E546" s="32">
        <v>1E-3</v>
      </c>
      <c r="F546" s="32">
        <v>1000</v>
      </c>
      <c r="G546" s="34"/>
      <c r="H546" s="32">
        <v>22</v>
      </c>
      <c r="I546" s="32" t="s">
        <v>12</v>
      </c>
      <c r="J546" s="34"/>
      <c r="K546" s="35">
        <v>8.06</v>
      </c>
    </row>
    <row r="547" spans="1:11" ht="15.75" customHeight="1">
      <c r="A547" s="32" t="s">
        <v>18</v>
      </c>
      <c r="B547" s="32">
        <v>571.97</v>
      </c>
      <c r="C547" s="33">
        <v>2</v>
      </c>
      <c r="D547" s="32">
        <v>7.2999999999999995E-2</v>
      </c>
      <c r="E547" s="32">
        <v>1E-3</v>
      </c>
      <c r="F547" s="32">
        <v>1000</v>
      </c>
      <c r="G547" s="34"/>
      <c r="H547" s="32">
        <v>22</v>
      </c>
      <c r="I547" s="32" t="s">
        <v>12</v>
      </c>
      <c r="J547" s="34"/>
      <c r="K547" s="35">
        <v>8.2799999999999994</v>
      </c>
    </row>
    <row r="548" spans="1:11" ht="15.75" customHeight="1">
      <c r="A548" s="32" t="s">
        <v>18</v>
      </c>
      <c r="B548" s="32">
        <v>578.88</v>
      </c>
      <c r="C548" s="33">
        <v>2</v>
      </c>
      <c r="D548" s="32">
        <v>7.2999999999999995E-2</v>
      </c>
      <c r="E548" s="32">
        <v>1E-3</v>
      </c>
      <c r="F548" s="32">
        <v>1000</v>
      </c>
      <c r="G548" s="34"/>
      <c r="H548" s="32">
        <v>22</v>
      </c>
      <c r="I548" s="32" t="s">
        <v>12</v>
      </c>
      <c r="J548" s="34"/>
      <c r="K548" s="35">
        <v>8.64</v>
      </c>
    </row>
    <row r="549" spans="1:11" ht="15.75" customHeight="1">
      <c r="A549" s="32" t="s">
        <v>18</v>
      </c>
      <c r="B549" s="32">
        <v>595.67999999999995</v>
      </c>
      <c r="C549" s="33">
        <v>2</v>
      </c>
      <c r="D549" s="32">
        <v>7.2999999999999995E-2</v>
      </c>
      <c r="E549" s="32">
        <v>1E-3</v>
      </c>
      <c r="F549" s="32">
        <v>1000</v>
      </c>
      <c r="G549" s="34"/>
      <c r="H549" s="32">
        <v>22</v>
      </c>
      <c r="I549" s="32" t="s">
        <v>12</v>
      </c>
      <c r="J549" s="34"/>
      <c r="K549" s="35">
        <v>8.4499999999999993</v>
      </c>
    </row>
    <row r="550" spans="1:11" ht="15.75" customHeight="1">
      <c r="A550" s="32" t="s">
        <v>18</v>
      </c>
      <c r="B550" s="32">
        <v>60.17</v>
      </c>
      <c r="C550" s="33">
        <v>3</v>
      </c>
      <c r="D550" s="32">
        <v>7.2999999999999995E-2</v>
      </c>
      <c r="E550" s="32">
        <v>1E-3</v>
      </c>
      <c r="F550" s="32">
        <v>1000</v>
      </c>
      <c r="G550" s="34"/>
      <c r="H550" s="32">
        <v>22</v>
      </c>
      <c r="I550" s="32" t="s">
        <v>12</v>
      </c>
      <c r="J550" s="34"/>
      <c r="K550" s="35">
        <v>5.36</v>
      </c>
    </row>
    <row r="551" spans="1:11" ht="15.75" customHeight="1">
      <c r="A551" s="32" t="s">
        <v>18</v>
      </c>
      <c r="B551" s="32">
        <v>116.32</v>
      </c>
      <c r="C551" s="33">
        <v>3</v>
      </c>
      <c r="D551" s="32">
        <v>7.2999999999999995E-2</v>
      </c>
      <c r="E551" s="32">
        <v>1E-3</v>
      </c>
      <c r="F551" s="32">
        <v>1000</v>
      </c>
      <c r="G551" s="34"/>
      <c r="H551" s="32">
        <v>22</v>
      </c>
      <c r="I551" s="32" t="s">
        <v>12</v>
      </c>
      <c r="J551" s="34"/>
      <c r="K551" s="35">
        <v>5.79</v>
      </c>
    </row>
    <row r="552" spans="1:11" ht="15.75" customHeight="1">
      <c r="A552" s="32" t="s">
        <v>18</v>
      </c>
      <c r="B552" s="32">
        <v>177.83</v>
      </c>
      <c r="C552" s="33">
        <v>3</v>
      </c>
      <c r="D552" s="32">
        <v>7.2999999999999995E-2</v>
      </c>
      <c r="E552" s="32">
        <v>1E-3</v>
      </c>
      <c r="F552" s="32">
        <v>1000</v>
      </c>
      <c r="G552" s="34"/>
      <c r="H552" s="32">
        <v>22</v>
      </c>
      <c r="I552" s="32" t="s">
        <v>12</v>
      </c>
      <c r="J552" s="34"/>
      <c r="K552" s="35">
        <v>6.27</v>
      </c>
    </row>
    <row r="553" spans="1:11" ht="15.75" customHeight="1">
      <c r="A553" s="32" t="s">
        <v>18</v>
      </c>
      <c r="B553" s="32">
        <v>240.67</v>
      </c>
      <c r="C553" s="33">
        <v>3</v>
      </c>
      <c r="D553" s="32">
        <v>7.2999999999999995E-2</v>
      </c>
      <c r="E553" s="32">
        <v>1E-3</v>
      </c>
      <c r="F553" s="32">
        <v>1000</v>
      </c>
      <c r="G553" s="34"/>
      <c r="H553" s="32">
        <v>22</v>
      </c>
      <c r="I553" s="32" t="s">
        <v>12</v>
      </c>
      <c r="J553" s="34"/>
      <c r="K553" s="35">
        <v>6.7</v>
      </c>
    </row>
    <row r="554" spans="1:11" ht="15.75" customHeight="1">
      <c r="A554" s="32" t="s">
        <v>18</v>
      </c>
      <c r="B554" s="32">
        <v>300.83999999999997</v>
      </c>
      <c r="C554" s="33">
        <v>3</v>
      </c>
      <c r="D554" s="32">
        <v>7.2999999999999995E-2</v>
      </c>
      <c r="E554" s="32">
        <v>1E-3</v>
      </c>
      <c r="F554" s="32">
        <v>1000</v>
      </c>
      <c r="G554" s="34"/>
      <c r="H554" s="32">
        <v>22</v>
      </c>
      <c r="I554" s="32" t="s">
        <v>12</v>
      </c>
      <c r="J554" s="34"/>
      <c r="K554" s="35">
        <v>6.99</v>
      </c>
    </row>
    <row r="555" spans="1:11" ht="15.75" customHeight="1">
      <c r="A555" s="32" t="s">
        <v>18</v>
      </c>
      <c r="B555" s="32">
        <v>361</v>
      </c>
      <c r="C555" s="33">
        <v>3</v>
      </c>
      <c r="D555" s="32">
        <v>7.2999999999999995E-2</v>
      </c>
      <c r="E555" s="32">
        <v>1E-3</v>
      </c>
      <c r="F555" s="32">
        <v>1000</v>
      </c>
      <c r="G555" s="34"/>
      <c r="H555" s="32">
        <v>22</v>
      </c>
      <c r="I555" s="32" t="s">
        <v>12</v>
      </c>
      <c r="J555" s="34"/>
      <c r="K555" s="35">
        <v>7.44</v>
      </c>
    </row>
    <row r="556" spans="1:11" ht="15.75" customHeight="1">
      <c r="A556" s="32" t="s">
        <v>18</v>
      </c>
      <c r="B556" s="32">
        <v>419.83</v>
      </c>
      <c r="C556" s="33">
        <v>3</v>
      </c>
      <c r="D556" s="32">
        <v>7.2999999999999995E-2</v>
      </c>
      <c r="E556" s="32">
        <v>1E-3</v>
      </c>
      <c r="F556" s="32">
        <v>1000</v>
      </c>
      <c r="G556" s="34"/>
      <c r="H556" s="32">
        <v>22</v>
      </c>
      <c r="I556" s="32" t="s">
        <v>12</v>
      </c>
      <c r="J556" s="34"/>
      <c r="K556" s="35">
        <v>7.76</v>
      </c>
    </row>
    <row r="557" spans="1:11" ht="15.75" customHeight="1">
      <c r="A557" s="32" t="s">
        <v>18</v>
      </c>
      <c r="B557" s="32">
        <v>480</v>
      </c>
      <c r="C557" s="33">
        <v>3</v>
      </c>
      <c r="D557" s="32">
        <v>7.2999999999999995E-2</v>
      </c>
      <c r="E557" s="32">
        <v>1E-3</v>
      </c>
      <c r="F557" s="32">
        <v>1000</v>
      </c>
      <c r="G557" s="34"/>
      <c r="H557" s="32">
        <v>22</v>
      </c>
      <c r="I557" s="32" t="s">
        <v>12</v>
      </c>
      <c r="J557" s="34"/>
      <c r="K557" s="35">
        <v>8.0299999999999994</v>
      </c>
    </row>
    <row r="558" spans="1:11" ht="15.75" customHeight="1">
      <c r="A558" s="32" t="s">
        <v>18</v>
      </c>
      <c r="B558" s="32">
        <v>538.83000000000004</v>
      </c>
      <c r="C558" s="33">
        <v>3</v>
      </c>
      <c r="D558" s="32">
        <v>7.2999999999999995E-2</v>
      </c>
      <c r="E558" s="32">
        <v>1E-3</v>
      </c>
      <c r="F558" s="32">
        <v>1000</v>
      </c>
      <c r="G558" s="34"/>
      <c r="H558" s="32">
        <v>22</v>
      </c>
      <c r="I558" s="32" t="s">
        <v>12</v>
      </c>
      <c r="J558" s="34"/>
      <c r="K558" s="35">
        <v>8.2899999999999991</v>
      </c>
    </row>
    <row r="559" spans="1:11" ht="15.75" customHeight="1">
      <c r="A559" s="32" t="s">
        <v>18</v>
      </c>
      <c r="B559" s="32">
        <v>600</v>
      </c>
      <c r="C559" s="33">
        <v>3</v>
      </c>
      <c r="D559" s="32">
        <v>7.2999999999999995E-2</v>
      </c>
      <c r="E559" s="32">
        <v>1E-3</v>
      </c>
      <c r="F559" s="32">
        <v>1000</v>
      </c>
      <c r="G559" s="34"/>
      <c r="H559" s="32">
        <v>22</v>
      </c>
      <c r="I559" s="32" t="s">
        <v>12</v>
      </c>
      <c r="J559" s="34"/>
      <c r="K559" s="35">
        <v>8.5399999999999991</v>
      </c>
    </row>
    <row r="560" spans="1:11" ht="15.75" customHeight="1">
      <c r="A560" s="32" t="s">
        <v>18</v>
      </c>
      <c r="B560" s="32">
        <v>661</v>
      </c>
      <c r="C560" s="33">
        <v>3</v>
      </c>
      <c r="D560" s="32">
        <v>7.2999999999999995E-2</v>
      </c>
      <c r="E560" s="32">
        <v>1E-3</v>
      </c>
      <c r="F560" s="32">
        <v>1000</v>
      </c>
      <c r="G560" s="34"/>
      <c r="H560" s="32">
        <v>22</v>
      </c>
      <c r="I560" s="32" t="s">
        <v>12</v>
      </c>
      <c r="J560" s="34"/>
      <c r="K560" s="35">
        <v>8.8000000000000007</v>
      </c>
    </row>
    <row r="561" spans="1:11" ht="15.75" customHeight="1">
      <c r="A561" s="32" t="s">
        <v>18</v>
      </c>
      <c r="B561" s="32">
        <v>720</v>
      </c>
      <c r="C561" s="33">
        <v>3</v>
      </c>
      <c r="D561" s="32">
        <v>7.2999999999999995E-2</v>
      </c>
      <c r="E561" s="32">
        <v>1E-3</v>
      </c>
      <c r="F561" s="32">
        <v>1000</v>
      </c>
      <c r="G561" s="34"/>
      <c r="H561" s="32">
        <v>22</v>
      </c>
      <c r="I561" s="32" t="s">
        <v>12</v>
      </c>
      <c r="J561" s="34"/>
      <c r="K561" s="35">
        <v>8.9600000000000009</v>
      </c>
    </row>
    <row r="562" spans="1:11" ht="15.75" customHeight="1">
      <c r="A562" s="32" t="s">
        <v>18</v>
      </c>
      <c r="B562" s="32">
        <v>779.83</v>
      </c>
      <c r="C562" s="33">
        <v>3</v>
      </c>
      <c r="D562" s="32">
        <v>7.2999999999999995E-2</v>
      </c>
      <c r="E562" s="32">
        <v>1E-3</v>
      </c>
      <c r="F562" s="32">
        <v>1000</v>
      </c>
      <c r="G562" s="34"/>
      <c r="H562" s="32">
        <v>22</v>
      </c>
      <c r="I562" s="32" t="s">
        <v>12</v>
      </c>
      <c r="J562" s="34"/>
      <c r="K562" s="35">
        <v>9.1300000000000008</v>
      </c>
    </row>
    <row r="563" spans="1:11" ht="15.75" customHeight="1">
      <c r="A563" s="32" t="s">
        <v>18</v>
      </c>
      <c r="B563" s="32">
        <v>840</v>
      </c>
      <c r="C563" s="33">
        <v>3</v>
      </c>
      <c r="D563" s="32">
        <v>7.2999999999999995E-2</v>
      </c>
      <c r="E563" s="32">
        <v>1E-3</v>
      </c>
      <c r="F563" s="32">
        <v>1000</v>
      </c>
      <c r="G563" s="34"/>
      <c r="H563" s="32">
        <v>22</v>
      </c>
      <c r="I563" s="32" t="s">
        <v>12</v>
      </c>
      <c r="J563" s="34"/>
      <c r="K563" s="35">
        <v>9.2200000000000006</v>
      </c>
    </row>
    <row r="564" spans="1:11" ht="15.75" customHeight="1">
      <c r="A564" s="32" t="s">
        <v>18</v>
      </c>
      <c r="B564" s="32">
        <v>901.17</v>
      </c>
      <c r="C564" s="33">
        <v>3</v>
      </c>
      <c r="D564" s="32">
        <v>7.2999999999999995E-2</v>
      </c>
      <c r="E564" s="32">
        <v>1E-3</v>
      </c>
      <c r="F564" s="32">
        <v>1000</v>
      </c>
      <c r="G564" s="34"/>
      <c r="H564" s="32">
        <v>22</v>
      </c>
      <c r="I564" s="32" t="s">
        <v>12</v>
      </c>
      <c r="J564" s="34"/>
      <c r="K564" s="35">
        <v>9.42</v>
      </c>
    </row>
    <row r="565" spans="1:11" ht="15.75" customHeight="1">
      <c r="A565" s="32" t="s">
        <v>18</v>
      </c>
      <c r="B565" s="32">
        <v>61.5</v>
      </c>
      <c r="C565" s="33">
        <v>2.5</v>
      </c>
      <c r="D565" s="32">
        <v>7.2999999999999995E-2</v>
      </c>
      <c r="E565" s="32">
        <v>1E-3</v>
      </c>
      <c r="F565" s="32">
        <v>1000</v>
      </c>
      <c r="G565" s="34"/>
      <c r="H565" s="32">
        <v>22</v>
      </c>
      <c r="I565" s="32" t="s">
        <v>12</v>
      </c>
      <c r="J565" s="34"/>
      <c r="K565" s="35">
        <v>5.13</v>
      </c>
    </row>
    <row r="566" spans="1:11" ht="15.75" customHeight="1">
      <c r="A566" s="32" t="s">
        <v>18</v>
      </c>
      <c r="B566" s="32">
        <v>120.33</v>
      </c>
      <c r="C566" s="33">
        <v>2.5</v>
      </c>
      <c r="D566" s="32">
        <v>7.2999999999999995E-2</v>
      </c>
      <c r="E566" s="32">
        <v>1E-3</v>
      </c>
      <c r="F566" s="32">
        <v>1000</v>
      </c>
      <c r="G566" s="34"/>
      <c r="H566" s="32">
        <v>22</v>
      </c>
      <c r="I566" s="32" t="s">
        <v>12</v>
      </c>
      <c r="J566" s="34"/>
      <c r="K566" s="35">
        <v>5.59</v>
      </c>
    </row>
    <row r="567" spans="1:11" ht="15.75" customHeight="1">
      <c r="A567" s="32" t="s">
        <v>18</v>
      </c>
      <c r="B567" s="32">
        <v>181.84</v>
      </c>
      <c r="C567" s="33">
        <v>2.5</v>
      </c>
      <c r="D567" s="32">
        <v>7.2999999999999995E-2</v>
      </c>
      <c r="E567" s="32">
        <v>1E-3</v>
      </c>
      <c r="F567" s="32">
        <v>1000</v>
      </c>
      <c r="G567" s="34"/>
      <c r="H567" s="32">
        <v>22</v>
      </c>
      <c r="I567" s="32" t="s">
        <v>12</v>
      </c>
      <c r="J567" s="34"/>
      <c r="K567" s="35">
        <v>6.49</v>
      </c>
    </row>
    <row r="568" spans="1:11" ht="15.75" customHeight="1">
      <c r="A568" s="32" t="s">
        <v>18</v>
      </c>
      <c r="B568" s="32">
        <v>242.01</v>
      </c>
      <c r="C568" s="33">
        <v>2.5</v>
      </c>
      <c r="D568" s="32">
        <v>7.2999999999999995E-2</v>
      </c>
      <c r="E568" s="32">
        <v>1E-3</v>
      </c>
      <c r="F568" s="32">
        <v>1000</v>
      </c>
      <c r="G568" s="34"/>
      <c r="H568" s="32">
        <v>22</v>
      </c>
      <c r="I568" s="32" t="s">
        <v>12</v>
      </c>
      <c r="J568" s="34"/>
      <c r="K568" s="35">
        <v>6.78</v>
      </c>
    </row>
    <row r="569" spans="1:11" ht="15.75" customHeight="1">
      <c r="A569" s="32" t="s">
        <v>18</v>
      </c>
      <c r="B569" s="32">
        <v>300.83999999999997</v>
      </c>
      <c r="C569" s="33">
        <v>2.5</v>
      </c>
      <c r="D569" s="32">
        <v>7.2999999999999995E-2</v>
      </c>
      <c r="E569" s="32">
        <v>1E-3</v>
      </c>
      <c r="F569" s="32">
        <v>1000</v>
      </c>
      <c r="G569" s="34"/>
      <c r="H569" s="32">
        <v>22</v>
      </c>
      <c r="I569" s="32" t="s">
        <v>12</v>
      </c>
      <c r="J569" s="34"/>
      <c r="K569" s="35">
        <v>6.82</v>
      </c>
    </row>
    <row r="570" spans="1:11" ht="15.75" customHeight="1">
      <c r="A570" s="32" t="s">
        <v>18</v>
      </c>
      <c r="B570" s="32">
        <v>361</v>
      </c>
      <c r="C570" s="33">
        <v>2.5</v>
      </c>
      <c r="D570" s="32">
        <v>7.2999999999999995E-2</v>
      </c>
      <c r="E570" s="32">
        <v>1E-3</v>
      </c>
      <c r="F570" s="32">
        <v>1000</v>
      </c>
      <c r="G570" s="34"/>
      <c r="H570" s="32">
        <v>22</v>
      </c>
      <c r="I570" s="32" t="s">
        <v>12</v>
      </c>
      <c r="J570" s="34"/>
      <c r="K570" s="35">
        <v>7.22</v>
      </c>
    </row>
    <row r="571" spans="1:11" ht="15.75" customHeight="1">
      <c r="A571" s="32" t="s">
        <v>18</v>
      </c>
      <c r="B571" s="32">
        <v>421</v>
      </c>
      <c r="C571" s="33">
        <v>2.5</v>
      </c>
      <c r="D571" s="32">
        <v>7.2999999999999995E-2</v>
      </c>
      <c r="E571" s="32">
        <v>1E-3</v>
      </c>
      <c r="F571" s="32">
        <v>1000</v>
      </c>
      <c r="G571" s="34"/>
      <c r="H571" s="32">
        <v>22</v>
      </c>
      <c r="I571" s="32" t="s">
        <v>12</v>
      </c>
      <c r="J571" s="34"/>
      <c r="K571" s="35">
        <v>7.79</v>
      </c>
    </row>
    <row r="572" spans="1:11" ht="15.75" customHeight="1">
      <c r="A572" s="32" t="s">
        <v>18</v>
      </c>
      <c r="B572" s="32">
        <v>481</v>
      </c>
      <c r="C572" s="33">
        <v>2.5</v>
      </c>
      <c r="D572" s="32">
        <v>7.2999999999999995E-2</v>
      </c>
      <c r="E572" s="32">
        <v>1E-3</v>
      </c>
      <c r="F572" s="32">
        <v>1000</v>
      </c>
      <c r="G572" s="34"/>
      <c r="H572" s="32">
        <v>22</v>
      </c>
      <c r="I572" s="32" t="s">
        <v>12</v>
      </c>
      <c r="J572" s="34"/>
      <c r="K572" s="35">
        <v>8.06</v>
      </c>
    </row>
    <row r="573" spans="1:11" ht="15.75" customHeight="1">
      <c r="A573" s="32" t="s">
        <v>18</v>
      </c>
      <c r="B573" s="32">
        <v>540</v>
      </c>
      <c r="C573" s="33">
        <v>2.5</v>
      </c>
      <c r="D573" s="32">
        <v>7.2999999999999995E-2</v>
      </c>
      <c r="E573" s="32">
        <v>1E-3</v>
      </c>
      <c r="F573" s="32">
        <v>1000</v>
      </c>
      <c r="G573" s="34"/>
      <c r="H573" s="32">
        <v>22</v>
      </c>
      <c r="I573" s="32" t="s">
        <v>12</v>
      </c>
      <c r="J573" s="34"/>
      <c r="K573" s="35">
        <v>8.2899999999999991</v>
      </c>
    </row>
    <row r="574" spans="1:11" ht="15.75" customHeight="1">
      <c r="A574" s="32" t="s">
        <v>18</v>
      </c>
      <c r="B574" s="32">
        <v>600</v>
      </c>
      <c r="C574" s="33">
        <v>2.5</v>
      </c>
      <c r="D574" s="32">
        <v>7.2999999999999995E-2</v>
      </c>
      <c r="E574" s="32">
        <v>1E-3</v>
      </c>
      <c r="F574" s="32">
        <v>1000</v>
      </c>
      <c r="G574" s="34"/>
      <c r="H574" s="32">
        <v>22</v>
      </c>
      <c r="I574" s="32" t="s">
        <v>12</v>
      </c>
      <c r="J574" s="34"/>
      <c r="K574" s="35">
        <v>8.52</v>
      </c>
    </row>
    <row r="575" spans="1:11" ht="15.75" customHeight="1">
      <c r="A575" s="32" t="s">
        <v>18</v>
      </c>
      <c r="B575" s="32">
        <v>660</v>
      </c>
      <c r="C575" s="33">
        <v>2.5</v>
      </c>
      <c r="D575" s="32">
        <v>7.2999999999999995E-2</v>
      </c>
      <c r="E575" s="32">
        <v>1E-3</v>
      </c>
      <c r="F575" s="32">
        <v>1000</v>
      </c>
      <c r="G575" s="34"/>
      <c r="H575" s="32">
        <v>22</v>
      </c>
      <c r="I575" s="32" t="s">
        <v>12</v>
      </c>
      <c r="J575" s="34"/>
      <c r="K575" s="35">
        <v>8.99</v>
      </c>
    </row>
    <row r="576" spans="1:11" ht="15.75" customHeight="1">
      <c r="A576" s="32" t="s">
        <v>18</v>
      </c>
      <c r="B576" s="32">
        <v>720</v>
      </c>
      <c r="C576" s="33">
        <v>2.5</v>
      </c>
      <c r="D576" s="32">
        <v>7.2999999999999995E-2</v>
      </c>
      <c r="E576" s="32">
        <v>1E-3</v>
      </c>
      <c r="F576" s="32">
        <v>1000</v>
      </c>
      <c r="G576" s="34"/>
      <c r="H576" s="32">
        <v>22</v>
      </c>
      <c r="I576" s="32" t="s">
        <v>12</v>
      </c>
      <c r="J576" s="34"/>
      <c r="K576" s="35">
        <v>9.24</v>
      </c>
    </row>
    <row r="577" spans="1:11" ht="15.75" customHeight="1">
      <c r="A577" s="32" t="s">
        <v>18</v>
      </c>
      <c r="B577" s="32">
        <v>780</v>
      </c>
      <c r="C577" s="33">
        <v>2.5</v>
      </c>
      <c r="D577" s="32">
        <v>7.2999999999999995E-2</v>
      </c>
      <c r="E577" s="32">
        <v>1E-3</v>
      </c>
      <c r="F577" s="32">
        <v>1000</v>
      </c>
      <c r="G577" s="34"/>
      <c r="H577" s="32">
        <v>22</v>
      </c>
      <c r="I577" s="32" t="s">
        <v>12</v>
      </c>
      <c r="J577" s="34"/>
      <c r="K577" s="35">
        <v>9.44</v>
      </c>
    </row>
    <row r="578" spans="1:11" ht="15.75" customHeight="1">
      <c r="A578" s="32" t="s">
        <v>18</v>
      </c>
      <c r="B578" s="32">
        <v>840</v>
      </c>
      <c r="C578" s="33">
        <v>2.5</v>
      </c>
      <c r="D578" s="32">
        <v>7.2999999999999995E-2</v>
      </c>
      <c r="E578" s="32">
        <v>1E-3</v>
      </c>
      <c r="F578" s="32">
        <v>1000</v>
      </c>
      <c r="G578" s="34"/>
      <c r="H578" s="32">
        <v>22</v>
      </c>
      <c r="I578" s="32" t="s">
        <v>12</v>
      </c>
      <c r="J578" s="34"/>
      <c r="K578" s="35">
        <v>9.6300000000000008</v>
      </c>
    </row>
    <row r="579" spans="1:11" ht="15.75" customHeight="1">
      <c r="A579" s="32" t="s">
        <v>18</v>
      </c>
      <c r="B579" s="32">
        <v>902.51</v>
      </c>
      <c r="C579" s="33">
        <v>2.5</v>
      </c>
      <c r="D579" s="32">
        <v>7.2999999999999995E-2</v>
      </c>
      <c r="E579" s="32">
        <v>1E-3</v>
      </c>
      <c r="F579" s="32">
        <v>1000</v>
      </c>
      <c r="G579" s="36"/>
      <c r="H579" s="32">
        <v>22</v>
      </c>
      <c r="I579" s="32" t="s">
        <v>12</v>
      </c>
      <c r="J579" s="34"/>
      <c r="K579" s="35">
        <v>9.44</v>
      </c>
    </row>
    <row r="580" spans="1:11" ht="15.75" customHeight="1">
      <c r="A580" s="32" t="s">
        <v>18</v>
      </c>
      <c r="B580" s="32">
        <v>62.84</v>
      </c>
      <c r="C580" s="33">
        <v>2</v>
      </c>
      <c r="D580" s="32">
        <v>7.2999999999999995E-2</v>
      </c>
      <c r="E580" s="32">
        <v>1E-3</v>
      </c>
      <c r="F580" s="32">
        <v>1000</v>
      </c>
      <c r="G580" s="34"/>
      <c r="H580" s="32">
        <v>22</v>
      </c>
      <c r="I580" s="32" t="s">
        <v>12</v>
      </c>
      <c r="J580" s="34"/>
      <c r="K580" s="35">
        <v>4.8499999999999996</v>
      </c>
    </row>
    <row r="581" spans="1:11" ht="15.75" customHeight="1">
      <c r="A581" s="32" t="s">
        <v>18</v>
      </c>
      <c r="B581" s="32">
        <v>120.33</v>
      </c>
      <c r="C581" s="33">
        <v>2</v>
      </c>
      <c r="D581" s="32">
        <v>7.2999999999999995E-2</v>
      </c>
      <c r="E581" s="32">
        <v>1E-3</v>
      </c>
      <c r="F581" s="32">
        <v>1000</v>
      </c>
      <c r="G581" s="34"/>
      <c r="H581" s="32">
        <v>22</v>
      </c>
      <c r="I581" s="32" t="s">
        <v>12</v>
      </c>
      <c r="J581" s="34"/>
      <c r="K581" s="35">
        <v>5.3</v>
      </c>
    </row>
    <row r="582" spans="1:11" ht="15.75" customHeight="1">
      <c r="A582" s="32" t="s">
        <v>18</v>
      </c>
      <c r="B582" s="32">
        <v>183.18</v>
      </c>
      <c r="C582" s="33">
        <v>2</v>
      </c>
      <c r="D582" s="32">
        <v>7.2999999999999995E-2</v>
      </c>
      <c r="E582" s="32">
        <v>1E-3</v>
      </c>
      <c r="F582" s="32">
        <v>1000</v>
      </c>
      <c r="G582" s="34"/>
      <c r="H582" s="32">
        <v>22</v>
      </c>
      <c r="I582" s="32" t="s">
        <v>12</v>
      </c>
      <c r="J582" s="34"/>
      <c r="K582" s="35">
        <v>5.8</v>
      </c>
    </row>
    <row r="583" spans="1:11" ht="15.75" customHeight="1">
      <c r="A583" s="32" t="s">
        <v>18</v>
      </c>
      <c r="B583" s="32">
        <v>242.01</v>
      </c>
      <c r="C583" s="33">
        <v>2</v>
      </c>
      <c r="D583" s="32">
        <v>7.2999999999999995E-2</v>
      </c>
      <c r="E583" s="32">
        <v>1E-3</v>
      </c>
      <c r="F583" s="32">
        <v>1000</v>
      </c>
      <c r="G583" s="34"/>
      <c r="H583" s="32">
        <v>22</v>
      </c>
      <c r="I583" s="32" t="s">
        <v>12</v>
      </c>
      <c r="J583" s="34"/>
      <c r="K583" s="35">
        <v>6.23</v>
      </c>
    </row>
    <row r="584" spans="1:11" ht="15.75" customHeight="1">
      <c r="A584" s="32" t="s">
        <v>18</v>
      </c>
      <c r="B584" s="32">
        <v>299.5</v>
      </c>
      <c r="C584" s="33">
        <v>2</v>
      </c>
      <c r="D584" s="32">
        <v>7.2999999999999995E-2</v>
      </c>
      <c r="E584" s="32">
        <v>1E-3</v>
      </c>
      <c r="F584" s="32">
        <v>1000</v>
      </c>
      <c r="G584" s="34"/>
      <c r="H584" s="32">
        <v>22</v>
      </c>
      <c r="I584" s="32" t="s">
        <v>12</v>
      </c>
      <c r="J584" s="34"/>
      <c r="K584" s="35">
        <v>6.58</v>
      </c>
    </row>
    <row r="585" spans="1:11" ht="15.75" customHeight="1">
      <c r="A585" s="32" t="s">
        <v>18</v>
      </c>
      <c r="B585" s="32">
        <v>362.34</v>
      </c>
      <c r="C585" s="33">
        <v>2</v>
      </c>
      <c r="D585" s="32">
        <v>7.2999999999999995E-2</v>
      </c>
      <c r="E585" s="32">
        <v>1E-3</v>
      </c>
      <c r="F585" s="32">
        <v>1000</v>
      </c>
      <c r="G585" s="34"/>
      <c r="H585" s="32">
        <v>22</v>
      </c>
      <c r="I585" s="32" t="s">
        <v>12</v>
      </c>
      <c r="J585" s="34"/>
      <c r="K585" s="35">
        <v>6.92</v>
      </c>
    </row>
    <row r="586" spans="1:11" ht="15.75" customHeight="1">
      <c r="A586" s="32" t="s">
        <v>18</v>
      </c>
      <c r="B586" s="32">
        <v>421.17</v>
      </c>
      <c r="C586" s="33">
        <v>2</v>
      </c>
      <c r="D586" s="32">
        <v>7.2999999999999995E-2</v>
      </c>
      <c r="E586" s="32">
        <v>1E-3</v>
      </c>
      <c r="F586" s="32">
        <v>1000</v>
      </c>
      <c r="G586" s="34"/>
      <c r="H586" s="32">
        <v>22</v>
      </c>
      <c r="I586" s="32" t="s">
        <v>12</v>
      </c>
      <c r="J586" s="34"/>
      <c r="K586" s="35">
        <v>7.25</v>
      </c>
    </row>
    <row r="587" spans="1:11" ht="15.75" customHeight="1">
      <c r="A587" s="32" t="s">
        <v>18</v>
      </c>
      <c r="B587" s="32">
        <v>478.66</v>
      </c>
      <c r="C587" s="33">
        <v>2</v>
      </c>
      <c r="D587" s="32">
        <v>7.2999999999999995E-2</v>
      </c>
      <c r="E587" s="32">
        <v>1E-3</v>
      </c>
      <c r="F587" s="32">
        <v>1000</v>
      </c>
      <c r="G587" s="34"/>
      <c r="H587" s="32">
        <v>22</v>
      </c>
      <c r="I587" s="32" t="s">
        <v>12</v>
      </c>
      <c r="J587" s="34"/>
      <c r="K587" s="35">
        <v>7.53</v>
      </c>
    </row>
    <row r="588" spans="1:11" ht="15.75" customHeight="1">
      <c r="A588" s="32" t="s">
        <v>18</v>
      </c>
      <c r="B588" s="32">
        <v>537.49</v>
      </c>
      <c r="C588" s="33">
        <v>2</v>
      </c>
      <c r="D588" s="32">
        <v>7.2999999999999995E-2</v>
      </c>
      <c r="E588" s="32">
        <v>1E-3</v>
      </c>
      <c r="F588" s="32">
        <v>1000</v>
      </c>
      <c r="G588" s="34"/>
      <c r="H588" s="32">
        <v>22</v>
      </c>
      <c r="I588" s="32" t="s">
        <v>12</v>
      </c>
      <c r="J588" s="34"/>
      <c r="K588" s="35">
        <v>7.8</v>
      </c>
    </row>
    <row r="589" spans="1:11" ht="15.75" customHeight="1">
      <c r="A589" s="32" t="s">
        <v>18</v>
      </c>
      <c r="B589" s="32">
        <v>599</v>
      </c>
      <c r="C589" s="33">
        <v>2</v>
      </c>
      <c r="D589" s="32">
        <v>7.2999999999999995E-2</v>
      </c>
      <c r="E589" s="32">
        <v>1E-3</v>
      </c>
      <c r="F589" s="32">
        <v>1000</v>
      </c>
      <c r="G589" s="34"/>
      <c r="H589" s="32">
        <v>22</v>
      </c>
      <c r="I589" s="32" t="s">
        <v>12</v>
      </c>
      <c r="J589" s="34"/>
      <c r="K589" s="35">
        <v>8.0500000000000007</v>
      </c>
    </row>
    <row r="590" spans="1:11" ht="15.75" customHeight="1">
      <c r="A590" s="32" t="s">
        <v>18</v>
      </c>
      <c r="B590" s="32">
        <v>656.49</v>
      </c>
      <c r="C590" s="33">
        <v>2</v>
      </c>
      <c r="D590" s="32">
        <v>7.2999999999999995E-2</v>
      </c>
      <c r="E590" s="32">
        <v>1E-3</v>
      </c>
      <c r="F590" s="32">
        <v>1000</v>
      </c>
      <c r="G590" s="34"/>
      <c r="H590" s="32">
        <v>22</v>
      </c>
      <c r="I590" s="32" t="s">
        <v>12</v>
      </c>
      <c r="J590" s="34"/>
      <c r="K590" s="35">
        <v>8.2100000000000009</v>
      </c>
    </row>
    <row r="591" spans="1:11" ht="15.75" customHeight="1">
      <c r="A591" s="32" t="s">
        <v>18</v>
      </c>
      <c r="B591" s="32">
        <v>722.01</v>
      </c>
      <c r="C591" s="33">
        <v>2</v>
      </c>
      <c r="D591" s="32">
        <v>7.2999999999999995E-2</v>
      </c>
      <c r="E591" s="32">
        <v>1E-3</v>
      </c>
      <c r="F591" s="32">
        <v>1000</v>
      </c>
      <c r="G591" s="34"/>
      <c r="H591" s="32">
        <v>22</v>
      </c>
      <c r="I591" s="32" t="s">
        <v>12</v>
      </c>
      <c r="J591" s="34"/>
      <c r="K591" s="35">
        <v>8.56</v>
      </c>
    </row>
    <row r="592" spans="1:11" ht="15.75" customHeight="1">
      <c r="A592" s="32" t="s">
        <v>18</v>
      </c>
      <c r="B592" s="32">
        <v>778.16</v>
      </c>
      <c r="C592" s="33">
        <v>2</v>
      </c>
      <c r="D592" s="32">
        <v>7.2999999999999995E-2</v>
      </c>
      <c r="E592" s="32">
        <v>1E-3</v>
      </c>
      <c r="F592" s="32">
        <v>1000</v>
      </c>
      <c r="G592" s="34"/>
      <c r="H592" s="32">
        <v>22</v>
      </c>
      <c r="I592" s="32" t="s">
        <v>12</v>
      </c>
      <c r="J592" s="34"/>
      <c r="K592" s="35">
        <v>8.7200000000000006</v>
      </c>
    </row>
    <row r="593" spans="1:11" ht="15.75" customHeight="1">
      <c r="A593" s="32" t="s">
        <v>18</v>
      </c>
      <c r="B593" s="32">
        <v>841</v>
      </c>
      <c r="C593" s="33">
        <v>2</v>
      </c>
      <c r="D593" s="32">
        <v>7.2999999999999995E-2</v>
      </c>
      <c r="E593" s="32">
        <v>1E-3</v>
      </c>
      <c r="F593" s="32">
        <v>1000</v>
      </c>
      <c r="G593" s="34"/>
      <c r="H593" s="32">
        <v>22</v>
      </c>
      <c r="I593" s="32" t="s">
        <v>12</v>
      </c>
      <c r="J593" s="34"/>
      <c r="K593" s="35">
        <v>8.9499999999999993</v>
      </c>
    </row>
    <row r="594" spans="1:11" ht="15.75" customHeight="1">
      <c r="A594" s="32" t="s">
        <v>18</v>
      </c>
      <c r="B594" s="32">
        <v>899.83</v>
      </c>
      <c r="C594" s="33">
        <v>2</v>
      </c>
      <c r="D594" s="32">
        <v>7.2999999999999995E-2</v>
      </c>
      <c r="E594" s="32">
        <v>1E-3</v>
      </c>
      <c r="F594" s="32">
        <v>1000</v>
      </c>
      <c r="G594" s="34"/>
      <c r="H594" s="32">
        <v>22</v>
      </c>
      <c r="I594" s="32" t="s">
        <v>12</v>
      </c>
      <c r="J594" s="34"/>
      <c r="K594" s="35">
        <v>9.1300000000000008</v>
      </c>
    </row>
    <row r="595" spans="1:11" ht="15.75" customHeight="1">
      <c r="A595" s="32" t="s">
        <v>18</v>
      </c>
      <c r="B595" s="32">
        <v>60.17</v>
      </c>
      <c r="C595" s="33">
        <v>1.5</v>
      </c>
      <c r="D595" s="32">
        <v>7.2999999999999995E-2</v>
      </c>
      <c r="E595" s="32">
        <v>1E-3</v>
      </c>
      <c r="F595" s="32">
        <v>1000</v>
      </c>
      <c r="G595" s="34"/>
      <c r="H595" s="32">
        <v>22</v>
      </c>
      <c r="I595" s="32" t="s">
        <v>12</v>
      </c>
      <c r="J595" s="34"/>
      <c r="K595" s="35">
        <v>4.49</v>
      </c>
    </row>
    <row r="596" spans="1:11" ht="15.75" customHeight="1">
      <c r="A596" s="32" t="s">
        <v>18</v>
      </c>
      <c r="B596" s="32">
        <v>119</v>
      </c>
      <c r="C596" s="33">
        <v>1.5</v>
      </c>
      <c r="D596" s="32">
        <v>7.2999999999999995E-2</v>
      </c>
      <c r="E596" s="32">
        <v>1E-3</v>
      </c>
      <c r="F596" s="32">
        <v>1000</v>
      </c>
      <c r="G596" s="34"/>
      <c r="H596" s="32">
        <v>22</v>
      </c>
      <c r="I596" s="32" t="s">
        <v>12</v>
      </c>
      <c r="J596" s="34"/>
      <c r="K596" s="35">
        <v>4.99</v>
      </c>
    </row>
    <row r="597" spans="1:11" ht="15.75" customHeight="1">
      <c r="A597" s="32" t="s">
        <v>18</v>
      </c>
      <c r="B597" s="32">
        <v>179.16</v>
      </c>
      <c r="C597" s="33">
        <v>1.5</v>
      </c>
      <c r="D597" s="32">
        <v>7.2999999999999995E-2</v>
      </c>
      <c r="E597" s="32">
        <v>1E-3</v>
      </c>
      <c r="F597" s="32">
        <v>1000</v>
      </c>
      <c r="G597" s="34"/>
      <c r="H597" s="32">
        <v>22</v>
      </c>
      <c r="I597" s="32" t="s">
        <v>12</v>
      </c>
      <c r="J597" s="34"/>
      <c r="K597" s="35">
        <v>5.5</v>
      </c>
    </row>
    <row r="598" spans="1:11" ht="15.75" customHeight="1">
      <c r="A598" s="32" t="s">
        <v>18</v>
      </c>
      <c r="B598" s="32">
        <v>242.01</v>
      </c>
      <c r="C598" s="33">
        <v>1.5</v>
      </c>
      <c r="D598" s="32">
        <v>7.2999999999999995E-2</v>
      </c>
      <c r="E598" s="32">
        <v>1E-3</v>
      </c>
      <c r="F598" s="32">
        <v>1000</v>
      </c>
      <c r="G598" s="34"/>
      <c r="H598" s="32">
        <v>22</v>
      </c>
      <c r="I598" s="32" t="s">
        <v>12</v>
      </c>
      <c r="J598" s="34"/>
      <c r="K598" s="35">
        <v>5.97</v>
      </c>
    </row>
    <row r="599" spans="1:11" ht="15.75" customHeight="1">
      <c r="A599" s="32" t="s">
        <v>18</v>
      </c>
      <c r="B599" s="32">
        <v>299.5</v>
      </c>
      <c r="C599" s="33">
        <v>1.5</v>
      </c>
      <c r="D599" s="32">
        <v>7.2999999999999995E-2</v>
      </c>
      <c r="E599" s="32">
        <v>1E-3</v>
      </c>
      <c r="F599" s="32">
        <v>1000</v>
      </c>
      <c r="G599" s="34"/>
      <c r="H599" s="32">
        <v>22</v>
      </c>
      <c r="I599" s="32" t="s">
        <v>12</v>
      </c>
      <c r="J599" s="34"/>
      <c r="K599" s="35">
        <v>6.31</v>
      </c>
    </row>
    <row r="600" spans="1:11" ht="15.75" customHeight="1">
      <c r="A600" s="32" t="s">
        <v>18</v>
      </c>
      <c r="B600" s="32">
        <v>361</v>
      </c>
      <c r="C600" s="33">
        <v>1.5</v>
      </c>
      <c r="D600" s="32">
        <v>7.2999999999999995E-2</v>
      </c>
      <c r="E600" s="32">
        <v>1E-3</v>
      </c>
      <c r="F600" s="32">
        <v>1000</v>
      </c>
      <c r="G600" s="34"/>
      <c r="H600" s="32">
        <v>22</v>
      </c>
      <c r="I600" s="32" t="s">
        <v>12</v>
      </c>
      <c r="J600" s="34"/>
      <c r="K600" s="35">
        <v>6.61</v>
      </c>
    </row>
    <row r="601" spans="1:11" ht="15.75" customHeight="1">
      <c r="A601" s="32" t="s">
        <v>18</v>
      </c>
      <c r="B601" s="32">
        <v>421.17</v>
      </c>
      <c r="C601" s="33">
        <v>1.5</v>
      </c>
      <c r="D601" s="32">
        <v>7.2999999999999995E-2</v>
      </c>
      <c r="E601" s="32">
        <v>1E-3</v>
      </c>
      <c r="F601" s="32">
        <v>1000</v>
      </c>
      <c r="G601" s="34"/>
      <c r="H601" s="32">
        <v>22</v>
      </c>
      <c r="I601" s="32" t="s">
        <v>12</v>
      </c>
      <c r="J601" s="34"/>
      <c r="K601" s="35">
        <v>6.91</v>
      </c>
    </row>
    <row r="602" spans="1:11" ht="15.75" customHeight="1">
      <c r="A602" s="32" t="s">
        <v>18</v>
      </c>
      <c r="B602" s="32">
        <v>478.66</v>
      </c>
      <c r="C602" s="33">
        <v>1.5</v>
      </c>
      <c r="D602" s="32">
        <v>7.2999999999999995E-2</v>
      </c>
      <c r="E602" s="32">
        <v>1E-3</v>
      </c>
      <c r="F602" s="32">
        <v>1000</v>
      </c>
      <c r="G602" s="34"/>
      <c r="H602" s="32">
        <v>22</v>
      </c>
      <c r="I602" s="32" t="s">
        <v>12</v>
      </c>
      <c r="J602" s="34"/>
      <c r="K602" s="35">
        <v>7.42</v>
      </c>
    </row>
    <row r="603" spans="1:11" ht="15.75" customHeight="1">
      <c r="A603" s="32" t="s">
        <v>18</v>
      </c>
      <c r="B603" s="32">
        <v>537.49</v>
      </c>
      <c r="C603" s="33">
        <v>1.5</v>
      </c>
      <c r="D603" s="32">
        <v>7.2999999999999995E-2</v>
      </c>
      <c r="E603" s="32">
        <v>1E-3</v>
      </c>
      <c r="F603" s="32">
        <v>1000</v>
      </c>
      <c r="G603" s="34"/>
      <c r="H603" s="32">
        <v>22</v>
      </c>
      <c r="I603" s="32" t="s">
        <v>12</v>
      </c>
      <c r="J603" s="34"/>
      <c r="K603" s="35">
        <v>7.69</v>
      </c>
    </row>
    <row r="604" spans="1:11" ht="15.75" customHeight="1">
      <c r="A604" s="32" t="s">
        <v>18</v>
      </c>
      <c r="B604" s="32">
        <v>600</v>
      </c>
      <c r="C604" s="33">
        <v>1.5</v>
      </c>
      <c r="D604" s="32">
        <v>7.2999999999999995E-2</v>
      </c>
      <c r="E604" s="32">
        <v>1E-3</v>
      </c>
      <c r="F604" s="32">
        <v>1000</v>
      </c>
      <c r="G604" s="34"/>
      <c r="H604" s="32">
        <v>22</v>
      </c>
      <c r="I604" s="32" t="s">
        <v>12</v>
      </c>
      <c r="J604" s="34"/>
      <c r="K604" s="35">
        <v>7.92</v>
      </c>
    </row>
    <row r="605" spans="1:11" ht="15.75" customHeight="1">
      <c r="A605" s="32" t="s">
        <v>18</v>
      </c>
      <c r="B605" s="32">
        <v>657.83</v>
      </c>
      <c r="C605" s="33">
        <v>1.5</v>
      </c>
      <c r="D605" s="32">
        <v>7.2999999999999995E-2</v>
      </c>
      <c r="E605" s="32">
        <v>1E-3</v>
      </c>
      <c r="F605" s="32">
        <v>1000</v>
      </c>
      <c r="G605" s="34"/>
      <c r="H605" s="32">
        <v>22</v>
      </c>
      <c r="I605" s="32" t="s">
        <v>12</v>
      </c>
      <c r="J605" s="34"/>
      <c r="K605" s="35">
        <v>8.1199999999999992</v>
      </c>
    </row>
    <row r="606" spans="1:11" ht="15.75" customHeight="1">
      <c r="A606" s="32" t="s">
        <v>18</v>
      </c>
      <c r="B606" s="32">
        <v>720.67</v>
      </c>
      <c r="C606" s="33">
        <v>1.5</v>
      </c>
      <c r="D606" s="32">
        <v>7.2999999999999995E-2</v>
      </c>
      <c r="E606" s="32">
        <v>1E-3</v>
      </c>
      <c r="F606" s="32">
        <v>1000</v>
      </c>
      <c r="G606" s="34"/>
      <c r="H606" s="32">
        <v>22</v>
      </c>
      <c r="I606" s="32" t="s">
        <v>12</v>
      </c>
      <c r="J606" s="34"/>
      <c r="K606" s="35">
        <v>8.43</v>
      </c>
    </row>
    <row r="607" spans="1:11" ht="15.75" customHeight="1">
      <c r="A607" s="32" t="s">
        <v>18</v>
      </c>
      <c r="B607" s="32">
        <v>779.83</v>
      </c>
      <c r="C607" s="33">
        <v>1.5</v>
      </c>
      <c r="D607" s="32">
        <v>7.2999999999999995E-2</v>
      </c>
      <c r="E607" s="32">
        <v>1E-3</v>
      </c>
      <c r="F607" s="32">
        <v>1000</v>
      </c>
      <c r="G607" s="34"/>
      <c r="H607" s="32">
        <v>22</v>
      </c>
      <c r="I607" s="32" t="s">
        <v>12</v>
      </c>
      <c r="J607" s="34"/>
      <c r="K607" s="35">
        <v>8.67</v>
      </c>
    </row>
    <row r="608" spans="1:11" ht="15.75" customHeight="1">
      <c r="A608" s="32" t="s">
        <v>18</v>
      </c>
      <c r="B608" s="32">
        <v>842.34</v>
      </c>
      <c r="C608" s="33">
        <v>1.5</v>
      </c>
      <c r="D608" s="32">
        <v>7.2999999999999995E-2</v>
      </c>
      <c r="E608" s="32">
        <v>1E-3</v>
      </c>
      <c r="F608" s="32">
        <v>1000</v>
      </c>
      <c r="G608" s="34"/>
      <c r="H608" s="32">
        <v>22</v>
      </c>
      <c r="I608" s="32" t="s">
        <v>12</v>
      </c>
      <c r="J608" s="34"/>
      <c r="K608" s="35">
        <v>8.9</v>
      </c>
    </row>
    <row r="609" spans="1:11" ht="15.75" customHeight="1">
      <c r="A609" s="32" t="s">
        <v>18</v>
      </c>
      <c r="B609" s="32">
        <v>899.83</v>
      </c>
      <c r="C609" s="33">
        <v>1.5</v>
      </c>
      <c r="D609" s="32">
        <v>7.2999999999999995E-2</v>
      </c>
      <c r="E609" s="32">
        <v>1E-3</v>
      </c>
      <c r="F609" s="32">
        <v>1000</v>
      </c>
      <c r="G609" s="34"/>
      <c r="H609" s="32">
        <v>22</v>
      </c>
      <c r="I609" s="32" t="s">
        <v>12</v>
      </c>
      <c r="J609" s="34"/>
      <c r="K609" s="35">
        <v>8.7200000000000006</v>
      </c>
    </row>
    <row r="610" spans="1:11" ht="15.75" customHeight="1">
      <c r="A610" s="32" t="s">
        <v>18</v>
      </c>
      <c r="B610" s="32">
        <v>60.17</v>
      </c>
      <c r="C610" s="33">
        <v>1</v>
      </c>
      <c r="D610" s="32">
        <v>7.2999999999999995E-2</v>
      </c>
      <c r="E610" s="32">
        <v>1E-3</v>
      </c>
      <c r="F610" s="32">
        <v>1000</v>
      </c>
      <c r="G610" s="34"/>
      <c r="H610" s="32">
        <v>22</v>
      </c>
      <c r="I610" s="32" t="s">
        <v>12</v>
      </c>
      <c r="J610" s="34"/>
      <c r="K610" s="35">
        <v>4.09</v>
      </c>
    </row>
    <row r="611" spans="1:11" ht="15.75" customHeight="1">
      <c r="A611" s="32" t="s">
        <v>18</v>
      </c>
      <c r="B611" s="32">
        <v>119</v>
      </c>
      <c r="C611" s="33">
        <v>1</v>
      </c>
      <c r="D611" s="32">
        <v>7.2999999999999995E-2</v>
      </c>
      <c r="E611" s="32">
        <v>1E-3</v>
      </c>
      <c r="F611" s="32">
        <v>1000</v>
      </c>
      <c r="G611" s="34"/>
      <c r="H611" s="32">
        <v>22</v>
      </c>
      <c r="I611" s="32" t="s">
        <v>12</v>
      </c>
      <c r="J611" s="34"/>
      <c r="K611" s="35">
        <v>4.67</v>
      </c>
    </row>
    <row r="612" spans="1:11" ht="15.75" customHeight="1">
      <c r="A612" s="32" t="s">
        <v>18</v>
      </c>
      <c r="B612" s="32">
        <v>183.18</v>
      </c>
      <c r="C612" s="33">
        <v>1</v>
      </c>
      <c r="D612" s="32">
        <v>7.2999999999999995E-2</v>
      </c>
      <c r="E612" s="32">
        <v>1E-3</v>
      </c>
      <c r="F612" s="32">
        <v>1000</v>
      </c>
      <c r="G612" s="34"/>
      <c r="H612" s="32">
        <v>22</v>
      </c>
      <c r="I612" s="32" t="s">
        <v>12</v>
      </c>
      <c r="J612" s="34"/>
      <c r="K612" s="35">
        <v>5.08</v>
      </c>
    </row>
    <row r="613" spans="1:11" ht="15.75" customHeight="1">
      <c r="A613" s="32" t="s">
        <v>18</v>
      </c>
      <c r="B613" s="32">
        <v>240.67</v>
      </c>
      <c r="C613" s="33">
        <v>1</v>
      </c>
      <c r="D613" s="32">
        <v>7.2999999999999995E-2</v>
      </c>
      <c r="E613" s="32">
        <v>1E-3</v>
      </c>
      <c r="F613" s="32">
        <v>1000</v>
      </c>
      <c r="G613" s="34"/>
      <c r="H613" s="32">
        <v>22</v>
      </c>
      <c r="I613" s="32" t="s">
        <v>12</v>
      </c>
      <c r="J613" s="34"/>
      <c r="K613" s="35">
        <v>5.54</v>
      </c>
    </row>
    <row r="614" spans="1:11" ht="15.75" customHeight="1">
      <c r="A614" s="32" t="s">
        <v>18</v>
      </c>
      <c r="B614" s="32">
        <v>300.83999999999997</v>
      </c>
      <c r="C614" s="33">
        <v>1</v>
      </c>
      <c r="D614" s="32">
        <v>7.2999999999999995E-2</v>
      </c>
      <c r="E614" s="32">
        <v>1E-3</v>
      </c>
      <c r="F614" s="32">
        <v>1000</v>
      </c>
      <c r="G614" s="34"/>
      <c r="H614" s="32">
        <v>22</v>
      </c>
      <c r="I614" s="32" t="s">
        <v>12</v>
      </c>
      <c r="J614" s="34"/>
      <c r="K614" s="35">
        <v>5.91</v>
      </c>
    </row>
    <row r="615" spans="1:11" ht="15.75" customHeight="1">
      <c r="A615" s="32" t="s">
        <v>18</v>
      </c>
      <c r="B615" s="32">
        <v>363.68</v>
      </c>
      <c r="C615" s="33">
        <v>1</v>
      </c>
      <c r="D615" s="32">
        <v>7.2999999999999995E-2</v>
      </c>
      <c r="E615" s="32">
        <v>1E-3</v>
      </c>
      <c r="F615" s="32">
        <v>1000</v>
      </c>
      <c r="G615" s="34"/>
      <c r="H615" s="32">
        <v>22</v>
      </c>
      <c r="I615" s="32" t="s">
        <v>12</v>
      </c>
      <c r="J615" s="34"/>
      <c r="K615" s="35">
        <v>6.2</v>
      </c>
    </row>
    <row r="616" spans="1:11" ht="15.75" customHeight="1">
      <c r="A616" s="32" t="s">
        <v>18</v>
      </c>
      <c r="B616" s="32">
        <v>422.5</v>
      </c>
      <c r="C616" s="33">
        <v>1</v>
      </c>
      <c r="D616" s="32">
        <v>7.2999999999999995E-2</v>
      </c>
      <c r="E616" s="32">
        <v>1E-3</v>
      </c>
      <c r="F616" s="32">
        <v>1000</v>
      </c>
      <c r="G616" s="34"/>
      <c r="H616" s="32">
        <v>22</v>
      </c>
      <c r="I616" s="32" t="s">
        <v>12</v>
      </c>
      <c r="J616" s="34"/>
      <c r="K616" s="35">
        <v>6.61</v>
      </c>
    </row>
    <row r="617" spans="1:11" ht="15.75" customHeight="1">
      <c r="A617" s="32" t="s">
        <v>18</v>
      </c>
      <c r="B617" s="32">
        <v>482.5</v>
      </c>
      <c r="C617" s="33">
        <v>1</v>
      </c>
      <c r="D617" s="32">
        <v>7.2999999999999995E-2</v>
      </c>
      <c r="E617" s="32">
        <v>1E-3</v>
      </c>
      <c r="F617" s="32">
        <v>1000</v>
      </c>
      <c r="G617" s="34"/>
      <c r="H617" s="32">
        <v>22</v>
      </c>
      <c r="I617" s="32" t="s">
        <v>12</v>
      </c>
      <c r="J617" s="34"/>
      <c r="K617" s="35">
        <v>6.9</v>
      </c>
    </row>
    <row r="618" spans="1:11" ht="15.75" customHeight="1">
      <c r="A618" s="32" t="s">
        <v>18</v>
      </c>
      <c r="B618" s="32">
        <v>541.5</v>
      </c>
      <c r="C618" s="33">
        <v>1</v>
      </c>
      <c r="D618" s="32">
        <v>7.2999999999999995E-2</v>
      </c>
      <c r="E618" s="32">
        <v>1E-3</v>
      </c>
      <c r="F618" s="32">
        <v>1000</v>
      </c>
      <c r="G618" s="34"/>
      <c r="H618" s="32">
        <v>22</v>
      </c>
      <c r="I618" s="32" t="s">
        <v>12</v>
      </c>
      <c r="J618" s="34"/>
      <c r="K618" s="35">
        <v>7.06</v>
      </c>
    </row>
    <row r="619" spans="1:11" ht="15.75" customHeight="1">
      <c r="A619" s="32" t="s">
        <v>18</v>
      </c>
      <c r="B619" s="32">
        <v>600</v>
      </c>
      <c r="C619" s="33">
        <v>1</v>
      </c>
      <c r="D619" s="32">
        <v>7.2999999999999995E-2</v>
      </c>
      <c r="E619" s="32">
        <v>1E-3</v>
      </c>
      <c r="F619" s="32">
        <v>1000</v>
      </c>
      <c r="G619" s="34"/>
      <c r="H619" s="32">
        <v>22</v>
      </c>
      <c r="I619" s="32" t="s">
        <v>12</v>
      </c>
      <c r="J619" s="34"/>
      <c r="K619" s="35">
        <v>7.43</v>
      </c>
    </row>
    <row r="620" spans="1:11" ht="15.75" customHeight="1">
      <c r="A620" s="32" t="s">
        <v>18</v>
      </c>
      <c r="B620" s="32">
        <v>660</v>
      </c>
      <c r="C620" s="33">
        <v>1</v>
      </c>
      <c r="D620" s="32">
        <v>7.2999999999999995E-2</v>
      </c>
      <c r="E620" s="32">
        <v>1E-3</v>
      </c>
      <c r="F620" s="32">
        <v>1000</v>
      </c>
      <c r="G620" s="34"/>
      <c r="H620" s="32">
        <v>22</v>
      </c>
      <c r="I620" s="32" t="s">
        <v>12</v>
      </c>
      <c r="J620" s="34"/>
      <c r="K620" s="35">
        <v>7.65</v>
      </c>
    </row>
    <row r="621" spans="1:11" ht="15.75" customHeight="1">
      <c r="A621" s="32" t="s">
        <v>18</v>
      </c>
      <c r="B621" s="32">
        <v>720</v>
      </c>
      <c r="C621" s="33">
        <v>1</v>
      </c>
      <c r="D621" s="32">
        <v>7.2999999999999995E-2</v>
      </c>
      <c r="E621" s="32">
        <v>1E-3</v>
      </c>
      <c r="F621" s="32">
        <v>1000</v>
      </c>
      <c r="G621" s="34"/>
      <c r="H621" s="32">
        <v>22</v>
      </c>
      <c r="I621" s="32" t="s">
        <v>12</v>
      </c>
      <c r="J621" s="34"/>
      <c r="K621" s="35">
        <v>7.8</v>
      </c>
    </row>
    <row r="622" spans="1:11" ht="15.75" customHeight="1">
      <c r="A622" s="32" t="s">
        <v>18</v>
      </c>
      <c r="B622" s="32">
        <v>780</v>
      </c>
      <c r="C622" s="33">
        <v>1</v>
      </c>
      <c r="D622" s="32">
        <v>7.2999999999999995E-2</v>
      </c>
      <c r="E622" s="32">
        <v>1E-3</v>
      </c>
      <c r="F622" s="32">
        <v>1000</v>
      </c>
      <c r="G622" s="34"/>
      <c r="H622" s="32">
        <v>22</v>
      </c>
      <c r="I622" s="32" t="s">
        <v>12</v>
      </c>
      <c r="J622" s="34"/>
      <c r="K622" s="35">
        <v>8.0299999999999994</v>
      </c>
    </row>
    <row r="623" spans="1:11" ht="15.75" customHeight="1">
      <c r="A623" s="32" t="s">
        <v>18</v>
      </c>
      <c r="B623" s="32">
        <v>840</v>
      </c>
      <c r="C623" s="33">
        <v>1</v>
      </c>
      <c r="D623" s="32">
        <v>7.2999999999999995E-2</v>
      </c>
      <c r="E623" s="32">
        <v>1E-3</v>
      </c>
      <c r="F623" s="32">
        <v>1000</v>
      </c>
      <c r="G623" s="34"/>
      <c r="H623" s="32">
        <v>22</v>
      </c>
      <c r="I623" s="32" t="s">
        <v>12</v>
      </c>
      <c r="J623" s="34"/>
      <c r="K623" s="35">
        <v>8.23</v>
      </c>
    </row>
    <row r="624" spans="1:11" ht="15.75" customHeight="1">
      <c r="A624" s="32" t="s">
        <v>18</v>
      </c>
      <c r="B624" s="32">
        <v>898.5</v>
      </c>
      <c r="C624" s="33">
        <v>1</v>
      </c>
      <c r="D624" s="32">
        <v>7.2999999999999995E-2</v>
      </c>
      <c r="E624" s="32">
        <v>1E-3</v>
      </c>
      <c r="F624" s="32">
        <v>1000</v>
      </c>
      <c r="G624" s="34"/>
      <c r="H624" s="32">
        <v>22</v>
      </c>
      <c r="I624" s="32" t="s">
        <v>12</v>
      </c>
      <c r="J624" s="34"/>
      <c r="K624" s="35">
        <v>8.44</v>
      </c>
    </row>
    <row r="625" spans="1:11" ht="15.75" customHeight="1">
      <c r="A625" s="32" t="s">
        <v>18</v>
      </c>
      <c r="B625" s="32">
        <v>64.180000000000007</v>
      </c>
      <c r="C625" s="33">
        <v>0.5</v>
      </c>
      <c r="D625" s="32">
        <v>7.2999999999999995E-2</v>
      </c>
      <c r="E625" s="32">
        <v>1E-3</v>
      </c>
      <c r="F625" s="32">
        <v>1000</v>
      </c>
      <c r="G625" s="34"/>
      <c r="H625" s="32">
        <v>22</v>
      </c>
      <c r="I625" s="32" t="s">
        <v>12</v>
      </c>
      <c r="J625" s="34"/>
      <c r="K625" s="35">
        <v>3.48</v>
      </c>
    </row>
    <row r="626" spans="1:11" ht="15.75" customHeight="1">
      <c r="A626" s="32" t="s">
        <v>18</v>
      </c>
      <c r="B626" s="32">
        <v>123.01</v>
      </c>
      <c r="C626" s="33">
        <v>0.5</v>
      </c>
      <c r="D626" s="32">
        <v>7.2999999999999995E-2</v>
      </c>
      <c r="E626" s="32">
        <v>1E-3</v>
      </c>
      <c r="F626" s="32">
        <v>1000</v>
      </c>
      <c r="G626" s="34"/>
      <c r="H626" s="32">
        <v>22</v>
      </c>
      <c r="I626" s="32" t="s">
        <v>12</v>
      </c>
      <c r="J626" s="34"/>
      <c r="K626" s="35">
        <v>4.1100000000000003</v>
      </c>
    </row>
    <row r="627" spans="1:11" ht="15.75" customHeight="1">
      <c r="A627" s="32" t="s">
        <v>18</v>
      </c>
      <c r="B627" s="32">
        <v>180.5</v>
      </c>
      <c r="C627" s="33">
        <v>0.5</v>
      </c>
      <c r="D627" s="32">
        <v>7.2999999999999995E-2</v>
      </c>
      <c r="E627" s="32">
        <v>1E-3</v>
      </c>
      <c r="F627" s="32">
        <v>1000</v>
      </c>
      <c r="G627" s="34"/>
      <c r="H627" s="32">
        <v>22</v>
      </c>
      <c r="I627" s="32" t="s">
        <v>12</v>
      </c>
      <c r="J627" s="34"/>
      <c r="K627" s="35">
        <v>4.53</v>
      </c>
    </row>
    <row r="628" spans="1:11" ht="15.75" customHeight="1">
      <c r="A628" s="32" t="s">
        <v>18</v>
      </c>
      <c r="B628" s="32">
        <v>240.67</v>
      </c>
      <c r="C628" s="33">
        <v>0.5</v>
      </c>
      <c r="D628" s="32">
        <v>7.2999999999999995E-2</v>
      </c>
      <c r="E628" s="32">
        <v>1E-3</v>
      </c>
      <c r="F628" s="32">
        <v>1000</v>
      </c>
      <c r="G628" s="34"/>
      <c r="H628" s="32">
        <v>22</v>
      </c>
      <c r="I628" s="32" t="s">
        <v>12</v>
      </c>
      <c r="J628" s="34"/>
      <c r="K628" s="35">
        <v>4.95</v>
      </c>
    </row>
    <row r="629" spans="1:11" ht="15.75" customHeight="1">
      <c r="A629" s="32" t="s">
        <v>18</v>
      </c>
      <c r="B629" s="32">
        <v>299.5</v>
      </c>
      <c r="C629" s="33">
        <v>0.5</v>
      </c>
      <c r="D629" s="32">
        <v>7.2999999999999995E-2</v>
      </c>
      <c r="E629" s="32">
        <v>1E-3</v>
      </c>
      <c r="F629" s="32">
        <v>1000</v>
      </c>
      <c r="G629" s="34"/>
      <c r="H629" s="32">
        <v>22</v>
      </c>
      <c r="I629" s="32" t="s">
        <v>12</v>
      </c>
      <c r="J629" s="34"/>
      <c r="K629" s="35">
        <v>5.28</v>
      </c>
    </row>
    <row r="630" spans="1:11" ht="15.75" customHeight="1">
      <c r="A630" s="32" t="s">
        <v>18</v>
      </c>
      <c r="B630" s="32">
        <v>363.68</v>
      </c>
      <c r="C630" s="33">
        <v>0.5</v>
      </c>
      <c r="D630" s="32">
        <v>7.2999999999999995E-2</v>
      </c>
      <c r="E630" s="32">
        <v>1E-3</v>
      </c>
      <c r="F630" s="32">
        <v>1000</v>
      </c>
      <c r="G630" s="34"/>
      <c r="H630" s="32">
        <v>22</v>
      </c>
      <c r="I630" s="32" t="s">
        <v>12</v>
      </c>
      <c r="J630" s="34"/>
      <c r="K630" s="35">
        <v>5.6</v>
      </c>
    </row>
    <row r="631" spans="1:11" ht="15.75" customHeight="1">
      <c r="A631" s="32" t="s">
        <v>18</v>
      </c>
      <c r="B631" s="32">
        <v>419.83</v>
      </c>
      <c r="C631" s="33">
        <v>0.5</v>
      </c>
      <c r="D631" s="32">
        <v>7.2999999999999995E-2</v>
      </c>
      <c r="E631" s="32">
        <v>1E-3</v>
      </c>
      <c r="F631" s="32">
        <v>1000</v>
      </c>
      <c r="G631" s="34"/>
      <c r="H631" s="32">
        <v>22</v>
      </c>
      <c r="I631" s="32" t="s">
        <v>12</v>
      </c>
      <c r="J631" s="34"/>
      <c r="K631" s="35">
        <v>5.92</v>
      </c>
    </row>
    <row r="632" spans="1:11" ht="15.75" customHeight="1">
      <c r="A632" s="32" t="s">
        <v>18</v>
      </c>
      <c r="B632" s="32">
        <v>479.5</v>
      </c>
      <c r="C632" s="33">
        <v>0.5</v>
      </c>
      <c r="D632" s="32">
        <v>7.2999999999999995E-2</v>
      </c>
      <c r="E632" s="32">
        <v>1E-3</v>
      </c>
      <c r="F632" s="32">
        <v>1000</v>
      </c>
      <c r="G632" s="34"/>
      <c r="H632" s="32">
        <v>22</v>
      </c>
      <c r="I632" s="32" t="s">
        <v>12</v>
      </c>
      <c r="J632" s="34"/>
      <c r="K632" s="35">
        <v>6.1</v>
      </c>
    </row>
    <row r="633" spans="1:11" ht="15.75" customHeight="1">
      <c r="A633" s="32" t="s">
        <v>18</v>
      </c>
      <c r="B633" s="32">
        <v>541.5</v>
      </c>
      <c r="C633" s="33">
        <v>0.5</v>
      </c>
      <c r="D633" s="32">
        <v>7.2999999999999995E-2</v>
      </c>
      <c r="E633" s="32">
        <v>1E-3</v>
      </c>
      <c r="F633" s="32">
        <v>1000</v>
      </c>
      <c r="G633" s="34"/>
      <c r="H633" s="32">
        <v>22</v>
      </c>
      <c r="I633" s="32" t="s">
        <v>12</v>
      </c>
      <c r="J633" s="34"/>
      <c r="K633" s="35">
        <v>6.4</v>
      </c>
    </row>
    <row r="634" spans="1:11" ht="15.75" customHeight="1">
      <c r="A634" s="32" t="s">
        <v>18</v>
      </c>
      <c r="B634" s="32">
        <v>600</v>
      </c>
      <c r="C634" s="33">
        <v>0.5</v>
      </c>
      <c r="D634" s="32">
        <v>7.2999999999999995E-2</v>
      </c>
      <c r="E634" s="32">
        <v>1E-3</v>
      </c>
      <c r="F634" s="32">
        <v>1000</v>
      </c>
      <c r="G634" s="34"/>
      <c r="H634" s="32">
        <v>22</v>
      </c>
      <c r="I634" s="32" t="s">
        <v>12</v>
      </c>
      <c r="J634" s="34"/>
      <c r="K634" s="35">
        <v>6.61</v>
      </c>
    </row>
    <row r="635" spans="1:11" ht="15.75" customHeight="1">
      <c r="A635" s="32" t="s">
        <v>18</v>
      </c>
      <c r="B635" s="32">
        <v>660</v>
      </c>
      <c r="C635" s="33">
        <v>0.5</v>
      </c>
      <c r="D635" s="32">
        <v>7.2999999999999995E-2</v>
      </c>
      <c r="E635" s="32">
        <v>1E-3</v>
      </c>
      <c r="F635" s="32">
        <v>1000</v>
      </c>
      <c r="G635" s="34"/>
      <c r="H635" s="32">
        <v>22</v>
      </c>
      <c r="I635" s="32" t="s">
        <v>12</v>
      </c>
      <c r="J635" s="34"/>
      <c r="K635" s="35">
        <v>6.82</v>
      </c>
    </row>
    <row r="636" spans="1:11" ht="15.75" customHeight="1">
      <c r="A636" s="32" t="s">
        <v>18</v>
      </c>
      <c r="B636" s="32">
        <v>719.83</v>
      </c>
      <c r="C636" s="33">
        <v>0.5</v>
      </c>
      <c r="D636" s="32">
        <v>7.2999999999999995E-2</v>
      </c>
      <c r="E636" s="32">
        <v>1E-3</v>
      </c>
      <c r="F636" s="32">
        <v>1000</v>
      </c>
      <c r="G636" s="34"/>
      <c r="H636" s="32">
        <v>22</v>
      </c>
      <c r="I636" s="32" t="s">
        <v>12</v>
      </c>
      <c r="J636" s="34"/>
      <c r="K636" s="35">
        <v>6.99</v>
      </c>
    </row>
    <row r="637" spans="1:11" ht="15.75" customHeight="1">
      <c r="A637" s="32" t="s">
        <v>18</v>
      </c>
      <c r="B637" s="32">
        <v>774.65</v>
      </c>
      <c r="C637" s="33">
        <v>0.5</v>
      </c>
      <c r="D637" s="32">
        <v>7.2999999999999995E-2</v>
      </c>
      <c r="E637" s="32">
        <v>1E-3</v>
      </c>
      <c r="F637" s="32">
        <v>1000</v>
      </c>
      <c r="G637" s="34"/>
      <c r="H637" s="32">
        <v>22</v>
      </c>
      <c r="I637" s="32" t="s">
        <v>12</v>
      </c>
      <c r="J637" s="34"/>
      <c r="K637" s="35">
        <v>7.22</v>
      </c>
    </row>
    <row r="638" spans="1:11" ht="15.75" customHeight="1">
      <c r="A638" s="32" t="s">
        <v>18</v>
      </c>
      <c r="B638" s="32">
        <v>841</v>
      </c>
      <c r="C638" s="33">
        <v>0.5</v>
      </c>
      <c r="D638" s="32">
        <v>7.2999999999999995E-2</v>
      </c>
      <c r="E638" s="32">
        <v>1E-3</v>
      </c>
      <c r="F638" s="32">
        <v>1000</v>
      </c>
      <c r="G638" s="34"/>
      <c r="H638" s="32">
        <v>22</v>
      </c>
      <c r="I638" s="32" t="s">
        <v>12</v>
      </c>
      <c r="J638" s="34"/>
      <c r="K638" s="35">
        <v>7.42</v>
      </c>
    </row>
    <row r="639" spans="1:11" ht="15.75" customHeight="1">
      <c r="A639" s="32" t="s">
        <v>18</v>
      </c>
      <c r="B639" s="32">
        <v>897.16</v>
      </c>
      <c r="C639" s="33">
        <v>0.5</v>
      </c>
      <c r="D639" s="32">
        <v>7.2999999999999995E-2</v>
      </c>
      <c r="E639" s="32">
        <v>1E-3</v>
      </c>
      <c r="F639" s="32">
        <v>1000</v>
      </c>
      <c r="G639" s="34"/>
      <c r="H639" s="32">
        <v>22</v>
      </c>
      <c r="I639" s="32" t="s">
        <v>12</v>
      </c>
      <c r="J639" s="34"/>
      <c r="K639" s="35">
        <v>7.65</v>
      </c>
    </row>
    <row r="640" spans="1:11" ht="15.75" customHeight="1">
      <c r="A640" s="37" t="s">
        <v>19</v>
      </c>
      <c r="B640" s="37">
        <v>5.6</v>
      </c>
      <c r="C640" s="38">
        <v>0.9</v>
      </c>
      <c r="D640" s="39"/>
      <c r="E640" s="39"/>
      <c r="F640" s="39"/>
      <c r="G640" s="37"/>
      <c r="H640" s="37">
        <v>20</v>
      </c>
      <c r="I640" s="37" t="s">
        <v>12</v>
      </c>
      <c r="J640" s="39"/>
      <c r="K640" s="40">
        <v>3.2816999999999998</v>
      </c>
    </row>
    <row r="641" spans="1:11" ht="15.75" customHeight="1">
      <c r="A641" s="37" t="s">
        <v>19</v>
      </c>
      <c r="B641" s="37">
        <v>12.97</v>
      </c>
      <c r="C641" s="38">
        <v>0.9</v>
      </c>
      <c r="D641" s="39"/>
      <c r="E641" s="39"/>
      <c r="F641" s="39"/>
      <c r="G641" s="37"/>
      <c r="H641" s="37">
        <v>20</v>
      </c>
      <c r="I641" s="37" t="s">
        <v>12</v>
      </c>
      <c r="J641" s="39"/>
      <c r="K641" s="40">
        <v>3.1654</v>
      </c>
    </row>
    <row r="642" spans="1:11" ht="15.75" customHeight="1">
      <c r="A642" s="37" t="s">
        <v>19</v>
      </c>
      <c r="B642" s="37">
        <v>23.88</v>
      </c>
      <c r="C642" s="38">
        <v>0.9</v>
      </c>
      <c r="D642" s="39"/>
      <c r="E642" s="39"/>
      <c r="F642" s="39"/>
      <c r="G642" s="37"/>
      <c r="H642" s="37">
        <v>20</v>
      </c>
      <c r="I642" s="37" t="s">
        <v>12</v>
      </c>
      <c r="J642" s="39"/>
      <c r="K642" s="40">
        <v>3.2946</v>
      </c>
    </row>
    <row r="643" spans="1:11" ht="15.75" customHeight="1">
      <c r="A643" s="37" t="s">
        <v>19</v>
      </c>
      <c r="B643" s="37">
        <v>31.56</v>
      </c>
      <c r="C643" s="38">
        <v>0.9</v>
      </c>
      <c r="D643" s="39"/>
      <c r="E643" s="39"/>
      <c r="F643" s="39"/>
      <c r="G643" s="37"/>
      <c r="H643" s="37">
        <v>20</v>
      </c>
      <c r="I643" s="37" t="s">
        <v>12</v>
      </c>
      <c r="J643" s="39"/>
      <c r="K643" s="40">
        <v>3.7208999999999999</v>
      </c>
    </row>
    <row r="644" spans="1:11" ht="15.75" customHeight="1">
      <c r="A644" s="37" t="s">
        <v>19</v>
      </c>
      <c r="B644" s="37">
        <v>36</v>
      </c>
      <c r="C644" s="38">
        <v>0.9</v>
      </c>
      <c r="D644" s="39"/>
      <c r="E644" s="39"/>
      <c r="F644" s="39"/>
      <c r="G644" s="37"/>
      <c r="H644" s="37">
        <v>20</v>
      </c>
      <c r="I644" s="37" t="s">
        <v>12</v>
      </c>
      <c r="J644" s="39"/>
      <c r="K644" s="40">
        <v>3.5788000000000002</v>
      </c>
    </row>
    <row r="645" spans="1:11" ht="15.75" customHeight="1">
      <c r="A645" s="37" t="s">
        <v>19</v>
      </c>
      <c r="B645" s="37">
        <v>46.05</v>
      </c>
      <c r="C645" s="38">
        <v>0.9</v>
      </c>
      <c r="D645" s="39"/>
      <c r="E645" s="39"/>
      <c r="F645" s="39"/>
      <c r="G645" s="37"/>
      <c r="H645" s="37">
        <v>20</v>
      </c>
      <c r="I645" s="37" t="s">
        <v>12</v>
      </c>
      <c r="J645" s="39"/>
      <c r="K645" s="40">
        <v>3.8889</v>
      </c>
    </row>
    <row r="646" spans="1:11" ht="15.75" customHeight="1">
      <c r="A646" s="37" t="s">
        <v>19</v>
      </c>
      <c r="B646" s="37">
        <v>56.09</v>
      </c>
      <c r="C646" s="38">
        <v>0.9</v>
      </c>
      <c r="D646" s="39"/>
      <c r="E646" s="39"/>
      <c r="F646" s="39"/>
      <c r="G646" s="37"/>
      <c r="H646" s="37">
        <v>20</v>
      </c>
      <c r="I646" s="37" t="s">
        <v>12</v>
      </c>
      <c r="J646" s="39"/>
      <c r="K646" s="40">
        <v>3.5270999999999999</v>
      </c>
    </row>
    <row r="647" spans="1:11" ht="15.75" customHeight="1">
      <c r="A647" s="37" t="s">
        <v>19</v>
      </c>
      <c r="B647" s="37">
        <v>76.17</v>
      </c>
      <c r="C647" s="38">
        <v>0.9</v>
      </c>
      <c r="D647" s="39"/>
      <c r="E647" s="39"/>
      <c r="F647" s="39"/>
      <c r="G647" s="37"/>
      <c r="H647" s="37">
        <v>20</v>
      </c>
      <c r="I647" s="37" t="s">
        <v>12</v>
      </c>
      <c r="J647" s="39"/>
      <c r="K647" s="40">
        <v>3.7467999999999999</v>
      </c>
    </row>
    <row r="648" spans="1:11" ht="15.75" customHeight="1">
      <c r="A648" s="37" t="s">
        <v>19</v>
      </c>
      <c r="B648" s="37">
        <v>80.91</v>
      </c>
      <c r="C648" s="38">
        <v>0.9</v>
      </c>
      <c r="D648" s="39"/>
      <c r="E648" s="39"/>
      <c r="F648" s="39"/>
      <c r="G648" s="37"/>
      <c r="H648" s="37">
        <v>20</v>
      </c>
      <c r="I648" s="37" t="s">
        <v>12</v>
      </c>
      <c r="J648" s="39"/>
      <c r="K648" s="40">
        <v>4.0052000000000003</v>
      </c>
    </row>
    <row r="649" spans="1:11" ht="15.75" customHeight="1">
      <c r="A649" s="37" t="s">
        <v>19</v>
      </c>
      <c r="B649" s="37">
        <v>105.99</v>
      </c>
      <c r="C649" s="38">
        <v>0.9</v>
      </c>
      <c r="D649" s="39"/>
      <c r="E649" s="39"/>
      <c r="F649" s="39"/>
      <c r="G649" s="37"/>
      <c r="H649" s="37">
        <v>20</v>
      </c>
      <c r="I649" s="37" t="s">
        <v>12</v>
      </c>
      <c r="J649" s="39"/>
      <c r="K649" s="40">
        <v>4.3022999999999998</v>
      </c>
    </row>
    <row r="650" spans="1:11" ht="15.75" customHeight="1">
      <c r="A650" s="37" t="s">
        <v>19</v>
      </c>
      <c r="B650" s="37">
        <v>113.09</v>
      </c>
      <c r="C650" s="38">
        <v>0.9</v>
      </c>
      <c r="D650" s="39"/>
      <c r="E650" s="39"/>
      <c r="F650" s="39"/>
      <c r="G650" s="37"/>
      <c r="H650" s="37">
        <v>20</v>
      </c>
      <c r="I650" s="37" t="s">
        <v>12</v>
      </c>
      <c r="J650" s="39"/>
      <c r="K650" s="40">
        <v>4.4832000000000001</v>
      </c>
    </row>
    <row r="651" spans="1:11" ht="15.75" customHeight="1">
      <c r="A651" s="37" t="s">
        <v>20</v>
      </c>
      <c r="B651" s="37">
        <v>0.12659999999999999</v>
      </c>
      <c r="C651" s="38">
        <v>0.13</v>
      </c>
      <c r="D651" s="39"/>
      <c r="E651" s="39"/>
      <c r="F651" s="39"/>
      <c r="G651" s="37">
        <v>0</v>
      </c>
      <c r="H651" s="37">
        <v>25</v>
      </c>
      <c r="I651" s="37" t="s">
        <v>14</v>
      </c>
      <c r="J651" s="39"/>
      <c r="K651" s="40">
        <v>0.71</v>
      </c>
    </row>
    <row r="652" spans="1:11" ht="15.75" customHeight="1">
      <c r="A652" s="37" t="s">
        <v>20</v>
      </c>
      <c r="B652" s="37">
        <v>0.12659999999999999</v>
      </c>
      <c r="C652" s="38">
        <v>0.13</v>
      </c>
      <c r="D652" s="39"/>
      <c r="E652" s="39"/>
      <c r="F652" s="39"/>
      <c r="G652" s="37">
        <v>0</v>
      </c>
      <c r="H652" s="37">
        <v>25</v>
      </c>
      <c r="I652" s="37" t="s">
        <v>14</v>
      </c>
      <c r="J652" s="39"/>
      <c r="K652" s="40">
        <v>0.71</v>
      </c>
    </row>
    <row r="653" spans="1:11" ht="15.75" customHeight="1">
      <c r="A653" s="37" t="s">
        <v>20</v>
      </c>
      <c r="B653" s="37">
        <v>0.25319999999999998</v>
      </c>
      <c r="C653" s="38">
        <v>0.13</v>
      </c>
      <c r="D653" s="39"/>
      <c r="E653" s="39"/>
      <c r="F653" s="39"/>
      <c r="G653" s="37">
        <v>0</v>
      </c>
      <c r="H653" s="37">
        <v>25</v>
      </c>
      <c r="I653" s="37" t="s">
        <v>14</v>
      </c>
      <c r="J653" s="39"/>
      <c r="K653" s="40">
        <v>0.77</v>
      </c>
    </row>
    <row r="654" spans="1:11" ht="15.75" customHeight="1">
      <c r="A654" s="37" t="s">
        <v>20</v>
      </c>
      <c r="B654" s="37">
        <v>0.30859999999999999</v>
      </c>
      <c r="C654" s="38">
        <v>0.13</v>
      </c>
      <c r="D654" s="39"/>
      <c r="E654" s="39"/>
      <c r="F654" s="39"/>
      <c r="G654" s="37">
        <v>0</v>
      </c>
      <c r="H654" s="37">
        <v>25</v>
      </c>
      <c r="I654" s="37" t="s">
        <v>14</v>
      </c>
      <c r="J654" s="39"/>
      <c r="K654" s="40">
        <v>0.75</v>
      </c>
    </row>
    <row r="655" spans="1:11" ht="15.75" customHeight="1">
      <c r="A655" s="37" t="s">
        <v>20</v>
      </c>
      <c r="B655" s="37">
        <v>0.37980000000000003</v>
      </c>
      <c r="C655" s="38">
        <v>0.13</v>
      </c>
      <c r="D655" s="39"/>
      <c r="E655" s="39"/>
      <c r="F655" s="39"/>
      <c r="G655" s="37">
        <v>0</v>
      </c>
      <c r="H655" s="37">
        <v>25</v>
      </c>
      <c r="I655" s="37" t="s">
        <v>14</v>
      </c>
      <c r="J655" s="39"/>
      <c r="K655" s="40">
        <v>0.76</v>
      </c>
    </row>
    <row r="656" spans="1:11" ht="15.75" customHeight="1">
      <c r="A656" s="37" t="s">
        <v>20</v>
      </c>
      <c r="B656" s="37">
        <v>0.43519999999999998</v>
      </c>
      <c r="C656" s="38">
        <v>0.13</v>
      </c>
      <c r="D656" s="39"/>
      <c r="E656" s="39"/>
      <c r="F656" s="39"/>
      <c r="G656" s="37">
        <v>0</v>
      </c>
      <c r="H656" s="37">
        <v>25</v>
      </c>
      <c r="I656" s="37" t="s">
        <v>14</v>
      </c>
      <c r="J656" s="39"/>
      <c r="K656" s="40">
        <v>0.74</v>
      </c>
    </row>
    <row r="657" spans="1:11" ht="15.75" customHeight="1">
      <c r="A657" s="37" t="s">
        <v>20</v>
      </c>
      <c r="B657" s="37">
        <v>0.49049999999999999</v>
      </c>
      <c r="C657" s="38">
        <v>0.13</v>
      </c>
      <c r="D657" s="39"/>
      <c r="E657" s="39"/>
      <c r="F657" s="39"/>
      <c r="G657" s="37">
        <v>0</v>
      </c>
      <c r="H657" s="37">
        <v>25</v>
      </c>
      <c r="I657" s="37" t="s">
        <v>14</v>
      </c>
      <c r="J657" s="39"/>
      <c r="K657" s="40">
        <v>0.75</v>
      </c>
    </row>
    <row r="658" spans="1:11" ht="15.75" customHeight="1">
      <c r="A658" s="37" t="s">
        <v>20</v>
      </c>
      <c r="B658" s="37">
        <v>0.60919999999999996</v>
      </c>
      <c r="C658" s="38">
        <v>0.13</v>
      </c>
      <c r="D658" s="39"/>
      <c r="E658" s="39"/>
      <c r="F658" s="39"/>
      <c r="G658" s="37">
        <v>0</v>
      </c>
      <c r="H658" s="37">
        <v>25</v>
      </c>
      <c r="I658" s="37" t="s">
        <v>14</v>
      </c>
      <c r="J658" s="39"/>
      <c r="K658" s="40">
        <v>0.79</v>
      </c>
    </row>
    <row r="659" spans="1:11" ht="15.75" customHeight="1">
      <c r="A659" s="37" t="s">
        <v>20</v>
      </c>
      <c r="B659" s="37">
        <v>0.73580000000000001</v>
      </c>
      <c r="C659" s="38">
        <v>0.13</v>
      </c>
      <c r="D659" s="39"/>
      <c r="E659" s="39"/>
      <c r="F659" s="39"/>
      <c r="G659" s="37">
        <v>0</v>
      </c>
      <c r="H659" s="37">
        <v>25</v>
      </c>
      <c r="I659" s="37" t="s">
        <v>14</v>
      </c>
      <c r="J659" s="39"/>
      <c r="K659" s="40">
        <v>0.81</v>
      </c>
    </row>
    <row r="660" spans="1:11" ht="15.75" customHeight="1">
      <c r="A660" s="37" t="s">
        <v>20</v>
      </c>
      <c r="B660" s="37">
        <v>0.86240000000000006</v>
      </c>
      <c r="C660" s="38">
        <v>0.13</v>
      </c>
      <c r="D660" s="39"/>
      <c r="E660" s="39"/>
      <c r="F660" s="39"/>
      <c r="G660" s="37">
        <v>0</v>
      </c>
      <c r="H660" s="37">
        <v>25</v>
      </c>
      <c r="I660" s="37" t="s">
        <v>14</v>
      </c>
      <c r="J660" s="39"/>
      <c r="K660" s="40">
        <v>0.85</v>
      </c>
    </row>
    <row r="661" spans="1:11" ht="15.75" customHeight="1">
      <c r="A661" s="37" t="s">
        <v>20</v>
      </c>
      <c r="B661" s="37">
        <v>1.4084000000000001</v>
      </c>
      <c r="C661" s="38">
        <v>0.13</v>
      </c>
      <c r="D661" s="39"/>
      <c r="E661" s="39"/>
      <c r="F661" s="39"/>
      <c r="G661" s="37">
        <v>0</v>
      </c>
      <c r="H661" s="37">
        <v>25</v>
      </c>
      <c r="I661" s="37" t="s">
        <v>14</v>
      </c>
      <c r="J661" s="39"/>
      <c r="K661" s="40">
        <v>0.79</v>
      </c>
    </row>
    <row r="662" spans="1:11" ht="15.75" customHeight="1">
      <c r="A662" s="37" t="s">
        <v>20</v>
      </c>
      <c r="B662" s="37">
        <v>1.5428999999999999</v>
      </c>
      <c r="C662" s="38">
        <v>0.13</v>
      </c>
      <c r="D662" s="39"/>
      <c r="E662" s="39"/>
      <c r="F662" s="39"/>
      <c r="G662" s="37">
        <v>0</v>
      </c>
      <c r="H662" s="37">
        <v>25</v>
      </c>
      <c r="I662" s="37" t="s">
        <v>14</v>
      </c>
      <c r="J662" s="39"/>
      <c r="K662" s="40">
        <v>0.78</v>
      </c>
    </row>
    <row r="663" spans="1:11" ht="15.75" customHeight="1">
      <c r="A663" s="37" t="s">
        <v>20</v>
      </c>
      <c r="B663" s="37">
        <v>1.6774</v>
      </c>
      <c r="C663" s="38">
        <v>0.13</v>
      </c>
      <c r="D663" s="39"/>
      <c r="E663" s="39"/>
      <c r="F663" s="39"/>
      <c r="G663" s="37">
        <v>0</v>
      </c>
      <c r="H663" s="37">
        <v>25</v>
      </c>
      <c r="I663" s="37" t="s">
        <v>14</v>
      </c>
      <c r="J663" s="39"/>
      <c r="K663" s="40">
        <v>0.77</v>
      </c>
    </row>
    <row r="664" spans="1:11" ht="15.75" customHeight="1">
      <c r="A664" s="37" t="s">
        <v>20</v>
      </c>
      <c r="B664" s="37">
        <v>1.804</v>
      </c>
      <c r="C664" s="38">
        <v>0.13</v>
      </c>
      <c r="D664" s="39"/>
      <c r="E664" s="39"/>
      <c r="F664" s="39"/>
      <c r="G664" s="37">
        <v>0</v>
      </c>
      <c r="H664" s="37">
        <v>25</v>
      </c>
      <c r="I664" s="37" t="s">
        <v>14</v>
      </c>
      <c r="J664" s="39"/>
      <c r="K664" s="40">
        <v>0.85</v>
      </c>
    </row>
    <row r="665" spans="1:11" ht="15.75" customHeight="1">
      <c r="A665" s="37" t="s">
        <v>20</v>
      </c>
      <c r="B665" s="37">
        <v>1.9384999999999999</v>
      </c>
      <c r="C665" s="38">
        <v>0.13</v>
      </c>
      <c r="D665" s="39"/>
      <c r="E665" s="39"/>
      <c r="F665" s="39"/>
      <c r="G665" s="37">
        <v>0</v>
      </c>
      <c r="H665" s="37">
        <v>25</v>
      </c>
      <c r="I665" s="37" t="s">
        <v>14</v>
      </c>
      <c r="J665" s="39"/>
      <c r="K665" s="40">
        <v>0.86</v>
      </c>
    </row>
    <row r="666" spans="1:11" ht="15.75" customHeight="1">
      <c r="A666" s="37" t="s">
        <v>20</v>
      </c>
      <c r="B666" s="37">
        <v>2.0491999999999999</v>
      </c>
      <c r="C666" s="38">
        <v>0.13</v>
      </c>
      <c r="D666" s="39"/>
      <c r="E666" s="39"/>
      <c r="F666" s="39"/>
      <c r="G666" s="37">
        <v>0</v>
      </c>
      <c r="H666" s="37">
        <v>25</v>
      </c>
      <c r="I666" s="37" t="s">
        <v>14</v>
      </c>
      <c r="J666" s="39"/>
      <c r="K666" s="40">
        <v>0.88</v>
      </c>
    </row>
    <row r="667" spans="1:11" ht="15.75" customHeight="1">
      <c r="A667" s="37" t="s">
        <v>20</v>
      </c>
      <c r="B667" s="37">
        <v>2.1837</v>
      </c>
      <c r="C667" s="38">
        <v>0.13</v>
      </c>
      <c r="D667" s="39"/>
      <c r="E667" s="39"/>
      <c r="F667" s="39"/>
      <c r="G667" s="37">
        <v>0</v>
      </c>
      <c r="H667" s="37">
        <v>25</v>
      </c>
      <c r="I667" s="37" t="s">
        <v>14</v>
      </c>
      <c r="J667" s="39"/>
      <c r="K667" s="40">
        <v>0.93</v>
      </c>
    </row>
    <row r="668" spans="1:11" ht="15.75" customHeight="1">
      <c r="A668" s="37" t="s">
        <v>20</v>
      </c>
      <c r="B668" s="37">
        <v>2.3102999999999998</v>
      </c>
      <c r="C668" s="38">
        <v>0.13</v>
      </c>
      <c r="D668" s="39"/>
      <c r="E668" s="39"/>
      <c r="F668" s="39"/>
      <c r="G668" s="37">
        <v>0</v>
      </c>
      <c r="H668" s="37">
        <v>25</v>
      </c>
      <c r="I668" s="37" t="s">
        <v>14</v>
      </c>
      <c r="J668" s="39"/>
      <c r="K668" s="40">
        <v>0.91</v>
      </c>
    </row>
    <row r="669" spans="1:11" ht="15.75" customHeight="1">
      <c r="A669" s="37" t="s">
        <v>20</v>
      </c>
      <c r="B669" s="37">
        <v>2.4289999999999998</v>
      </c>
      <c r="C669" s="38">
        <v>0.13</v>
      </c>
      <c r="D669" s="39"/>
      <c r="E669" s="39"/>
      <c r="F669" s="39"/>
      <c r="G669" s="37">
        <v>0</v>
      </c>
      <c r="H669" s="37">
        <v>25</v>
      </c>
      <c r="I669" s="37" t="s">
        <v>14</v>
      </c>
      <c r="J669" s="39"/>
      <c r="K669" s="40">
        <v>0.91</v>
      </c>
    </row>
    <row r="670" spans="1:11" ht="15.75" customHeight="1">
      <c r="A670" s="37" t="s">
        <v>20</v>
      </c>
      <c r="B670" s="37">
        <v>2.5634999999999999</v>
      </c>
      <c r="C670" s="38">
        <v>0.13</v>
      </c>
      <c r="D670" s="39"/>
      <c r="E670" s="39"/>
      <c r="F670" s="39"/>
      <c r="G670" s="37">
        <v>0</v>
      </c>
      <c r="H670" s="37">
        <v>25</v>
      </c>
      <c r="I670" s="37" t="s">
        <v>14</v>
      </c>
      <c r="J670" s="39"/>
      <c r="K670" s="40">
        <v>0.96</v>
      </c>
    </row>
    <row r="671" spans="1:11" ht="15.75" customHeight="1">
      <c r="A671" s="37" t="s">
        <v>20</v>
      </c>
      <c r="B671" s="37">
        <v>2.7059000000000002</v>
      </c>
      <c r="C671" s="38">
        <v>0.13</v>
      </c>
      <c r="D671" s="39"/>
      <c r="E671" s="39"/>
      <c r="F671" s="39"/>
      <c r="G671" s="37">
        <v>0</v>
      </c>
      <c r="H671" s="37">
        <v>25</v>
      </c>
      <c r="I671" s="37" t="s">
        <v>14</v>
      </c>
      <c r="J671" s="39"/>
      <c r="K671" s="40">
        <v>0.96</v>
      </c>
    </row>
    <row r="672" spans="1:11" ht="15.75" customHeight="1">
      <c r="A672" s="37" t="s">
        <v>20</v>
      </c>
      <c r="B672" s="37">
        <v>2.8246000000000002</v>
      </c>
      <c r="C672" s="38">
        <v>0.13</v>
      </c>
      <c r="D672" s="39"/>
      <c r="E672" s="39"/>
      <c r="F672" s="39"/>
      <c r="G672" s="37">
        <v>0</v>
      </c>
      <c r="H672" s="37">
        <v>25</v>
      </c>
      <c r="I672" s="37" t="s">
        <v>14</v>
      </c>
      <c r="J672" s="39"/>
      <c r="K672" s="40">
        <v>0.96</v>
      </c>
    </row>
    <row r="673" spans="1:11" ht="15.75" customHeight="1">
      <c r="A673" s="37" t="s">
        <v>20</v>
      </c>
      <c r="B673" s="37">
        <v>2.9512</v>
      </c>
      <c r="C673" s="38">
        <v>0.13</v>
      </c>
      <c r="D673" s="39"/>
      <c r="E673" s="39"/>
      <c r="F673" s="39"/>
      <c r="G673" s="37">
        <v>0</v>
      </c>
      <c r="H673" s="37">
        <v>25</v>
      </c>
      <c r="I673" s="37" t="s">
        <v>14</v>
      </c>
      <c r="J673" s="39"/>
      <c r="K673" s="40">
        <v>0.94</v>
      </c>
    </row>
    <row r="674" spans="1:11" ht="15.75" customHeight="1">
      <c r="A674" s="37" t="s">
        <v>20</v>
      </c>
      <c r="B674" s="37">
        <v>3.2202000000000002</v>
      </c>
      <c r="C674" s="38">
        <v>0.13</v>
      </c>
      <c r="D674" s="39"/>
      <c r="E674" s="39"/>
      <c r="F674" s="39"/>
      <c r="G674" s="37">
        <v>0</v>
      </c>
      <c r="H674" s="37">
        <v>25</v>
      </c>
      <c r="I674" s="37" t="s">
        <v>14</v>
      </c>
      <c r="J674" s="39"/>
      <c r="K674" s="40">
        <v>0.99</v>
      </c>
    </row>
    <row r="675" spans="1:11" ht="15.75" customHeight="1">
      <c r="A675" s="32" t="s">
        <v>21</v>
      </c>
      <c r="B675" s="32">
        <v>0.1404</v>
      </c>
      <c r="C675" s="33">
        <v>0.3</v>
      </c>
      <c r="D675" s="32">
        <v>2.07E-2</v>
      </c>
      <c r="E675" s="32">
        <v>5.1220000000000002E-2</v>
      </c>
      <c r="F675" s="32">
        <v>960</v>
      </c>
      <c r="G675" s="32">
        <v>0</v>
      </c>
      <c r="H675" s="32">
        <v>20</v>
      </c>
      <c r="I675" s="32" t="s">
        <v>12</v>
      </c>
      <c r="J675" s="34"/>
      <c r="K675" s="35">
        <v>1.506</v>
      </c>
    </row>
    <row r="676" spans="1:11" ht="15.75" customHeight="1">
      <c r="A676" s="32" t="s">
        <v>21</v>
      </c>
      <c r="B676" s="32">
        <v>0.1656</v>
      </c>
      <c r="C676" s="33">
        <v>0.3</v>
      </c>
      <c r="D676" s="32">
        <v>2.07E-2</v>
      </c>
      <c r="E676" s="32">
        <v>5.1220000000000002E-2</v>
      </c>
      <c r="F676" s="32">
        <v>960</v>
      </c>
      <c r="G676" s="32">
        <v>6.7000000000000002E-3</v>
      </c>
      <c r="H676" s="32">
        <v>20</v>
      </c>
      <c r="I676" s="32" t="s">
        <v>12</v>
      </c>
      <c r="J676" s="34"/>
      <c r="K676" s="35">
        <v>1.486</v>
      </c>
    </row>
    <row r="677" spans="1:11" ht="15.75" customHeight="1">
      <c r="A677" s="32" t="s">
        <v>21</v>
      </c>
      <c r="B677" s="32">
        <v>0.156</v>
      </c>
      <c r="C677" s="33">
        <v>0.3</v>
      </c>
      <c r="D677" s="32">
        <v>2.07E-2</v>
      </c>
      <c r="E677" s="32">
        <v>5.1220000000000002E-2</v>
      </c>
      <c r="F677" s="32">
        <v>960</v>
      </c>
      <c r="G677" s="32">
        <v>1.1900000000000001E-2</v>
      </c>
      <c r="H677" s="32">
        <v>20</v>
      </c>
      <c r="I677" s="32" t="s">
        <v>12</v>
      </c>
      <c r="J677" s="34"/>
      <c r="K677" s="35">
        <v>1.4379999999999999</v>
      </c>
    </row>
    <row r="678" spans="1:11" ht="15.75" customHeight="1">
      <c r="A678" s="32" t="s">
        <v>21</v>
      </c>
      <c r="B678" s="32">
        <v>0.33179999999999998</v>
      </c>
      <c r="C678" s="33">
        <v>0.3</v>
      </c>
      <c r="D678" s="32">
        <v>2.07E-2</v>
      </c>
      <c r="E678" s="32">
        <v>5.1220000000000002E-2</v>
      </c>
      <c r="F678" s="32">
        <v>960</v>
      </c>
      <c r="G678" s="32">
        <v>0</v>
      </c>
      <c r="H678" s="32">
        <v>20</v>
      </c>
      <c r="I678" s="32" t="s">
        <v>12</v>
      </c>
      <c r="J678" s="34"/>
      <c r="K678" s="35">
        <v>1.552</v>
      </c>
    </row>
    <row r="679" spans="1:11" ht="15.75" customHeight="1">
      <c r="A679" s="32" t="s">
        <v>21</v>
      </c>
      <c r="B679" s="32">
        <v>0.33300000000000002</v>
      </c>
      <c r="C679" s="33">
        <v>0.3</v>
      </c>
      <c r="D679" s="32">
        <v>2.07E-2</v>
      </c>
      <c r="E679" s="32">
        <v>5.1220000000000002E-2</v>
      </c>
      <c r="F679" s="32">
        <v>960</v>
      </c>
      <c r="G679" s="32">
        <v>6.1999999999999998E-3</v>
      </c>
      <c r="H679" s="32">
        <v>20</v>
      </c>
      <c r="I679" s="32" t="s">
        <v>12</v>
      </c>
      <c r="J679" s="34"/>
      <c r="K679" s="35">
        <v>1.536</v>
      </c>
    </row>
    <row r="680" spans="1:11" ht="15.75" customHeight="1">
      <c r="A680" s="32" t="s">
        <v>21</v>
      </c>
      <c r="B680" s="32">
        <v>0.30959999999999999</v>
      </c>
      <c r="C680" s="33">
        <v>0.3</v>
      </c>
      <c r="D680" s="32">
        <v>2.07E-2</v>
      </c>
      <c r="E680" s="32">
        <v>5.1220000000000002E-2</v>
      </c>
      <c r="F680" s="32">
        <v>960</v>
      </c>
      <c r="G680" s="32">
        <v>1.2999999999999999E-2</v>
      </c>
      <c r="H680" s="32">
        <v>20</v>
      </c>
      <c r="I680" s="32" t="s">
        <v>12</v>
      </c>
      <c r="J680" s="34"/>
      <c r="K680" s="35">
        <v>1.43</v>
      </c>
    </row>
    <row r="681" spans="1:11" ht="15.75" customHeight="1">
      <c r="A681" s="32" t="s">
        <v>21</v>
      </c>
      <c r="B681" s="32">
        <v>0.59219999999999995</v>
      </c>
      <c r="C681" s="33">
        <v>0.3</v>
      </c>
      <c r="D681" s="32">
        <v>2.07E-2</v>
      </c>
      <c r="E681" s="32">
        <v>5.1220000000000002E-2</v>
      </c>
      <c r="F681" s="32">
        <v>960</v>
      </c>
      <c r="G681" s="32">
        <v>0</v>
      </c>
      <c r="H681" s="32">
        <v>20</v>
      </c>
      <c r="I681" s="32" t="s">
        <v>12</v>
      </c>
      <c r="J681" s="34"/>
      <c r="K681" s="35">
        <v>1.5780000000000001</v>
      </c>
    </row>
    <row r="682" spans="1:11" ht="15.75" customHeight="1">
      <c r="A682" s="32" t="s">
        <v>21</v>
      </c>
      <c r="B682" s="32">
        <v>0.62039999999999995</v>
      </c>
      <c r="C682" s="33">
        <v>0.3</v>
      </c>
      <c r="D682" s="32">
        <v>2.07E-2</v>
      </c>
      <c r="E682" s="32">
        <v>5.1220000000000002E-2</v>
      </c>
      <c r="F682" s="32">
        <v>960</v>
      </c>
      <c r="G682" s="32">
        <v>6.0000000000000001E-3</v>
      </c>
      <c r="H682" s="32">
        <v>20</v>
      </c>
      <c r="I682" s="32" t="s">
        <v>12</v>
      </c>
      <c r="J682" s="34"/>
      <c r="K682" s="35">
        <v>1.57</v>
      </c>
    </row>
    <row r="683" spans="1:11" ht="15.75" customHeight="1">
      <c r="A683" s="32" t="s">
        <v>21</v>
      </c>
      <c r="B683" s="32">
        <v>0.67620000000000002</v>
      </c>
      <c r="C683" s="33">
        <v>0.3</v>
      </c>
      <c r="D683" s="32">
        <v>2.07E-2</v>
      </c>
      <c r="E683" s="32">
        <v>5.1220000000000002E-2</v>
      </c>
      <c r="F683" s="32">
        <v>960</v>
      </c>
      <c r="G683" s="32">
        <v>1.26E-2</v>
      </c>
      <c r="H683" s="32">
        <v>20</v>
      </c>
      <c r="I683" s="32" t="s">
        <v>12</v>
      </c>
      <c r="J683" s="34"/>
      <c r="K683" s="35">
        <v>1.502</v>
      </c>
    </row>
    <row r="684" spans="1:11" ht="15.75" customHeight="1">
      <c r="A684" s="32" t="s">
        <v>21</v>
      </c>
      <c r="B684" s="32">
        <v>1.4970000000000001</v>
      </c>
      <c r="C684" s="33">
        <v>0.3</v>
      </c>
      <c r="D684" s="32">
        <v>2.07E-2</v>
      </c>
      <c r="E684" s="32">
        <v>5.1220000000000002E-2</v>
      </c>
      <c r="F684" s="32">
        <v>960</v>
      </c>
      <c r="G684" s="32">
        <v>0</v>
      </c>
      <c r="H684" s="32">
        <v>20</v>
      </c>
      <c r="I684" s="32" t="s">
        <v>12</v>
      </c>
      <c r="J684" s="34"/>
      <c r="K684" s="35">
        <v>1.63</v>
      </c>
    </row>
    <row r="685" spans="1:11" ht="15.75" customHeight="1">
      <c r="A685" s="32" t="s">
        <v>21</v>
      </c>
      <c r="B685" s="32">
        <v>1.5156000000000001</v>
      </c>
      <c r="C685" s="33">
        <v>0.3</v>
      </c>
      <c r="D685" s="32">
        <v>2.07E-2</v>
      </c>
      <c r="E685" s="32">
        <v>5.1220000000000002E-2</v>
      </c>
      <c r="F685" s="32">
        <v>960</v>
      </c>
      <c r="G685" s="32">
        <v>6.0000000000000001E-3</v>
      </c>
      <c r="H685" s="32">
        <v>20</v>
      </c>
      <c r="I685" s="32" t="s">
        <v>12</v>
      </c>
      <c r="J685" s="34"/>
      <c r="K685" s="35">
        <v>1.5820000000000001</v>
      </c>
    </row>
    <row r="686" spans="1:11" ht="15.75" customHeight="1">
      <c r="A686" s="32" t="s">
        <v>21</v>
      </c>
      <c r="B686" s="32">
        <v>1.6763999999999999</v>
      </c>
      <c r="C686" s="33">
        <v>0.3</v>
      </c>
      <c r="D686" s="32">
        <v>2.07E-2</v>
      </c>
      <c r="E686" s="32">
        <v>5.1220000000000002E-2</v>
      </c>
      <c r="F686" s="32">
        <v>960</v>
      </c>
      <c r="G686" s="32">
        <v>1.26E-2</v>
      </c>
      <c r="H686" s="32">
        <v>20</v>
      </c>
      <c r="I686" s="32" t="s">
        <v>12</v>
      </c>
      <c r="J686" s="34"/>
      <c r="K686" s="35">
        <v>1.556</v>
      </c>
    </row>
    <row r="687" spans="1:11" ht="15.75" customHeight="1">
      <c r="A687" s="32" t="s">
        <v>21</v>
      </c>
      <c r="B687" s="32">
        <v>2.4216000000000002</v>
      </c>
      <c r="C687" s="33">
        <v>0.3</v>
      </c>
      <c r="D687" s="32">
        <v>2.07E-2</v>
      </c>
      <c r="E687" s="32">
        <v>5.1220000000000002E-2</v>
      </c>
      <c r="F687" s="32">
        <v>960</v>
      </c>
      <c r="G687" s="32">
        <v>0</v>
      </c>
      <c r="H687" s="32">
        <v>20</v>
      </c>
      <c r="I687" s="32" t="s">
        <v>12</v>
      </c>
      <c r="J687" s="34"/>
      <c r="K687" s="35">
        <v>1.726</v>
      </c>
    </row>
    <row r="688" spans="1:11" ht="15.75" customHeight="1">
      <c r="A688" s="32" t="s">
        <v>21</v>
      </c>
      <c r="B688" s="32">
        <v>2.4089999999999998</v>
      </c>
      <c r="C688" s="33">
        <v>0.3</v>
      </c>
      <c r="D688" s="32">
        <v>2.07E-2</v>
      </c>
      <c r="E688" s="32">
        <v>5.1220000000000002E-2</v>
      </c>
      <c r="F688" s="32">
        <v>960</v>
      </c>
      <c r="G688" s="32">
        <v>6.0000000000000001E-3</v>
      </c>
      <c r="H688" s="32">
        <v>20</v>
      </c>
      <c r="I688" s="32" t="s">
        <v>12</v>
      </c>
      <c r="J688" s="34"/>
      <c r="K688" s="35">
        <v>1.6659999999999999</v>
      </c>
    </row>
    <row r="689" spans="1:11" ht="15.75" customHeight="1">
      <c r="A689" s="32" t="s">
        <v>21</v>
      </c>
      <c r="B689" s="32">
        <v>2.4413999999999998</v>
      </c>
      <c r="C689" s="33">
        <v>0.3</v>
      </c>
      <c r="D689" s="32">
        <v>2.07E-2</v>
      </c>
      <c r="E689" s="32">
        <v>5.1220000000000002E-2</v>
      </c>
      <c r="F689" s="32">
        <v>960</v>
      </c>
      <c r="G689" s="32">
        <v>1.26E-2</v>
      </c>
      <c r="H689" s="32">
        <v>20</v>
      </c>
      <c r="I689" s="32" t="s">
        <v>12</v>
      </c>
      <c r="J689" s="34"/>
      <c r="K689" s="35">
        <v>1.63</v>
      </c>
    </row>
    <row r="690" spans="1:11" ht="15.75" customHeight="1">
      <c r="A690" s="34" t="s">
        <v>22</v>
      </c>
      <c r="B690" s="34">
        <v>50</v>
      </c>
      <c r="C690" s="41">
        <v>0.29880000000000001</v>
      </c>
      <c r="D690" s="34">
        <v>7.2800000000000004E-2</v>
      </c>
      <c r="E690" s="34">
        <v>1.01E-3</v>
      </c>
      <c r="F690" s="34">
        <v>1000</v>
      </c>
      <c r="G690" s="42">
        <v>0</v>
      </c>
      <c r="H690" s="34">
        <v>20</v>
      </c>
      <c r="I690" s="34" t="s">
        <v>12</v>
      </c>
      <c r="J690" s="34">
        <v>1.2909999999999999</v>
      </c>
      <c r="K690" s="41">
        <v>2.5842999999999998</v>
      </c>
    </row>
    <row r="691" spans="1:11" ht="15.75" customHeight="1">
      <c r="A691" s="34" t="s">
        <v>22</v>
      </c>
      <c r="B691" s="34">
        <v>50</v>
      </c>
      <c r="C691" s="41">
        <v>0.39879999999999999</v>
      </c>
      <c r="D691" s="34">
        <v>7.2800000000000004E-2</v>
      </c>
      <c r="E691" s="34">
        <v>1.01E-3</v>
      </c>
      <c r="F691" s="34">
        <v>1000</v>
      </c>
      <c r="G691" s="42">
        <v>0</v>
      </c>
      <c r="H691" s="34">
        <v>20</v>
      </c>
      <c r="I691" s="34" t="s">
        <v>12</v>
      </c>
      <c r="J691" s="34">
        <v>1.2909999999999999</v>
      </c>
      <c r="K691" s="41">
        <v>2.6928000000000001</v>
      </c>
    </row>
    <row r="692" spans="1:11" ht="15.75" customHeight="1">
      <c r="A692" s="34" t="s">
        <v>22</v>
      </c>
      <c r="B692" s="34">
        <v>50</v>
      </c>
      <c r="C692" s="41">
        <v>0.49880000000000002</v>
      </c>
      <c r="D692" s="34">
        <v>7.2800000000000004E-2</v>
      </c>
      <c r="E692" s="34">
        <v>1.01E-3</v>
      </c>
      <c r="F692" s="34">
        <v>1000</v>
      </c>
      <c r="G692" s="42">
        <v>0</v>
      </c>
      <c r="H692" s="34">
        <v>20</v>
      </c>
      <c r="I692" s="34" t="s">
        <v>12</v>
      </c>
      <c r="J692" s="34">
        <v>1.2909999999999999</v>
      </c>
      <c r="K692" s="41">
        <v>2.8012000000000001</v>
      </c>
    </row>
    <row r="693" spans="1:11" ht="15.75" customHeight="1">
      <c r="A693" s="34" t="s">
        <v>22</v>
      </c>
      <c r="B693" s="34">
        <v>50</v>
      </c>
      <c r="C693" s="41">
        <v>0.59750000000000003</v>
      </c>
      <c r="D693" s="34">
        <v>7.2800000000000004E-2</v>
      </c>
      <c r="E693" s="34">
        <v>1.01E-3</v>
      </c>
      <c r="F693" s="34">
        <v>1000</v>
      </c>
      <c r="G693" s="42">
        <v>0</v>
      </c>
      <c r="H693" s="34">
        <v>20</v>
      </c>
      <c r="I693" s="34" t="s">
        <v>12</v>
      </c>
      <c r="J693" s="34">
        <v>1.2909999999999999</v>
      </c>
      <c r="K693" s="41">
        <v>2.8940999999999999</v>
      </c>
    </row>
    <row r="694" spans="1:11" ht="15.75" customHeight="1">
      <c r="A694" s="34" t="s">
        <v>22</v>
      </c>
      <c r="B694" s="34">
        <v>50</v>
      </c>
      <c r="C694" s="41">
        <v>0.79749999999999999</v>
      </c>
      <c r="D694" s="34">
        <v>7.2800000000000004E-2</v>
      </c>
      <c r="E694" s="34">
        <v>1.01E-3</v>
      </c>
      <c r="F694" s="34">
        <v>1000</v>
      </c>
      <c r="G694" s="42">
        <v>0</v>
      </c>
      <c r="H694" s="34">
        <v>20</v>
      </c>
      <c r="I694" s="34" t="s">
        <v>12</v>
      </c>
      <c r="J694" s="34">
        <v>1.2909999999999999</v>
      </c>
      <c r="K694" s="41">
        <v>3.0644999999999998</v>
      </c>
    </row>
    <row r="695" spans="1:11" ht="15.75" customHeight="1">
      <c r="A695" s="34" t="s">
        <v>22</v>
      </c>
      <c r="B695" s="34">
        <v>50</v>
      </c>
      <c r="C695" s="41">
        <v>1</v>
      </c>
      <c r="D695" s="34">
        <v>7.2800000000000004E-2</v>
      </c>
      <c r="E695" s="34">
        <v>1.01E-3</v>
      </c>
      <c r="F695" s="34">
        <v>1000</v>
      </c>
      <c r="G695" s="42">
        <v>0</v>
      </c>
      <c r="H695" s="34">
        <v>20</v>
      </c>
      <c r="I695" s="34" t="s">
        <v>12</v>
      </c>
      <c r="J695" s="34">
        <v>1.2909999999999999</v>
      </c>
      <c r="K695" s="41">
        <v>3.2193999999999998</v>
      </c>
    </row>
    <row r="696" spans="1:11" ht="15.75" customHeight="1">
      <c r="A696" s="34" t="s">
        <v>22</v>
      </c>
      <c r="B696" s="34">
        <v>80</v>
      </c>
      <c r="C696" s="41">
        <v>0.3</v>
      </c>
      <c r="D696" s="34">
        <v>7.2800000000000004E-2</v>
      </c>
      <c r="E696" s="34">
        <v>1.01E-3</v>
      </c>
      <c r="F696" s="34">
        <v>1000</v>
      </c>
      <c r="G696" s="42">
        <v>0</v>
      </c>
      <c r="H696" s="34">
        <v>20</v>
      </c>
      <c r="I696" s="34" t="s">
        <v>12</v>
      </c>
      <c r="J696" s="34">
        <v>1.2909999999999999</v>
      </c>
      <c r="K696" s="41">
        <v>2.8786999999999998</v>
      </c>
    </row>
    <row r="697" spans="1:11" ht="15.75" customHeight="1">
      <c r="A697" s="34" t="s">
        <v>22</v>
      </c>
      <c r="B697" s="34">
        <v>80</v>
      </c>
      <c r="C697" s="41">
        <v>0.4012</v>
      </c>
      <c r="D697" s="34">
        <v>7.2800000000000004E-2</v>
      </c>
      <c r="E697" s="34">
        <v>1.01E-3</v>
      </c>
      <c r="F697" s="34">
        <v>1000</v>
      </c>
      <c r="G697" s="42">
        <v>0</v>
      </c>
      <c r="H697" s="34">
        <v>20</v>
      </c>
      <c r="I697" s="34" t="s">
        <v>12</v>
      </c>
      <c r="J697" s="34">
        <v>1.2909999999999999</v>
      </c>
      <c r="K697" s="41">
        <v>2.9870999999999999</v>
      </c>
    </row>
    <row r="698" spans="1:11" ht="15.75" customHeight="1">
      <c r="A698" s="34" t="s">
        <v>22</v>
      </c>
      <c r="B698" s="34">
        <v>80</v>
      </c>
      <c r="C698" s="41">
        <v>0.50119999999999998</v>
      </c>
      <c r="D698" s="34">
        <v>7.2800000000000004E-2</v>
      </c>
      <c r="E698" s="34">
        <v>1.01E-3</v>
      </c>
      <c r="F698" s="34">
        <v>1000</v>
      </c>
      <c r="G698" s="42">
        <v>0</v>
      </c>
      <c r="H698" s="34">
        <v>20</v>
      </c>
      <c r="I698" s="34" t="s">
        <v>12</v>
      </c>
      <c r="J698" s="34">
        <v>1.2909999999999999</v>
      </c>
      <c r="K698" s="41">
        <v>3.1032999999999999</v>
      </c>
    </row>
    <row r="699" spans="1:11" ht="15.75" customHeight="1">
      <c r="A699" s="34" t="s">
        <v>22</v>
      </c>
      <c r="B699" s="34">
        <v>80</v>
      </c>
      <c r="C699" s="41">
        <v>0.5988</v>
      </c>
      <c r="D699" s="34">
        <v>7.2800000000000004E-2</v>
      </c>
      <c r="E699" s="34">
        <v>1.01E-3</v>
      </c>
      <c r="F699" s="34">
        <v>1000</v>
      </c>
      <c r="G699" s="42">
        <v>0</v>
      </c>
      <c r="H699" s="34">
        <v>20</v>
      </c>
      <c r="I699" s="34" t="s">
        <v>12</v>
      </c>
      <c r="J699" s="34">
        <v>1.2909999999999999</v>
      </c>
      <c r="K699" s="41">
        <v>3.1962000000000002</v>
      </c>
    </row>
    <row r="700" spans="1:11" ht="15.75" customHeight="1">
      <c r="A700" s="34" t="s">
        <v>22</v>
      </c>
      <c r="B700" s="34">
        <v>80</v>
      </c>
      <c r="C700" s="41">
        <v>0.80120000000000002</v>
      </c>
      <c r="D700" s="34">
        <v>7.2800000000000004E-2</v>
      </c>
      <c r="E700" s="34">
        <v>1.01E-3</v>
      </c>
      <c r="F700" s="34">
        <v>1000</v>
      </c>
      <c r="G700" s="42">
        <v>0</v>
      </c>
      <c r="H700" s="34">
        <v>20</v>
      </c>
      <c r="I700" s="34" t="s">
        <v>12</v>
      </c>
      <c r="J700" s="34">
        <v>1.2909999999999999</v>
      </c>
      <c r="K700" s="41">
        <v>3.2814000000000001</v>
      </c>
    </row>
    <row r="701" spans="1:11" ht="15.75" customHeight="1">
      <c r="A701" s="34" t="s">
        <v>22</v>
      </c>
      <c r="B701" s="34">
        <v>80</v>
      </c>
      <c r="C701" s="41">
        <v>1.0037</v>
      </c>
      <c r="D701" s="34">
        <v>7.2800000000000004E-2</v>
      </c>
      <c r="E701" s="34">
        <v>1.01E-3</v>
      </c>
      <c r="F701" s="34">
        <v>1000</v>
      </c>
      <c r="G701" s="42">
        <v>0</v>
      </c>
      <c r="H701" s="34">
        <v>20</v>
      </c>
      <c r="I701" s="34" t="s">
        <v>12</v>
      </c>
      <c r="J701" s="34">
        <v>1.2909999999999999</v>
      </c>
      <c r="K701" s="41">
        <v>3.4053</v>
      </c>
    </row>
    <row r="702" spans="1:11" ht="15.75" customHeight="1">
      <c r="A702" s="34" t="s">
        <v>22</v>
      </c>
      <c r="B702" s="34">
        <v>100</v>
      </c>
      <c r="C702" s="41">
        <v>0.29880000000000001</v>
      </c>
      <c r="D702" s="34">
        <v>7.2800000000000004E-2</v>
      </c>
      <c r="E702" s="34">
        <v>1.01E-3</v>
      </c>
      <c r="F702" s="34">
        <v>1000</v>
      </c>
      <c r="G702" s="42">
        <v>0</v>
      </c>
      <c r="H702" s="34">
        <v>20</v>
      </c>
      <c r="I702" s="34" t="s">
        <v>12</v>
      </c>
      <c r="J702" s="34">
        <v>1.2909999999999999</v>
      </c>
      <c r="K702" s="41">
        <v>3.1806999999999999</v>
      </c>
    </row>
    <row r="703" spans="1:11" ht="15.75" customHeight="1">
      <c r="A703" s="34" t="s">
        <v>22</v>
      </c>
      <c r="B703" s="34">
        <v>100</v>
      </c>
      <c r="C703" s="41">
        <v>0.4012</v>
      </c>
      <c r="D703" s="34">
        <v>7.2800000000000004E-2</v>
      </c>
      <c r="E703" s="34">
        <v>1.01E-3</v>
      </c>
      <c r="F703" s="34">
        <v>1000</v>
      </c>
      <c r="G703" s="42">
        <v>0</v>
      </c>
      <c r="H703" s="34">
        <v>20</v>
      </c>
      <c r="I703" s="34" t="s">
        <v>12</v>
      </c>
      <c r="J703" s="34">
        <v>1.2909999999999999</v>
      </c>
      <c r="K703" s="41">
        <v>3.2892000000000001</v>
      </c>
    </row>
    <row r="704" spans="1:11" ht="15.75" customHeight="1">
      <c r="A704" s="34" t="s">
        <v>22</v>
      </c>
      <c r="B704" s="34">
        <v>100</v>
      </c>
      <c r="C704" s="41">
        <v>0.50119999999999998</v>
      </c>
      <c r="D704" s="34">
        <v>7.2800000000000004E-2</v>
      </c>
      <c r="E704" s="34">
        <v>1.01E-3</v>
      </c>
      <c r="F704" s="34">
        <v>1000</v>
      </c>
      <c r="G704" s="42">
        <v>0</v>
      </c>
      <c r="H704" s="34">
        <v>20</v>
      </c>
      <c r="I704" s="34" t="s">
        <v>12</v>
      </c>
      <c r="J704" s="34">
        <v>1.2909999999999999</v>
      </c>
      <c r="K704" s="41">
        <v>3.3898000000000001</v>
      </c>
    </row>
    <row r="705" spans="1:11" ht="15.75" customHeight="1">
      <c r="A705" s="34" t="s">
        <v>22</v>
      </c>
      <c r="B705" s="34">
        <v>100</v>
      </c>
      <c r="C705" s="41">
        <v>0.5988</v>
      </c>
      <c r="D705" s="34">
        <v>7.2800000000000004E-2</v>
      </c>
      <c r="E705" s="34">
        <v>1.01E-3</v>
      </c>
      <c r="F705" s="34">
        <v>1000</v>
      </c>
      <c r="G705" s="42">
        <v>0</v>
      </c>
      <c r="H705" s="34">
        <v>20</v>
      </c>
      <c r="I705" s="34" t="s">
        <v>12</v>
      </c>
      <c r="J705" s="34">
        <v>1.2909999999999999</v>
      </c>
      <c r="K705" s="41">
        <v>3.3744000000000001</v>
      </c>
    </row>
    <row r="706" spans="1:11" ht="15.75" customHeight="1">
      <c r="A706" s="34" t="s">
        <v>22</v>
      </c>
      <c r="B706" s="34">
        <v>100</v>
      </c>
      <c r="C706" s="41">
        <v>0.8</v>
      </c>
      <c r="D706" s="34">
        <v>7.2800000000000004E-2</v>
      </c>
      <c r="E706" s="34">
        <v>1.01E-3</v>
      </c>
      <c r="F706" s="34">
        <v>1000</v>
      </c>
      <c r="G706" s="42">
        <v>0</v>
      </c>
      <c r="H706" s="34">
        <v>20</v>
      </c>
      <c r="I706" s="34" t="s">
        <v>12</v>
      </c>
      <c r="J706" s="34">
        <v>1.2909999999999999</v>
      </c>
      <c r="K706" s="41">
        <v>3.5990000000000002</v>
      </c>
    </row>
    <row r="707" spans="1:11" ht="15.75" customHeight="1">
      <c r="A707" s="34" t="s">
        <v>22</v>
      </c>
      <c r="B707" s="34">
        <v>100</v>
      </c>
      <c r="C707" s="41">
        <v>1.0012000000000001</v>
      </c>
      <c r="D707" s="34">
        <v>7.2800000000000004E-2</v>
      </c>
      <c r="E707" s="34">
        <v>1.01E-3</v>
      </c>
      <c r="F707" s="34">
        <v>1000</v>
      </c>
      <c r="G707" s="42">
        <v>0</v>
      </c>
      <c r="H707" s="34">
        <v>20</v>
      </c>
      <c r="I707" s="34" t="s">
        <v>12</v>
      </c>
      <c r="J707" s="34">
        <v>1.2909999999999999</v>
      </c>
      <c r="K707" s="41">
        <v>3.6764000000000001</v>
      </c>
    </row>
    <row r="708" spans="1:11" ht="15.75" customHeight="1">
      <c r="A708" s="34" t="s">
        <v>22</v>
      </c>
      <c r="B708" s="34">
        <v>120</v>
      </c>
      <c r="C708" s="41">
        <v>0.29749999999999999</v>
      </c>
      <c r="D708" s="34">
        <v>7.2800000000000004E-2</v>
      </c>
      <c r="E708" s="34">
        <v>1.01E-3</v>
      </c>
      <c r="F708" s="34">
        <v>1000</v>
      </c>
      <c r="G708" s="42">
        <v>0</v>
      </c>
      <c r="H708" s="34">
        <v>20</v>
      </c>
      <c r="I708" s="34" t="s">
        <v>12</v>
      </c>
      <c r="J708" s="34">
        <v>1.2909999999999999</v>
      </c>
      <c r="K708" s="41">
        <v>3.4904999999999999</v>
      </c>
    </row>
    <row r="709" spans="1:11" ht="15.75" customHeight="1">
      <c r="A709" s="34" t="s">
        <v>22</v>
      </c>
      <c r="B709" s="34">
        <v>120</v>
      </c>
      <c r="C709" s="41">
        <v>0.39750000000000002</v>
      </c>
      <c r="D709" s="34">
        <v>7.2800000000000004E-2</v>
      </c>
      <c r="E709" s="34">
        <v>1.01E-3</v>
      </c>
      <c r="F709" s="34">
        <v>1000</v>
      </c>
      <c r="G709" s="42">
        <v>0</v>
      </c>
      <c r="H709" s="34">
        <v>20</v>
      </c>
      <c r="I709" s="34" t="s">
        <v>12</v>
      </c>
      <c r="J709" s="34">
        <v>1.2909999999999999</v>
      </c>
      <c r="K709" s="41">
        <v>3.5834999999999999</v>
      </c>
    </row>
    <row r="710" spans="1:11" ht="15.75" customHeight="1">
      <c r="A710" s="34" t="s">
        <v>22</v>
      </c>
      <c r="B710" s="34">
        <v>120</v>
      </c>
      <c r="C710" s="41">
        <v>0.5</v>
      </c>
      <c r="D710" s="34">
        <v>7.2800000000000004E-2</v>
      </c>
      <c r="E710" s="34">
        <v>1.01E-3</v>
      </c>
      <c r="F710" s="34">
        <v>1000</v>
      </c>
      <c r="G710" s="42">
        <v>0</v>
      </c>
      <c r="H710" s="34">
        <v>20</v>
      </c>
      <c r="I710" s="34" t="s">
        <v>12</v>
      </c>
      <c r="J710" s="34">
        <v>1.2909999999999999</v>
      </c>
      <c r="K710" s="41">
        <v>3.5990000000000002</v>
      </c>
    </row>
    <row r="711" spans="1:11" ht="15.75" customHeight="1">
      <c r="A711" s="34" t="s">
        <v>22</v>
      </c>
      <c r="B711" s="34">
        <v>120</v>
      </c>
      <c r="C711" s="41">
        <v>0.5988</v>
      </c>
      <c r="D711" s="34">
        <v>7.2800000000000004E-2</v>
      </c>
      <c r="E711" s="34">
        <v>1.01E-3</v>
      </c>
      <c r="F711" s="34">
        <v>1000</v>
      </c>
      <c r="G711" s="42">
        <v>0</v>
      </c>
      <c r="H711" s="34">
        <v>20</v>
      </c>
      <c r="I711" s="34" t="s">
        <v>12</v>
      </c>
      <c r="J711" s="34">
        <v>1.2909999999999999</v>
      </c>
      <c r="K711" s="41">
        <v>3.7073999999999998</v>
      </c>
    </row>
    <row r="712" spans="1:11" ht="15.75" customHeight="1">
      <c r="A712" s="34" t="s">
        <v>22</v>
      </c>
      <c r="B712" s="34">
        <v>120</v>
      </c>
      <c r="C712" s="41">
        <v>0.80120000000000002</v>
      </c>
      <c r="D712" s="34">
        <v>7.2800000000000004E-2</v>
      </c>
      <c r="E712" s="34">
        <v>1.01E-3</v>
      </c>
      <c r="F712" s="34">
        <v>1000</v>
      </c>
      <c r="G712" s="42">
        <v>0</v>
      </c>
      <c r="H712" s="34">
        <v>20</v>
      </c>
      <c r="I712" s="34" t="s">
        <v>12</v>
      </c>
      <c r="J712" s="34">
        <v>1.2909999999999999</v>
      </c>
      <c r="K712" s="41">
        <v>3.8003</v>
      </c>
    </row>
    <row r="713" spans="1:11" ht="15.75" customHeight="1">
      <c r="A713" s="34" t="s">
        <v>22</v>
      </c>
      <c r="B713" s="34">
        <v>120</v>
      </c>
      <c r="C713" s="41">
        <v>1.0012000000000001</v>
      </c>
      <c r="D713" s="34">
        <v>7.2800000000000004E-2</v>
      </c>
      <c r="E713" s="34">
        <v>1.01E-3</v>
      </c>
      <c r="F713" s="34">
        <v>1000</v>
      </c>
      <c r="G713" s="42">
        <v>0</v>
      </c>
      <c r="H713" s="34">
        <v>20</v>
      </c>
      <c r="I713" s="34" t="s">
        <v>12</v>
      </c>
      <c r="J713" s="34">
        <v>1.2909999999999999</v>
      </c>
      <c r="K713" s="41">
        <v>3.9087999999999998</v>
      </c>
    </row>
    <row r="714" spans="1:11" ht="15.75" customHeight="1">
      <c r="A714" s="34" t="s">
        <v>22</v>
      </c>
      <c r="B714" s="34">
        <v>150</v>
      </c>
      <c r="C714" s="41">
        <v>0.3</v>
      </c>
      <c r="D714" s="34">
        <v>7.2800000000000004E-2</v>
      </c>
      <c r="E714" s="34">
        <v>1.01E-3</v>
      </c>
      <c r="F714" s="34">
        <v>1000</v>
      </c>
      <c r="G714" s="42">
        <v>0</v>
      </c>
      <c r="H714" s="34">
        <v>20</v>
      </c>
      <c r="I714" s="34" t="s">
        <v>12</v>
      </c>
      <c r="J714" s="34">
        <v>1.2909999999999999</v>
      </c>
      <c r="K714" s="41">
        <v>3.9087999999999998</v>
      </c>
    </row>
    <row r="715" spans="1:11" ht="15.75" customHeight="1">
      <c r="A715" s="34" t="s">
        <v>22</v>
      </c>
      <c r="B715" s="34">
        <v>150</v>
      </c>
      <c r="C715" s="41">
        <v>0.39750000000000002</v>
      </c>
      <c r="D715" s="34">
        <v>7.2800000000000004E-2</v>
      </c>
      <c r="E715" s="34">
        <v>1.01E-3</v>
      </c>
      <c r="F715" s="34">
        <v>1000</v>
      </c>
      <c r="G715" s="42">
        <v>0</v>
      </c>
      <c r="H715" s="34">
        <v>20</v>
      </c>
      <c r="I715" s="34" t="s">
        <v>12</v>
      </c>
      <c r="J715" s="34">
        <v>1.2909999999999999</v>
      </c>
      <c r="K715" s="41">
        <v>3.9398</v>
      </c>
    </row>
    <row r="716" spans="1:11" ht="15.75" customHeight="1">
      <c r="A716" s="34" t="s">
        <v>22</v>
      </c>
      <c r="B716" s="34">
        <v>150</v>
      </c>
      <c r="C716" s="41">
        <v>0.5</v>
      </c>
      <c r="D716" s="34">
        <v>7.2800000000000004E-2</v>
      </c>
      <c r="E716" s="34">
        <v>1.01E-3</v>
      </c>
      <c r="F716" s="34">
        <v>1000</v>
      </c>
      <c r="G716" s="42">
        <v>0</v>
      </c>
      <c r="H716" s="34">
        <v>20</v>
      </c>
      <c r="I716" s="34" t="s">
        <v>12</v>
      </c>
      <c r="J716" s="34">
        <v>1.2909999999999999</v>
      </c>
      <c r="K716" s="41">
        <v>4.0171999999999999</v>
      </c>
    </row>
    <row r="717" spans="1:11" ht="15.75" customHeight="1">
      <c r="A717" s="34" t="s">
        <v>22</v>
      </c>
      <c r="B717" s="34">
        <v>150</v>
      </c>
      <c r="C717" s="41">
        <v>0.5988</v>
      </c>
      <c r="D717" s="34">
        <v>7.2800000000000004E-2</v>
      </c>
      <c r="E717" s="34">
        <v>1.01E-3</v>
      </c>
      <c r="F717" s="34">
        <v>1000</v>
      </c>
      <c r="G717" s="42">
        <v>0</v>
      </c>
      <c r="H717" s="34">
        <v>20</v>
      </c>
      <c r="I717" s="34" t="s">
        <v>12</v>
      </c>
      <c r="J717" s="34">
        <v>1.2909999999999999</v>
      </c>
      <c r="K717" s="41">
        <v>4.0404</v>
      </c>
    </row>
    <row r="718" spans="1:11" ht="15.75" customHeight="1">
      <c r="A718" s="34" t="s">
        <v>22</v>
      </c>
      <c r="B718" s="34">
        <v>150</v>
      </c>
      <c r="C718" s="41">
        <v>0.8</v>
      </c>
      <c r="D718" s="34">
        <v>7.2800000000000004E-2</v>
      </c>
      <c r="E718" s="34">
        <v>1.01E-3</v>
      </c>
      <c r="F718" s="34">
        <v>1000</v>
      </c>
      <c r="G718" s="42">
        <v>0</v>
      </c>
      <c r="H718" s="34">
        <v>20</v>
      </c>
      <c r="I718" s="34" t="s">
        <v>12</v>
      </c>
      <c r="J718" s="34">
        <v>1.2909999999999999</v>
      </c>
      <c r="K718" s="41">
        <v>4.1024000000000003</v>
      </c>
    </row>
    <row r="719" spans="1:11" ht="15.75" customHeight="1">
      <c r="A719" s="34" t="s">
        <v>22</v>
      </c>
      <c r="B719" s="34">
        <v>150</v>
      </c>
      <c r="C719" s="41">
        <v>1.0012000000000001</v>
      </c>
      <c r="D719" s="34">
        <v>7.2800000000000004E-2</v>
      </c>
      <c r="E719" s="34">
        <v>1.01E-3</v>
      </c>
      <c r="F719" s="34">
        <v>1000</v>
      </c>
      <c r="G719" s="42">
        <v>0</v>
      </c>
      <c r="H719" s="34">
        <v>20</v>
      </c>
      <c r="I719" s="34" t="s">
        <v>12</v>
      </c>
      <c r="J719" s="34">
        <v>1.2909999999999999</v>
      </c>
      <c r="K719" s="41">
        <v>4.1875999999999998</v>
      </c>
    </row>
    <row r="720" spans="1:11" ht="15.75" customHeight="1">
      <c r="A720" s="34" t="s">
        <v>22</v>
      </c>
      <c r="B720" s="34">
        <v>200</v>
      </c>
      <c r="C720" s="41">
        <v>0.29630000000000001</v>
      </c>
      <c r="D720" s="34">
        <v>7.2800000000000004E-2</v>
      </c>
      <c r="E720" s="34">
        <v>1.01E-3</v>
      </c>
      <c r="F720" s="34">
        <v>1000</v>
      </c>
      <c r="G720" s="42">
        <v>0</v>
      </c>
      <c r="H720" s="34">
        <v>20</v>
      </c>
      <c r="I720" s="34" t="s">
        <v>12</v>
      </c>
      <c r="J720" s="34">
        <v>1.2909999999999999</v>
      </c>
      <c r="K720" s="41">
        <v>4.3811999999999998</v>
      </c>
    </row>
    <row r="721" spans="1:11" ht="15.75" customHeight="1">
      <c r="A721" s="34" t="s">
        <v>22</v>
      </c>
      <c r="B721" s="34">
        <v>200</v>
      </c>
      <c r="C721" s="41">
        <v>0.39879999999999999</v>
      </c>
      <c r="D721" s="34">
        <v>7.2800000000000004E-2</v>
      </c>
      <c r="E721" s="34">
        <v>1.01E-3</v>
      </c>
      <c r="F721" s="34">
        <v>1000</v>
      </c>
      <c r="G721" s="42">
        <v>0</v>
      </c>
      <c r="H721" s="34">
        <v>20</v>
      </c>
      <c r="I721" s="34" t="s">
        <v>12</v>
      </c>
      <c r="J721" s="34">
        <v>1.2909999999999999</v>
      </c>
      <c r="K721" s="41">
        <v>4.42</v>
      </c>
    </row>
    <row r="722" spans="1:11" ht="15.75" customHeight="1">
      <c r="A722" s="34" t="s">
        <v>22</v>
      </c>
      <c r="B722" s="34">
        <v>200</v>
      </c>
      <c r="C722" s="41">
        <v>0.49880000000000002</v>
      </c>
      <c r="D722" s="34">
        <v>7.2800000000000004E-2</v>
      </c>
      <c r="E722" s="34">
        <v>1.01E-3</v>
      </c>
      <c r="F722" s="34">
        <v>1000</v>
      </c>
      <c r="G722" s="42">
        <v>0</v>
      </c>
      <c r="H722" s="34">
        <v>20</v>
      </c>
      <c r="I722" s="34" t="s">
        <v>12</v>
      </c>
      <c r="J722" s="34">
        <v>1.2909999999999999</v>
      </c>
      <c r="K722" s="41">
        <v>4.4897</v>
      </c>
    </row>
    <row r="723" spans="1:11" ht="15.75" customHeight="1">
      <c r="A723" s="34" t="s">
        <v>22</v>
      </c>
      <c r="B723" s="34">
        <v>200</v>
      </c>
      <c r="C723" s="41">
        <v>0.59750000000000003</v>
      </c>
      <c r="D723" s="34">
        <v>7.2800000000000004E-2</v>
      </c>
      <c r="E723" s="34">
        <v>1.01E-3</v>
      </c>
      <c r="F723" s="34">
        <v>1000</v>
      </c>
      <c r="G723" s="42">
        <v>0</v>
      </c>
      <c r="H723" s="34">
        <v>20</v>
      </c>
      <c r="I723" s="34" t="s">
        <v>12</v>
      </c>
      <c r="J723" s="34">
        <v>1.2909999999999999</v>
      </c>
      <c r="K723" s="41">
        <v>4.5438999999999998</v>
      </c>
    </row>
    <row r="724" spans="1:11" ht="15.75" customHeight="1">
      <c r="A724" s="34" t="s">
        <v>22</v>
      </c>
      <c r="B724" s="34">
        <v>200</v>
      </c>
      <c r="C724" s="41">
        <v>0.8</v>
      </c>
      <c r="D724" s="34">
        <v>7.2800000000000004E-2</v>
      </c>
      <c r="E724" s="34">
        <v>1.01E-3</v>
      </c>
      <c r="F724" s="34">
        <v>1000</v>
      </c>
      <c r="G724" s="42">
        <v>0</v>
      </c>
      <c r="H724" s="34">
        <v>20</v>
      </c>
      <c r="I724" s="34" t="s">
        <v>12</v>
      </c>
      <c r="J724" s="34">
        <v>1.2909999999999999</v>
      </c>
      <c r="K724" s="41">
        <v>4.5980999999999996</v>
      </c>
    </row>
    <row r="725" spans="1:11" ht="15.75" customHeight="1">
      <c r="A725" s="34" t="s">
        <v>22</v>
      </c>
      <c r="B725" s="34">
        <v>200</v>
      </c>
      <c r="C725" s="41">
        <v>1</v>
      </c>
      <c r="D725" s="34">
        <v>7.2800000000000004E-2</v>
      </c>
      <c r="E725" s="34">
        <v>1.01E-3</v>
      </c>
      <c r="F725" s="34">
        <v>1000</v>
      </c>
      <c r="G725" s="42">
        <v>0</v>
      </c>
      <c r="H725" s="34">
        <v>20</v>
      </c>
      <c r="I725" s="34" t="s">
        <v>12</v>
      </c>
      <c r="J725" s="34">
        <v>1.2909999999999999</v>
      </c>
      <c r="K725" s="41">
        <v>4.6833</v>
      </c>
    </row>
    <row r="726" spans="1:11" ht="15.75" customHeight="1">
      <c r="A726" s="34" t="s">
        <v>22</v>
      </c>
      <c r="B726" s="34">
        <v>50</v>
      </c>
      <c r="C726" s="41">
        <v>0.29720000000000002</v>
      </c>
      <c r="D726" s="34">
        <v>7.2800000000000004E-2</v>
      </c>
      <c r="E726" s="34">
        <v>1.01E-3</v>
      </c>
      <c r="F726" s="34">
        <v>1000</v>
      </c>
      <c r="G726" s="42">
        <v>0</v>
      </c>
      <c r="H726" s="34">
        <v>20</v>
      </c>
      <c r="I726" s="34" t="s">
        <v>12</v>
      </c>
      <c r="J726" s="34">
        <v>1.2909999999999999</v>
      </c>
      <c r="K726" s="41">
        <v>2.4855</v>
      </c>
    </row>
    <row r="727" spans="1:11" ht="15.75" customHeight="1">
      <c r="A727" s="34" t="s">
        <v>22</v>
      </c>
      <c r="B727" s="34">
        <v>50</v>
      </c>
      <c r="C727" s="41">
        <v>0.39939999999999998</v>
      </c>
      <c r="D727" s="34">
        <v>7.2800000000000004E-2</v>
      </c>
      <c r="E727" s="34">
        <v>1.01E-3</v>
      </c>
      <c r="F727" s="34">
        <v>1000</v>
      </c>
      <c r="G727" s="42">
        <v>0</v>
      </c>
      <c r="H727" s="34">
        <v>20</v>
      </c>
      <c r="I727" s="34" t="s">
        <v>12</v>
      </c>
      <c r="J727" s="34">
        <v>1.2909999999999999</v>
      </c>
      <c r="K727" s="41">
        <v>2.5941999999999998</v>
      </c>
    </row>
    <row r="728" spans="1:11" ht="15.75" customHeight="1">
      <c r="A728" s="34" t="s">
        <v>22</v>
      </c>
      <c r="B728" s="34">
        <v>50</v>
      </c>
      <c r="C728" s="41">
        <v>0.50039999999999996</v>
      </c>
      <c r="D728" s="34">
        <v>7.2800000000000004E-2</v>
      </c>
      <c r="E728" s="34">
        <v>1.01E-3</v>
      </c>
      <c r="F728" s="34">
        <v>1000</v>
      </c>
      <c r="G728" s="42">
        <v>0</v>
      </c>
      <c r="H728" s="34">
        <v>20</v>
      </c>
      <c r="I728" s="34" t="s">
        <v>12</v>
      </c>
      <c r="J728" s="34">
        <v>1.2909999999999999</v>
      </c>
      <c r="K728" s="41">
        <v>2.6812</v>
      </c>
    </row>
    <row r="729" spans="1:11" ht="15.75" customHeight="1">
      <c r="A729" s="34" t="s">
        <v>22</v>
      </c>
      <c r="B729" s="34">
        <v>50</v>
      </c>
      <c r="C729" s="41">
        <v>0.60260000000000002</v>
      </c>
      <c r="D729" s="34">
        <v>7.2800000000000004E-2</v>
      </c>
      <c r="E729" s="34">
        <v>1.01E-3</v>
      </c>
      <c r="F729" s="34">
        <v>1000</v>
      </c>
      <c r="G729" s="42">
        <v>0</v>
      </c>
      <c r="H729" s="34">
        <v>20</v>
      </c>
      <c r="I729" s="34" t="s">
        <v>12</v>
      </c>
      <c r="J729" s="34">
        <v>1.2909999999999999</v>
      </c>
      <c r="K729" s="41">
        <v>2.7391000000000001</v>
      </c>
    </row>
    <row r="730" spans="1:11" ht="15.75" customHeight="1">
      <c r="A730" s="34" t="s">
        <v>22</v>
      </c>
      <c r="B730" s="34">
        <v>50</v>
      </c>
      <c r="C730" s="41">
        <v>0.80210000000000004</v>
      </c>
      <c r="D730" s="34">
        <v>7.2800000000000004E-2</v>
      </c>
      <c r="E730" s="34">
        <v>1.01E-3</v>
      </c>
      <c r="F730" s="34">
        <v>1000</v>
      </c>
      <c r="G730" s="42">
        <v>0</v>
      </c>
      <c r="H730" s="34">
        <v>20</v>
      </c>
      <c r="I730" s="34" t="s">
        <v>12</v>
      </c>
      <c r="J730" s="34">
        <v>1.2909999999999999</v>
      </c>
      <c r="K730" s="41">
        <v>2.9275000000000002</v>
      </c>
    </row>
    <row r="731" spans="1:11" ht="15.75" customHeight="1">
      <c r="A731" s="34" t="s">
        <v>22</v>
      </c>
      <c r="B731" s="34">
        <v>50</v>
      </c>
      <c r="C731" s="41">
        <v>1.0003</v>
      </c>
      <c r="D731" s="34">
        <v>7.2800000000000004E-2</v>
      </c>
      <c r="E731" s="34">
        <v>1.01E-3</v>
      </c>
      <c r="F731" s="34">
        <v>1000</v>
      </c>
      <c r="G731" s="42">
        <v>0</v>
      </c>
      <c r="H731" s="34">
        <v>20</v>
      </c>
      <c r="I731" s="34" t="s">
        <v>12</v>
      </c>
      <c r="J731" s="34">
        <v>1.2909999999999999</v>
      </c>
      <c r="K731" s="41">
        <v>2.9782999999999999</v>
      </c>
    </row>
    <row r="732" spans="1:11" ht="15.75" customHeight="1">
      <c r="A732" s="34" t="s">
        <v>22</v>
      </c>
      <c r="B732" s="34">
        <v>80</v>
      </c>
      <c r="C732" s="41">
        <v>0.29599999999999999</v>
      </c>
      <c r="D732" s="34">
        <v>7.2800000000000004E-2</v>
      </c>
      <c r="E732" s="34">
        <v>1.01E-3</v>
      </c>
      <c r="F732" s="34">
        <v>1000</v>
      </c>
      <c r="G732" s="42">
        <v>0</v>
      </c>
      <c r="H732" s="34">
        <v>20</v>
      </c>
      <c r="I732" s="34" t="s">
        <v>12</v>
      </c>
      <c r="J732" s="34">
        <v>1.2909999999999999</v>
      </c>
      <c r="K732" s="41">
        <v>2.7898999999999998</v>
      </c>
    </row>
    <row r="733" spans="1:11" ht="15.75" customHeight="1">
      <c r="A733" s="34" t="s">
        <v>22</v>
      </c>
      <c r="B733" s="34">
        <v>80</v>
      </c>
      <c r="C733" s="41">
        <v>0.3982</v>
      </c>
      <c r="D733" s="34">
        <v>7.2800000000000004E-2</v>
      </c>
      <c r="E733" s="34">
        <v>1.01E-3</v>
      </c>
      <c r="F733" s="34">
        <v>1000</v>
      </c>
      <c r="G733" s="42">
        <v>0</v>
      </c>
      <c r="H733" s="34">
        <v>20</v>
      </c>
      <c r="I733" s="34" t="s">
        <v>12</v>
      </c>
      <c r="J733" s="34">
        <v>1.2909999999999999</v>
      </c>
      <c r="K733" s="41">
        <v>2.8767999999999998</v>
      </c>
    </row>
    <row r="734" spans="1:11" ht="15.75" customHeight="1">
      <c r="A734" s="34" t="s">
        <v>22</v>
      </c>
      <c r="B734" s="34">
        <v>80</v>
      </c>
      <c r="C734" s="41">
        <v>0.50039999999999996</v>
      </c>
      <c r="D734" s="34">
        <v>7.2800000000000004E-2</v>
      </c>
      <c r="E734" s="34">
        <v>1.01E-3</v>
      </c>
      <c r="F734" s="34">
        <v>1000</v>
      </c>
      <c r="G734" s="42">
        <v>0</v>
      </c>
      <c r="H734" s="34">
        <v>20</v>
      </c>
      <c r="I734" s="34" t="s">
        <v>12</v>
      </c>
      <c r="J734" s="34">
        <v>1.2909999999999999</v>
      </c>
      <c r="K734" s="41">
        <v>2.8913000000000002</v>
      </c>
    </row>
    <row r="735" spans="1:11" ht="15.75" customHeight="1">
      <c r="A735" s="34" t="s">
        <v>22</v>
      </c>
      <c r="B735" s="34">
        <v>80</v>
      </c>
      <c r="C735" s="41">
        <v>0.60009999999999997</v>
      </c>
      <c r="D735" s="34">
        <v>7.2800000000000004E-2</v>
      </c>
      <c r="E735" s="34">
        <v>1.01E-3</v>
      </c>
      <c r="F735" s="34">
        <v>1000</v>
      </c>
      <c r="G735" s="42">
        <v>0</v>
      </c>
      <c r="H735" s="34">
        <v>20</v>
      </c>
      <c r="I735" s="34" t="s">
        <v>12</v>
      </c>
      <c r="J735" s="34">
        <v>1.2909999999999999</v>
      </c>
      <c r="K735" s="41">
        <v>2.9855</v>
      </c>
    </row>
    <row r="736" spans="1:11" ht="15.75" customHeight="1">
      <c r="A736" s="34" t="s">
        <v>22</v>
      </c>
      <c r="B736" s="34">
        <v>80</v>
      </c>
      <c r="C736" s="41">
        <v>0.79959999999999998</v>
      </c>
      <c r="D736" s="34">
        <v>7.2800000000000004E-2</v>
      </c>
      <c r="E736" s="34">
        <v>1.01E-3</v>
      </c>
      <c r="F736" s="34">
        <v>1000</v>
      </c>
      <c r="G736" s="42">
        <v>0</v>
      </c>
      <c r="H736" s="34">
        <v>20</v>
      </c>
      <c r="I736" s="34" t="s">
        <v>12</v>
      </c>
      <c r="J736" s="34">
        <v>1.2909999999999999</v>
      </c>
      <c r="K736" s="41">
        <v>3.0796999999999999</v>
      </c>
    </row>
    <row r="737" spans="1:11" ht="15.75" customHeight="1">
      <c r="A737" s="34" t="s">
        <v>22</v>
      </c>
      <c r="B737" s="34">
        <v>80</v>
      </c>
      <c r="C737" s="41">
        <v>1.0015000000000001</v>
      </c>
      <c r="D737" s="34">
        <v>7.2800000000000004E-2</v>
      </c>
      <c r="E737" s="34">
        <v>1.01E-3</v>
      </c>
      <c r="F737" s="34">
        <v>1000</v>
      </c>
      <c r="G737" s="42">
        <v>0</v>
      </c>
      <c r="H737" s="34">
        <v>20</v>
      </c>
      <c r="I737" s="34" t="s">
        <v>12</v>
      </c>
      <c r="J737" s="34">
        <v>1.2909999999999999</v>
      </c>
      <c r="K737" s="41">
        <v>3.1957</v>
      </c>
    </row>
    <row r="738" spans="1:11" ht="15.75" customHeight="1">
      <c r="A738" s="34" t="s">
        <v>22</v>
      </c>
      <c r="B738" s="34">
        <v>100</v>
      </c>
      <c r="C738" s="41">
        <v>0.29849999999999999</v>
      </c>
      <c r="D738" s="34">
        <v>7.2800000000000004E-2</v>
      </c>
      <c r="E738" s="34">
        <v>1.01E-3</v>
      </c>
      <c r="F738" s="34">
        <v>1000</v>
      </c>
      <c r="G738" s="42">
        <v>0</v>
      </c>
      <c r="H738" s="34">
        <v>20</v>
      </c>
      <c r="I738" s="34" t="s">
        <v>12</v>
      </c>
      <c r="J738" s="34">
        <v>1.2909999999999999</v>
      </c>
      <c r="K738" s="41">
        <v>3.0941999999999998</v>
      </c>
    </row>
    <row r="739" spans="1:11" ht="15.75" customHeight="1">
      <c r="A739" s="34" t="s">
        <v>22</v>
      </c>
      <c r="B739" s="34">
        <v>100</v>
      </c>
      <c r="C739" s="41">
        <v>0.3982</v>
      </c>
      <c r="D739" s="34">
        <v>7.2800000000000004E-2</v>
      </c>
      <c r="E739" s="34">
        <v>1.01E-3</v>
      </c>
      <c r="F739" s="34">
        <v>1000</v>
      </c>
      <c r="G739" s="42">
        <v>0</v>
      </c>
      <c r="H739" s="34">
        <v>20</v>
      </c>
      <c r="I739" s="34" t="s">
        <v>12</v>
      </c>
      <c r="J739" s="34">
        <v>1.2909999999999999</v>
      </c>
      <c r="K739" s="41">
        <v>3.1884000000000001</v>
      </c>
    </row>
    <row r="740" spans="1:11" ht="15.75" customHeight="1">
      <c r="A740" s="34" t="s">
        <v>22</v>
      </c>
      <c r="B740" s="34">
        <v>100</v>
      </c>
      <c r="C740" s="41">
        <v>0.49919999999999998</v>
      </c>
      <c r="D740" s="34">
        <v>7.2800000000000004E-2</v>
      </c>
      <c r="E740" s="34">
        <v>1.01E-3</v>
      </c>
      <c r="F740" s="34">
        <v>1000</v>
      </c>
      <c r="G740" s="42">
        <v>0</v>
      </c>
      <c r="H740" s="34">
        <v>20</v>
      </c>
      <c r="I740" s="34" t="s">
        <v>12</v>
      </c>
      <c r="J740" s="34">
        <v>1.2909999999999999</v>
      </c>
      <c r="K740" s="41">
        <v>3.1957</v>
      </c>
    </row>
    <row r="741" spans="1:11" ht="15.75" customHeight="1">
      <c r="A741" s="34" t="s">
        <v>22</v>
      </c>
      <c r="B741" s="34">
        <v>100</v>
      </c>
      <c r="C741" s="41">
        <v>0.60009999999999997</v>
      </c>
      <c r="D741" s="34">
        <v>7.2800000000000004E-2</v>
      </c>
      <c r="E741" s="34">
        <v>1.01E-3</v>
      </c>
      <c r="F741" s="34">
        <v>1000</v>
      </c>
      <c r="G741" s="42">
        <v>0</v>
      </c>
      <c r="H741" s="34">
        <v>20</v>
      </c>
      <c r="I741" s="34" t="s">
        <v>12</v>
      </c>
      <c r="J741" s="34">
        <v>1.2909999999999999</v>
      </c>
      <c r="K741" s="41">
        <v>3.2898999999999998</v>
      </c>
    </row>
    <row r="742" spans="1:11" ht="15.75" customHeight="1">
      <c r="A742" s="34" t="s">
        <v>22</v>
      </c>
      <c r="B742" s="34">
        <v>100</v>
      </c>
      <c r="C742" s="41">
        <v>0.79830000000000001</v>
      </c>
      <c r="D742" s="34">
        <v>7.2800000000000004E-2</v>
      </c>
      <c r="E742" s="34">
        <v>1.01E-3</v>
      </c>
      <c r="F742" s="34">
        <v>1000</v>
      </c>
      <c r="G742" s="42">
        <v>0</v>
      </c>
      <c r="H742" s="34">
        <v>20</v>
      </c>
      <c r="I742" s="34" t="s">
        <v>12</v>
      </c>
      <c r="J742" s="34">
        <v>1.2909999999999999</v>
      </c>
      <c r="K742" s="41">
        <v>3.3767999999999998</v>
      </c>
    </row>
    <row r="743" spans="1:11" ht="15.75" customHeight="1">
      <c r="A743" s="34" t="s">
        <v>22</v>
      </c>
      <c r="B743" s="34">
        <v>100</v>
      </c>
      <c r="C743" s="41">
        <v>1.0003</v>
      </c>
      <c r="D743" s="34">
        <v>7.2800000000000004E-2</v>
      </c>
      <c r="E743" s="34">
        <v>1.01E-3</v>
      </c>
      <c r="F743" s="34">
        <v>1000</v>
      </c>
      <c r="G743" s="42">
        <v>0</v>
      </c>
      <c r="H743" s="34">
        <v>20</v>
      </c>
      <c r="I743" s="34" t="s">
        <v>12</v>
      </c>
      <c r="J743" s="34">
        <v>1.2909999999999999</v>
      </c>
      <c r="K743" s="41">
        <v>3.4855</v>
      </c>
    </row>
    <row r="744" spans="1:11" ht="15.75" customHeight="1">
      <c r="A744" s="34" t="s">
        <v>22</v>
      </c>
      <c r="B744" s="34">
        <v>120</v>
      </c>
      <c r="C744" s="41">
        <v>0.29849999999999999</v>
      </c>
      <c r="D744" s="34">
        <v>7.2800000000000004E-2</v>
      </c>
      <c r="E744" s="34">
        <v>1.01E-3</v>
      </c>
      <c r="F744" s="34">
        <v>1000</v>
      </c>
      <c r="G744" s="42">
        <v>0</v>
      </c>
      <c r="H744" s="34">
        <v>20</v>
      </c>
      <c r="I744" s="34" t="s">
        <v>12</v>
      </c>
      <c r="J744" s="34">
        <v>1.2909999999999999</v>
      </c>
      <c r="K744" s="41">
        <v>3.3841000000000001</v>
      </c>
    </row>
    <row r="745" spans="1:11" ht="15.75" customHeight="1">
      <c r="A745" s="34" t="s">
        <v>22</v>
      </c>
      <c r="B745" s="34">
        <v>120</v>
      </c>
      <c r="C745" s="41">
        <v>0.39939999999999998</v>
      </c>
      <c r="D745" s="34">
        <v>7.2800000000000004E-2</v>
      </c>
      <c r="E745" s="34">
        <v>1.01E-3</v>
      </c>
      <c r="F745" s="34">
        <v>1000</v>
      </c>
      <c r="G745" s="42">
        <v>0</v>
      </c>
      <c r="H745" s="34">
        <v>20</v>
      </c>
      <c r="I745" s="34" t="s">
        <v>12</v>
      </c>
      <c r="J745" s="34">
        <v>1.2909999999999999</v>
      </c>
      <c r="K745" s="41">
        <v>3.3841000000000001</v>
      </c>
    </row>
    <row r="746" spans="1:11" ht="15.75" customHeight="1">
      <c r="A746" s="34" t="s">
        <v>22</v>
      </c>
      <c r="B746" s="34">
        <v>120</v>
      </c>
      <c r="C746" s="41">
        <v>0.49790000000000001</v>
      </c>
      <c r="D746" s="34">
        <v>7.2800000000000004E-2</v>
      </c>
      <c r="E746" s="34">
        <v>1.01E-3</v>
      </c>
      <c r="F746" s="34">
        <v>1000</v>
      </c>
      <c r="G746" s="42">
        <v>0</v>
      </c>
      <c r="H746" s="34">
        <v>20</v>
      </c>
      <c r="I746" s="34" t="s">
        <v>12</v>
      </c>
      <c r="J746" s="34">
        <v>1.2909999999999999</v>
      </c>
      <c r="K746" s="41">
        <v>3.4855</v>
      </c>
    </row>
    <row r="747" spans="1:11" ht="15.75" customHeight="1">
      <c r="A747" s="34" t="s">
        <v>22</v>
      </c>
      <c r="B747" s="34">
        <v>120</v>
      </c>
      <c r="C747" s="41">
        <v>0.59760000000000002</v>
      </c>
      <c r="D747" s="34">
        <v>7.2800000000000004E-2</v>
      </c>
      <c r="E747" s="34">
        <v>1.01E-3</v>
      </c>
      <c r="F747" s="34">
        <v>1000</v>
      </c>
      <c r="G747" s="42">
        <v>0</v>
      </c>
      <c r="H747" s="34">
        <v>20</v>
      </c>
      <c r="I747" s="34" t="s">
        <v>12</v>
      </c>
      <c r="J747" s="34">
        <v>1.2909999999999999</v>
      </c>
      <c r="K747" s="41">
        <v>3.4855</v>
      </c>
    </row>
    <row r="748" spans="1:11" ht="15.75" customHeight="1">
      <c r="A748" s="34" t="s">
        <v>22</v>
      </c>
      <c r="B748" s="34">
        <v>120</v>
      </c>
      <c r="C748" s="41">
        <v>0.79959999999999998</v>
      </c>
      <c r="D748" s="34">
        <v>7.2800000000000004E-2</v>
      </c>
      <c r="E748" s="34">
        <v>1.01E-3</v>
      </c>
      <c r="F748" s="34">
        <v>1000</v>
      </c>
      <c r="G748" s="42">
        <v>0</v>
      </c>
      <c r="H748" s="34">
        <v>20</v>
      </c>
      <c r="I748" s="34" t="s">
        <v>12</v>
      </c>
      <c r="J748" s="34">
        <v>1.2909999999999999</v>
      </c>
      <c r="K748" s="41">
        <v>3.5870000000000002</v>
      </c>
    </row>
    <row r="749" spans="1:11" ht="15.75" customHeight="1">
      <c r="A749" s="34" t="s">
        <v>22</v>
      </c>
      <c r="B749" s="34">
        <v>120</v>
      </c>
      <c r="C749" s="41">
        <v>1.0015000000000001</v>
      </c>
      <c r="D749" s="34">
        <v>7.2800000000000004E-2</v>
      </c>
      <c r="E749" s="34">
        <v>1.01E-3</v>
      </c>
      <c r="F749" s="34">
        <v>1000</v>
      </c>
      <c r="G749" s="42">
        <v>0</v>
      </c>
      <c r="H749" s="34">
        <v>20</v>
      </c>
      <c r="I749" s="34" t="s">
        <v>12</v>
      </c>
      <c r="J749" s="34">
        <v>1.2909999999999999</v>
      </c>
      <c r="K749" s="41">
        <v>3.7101000000000002</v>
      </c>
    </row>
    <row r="750" spans="1:11" ht="15.75" customHeight="1">
      <c r="A750" s="34" t="s">
        <v>22</v>
      </c>
      <c r="B750" s="34">
        <v>150</v>
      </c>
      <c r="C750" s="41">
        <v>0.29849999999999999</v>
      </c>
      <c r="D750" s="34">
        <v>7.2800000000000004E-2</v>
      </c>
      <c r="E750" s="34">
        <v>1.01E-3</v>
      </c>
      <c r="F750" s="34">
        <v>1000</v>
      </c>
      <c r="G750" s="42">
        <v>0</v>
      </c>
      <c r="H750" s="34">
        <v>20</v>
      </c>
      <c r="I750" s="34" t="s">
        <v>12</v>
      </c>
      <c r="J750" s="34">
        <v>1.2909999999999999</v>
      </c>
      <c r="K750" s="41">
        <v>3.6957</v>
      </c>
    </row>
    <row r="751" spans="1:11" ht="15.75" customHeight="1">
      <c r="A751" s="34" t="s">
        <v>22</v>
      </c>
      <c r="B751" s="34">
        <v>150</v>
      </c>
      <c r="C751" s="41">
        <v>0.3982</v>
      </c>
      <c r="D751" s="34">
        <v>7.2800000000000004E-2</v>
      </c>
      <c r="E751" s="34">
        <v>1.01E-3</v>
      </c>
      <c r="F751" s="34">
        <v>1000</v>
      </c>
      <c r="G751" s="42">
        <v>0</v>
      </c>
      <c r="H751" s="34">
        <v>20</v>
      </c>
      <c r="I751" s="34" t="s">
        <v>12</v>
      </c>
      <c r="J751" s="34">
        <v>1.2909999999999999</v>
      </c>
      <c r="K751" s="41">
        <v>3.7898999999999998</v>
      </c>
    </row>
    <row r="752" spans="1:11" ht="15.75" customHeight="1">
      <c r="A752" s="34" t="s">
        <v>22</v>
      </c>
      <c r="B752" s="34">
        <v>150</v>
      </c>
      <c r="C752" s="41">
        <v>0.49919999999999998</v>
      </c>
      <c r="D752" s="34">
        <v>7.2800000000000004E-2</v>
      </c>
      <c r="E752" s="34">
        <v>1.01E-3</v>
      </c>
      <c r="F752" s="34">
        <v>1000</v>
      </c>
      <c r="G752" s="42">
        <v>0</v>
      </c>
      <c r="H752" s="34">
        <v>20</v>
      </c>
      <c r="I752" s="34" t="s">
        <v>12</v>
      </c>
      <c r="J752" s="34">
        <v>1.2909999999999999</v>
      </c>
      <c r="K752" s="41">
        <v>3.8043</v>
      </c>
    </row>
    <row r="753" spans="1:11" ht="15.75" customHeight="1">
      <c r="A753" s="34" t="s">
        <v>22</v>
      </c>
      <c r="B753" s="34">
        <v>150</v>
      </c>
      <c r="C753" s="41">
        <v>0.60260000000000002</v>
      </c>
      <c r="D753" s="34">
        <v>7.2800000000000004E-2</v>
      </c>
      <c r="E753" s="34">
        <v>1.01E-3</v>
      </c>
      <c r="F753" s="34">
        <v>1000</v>
      </c>
      <c r="G753" s="42">
        <v>0</v>
      </c>
      <c r="H753" s="34">
        <v>20</v>
      </c>
      <c r="I753" s="34" t="s">
        <v>12</v>
      </c>
      <c r="J753" s="34">
        <v>1.2909999999999999</v>
      </c>
      <c r="K753" s="41">
        <v>3.7826</v>
      </c>
    </row>
    <row r="754" spans="1:11" ht="15.75" customHeight="1">
      <c r="A754" s="34" t="s">
        <v>22</v>
      </c>
      <c r="B754" s="34">
        <v>150</v>
      </c>
      <c r="C754" s="41">
        <v>0.80079999999999996</v>
      </c>
      <c r="D754" s="34">
        <v>7.2800000000000004E-2</v>
      </c>
      <c r="E754" s="34">
        <v>1.01E-3</v>
      </c>
      <c r="F754" s="34">
        <v>1000</v>
      </c>
      <c r="G754" s="42">
        <v>0</v>
      </c>
      <c r="H754" s="34">
        <v>20</v>
      </c>
      <c r="I754" s="34" t="s">
        <v>12</v>
      </c>
      <c r="J754" s="34">
        <v>1.2909999999999999</v>
      </c>
      <c r="K754" s="41">
        <v>3.8913000000000002</v>
      </c>
    </row>
    <row r="755" spans="1:11" ht="15.75" customHeight="1">
      <c r="A755" s="34" t="s">
        <v>22</v>
      </c>
      <c r="B755" s="34">
        <v>150</v>
      </c>
      <c r="C755" s="41">
        <v>1.0003</v>
      </c>
      <c r="D755" s="34">
        <v>7.2800000000000004E-2</v>
      </c>
      <c r="E755" s="34">
        <v>1.01E-3</v>
      </c>
      <c r="F755" s="34">
        <v>1000</v>
      </c>
      <c r="G755" s="42">
        <v>0</v>
      </c>
      <c r="H755" s="34">
        <v>20</v>
      </c>
      <c r="I755" s="34" t="s">
        <v>12</v>
      </c>
      <c r="J755" s="34">
        <v>1.2909999999999999</v>
      </c>
      <c r="K755" s="41">
        <v>3.9927999999999999</v>
      </c>
    </row>
    <row r="756" spans="1:11" ht="15.75" customHeight="1">
      <c r="A756" s="34" t="s">
        <v>22</v>
      </c>
      <c r="B756" s="34">
        <v>200</v>
      </c>
      <c r="C756" s="41">
        <v>0.29720000000000002</v>
      </c>
      <c r="D756" s="34">
        <v>7.2800000000000004E-2</v>
      </c>
      <c r="E756" s="34">
        <v>1.01E-3</v>
      </c>
      <c r="F756" s="34">
        <v>1000</v>
      </c>
      <c r="G756" s="42">
        <v>0</v>
      </c>
      <c r="H756" s="34">
        <v>20</v>
      </c>
      <c r="I756" s="34" t="s">
        <v>12</v>
      </c>
      <c r="J756" s="34">
        <v>1.2909999999999999</v>
      </c>
      <c r="K756" s="41">
        <v>4.1883999999999997</v>
      </c>
    </row>
    <row r="757" spans="1:11" ht="15.75" customHeight="1">
      <c r="A757" s="34" t="s">
        <v>22</v>
      </c>
      <c r="B757" s="34">
        <v>200</v>
      </c>
      <c r="C757" s="41">
        <v>0.4007</v>
      </c>
      <c r="D757" s="34">
        <v>7.2800000000000004E-2</v>
      </c>
      <c r="E757" s="34">
        <v>1.01E-3</v>
      </c>
      <c r="F757" s="34">
        <v>1000</v>
      </c>
      <c r="G757" s="42">
        <v>0</v>
      </c>
      <c r="H757" s="34">
        <v>20</v>
      </c>
      <c r="I757" s="34" t="s">
        <v>12</v>
      </c>
      <c r="J757" s="34">
        <v>1.2909999999999999</v>
      </c>
      <c r="K757" s="41">
        <v>4.2899000000000003</v>
      </c>
    </row>
    <row r="758" spans="1:11" ht="15.75" customHeight="1">
      <c r="A758" s="34" t="s">
        <v>22</v>
      </c>
      <c r="B758" s="34">
        <v>200</v>
      </c>
      <c r="C758" s="41">
        <v>0.50170000000000003</v>
      </c>
      <c r="D758" s="34">
        <v>7.2800000000000004E-2</v>
      </c>
      <c r="E758" s="34">
        <v>1.01E-3</v>
      </c>
      <c r="F758" s="34">
        <v>1000</v>
      </c>
      <c r="G758" s="42">
        <v>0</v>
      </c>
      <c r="H758" s="34">
        <v>20</v>
      </c>
      <c r="I758" s="34" t="s">
        <v>12</v>
      </c>
      <c r="J758" s="34">
        <v>1.2909999999999999</v>
      </c>
      <c r="K758" s="41">
        <v>4.2899000000000003</v>
      </c>
    </row>
    <row r="759" spans="1:11" ht="15.75" customHeight="1">
      <c r="A759" s="34" t="s">
        <v>22</v>
      </c>
      <c r="B759" s="34">
        <v>200</v>
      </c>
      <c r="C759" s="41">
        <v>0.60140000000000005</v>
      </c>
      <c r="D759" s="34">
        <v>7.2800000000000004E-2</v>
      </c>
      <c r="E759" s="34">
        <v>1.01E-3</v>
      </c>
      <c r="F759" s="34">
        <v>1000</v>
      </c>
      <c r="G759" s="42">
        <v>0</v>
      </c>
      <c r="H759" s="34">
        <v>20</v>
      </c>
      <c r="I759" s="34" t="s">
        <v>12</v>
      </c>
      <c r="J759" s="34">
        <v>1.2909999999999999</v>
      </c>
      <c r="K759" s="41">
        <v>4.2826000000000004</v>
      </c>
    </row>
    <row r="760" spans="1:11" ht="15.75" customHeight="1">
      <c r="A760" s="34" t="s">
        <v>22</v>
      </c>
      <c r="B760" s="34">
        <v>200</v>
      </c>
      <c r="C760" s="41">
        <v>0.80210000000000004</v>
      </c>
      <c r="D760" s="34">
        <v>7.2800000000000004E-2</v>
      </c>
      <c r="E760" s="34">
        <v>1.01E-3</v>
      </c>
      <c r="F760" s="34">
        <v>1000</v>
      </c>
      <c r="G760" s="42">
        <v>0</v>
      </c>
      <c r="H760" s="34">
        <v>20</v>
      </c>
      <c r="I760" s="34" t="s">
        <v>12</v>
      </c>
      <c r="J760" s="34">
        <v>1.2909999999999999</v>
      </c>
      <c r="K760" s="41">
        <v>4.3841000000000001</v>
      </c>
    </row>
    <row r="761" spans="1:11" ht="15.75" customHeight="1">
      <c r="A761" s="34" t="s">
        <v>22</v>
      </c>
      <c r="B761" s="34">
        <v>200</v>
      </c>
      <c r="C761" s="41">
        <v>0.999</v>
      </c>
      <c r="D761" s="34">
        <v>7.2800000000000004E-2</v>
      </c>
      <c r="E761" s="34">
        <v>1.01E-3</v>
      </c>
      <c r="F761" s="34">
        <v>1000</v>
      </c>
      <c r="G761" s="42">
        <v>0</v>
      </c>
      <c r="H761" s="34">
        <v>20</v>
      </c>
      <c r="I761" s="34" t="s">
        <v>12</v>
      </c>
      <c r="J761" s="34">
        <v>1.2909999999999999</v>
      </c>
      <c r="K761" s="41">
        <v>4.5</v>
      </c>
    </row>
    <row r="762" spans="1:11" ht="15.75" customHeight="1">
      <c r="A762" s="34" t="s">
        <v>22</v>
      </c>
      <c r="B762" s="34">
        <v>50</v>
      </c>
      <c r="C762" s="41">
        <v>0.30099999999999999</v>
      </c>
      <c r="D762" s="34">
        <v>7.2800000000000004E-2</v>
      </c>
      <c r="E762" s="34">
        <v>1.01E-3</v>
      </c>
      <c r="F762" s="34">
        <v>1000</v>
      </c>
      <c r="G762" s="42">
        <v>0</v>
      </c>
      <c r="H762" s="34">
        <v>20</v>
      </c>
      <c r="I762" s="34" t="s">
        <v>12</v>
      </c>
      <c r="J762" s="34">
        <v>1.2909999999999999</v>
      </c>
      <c r="K762" s="41">
        <v>2.3963999999999999</v>
      </c>
    </row>
    <row r="763" spans="1:11" ht="15.75" customHeight="1">
      <c r="A763" s="34" t="s">
        <v>22</v>
      </c>
      <c r="B763" s="34">
        <v>50</v>
      </c>
      <c r="C763" s="41">
        <v>0.4007</v>
      </c>
      <c r="D763" s="34">
        <v>7.2800000000000004E-2</v>
      </c>
      <c r="E763" s="34">
        <v>1.01E-3</v>
      </c>
      <c r="F763" s="34">
        <v>1000</v>
      </c>
      <c r="G763" s="42">
        <v>0</v>
      </c>
      <c r="H763" s="34">
        <v>20</v>
      </c>
      <c r="I763" s="34" t="s">
        <v>12</v>
      </c>
      <c r="J763" s="34">
        <v>1.2909999999999999</v>
      </c>
      <c r="K763" s="41">
        <v>2.4983</v>
      </c>
    </row>
    <row r="764" spans="1:11" ht="15.75" customHeight="1">
      <c r="A764" s="34" t="s">
        <v>22</v>
      </c>
      <c r="B764" s="34">
        <v>50</v>
      </c>
      <c r="C764" s="41">
        <v>0.50039999999999996</v>
      </c>
      <c r="D764" s="34">
        <v>7.2800000000000004E-2</v>
      </c>
      <c r="E764" s="34">
        <v>1.01E-3</v>
      </c>
      <c r="F764" s="34">
        <v>1000</v>
      </c>
      <c r="G764" s="42">
        <v>0</v>
      </c>
      <c r="H764" s="34">
        <v>20</v>
      </c>
      <c r="I764" s="34" t="s">
        <v>12</v>
      </c>
      <c r="J764" s="34">
        <v>1.2909999999999999</v>
      </c>
      <c r="K764" s="41">
        <v>2.5933999999999999</v>
      </c>
    </row>
    <row r="765" spans="1:11" ht="15.75" customHeight="1">
      <c r="A765" s="34" t="s">
        <v>22</v>
      </c>
      <c r="B765" s="34">
        <v>50</v>
      </c>
      <c r="C765" s="41">
        <v>0.59770000000000001</v>
      </c>
      <c r="D765" s="34">
        <v>7.2800000000000004E-2</v>
      </c>
      <c r="E765" s="34">
        <v>1.01E-3</v>
      </c>
      <c r="F765" s="34">
        <v>1000</v>
      </c>
      <c r="G765" s="42">
        <v>0</v>
      </c>
      <c r="H765" s="34">
        <v>20</v>
      </c>
      <c r="I765" s="34" t="s">
        <v>12</v>
      </c>
      <c r="J765" s="34">
        <v>1.2909999999999999</v>
      </c>
      <c r="K765" s="41">
        <v>2.6680999999999999</v>
      </c>
    </row>
    <row r="766" spans="1:11" ht="15.75" customHeight="1">
      <c r="A766" s="34" t="s">
        <v>22</v>
      </c>
      <c r="B766" s="34">
        <v>50</v>
      </c>
      <c r="C766" s="41">
        <v>0.80330000000000001</v>
      </c>
      <c r="D766" s="34">
        <v>7.2800000000000004E-2</v>
      </c>
      <c r="E766" s="34">
        <v>1.01E-3</v>
      </c>
      <c r="F766" s="34">
        <v>1000</v>
      </c>
      <c r="G766" s="42">
        <v>0</v>
      </c>
      <c r="H766" s="34">
        <v>20</v>
      </c>
      <c r="I766" s="34" t="s">
        <v>12</v>
      </c>
      <c r="J766" s="34">
        <v>1.2909999999999999</v>
      </c>
      <c r="K766" s="41">
        <v>2.8513999999999999</v>
      </c>
    </row>
    <row r="767" spans="1:11" ht="15.75" customHeight="1">
      <c r="A767" s="34" t="s">
        <v>22</v>
      </c>
      <c r="B767" s="34">
        <v>50</v>
      </c>
      <c r="C767" s="41">
        <v>1.0015000000000001</v>
      </c>
      <c r="D767" s="34">
        <v>7.2800000000000004E-2</v>
      </c>
      <c r="E767" s="34">
        <v>1.01E-3</v>
      </c>
      <c r="F767" s="34">
        <v>1000</v>
      </c>
      <c r="G767" s="42">
        <v>0</v>
      </c>
      <c r="H767" s="34">
        <v>20</v>
      </c>
      <c r="I767" s="34" t="s">
        <v>12</v>
      </c>
      <c r="J767" s="34">
        <v>1.2909999999999999</v>
      </c>
      <c r="K767" s="41">
        <v>2.9194</v>
      </c>
    </row>
    <row r="768" spans="1:11" ht="15.75" customHeight="1">
      <c r="A768" s="34" t="s">
        <v>22</v>
      </c>
      <c r="B768" s="34">
        <v>80</v>
      </c>
      <c r="C768" s="41">
        <v>0.29970000000000002</v>
      </c>
      <c r="D768" s="34">
        <v>7.2800000000000004E-2</v>
      </c>
      <c r="E768" s="34">
        <v>1.01E-3</v>
      </c>
      <c r="F768" s="34">
        <v>1000</v>
      </c>
      <c r="G768" s="42">
        <v>0</v>
      </c>
      <c r="H768" s="34">
        <v>20</v>
      </c>
      <c r="I768" s="34" t="s">
        <v>12</v>
      </c>
      <c r="J768" s="34">
        <v>1.2909999999999999</v>
      </c>
      <c r="K768" s="41">
        <v>2.702</v>
      </c>
    </row>
    <row r="769" spans="1:11" ht="15.75" customHeight="1">
      <c r="A769" s="34" t="s">
        <v>22</v>
      </c>
      <c r="B769" s="34">
        <v>80</v>
      </c>
      <c r="C769" s="41">
        <v>0.4007</v>
      </c>
      <c r="D769" s="34">
        <v>7.2800000000000004E-2</v>
      </c>
      <c r="E769" s="34">
        <v>1.01E-3</v>
      </c>
      <c r="F769" s="34">
        <v>1000</v>
      </c>
      <c r="G769" s="42">
        <v>0</v>
      </c>
      <c r="H769" s="34">
        <v>20</v>
      </c>
      <c r="I769" s="34" t="s">
        <v>12</v>
      </c>
      <c r="J769" s="34">
        <v>1.2909999999999999</v>
      </c>
      <c r="K769" s="41">
        <v>2.7970999999999999</v>
      </c>
    </row>
    <row r="770" spans="1:11" ht="15.75" customHeight="1">
      <c r="A770" s="34" t="s">
        <v>22</v>
      </c>
      <c r="B770" s="34">
        <v>80</v>
      </c>
      <c r="C770" s="41">
        <v>0.50039999999999996</v>
      </c>
      <c r="D770" s="34">
        <v>7.2800000000000004E-2</v>
      </c>
      <c r="E770" s="34">
        <v>1.01E-3</v>
      </c>
      <c r="F770" s="34">
        <v>1000</v>
      </c>
      <c r="G770" s="42">
        <v>0</v>
      </c>
      <c r="H770" s="34">
        <v>20</v>
      </c>
      <c r="I770" s="34" t="s">
        <v>12</v>
      </c>
      <c r="J770" s="34">
        <v>1.2909999999999999</v>
      </c>
      <c r="K770" s="41">
        <v>2.7970999999999999</v>
      </c>
    </row>
    <row r="771" spans="1:11" ht="15.75" customHeight="1">
      <c r="A771" s="34" t="s">
        <v>22</v>
      </c>
      <c r="B771" s="34">
        <v>80</v>
      </c>
      <c r="C771" s="41">
        <v>0.60009999999999997</v>
      </c>
      <c r="D771" s="34">
        <v>7.2800000000000004E-2</v>
      </c>
      <c r="E771" s="34">
        <v>1.01E-3</v>
      </c>
      <c r="F771" s="34">
        <v>1000</v>
      </c>
      <c r="G771" s="42">
        <v>0</v>
      </c>
      <c r="H771" s="34">
        <v>20</v>
      </c>
      <c r="I771" s="34" t="s">
        <v>12</v>
      </c>
      <c r="J771" s="34">
        <v>1.2909999999999999</v>
      </c>
      <c r="K771" s="41">
        <v>2.8921999999999999</v>
      </c>
    </row>
    <row r="772" spans="1:11" ht="15.75" customHeight="1">
      <c r="A772" s="34" t="s">
        <v>22</v>
      </c>
      <c r="B772" s="34">
        <v>80</v>
      </c>
      <c r="C772" s="41">
        <v>0.80079999999999996</v>
      </c>
      <c r="D772" s="34">
        <v>7.2800000000000004E-2</v>
      </c>
      <c r="E772" s="34">
        <v>1.01E-3</v>
      </c>
      <c r="F772" s="34">
        <v>1000</v>
      </c>
      <c r="G772" s="42">
        <v>0</v>
      </c>
      <c r="H772" s="34">
        <v>20</v>
      </c>
      <c r="I772" s="34" t="s">
        <v>12</v>
      </c>
      <c r="J772" s="34">
        <v>1.2909999999999999</v>
      </c>
      <c r="K772" s="41">
        <v>2.9805000000000001</v>
      </c>
    </row>
    <row r="773" spans="1:11" ht="15.75" customHeight="1">
      <c r="A773" s="34" t="s">
        <v>22</v>
      </c>
      <c r="B773" s="34">
        <v>80</v>
      </c>
      <c r="C773" s="41">
        <v>0.999</v>
      </c>
      <c r="D773" s="34">
        <v>7.2800000000000004E-2</v>
      </c>
      <c r="E773" s="34">
        <v>1.01E-3</v>
      </c>
      <c r="F773" s="34">
        <v>1000</v>
      </c>
      <c r="G773" s="42">
        <v>0</v>
      </c>
      <c r="H773" s="34">
        <v>20</v>
      </c>
      <c r="I773" s="34" t="s">
        <v>12</v>
      </c>
      <c r="J773" s="34">
        <v>1.2909999999999999</v>
      </c>
      <c r="K773" s="41">
        <v>3.0958999999999999</v>
      </c>
    </row>
    <row r="774" spans="1:11" ht="15.75" customHeight="1">
      <c r="A774" s="34" t="s">
        <v>22</v>
      </c>
      <c r="B774" s="34">
        <v>100</v>
      </c>
      <c r="C774" s="41">
        <v>0.30099999999999999</v>
      </c>
      <c r="D774" s="34">
        <v>7.2800000000000004E-2</v>
      </c>
      <c r="E774" s="34">
        <v>1.01E-3</v>
      </c>
      <c r="F774" s="34">
        <v>1000</v>
      </c>
      <c r="G774" s="42">
        <v>0</v>
      </c>
      <c r="H774" s="34">
        <v>20</v>
      </c>
      <c r="I774" s="34" t="s">
        <v>12</v>
      </c>
      <c r="J774" s="34">
        <v>1.2909999999999999</v>
      </c>
      <c r="K774" s="41">
        <v>2.9941</v>
      </c>
    </row>
    <row r="775" spans="1:11" ht="15.75" customHeight="1">
      <c r="A775" s="34" t="s">
        <v>22</v>
      </c>
      <c r="B775" s="34">
        <v>100</v>
      </c>
      <c r="C775" s="41">
        <v>0.4007</v>
      </c>
      <c r="D775" s="34">
        <v>7.2800000000000004E-2</v>
      </c>
      <c r="E775" s="34">
        <v>1.01E-3</v>
      </c>
      <c r="F775" s="34">
        <v>1000</v>
      </c>
      <c r="G775" s="42">
        <v>0</v>
      </c>
      <c r="H775" s="34">
        <v>20</v>
      </c>
      <c r="I775" s="34" t="s">
        <v>12</v>
      </c>
      <c r="J775" s="34">
        <v>1.2909999999999999</v>
      </c>
      <c r="K775" s="41">
        <v>3.1027</v>
      </c>
    </row>
    <row r="776" spans="1:11" ht="15.75" customHeight="1">
      <c r="A776" s="34" t="s">
        <v>22</v>
      </c>
      <c r="B776" s="34">
        <v>100</v>
      </c>
      <c r="C776" s="41">
        <v>0.49790000000000001</v>
      </c>
      <c r="D776" s="34">
        <v>7.2800000000000004E-2</v>
      </c>
      <c r="E776" s="34">
        <v>1.01E-3</v>
      </c>
      <c r="F776" s="34">
        <v>1000</v>
      </c>
      <c r="G776" s="42">
        <v>0</v>
      </c>
      <c r="H776" s="34">
        <v>20</v>
      </c>
      <c r="I776" s="34" t="s">
        <v>12</v>
      </c>
      <c r="J776" s="34">
        <v>1.2909999999999999</v>
      </c>
      <c r="K776" s="41">
        <v>3.1095000000000002</v>
      </c>
    </row>
    <row r="777" spans="1:11" ht="15.75" customHeight="1">
      <c r="A777" s="34" t="s">
        <v>22</v>
      </c>
      <c r="B777" s="34">
        <v>100</v>
      </c>
      <c r="C777" s="41">
        <v>0.59889999999999999</v>
      </c>
      <c r="D777" s="34">
        <v>7.2800000000000004E-2</v>
      </c>
      <c r="E777" s="34">
        <v>1.01E-3</v>
      </c>
      <c r="F777" s="34">
        <v>1000</v>
      </c>
      <c r="G777" s="42">
        <v>0</v>
      </c>
      <c r="H777" s="34">
        <v>20</v>
      </c>
      <c r="I777" s="34" t="s">
        <v>12</v>
      </c>
      <c r="J777" s="34">
        <v>1.2909999999999999</v>
      </c>
      <c r="K777" s="41">
        <v>3.0958999999999999</v>
      </c>
    </row>
    <row r="778" spans="1:11" ht="15.75" customHeight="1">
      <c r="A778" s="34" t="s">
        <v>22</v>
      </c>
      <c r="B778" s="34">
        <v>100</v>
      </c>
      <c r="C778" s="41">
        <v>0.79959999999999998</v>
      </c>
      <c r="D778" s="34">
        <v>7.2800000000000004E-2</v>
      </c>
      <c r="E778" s="34">
        <v>1.01E-3</v>
      </c>
      <c r="F778" s="34">
        <v>1000</v>
      </c>
      <c r="G778" s="42">
        <v>0</v>
      </c>
      <c r="H778" s="34">
        <v>20</v>
      </c>
      <c r="I778" s="34" t="s">
        <v>12</v>
      </c>
      <c r="J778" s="34">
        <v>1.2909999999999999</v>
      </c>
      <c r="K778" s="41">
        <v>3.1909999999999998</v>
      </c>
    </row>
    <row r="779" spans="1:11" ht="15.75" customHeight="1">
      <c r="A779" s="34" t="s">
        <v>22</v>
      </c>
      <c r="B779" s="34">
        <v>100</v>
      </c>
      <c r="C779" s="41">
        <v>1.0015000000000001</v>
      </c>
      <c r="D779" s="34">
        <v>7.2800000000000004E-2</v>
      </c>
      <c r="E779" s="34">
        <v>1.01E-3</v>
      </c>
      <c r="F779" s="34">
        <v>1000</v>
      </c>
      <c r="G779" s="42">
        <v>0</v>
      </c>
      <c r="H779" s="34">
        <v>20</v>
      </c>
      <c r="I779" s="34" t="s">
        <v>12</v>
      </c>
      <c r="J779" s="34">
        <v>1.2909999999999999</v>
      </c>
      <c r="K779" s="41">
        <v>3.2860999999999998</v>
      </c>
    </row>
    <row r="780" spans="1:11" ht="15.75" customHeight="1">
      <c r="A780" s="34" t="s">
        <v>22</v>
      </c>
      <c r="B780" s="34">
        <v>120</v>
      </c>
      <c r="C780" s="41">
        <v>0.30099999999999999</v>
      </c>
      <c r="D780" s="34">
        <v>7.2800000000000004E-2</v>
      </c>
      <c r="E780" s="34">
        <v>1.01E-3</v>
      </c>
      <c r="F780" s="34">
        <v>1000</v>
      </c>
      <c r="G780" s="42">
        <v>0</v>
      </c>
      <c r="H780" s="34">
        <v>20</v>
      </c>
      <c r="I780" s="34" t="s">
        <v>12</v>
      </c>
      <c r="J780" s="34">
        <v>1.2909999999999999</v>
      </c>
      <c r="K780" s="41">
        <v>3.1909999999999998</v>
      </c>
    </row>
    <row r="781" spans="1:11" ht="15.75" customHeight="1">
      <c r="A781" s="34" t="s">
        <v>22</v>
      </c>
      <c r="B781" s="34">
        <v>120</v>
      </c>
      <c r="C781" s="41">
        <v>0.39950000000000002</v>
      </c>
      <c r="D781" s="34">
        <v>7.2800000000000004E-2</v>
      </c>
      <c r="E781" s="34">
        <v>1.01E-3</v>
      </c>
      <c r="F781" s="34">
        <v>1000</v>
      </c>
      <c r="G781" s="42">
        <v>0</v>
      </c>
      <c r="H781" s="34">
        <v>20</v>
      </c>
      <c r="I781" s="34" t="s">
        <v>12</v>
      </c>
      <c r="J781" s="34">
        <v>1.2909999999999999</v>
      </c>
      <c r="K781" s="41">
        <v>3.2928999999999999</v>
      </c>
    </row>
    <row r="782" spans="1:11" ht="15.75" customHeight="1">
      <c r="A782" s="34" t="s">
        <v>22</v>
      </c>
      <c r="B782" s="34">
        <v>120</v>
      </c>
      <c r="C782" s="41">
        <v>0.50039999999999996</v>
      </c>
      <c r="D782" s="34">
        <v>7.2800000000000004E-2</v>
      </c>
      <c r="E782" s="34">
        <v>1.01E-3</v>
      </c>
      <c r="F782" s="34">
        <v>1000</v>
      </c>
      <c r="G782" s="42">
        <v>0</v>
      </c>
      <c r="H782" s="34">
        <v>20</v>
      </c>
      <c r="I782" s="34" t="s">
        <v>12</v>
      </c>
      <c r="J782" s="34">
        <v>1.2909999999999999</v>
      </c>
      <c r="K782" s="41">
        <v>3.4015</v>
      </c>
    </row>
    <row r="783" spans="1:11" ht="15.75" customHeight="1">
      <c r="A783" s="34" t="s">
        <v>22</v>
      </c>
      <c r="B783" s="34">
        <v>120</v>
      </c>
      <c r="C783" s="41">
        <v>0.59889999999999999</v>
      </c>
      <c r="D783" s="34">
        <v>7.2800000000000004E-2</v>
      </c>
      <c r="E783" s="34">
        <v>1.01E-3</v>
      </c>
      <c r="F783" s="34">
        <v>1000</v>
      </c>
      <c r="G783" s="42">
        <v>0</v>
      </c>
      <c r="H783" s="34">
        <v>20</v>
      </c>
      <c r="I783" s="34" t="s">
        <v>12</v>
      </c>
      <c r="J783" s="34">
        <v>1.2909999999999999</v>
      </c>
      <c r="K783" s="41">
        <v>3.3946999999999998</v>
      </c>
    </row>
    <row r="784" spans="1:11" ht="15.75" customHeight="1">
      <c r="A784" s="34" t="s">
        <v>22</v>
      </c>
      <c r="B784" s="34">
        <v>120</v>
      </c>
      <c r="C784" s="41">
        <v>0.79959999999999998</v>
      </c>
      <c r="D784" s="34">
        <v>7.2800000000000004E-2</v>
      </c>
      <c r="E784" s="34">
        <v>1.01E-3</v>
      </c>
      <c r="F784" s="34">
        <v>1000</v>
      </c>
      <c r="G784" s="42">
        <v>0</v>
      </c>
      <c r="H784" s="34">
        <v>20</v>
      </c>
      <c r="I784" s="34" t="s">
        <v>12</v>
      </c>
      <c r="J784" s="34">
        <v>1.2909999999999999</v>
      </c>
      <c r="K784" s="41">
        <v>3.4897999999999998</v>
      </c>
    </row>
    <row r="785" spans="1:11" ht="15.75" customHeight="1">
      <c r="A785" s="34" t="s">
        <v>22</v>
      </c>
      <c r="B785" s="34">
        <v>120</v>
      </c>
      <c r="C785" s="41">
        <v>1.0026999999999999</v>
      </c>
      <c r="D785" s="34">
        <v>7.2800000000000004E-2</v>
      </c>
      <c r="E785" s="34">
        <v>1.01E-3</v>
      </c>
      <c r="F785" s="34">
        <v>1000</v>
      </c>
      <c r="G785" s="42">
        <v>0</v>
      </c>
      <c r="H785" s="34">
        <v>20</v>
      </c>
      <c r="I785" s="34" t="s">
        <v>12</v>
      </c>
      <c r="J785" s="34">
        <v>1.2909999999999999</v>
      </c>
      <c r="K785" s="41">
        <v>3.5916999999999999</v>
      </c>
    </row>
    <row r="786" spans="1:11" ht="15.75" customHeight="1">
      <c r="A786" s="34" t="s">
        <v>22</v>
      </c>
      <c r="B786" s="34">
        <v>150</v>
      </c>
      <c r="C786" s="41">
        <v>0.29849999999999999</v>
      </c>
      <c r="D786" s="34">
        <v>7.2800000000000004E-2</v>
      </c>
      <c r="E786" s="34">
        <v>1.01E-3</v>
      </c>
      <c r="F786" s="34">
        <v>1000</v>
      </c>
      <c r="G786" s="42">
        <v>0</v>
      </c>
      <c r="H786" s="34">
        <v>20</v>
      </c>
      <c r="I786" s="34" t="s">
        <v>12</v>
      </c>
      <c r="J786" s="34">
        <v>1.2909999999999999</v>
      </c>
      <c r="K786" s="41">
        <v>3.5985</v>
      </c>
    </row>
    <row r="787" spans="1:11" ht="15.75" customHeight="1">
      <c r="A787" s="34" t="s">
        <v>22</v>
      </c>
      <c r="B787" s="34">
        <v>150</v>
      </c>
      <c r="C787" s="41">
        <v>0.4007</v>
      </c>
      <c r="D787" s="34">
        <v>7.2800000000000004E-2</v>
      </c>
      <c r="E787" s="34">
        <v>1.01E-3</v>
      </c>
      <c r="F787" s="34">
        <v>1000</v>
      </c>
      <c r="G787" s="42">
        <v>0</v>
      </c>
      <c r="H787" s="34">
        <v>20</v>
      </c>
      <c r="I787" s="34" t="s">
        <v>12</v>
      </c>
      <c r="J787" s="34">
        <v>1.2909999999999999</v>
      </c>
      <c r="K787" s="41">
        <v>3.5916999999999999</v>
      </c>
    </row>
    <row r="788" spans="1:11" ht="15.75" customHeight="1">
      <c r="A788" s="34" t="s">
        <v>22</v>
      </c>
      <c r="B788" s="34">
        <v>150</v>
      </c>
      <c r="C788" s="41">
        <v>0.50039999999999996</v>
      </c>
      <c r="D788" s="34">
        <v>7.2800000000000004E-2</v>
      </c>
      <c r="E788" s="34">
        <v>1.01E-3</v>
      </c>
      <c r="F788" s="34">
        <v>1000</v>
      </c>
      <c r="G788" s="42">
        <v>0</v>
      </c>
      <c r="H788" s="34">
        <v>20</v>
      </c>
      <c r="I788" s="34" t="s">
        <v>12</v>
      </c>
      <c r="J788" s="34">
        <v>1.2909999999999999</v>
      </c>
      <c r="K788" s="41">
        <v>3.7002999999999999</v>
      </c>
    </row>
    <row r="789" spans="1:11" ht="15.75" customHeight="1">
      <c r="A789" s="34" t="s">
        <v>22</v>
      </c>
      <c r="B789" s="34">
        <v>150</v>
      </c>
      <c r="C789" s="41">
        <v>0.60140000000000005</v>
      </c>
      <c r="D789" s="34">
        <v>7.2800000000000004E-2</v>
      </c>
      <c r="E789" s="34">
        <v>1.01E-3</v>
      </c>
      <c r="F789" s="34">
        <v>1000</v>
      </c>
      <c r="G789" s="42">
        <v>0</v>
      </c>
      <c r="H789" s="34">
        <v>20</v>
      </c>
      <c r="I789" s="34" t="s">
        <v>12</v>
      </c>
      <c r="J789" s="34">
        <v>1.2909999999999999</v>
      </c>
      <c r="K789" s="41">
        <v>3.7953999999999999</v>
      </c>
    </row>
    <row r="790" spans="1:11" ht="15.75" customHeight="1">
      <c r="A790" s="34" t="s">
        <v>22</v>
      </c>
      <c r="B790" s="34">
        <v>150</v>
      </c>
      <c r="C790" s="41">
        <v>0.80079999999999996</v>
      </c>
      <c r="D790" s="34">
        <v>7.2800000000000004E-2</v>
      </c>
      <c r="E790" s="34">
        <v>1.01E-3</v>
      </c>
      <c r="F790" s="34">
        <v>1000</v>
      </c>
      <c r="G790" s="42">
        <v>0</v>
      </c>
      <c r="H790" s="34">
        <v>20</v>
      </c>
      <c r="I790" s="34" t="s">
        <v>12</v>
      </c>
      <c r="J790" s="34">
        <v>1.2909999999999999</v>
      </c>
      <c r="K790" s="41">
        <v>3.7886000000000002</v>
      </c>
    </row>
    <row r="791" spans="1:11" ht="15.75" customHeight="1">
      <c r="A791" s="34" t="s">
        <v>22</v>
      </c>
      <c r="B791" s="34">
        <v>150</v>
      </c>
      <c r="C791" s="41">
        <v>1.0015000000000001</v>
      </c>
      <c r="D791" s="34">
        <v>7.2800000000000004E-2</v>
      </c>
      <c r="E791" s="34">
        <v>1.01E-3</v>
      </c>
      <c r="F791" s="34">
        <v>1000</v>
      </c>
      <c r="G791" s="42">
        <v>0</v>
      </c>
      <c r="H791" s="34">
        <v>20</v>
      </c>
      <c r="I791" s="34" t="s">
        <v>12</v>
      </c>
      <c r="J791" s="34">
        <v>1.2909999999999999</v>
      </c>
      <c r="K791" s="41">
        <v>3.9041000000000001</v>
      </c>
    </row>
    <row r="792" spans="1:11" ht="15.75" customHeight="1">
      <c r="A792" s="34" t="s">
        <v>22</v>
      </c>
      <c r="B792" s="34">
        <v>200</v>
      </c>
      <c r="C792" s="41">
        <v>0.30099999999999999</v>
      </c>
      <c r="D792" s="34">
        <v>7.2800000000000004E-2</v>
      </c>
      <c r="E792" s="34">
        <v>1.01E-3</v>
      </c>
      <c r="F792" s="34">
        <v>1000</v>
      </c>
      <c r="G792" s="42">
        <v>0</v>
      </c>
      <c r="H792" s="34">
        <v>20</v>
      </c>
      <c r="I792" s="34" t="s">
        <v>12</v>
      </c>
      <c r="J792" s="34">
        <v>1.2909999999999999</v>
      </c>
      <c r="K792" s="41">
        <v>4.101</v>
      </c>
    </row>
    <row r="793" spans="1:11" ht="15.75" customHeight="1">
      <c r="A793" s="34" t="s">
        <v>22</v>
      </c>
      <c r="B793" s="34">
        <v>200</v>
      </c>
      <c r="C793" s="41">
        <v>0.39950000000000002</v>
      </c>
      <c r="D793" s="34">
        <v>7.2800000000000004E-2</v>
      </c>
      <c r="E793" s="34">
        <v>1.01E-3</v>
      </c>
      <c r="F793" s="34">
        <v>1000</v>
      </c>
      <c r="G793" s="42">
        <v>0</v>
      </c>
      <c r="H793" s="34">
        <v>20</v>
      </c>
      <c r="I793" s="34" t="s">
        <v>12</v>
      </c>
      <c r="J793" s="34">
        <v>1.2909999999999999</v>
      </c>
      <c r="K793" s="41">
        <v>4.2028999999999996</v>
      </c>
    </row>
    <row r="794" spans="1:11" ht="15.75" customHeight="1">
      <c r="A794" s="34" t="s">
        <v>22</v>
      </c>
      <c r="B794" s="34">
        <v>200</v>
      </c>
      <c r="C794" s="41">
        <v>0.50160000000000005</v>
      </c>
      <c r="D794" s="34">
        <v>7.2800000000000004E-2</v>
      </c>
      <c r="E794" s="34">
        <v>1.01E-3</v>
      </c>
      <c r="F794" s="34">
        <v>1000</v>
      </c>
      <c r="G794" s="42">
        <v>0</v>
      </c>
      <c r="H794" s="34">
        <v>20</v>
      </c>
      <c r="I794" s="34" t="s">
        <v>12</v>
      </c>
      <c r="J794" s="34">
        <v>1.2909999999999999</v>
      </c>
      <c r="K794" s="41">
        <v>4.1961000000000004</v>
      </c>
    </row>
    <row r="795" spans="1:11" ht="15.75" customHeight="1">
      <c r="A795" s="34" t="s">
        <v>22</v>
      </c>
      <c r="B795" s="34">
        <v>200</v>
      </c>
      <c r="C795" s="41">
        <v>0.60140000000000005</v>
      </c>
      <c r="D795" s="34">
        <v>7.2800000000000004E-2</v>
      </c>
      <c r="E795" s="34">
        <v>1.01E-3</v>
      </c>
      <c r="F795" s="34">
        <v>1000</v>
      </c>
      <c r="G795" s="42">
        <v>0</v>
      </c>
      <c r="H795" s="34">
        <v>20</v>
      </c>
      <c r="I795" s="34" t="s">
        <v>12</v>
      </c>
      <c r="J795" s="34">
        <v>1.2909999999999999</v>
      </c>
      <c r="K795" s="41">
        <v>4.1961000000000004</v>
      </c>
    </row>
    <row r="796" spans="1:11" ht="15.75" customHeight="1">
      <c r="A796" s="34" t="s">
        <v>22</v>
      </c>
      <c r="B796" s="34">
        <v>200</v>
      </c>
      <c r="C796" s="41">
        <v>0.80079999999999996</v>
      </c>
      <c r="D796" s="34">
        <v>7.2800000000000004E-2</v>
      </c>
      <c r="E796" s="34">
        <v>1.01E-3</v>
      </c>
      <c r="F796" s="34">
        <v>1000</v>
      </c>
      <c r="G796" s="42">
        <v>0</v>
      </c>
      <c r="H796" s="34">
        <v>20</v>
      </c>
      <c r="I796" s="34" t="s">
        <v>12</v>
      </c>
      <c r="J796" s="34">
        <v>1.2909999999999999</v>
      </c>
      <c r="K796" s="41">
        <v>4.3048000000000002</v>
      </c>
    </row>
    <row r="797" spans="1:11" ht="15.75" customHeight="1">
      <c r="A797" s="34" t="s">
        <v>22</v>
      </c>
      <c r="B797" s="34">
        <v>200</v>
      </c>
      <c r="C797" s="41">
        <v>1.0003</v>
      </c>
      <c r="D797" s="34">
        <v>7.2800000000000004E-2</v>
      </c>
      <c r="E797" s="34">
        <v>1.01E-3</v>
      </c>
      <c r="F797" s="34">
        <v>1000</v>
      </c>
      <c r="G797" s="42">
        <v>0</v>
      </c>
      <c r="H797" s="34">
        <v>20</v>
      </c>
      <c r="I797" s="34" t="s">
        <v>12</v>
      </c>
      <c r="J797" s="34">
        <v>1.2909999999999999</v>
      </c>
      <c r="K797" s="41">
        <v>4.2911999999999999</v>
      </c>
    </row>
    <row r="798" spans="1:11" ht="15.75" customHeight="1">
      <c r="A798" s="34" t="s">
        <v>22</v>
      </c>
      <c r="B798" s="34">
        <v>50</v>
      </c>
      <c r="C798" s="41">
        <v>0.29749999999999999</v>
      </c>
      <c r="D798" s="34">
        <v>9.6600000000000005E-2</v>
      </c>
      <c r="E798" s="34">
        <v>0.13</v>
      </c>
      <c r="F798" s="34">
        <v>1008</v>
      </c>
      <c r="G798" s="42">
        <v>0</v>
      </c>
      <c r="H798" s="34">
        <v>20</v>
      </c>
      <c r="I798" s="34" t="s">
        <v>12</v>
      </c>
      <c r="J798" s="34">
        <v>1.2909999999999999</v>
      </c>
      <c r="K798" s="41">
        <v>3.3820999999999999</v>
      </c>
    </row>
    <row r="799" spans="1:11" ht="15.75" customHeight="1">
      <c r="A799" s="34" t="s">
        <v>22</v>
      </c>
      <c r="B799" s="34">
        <v>50</v>
      </c>
      <c r="C799" s="41">
        <v>0.39879999999999999</v>
      </c>
      <c r="D799" s="34">
        <v>9.6600000000000005E-2</v>
      </c>
      <c r="E799" s="34">
        <v>0.13</v>
      </c>
      <c r="F799" s="34">
        <v>1008</v>
      </c>
      <c r="G799" s="42">
        <v>0</v>
      </c>
      <c r="H799" s="34">
        <v>20</v>
      </c>
      <c r="I799" s="34" t="s">
        <v>12</v>
      </c>
      <c r="J799" s="34">
        <v>1.2909999999999999</v>
      </c>
      <c r="K799" s="41">
        <v>3.4363000000000001</v>
      </c>
    </row>
    <row r="800" spans="1:11" ht="15.75" customHeight="1">
      <c r="A800" s="34" t="s">
        <v>22</v>
      </c>
      <c r="B800" s="34">
        <v>50</v>
      </c>
      <c r="C800" s="41">
        <v>0.49880000000000002</v>
      </c>
      <c r="D800" s="34">
        <v>9.6600000000000005E-2</v>
      </c>
      <c r="E800" s="34">
        <v>0.13</v>
      </c>
      <c r="F800" s="34">
        <v>1008</v>
      </c>
      <c r="G800" s="42">
        <v>0</v>
      </c>
      <c r="H800" s="34">
        <v>20</v>
      </c>
      <c r="I800" s="34" t="s">
        <v>12</v>
      </c>
      <c r="J800" s="34">
        <v>1.2909999999999999</v>
      </c>
      <c r="K800" s="41">
        <v>3.4904999999999999</v>
      </c>
    </row>
    <row r="801" spans="1:11" ht="15.75" customHeight="1">
      <c r="A801" s="34" t="s">
        <v>22</v>
      </c>
      <c r="B801" s="34">
        <v>50</v>
      </c>
      <c r="C801" s="41">
        <v>0.60119999999999996</v>
      </c>
      <c r="D801" s="34">
        <v>9.6600000000000005E-2</v>
      </c>
      <c r="E801" s="34">
        <v>0.13</v>
      </c>
      <c r="F801" s="34">
        <v>1008</v>
      </c>
      <c r="G801" s="42">
        <v>0</v>
      </c>
      <c r="H801" s="34">
        <v>20</v>
      </c>
      <c r="I801" s="34" t="s">
        <v>12</v>
      </c>
      <c r="J801" s="34">
        <v>1.2909999999999999</v>
      </c>
      <c r="K801" s="41">
        <v>3.6067</v>
      </c>
    </row>
    <row r="802" spans="1:11" ht="15.75" customHeight="1">
      <c r="A802" s="34" t="s">
        <v>22</v>
      </c>
      <c r="B802" s="34">
        <v>50</v>
      </c>
      <c r="C802" s="41">
        <v>0.80120000000000002</v>
      </c>
      <c r="D802" s="34">
        <v>9.6600000000000005E-2</v>
      </c>
      <c r="E802" s="34">
        <v>0.13</v>
      </c>
      <c r="F802" s="34">
        <v>1008</v>
      </c>
      <c r="G802" s="42">
        <v>0</v>
      </c>
      <c r="H802" s="34">
        <v>20</v>
      </c>
      <c r="I802" s="34" t="s">
        <v>12</v>
      </c>
      <c r="J802" s="34">
        <v>1.2909999999999999</v>
      </c>
      <c r="K802" s="41">
        <v>3.7073999999999998</v>
      </c>
    </row>
    <row r="803" spans="1:11" ht="15.75" customHeight="1">
      <c r="A803" s="34" t="s">
        <v>22</v>
      </c>
      <c r="B803" s="34">
        <v>50</v>
      </c>
      <c r="C803" s="41">
        <v>1.0024999999999999</v>
      </c>
      <c r="D803" s="34">
        <v>9.6600000000000005E-2</v>
      </c>
      <c r="E803" s="34">
        <v>0.13</v>
      </c>
      <c r="F803" s="34">
        <v>1008</v>
      </c>
      <c r="G803" s="42">
        <v>0</v>
      </c>
      <c r="H803" s="34">
        <v>20</v>
      </c>
      <c r="I803" s="34" t="s">
        <v>12</v>
      </c>
      <c r="J803" s="34">
        <v>1.2909999999999999</v>
      </c>
      <c r="K803" s="41">
        <v>3.7848999999999999</v>
      </c>
    </row>
    <row r="804" spans="1:11" ht="15.75" customHeight="1">
      <c r="A804" s="34" t="s">
        <v>22</v>
      </c>
      <c r="B804" s="34">
        <v>80</v>
      </c>
      <c r="C804" s="41">
        <v>0.29880000000000001</v>
      </c>
      <c r="D804" s="34">
        <v>9.6600000000000005E-2</v>
      </c>
      <c r="E804" s="34">
        <v>0.13</v>
      </c>
      <c r="F804" s="34">
        <v>1008</v>
      </c>
      <c r="G804" s="42">
        <v>0</v>
      </c>
      <c r="H804" s="34">
        <v>20</v>
      </c>
      <c r="I804" s="34" t="s">
        <v>12</v>
      </c>
      <c r="J804" s="34">
        <v>1.2909999999999999</v>
      </c>
      <c r="K804" s="41">
        <v>3.8003</v>
      </c>
    </row>
    <row r="805" spans="1:11" ht="15.75" customHeight="1">
      <c r="A805" s="34" t="s">
        <v>22</v>
      </c>
      <c r="B805" s="34">
        <v>80</v>
      </c>
      <c r="C805" s="41">
        <v>0.4</v>
      </c>
      <c r="D805" s="34">
        <v>9.6600000000000005E-2</v>
      </c>
      <c r="E805" s="34">
        <v>0.13</v>
      </c>
      <c r="F805" s="34">
        <v>1008</v>
      </c>
      <c r="G805" s="42">
        <v>0</v>
      </c>
      <c r="H805" s="34">
        <v>20</v>
      </c>
      <c r="I805" s="34" t="s">
        <v>12</v>
      </c>
      <c r="J805" s="34">
        <v>1.2909999999999999</v>
      </c>
      <c r="K805" s="41">
        <v>3.9009999999999998</v>
      </c>
    </row>
    <row r="806" spans="1:11" ht="15.75" customHeight="1">
      <c r="A806" s="34" t="s">
        <v>22</v>
      </c>
      <c r="B806" s="34">
        <v>80</v>
      </c>
      <c r="C806" s="41">
        <v>0.5</v>
      </c>
      <c r="D806" s="34">
        <v>9.6600000000000005E-2</v>
      </c>
      <c r="E806" s="34">
        <v>0.13</v>
      </c>
      <c r="F806" s="34">
        <v>1008</v>
      </c>
      <c r="G806" s="42">
        <v>0</v>
      </c>
      <c r="H806" s="34">
        <v>20</v>
      </c>
      <c r="I806" s="34" t="s">
        <v>12</v>
      </c>
      <c r="J806" s="34">
        <v>1.2909999999999999</v>
      </c>
      <c r="K806" s="41">
        <v>3.9087999999999998</v>
      </c>
    </row>
    <row r="807" spans="1:11" ht="15.75" customHeight="1">
      <c r="A807" s="34" t="s">
        <v>22</v>
      </c>
      <c r="B807" s="34">
        <v>80</v>
      </c>
      <c r="C807" s="41">
        <v>0.6</v>
      </c>
      <c r="D807" s="34">
        <v>9.6600000000000005E-2</v>
      </c>
      <c r="E807" s="34">
        <v>0.13</v>
      </c>
      <c r="F807" s="34">
        <v>1008</v>
      </c>
      <c r="G807" s="42">
        <v>0</v>
      </c>
      <c r="H807" s="34">
        <v>20</v>
      </c>
      <c r="I807" s="34" t="s">
        <v>12</v>
      </c>
      <c r="J807" s="34">
        <v>1.2909999999999999</v>
      </c>
      <c r="K807" s="41">
        <v>3.9862000000000002</v>
      </c>
    </row>
    <row r="808" spans="1:11" ht="15.75" customHeight="1">
      <c r="A808" s="34" t="s">
        <v>22</v>
      </c>
      <c r="B808" s="34">
        <v>80</v>
      </c>
      <c r="C808" s="41">
        <v>0.79630000000000001</v>
      </c>
      <c r="D808" s="34">
        <v>9.6600000000000005E-2</v>
      </c>
      <c r="E808" s="34">
        <v>0.13</v>
      </c>
      <c r="F808" s="34">
        <v>1008</v>
      </c>
      <c r="G808" s="42">
        <v>0</v>
      </c>
      <c r="H808" s="34">
        <v>20</v>
      </c>
      <c r="I808" s="34" t="s">
        <v>12</v>
      </c>
      <c r="J808" s="34">
        <v>1.2909999999999999</v>
      </c>
      <c r="K808" s="41">
        <v>4.0946999999999996</v>
      </c>
    </row>
    <row r="809" spans="1:11" ht="15.75" customHeight="1">
      <c r="A809" s="34" t="s">
        <v>22</v>
      </c>
      <c r="B809" s="34">
        <v>80</v>
      </c>
      <c r="C809" s="41">
        <v>1.0024999999999999</v>
      </c>
      <c r="D809" s="34">
        <v>9.6600000000000005E-2</v>
      </c>
      <c r="E809" s="34">
        <v>0.13</v>
      </c>
      <c r="F809" s="34">
        <v>1008</v>
      </c>
      <c r="G809" s="42">
        <v>0</v>
      </c>
      <c r="H809" s="34">
        <v>20</v>
      </c>
      <c r="I809" s="34" t="s">
        <v>12</v>
      </c>
      <c r="J809" s="34">
        <v>1.2909999999999999</v>
      </c>
      <c r="K809" s="41">
        <v>4.1875999999999998</v>
      </c>
    </row>
    <row r="810" spans="1:11" ht="15.75" customHeight="1">
      <c r="A810" s="34" t="s">
        <v>22</v>
      </c>
      <c r="B810" s="34">
        <v>100</v>
      </c>
      <c r="C810" s="41">
        <v>0.29880000000000001</v>
      </c>
      <c r="D810" s="34">
        <v>9.6600000000000005E-2</v>
      </c>
      <c r="E810" s="34">
        <v>0.13</v>
      </c>
      <c r="F810" s="34">
        <v>1008</v>
      </c>
      <c r="G810" s="42">
        <v>0</v>
      </c>
      <c r="H810" s="34">
        <v>20</v>
      </c>
      <c r="I810" s="34" t="s">
        <v>12</v>
      </c>
      <c r="J810" s="34">
        <v>1.2909999999999999</v>
      </c>
      <c r="K810" s="41">
        <v>4.1954000000000002</v>
      </c>
    </row>
    <row r="811" spans="1:11" ht="15.75" customHeight="1">
      <c r="A811" s="34" t="s">
        <v>22</v>
      </c>
      <c r="B811" s="34">
        <v>100</v>
      </c>
      <c r="C811" s="41">
        <v>0.39879999999999999</v>
      </c>
      <c r="D811" s="34">
        <v>9.6600000000000005E-2</v>
      </c>
      <c r="E811" s="34">
        <v>0.13</v>
      </c>
      <c r="F811" s="34">
        <v>1008</v>
      </c>
      <c r="G811" s="42">
        <v>0</v>
      </c>
      <c r="H811" s="34">
        <v>20</v>
      </c>
      <c r="I811" s="34" t="s">
        <v>12</v>
      </c>
      <c r="J811" s="34">
        <v>1.2909999999999999</v>
      </c>
      <c r="K811" s="41">
        <v>4.1954000000000002</v>
      </c>
    </row>
    <row r="812" spans="1:11" ht="15.75" customHeight="1">
      <c r="A812" s="34" t="s">
        <v>22</v>
      </c>
      <c r="B812" s="34">
        <v>100</v>
      </c>
      <c r="C812" s="41">
        <v>0.49880000000000002</v>
      </c>
      <c r="D812" s="34">
        <v>9.6600000000000005E-2</v>
      </c>
      <c r="E812" s="34">
        <v>0.13</v>
      </c>
      <c r="F812" s="34">
        <v>1008</v>
      </c>
      <c r="G812" s="42">
        <v>0</v>
      </c>
      <c r="H812" s="34">
        <v>20</v>
      </c>
      <c r="I812" s="34" t="s">
        <v>12</v>
      </c>
      <c r="J812" s="34">
        <v>1.2909999999999999</v>
      </c>
      <c r="K812" s="41">
        <v>4.3037999999999998</v>
      </c>
    </row>
    <row r="813" spans="1:11" ht="15.75" customHeight="1">
      <c r="A813" s="34" t="s">
        <v>22</v>
      </c>
      <c r="B813" s="34">
        <v>100</v>
      </c>
      <c r="C813" s="41">
        <v>0.5988</v>
      </c>
      <c r="D813" s="34">
        <v>9.6600000000000005E-2</v>
      </c>
      <c r="E813" s="34">
        <v>0.13</v>
      </c>
      <c r="F813" s="34">
        <v>1008</v>
      </c>
      <c r="G813" s="42">
        <v>0</v>
      </c>
      <c r="H813" s="34">
        <v>20</v>
      </c>
      <c r="I813" s="34" t="s">
        <v>12</v>
      </c>
      <c r="J813" s="34">
        <v>1.2909999999999999</v>
      </c>
      <c r="K813" s="41">
        <v>4.3037999999999998</v>
      </c>
    </row>
    <row r="814" spans="1:11" ht="15.75" customHeight="1">
      <c r="A814" s="34" t="s">
        <v>22</v>
      </c>
      <c r="B814" s="34">
        <v>100</v>
      </c>
      <c r="C814" s="41">
        <v>0.8</v>
      </c>
      <c r="D814" s="34">
        <v>9.6600000000000005E-2</v>
      </c>
      <c r="E814" s="34">
        <v>0.13</v>
      </c>
      <c r="F814" s="34">
        <v>1008</v>
      </c>
      <c r="G814" s="42">
        <v>0</v>
      </c>
      <c r="H814" s="34">
        <v>20</v>
      </c>
      <c r="I814" s="34" t="s">
        <v>12</v>
      </c>
      <c r="J814" s="34">
        <v>1.2909999999999999</v>
      </c>
      <c r="K814" s="41">
        <v>4.4044999999999996</v>
      </c>
    </row>
    <row r="815" spans="1:11" ht="15.75" customHeight="1">
      <c r="A815" s="34" t="s">
        <v>22</v>
      </c>
      <c r="B815" s="34">
        <v>100</v>
      </c>
      <c r="C815" s="41">
        <v>1</v>
      </c>
      <c r="D815" s="34">
        <v>9.6600000000000005E-2</v>
      </c>
      <c r="E815" s="34">
        <v>0.13</v>
      </c>
      <c r="F815" s="34">
        <v>1008</v>
      </c>
      <c r="G815" s="42">
        <v>0</v>
      </c>
      <c r="H815" s="34">
        <v>20</v>
      </c>
      <c r="I815" s="34" t="s">
        <v>12</v>
      </c>
      <c r="J815" s="34">
        <v>1.2909999999999999</v>
      </c>
      <c r="K815" s="41">
        <v>4.4973999999999998</v>
      </c>
    </row>
    <row r="816" spans="1:11" ht="15.75" customHeight="1">
      <c r="A816" s="34" t="s">
        <v>22</v>
      </c>
      <c r="B816" s="34">
        <v>120</v>
      </c>
      <c r="C816" s="41">
        <v>0.29749999999999999</v>
      </c>
      <c r="D816" s="34">
        <v>9.6600000000000005E-2</v>
      </c>
      <c r="E816" s="34">
        <v>0.13</v>
      </c>
      <c r="F816" s="34">
        <v>1008</v>
      </c>
      <c r="G816" s="42">
        <v>0</v>
      </c>
      <c r="H816" s="34">
        <v>20</v>
      </c>
      <c r="I816" s="34" t="s">
        <v>12</v>
      </c>
      <c r="J816" s="34">
        <v>1.2909999999999999</v>
      </c>
      <c r="K816" s="41">
        <v>4.4973999999999998</v>
      </c>
    </row>
    <row r="817" spans="1:11" ht="15.75" customHeight="1">
      <c r="A817" s="34" t="s">
        <v>22</v>
      </c>
      <c r="B817" s="34">
        <v>120</v>
      </c>
      <c r="C817" s="41">
        <v>0.39879999999999999</v>
      </c>
      <c r="D817" s="34">
        <v>9.6600000000000005E-2</v>
      </c>
      <c r="E817" s="34">
        <v>0.13</v>
      </c>
      <c r="F817" s="34">
        <v>1008</v>
      </c>
      <c r="G817" s="42">
        <v>0</v>
      </c>
      <c r="H817" s="34">
        <v>20</v>
      </c>
      <c r="I817" s="34" t="s">
        <v>12</v>
      </c>
      <c r="J817" s="34">
        <v>1.2909999999999999</v>
      </c>
      <c r="K817" s="41">
        <v>4.4973999999999998</v>
      </c>
    </row>
    <row r="818" spans="1:11" ht="15.75" customHeight="1">
      <c r="A818" s="34" t="s">
        <v>22</v>
      </c>
      <c r="B818" s="34">
        <v>120</v>
      </c>
      <c r="C818" s="41">
        <v>0.5</v>
      </c>
      <c r="D818" s="34">
        <v>9.6600000000000005E-2</v>
      </c>
      <c r="E818" s="34">
        <v>0.13</v>
      </c>
      <c r="F818" s="34">
        <v>1008</v>
      </c>
      <c r="G818" s="42">
        <v>0</v>
      </c>
      <c r="H818" s="34">
        <v>20</v>
      </c>
      <c r="I818" s="34" t="s">
        <v>12</v>
      </c>
      <c r="J818" s="34">
        <v>1.2909999999999999</v>
      </c>
      <c r="K818" s="41">
        <v>4.6059000000000001</v>
      </c>
    </row>
    <row r="819" spans="1:11" ht="15.75" customHeight="1">
      <c r="A819" s="34" t="s">
        <v>22</v>
      </c>
      <c r="B819" s="34">
        <v>120</v>
      </c>
      <c r="C819" s="41">
        <v>0.6</v>
      </c>
      <c r="D819" s="34">
        <v>9.6600000000000005E-2</v>
      </c>
      <c r="E819" s="34">
        <v>0.13</v>
      </c>
      <c r="F819" s="34">
        <v>1008</v>
      </c>
      <c r="G819" s="42">
        <v>0</v>
      </c>
      <c r="H819" s="34">
        <v>20</v>
      </c>
      <c r="I819" s="34" t="s">
        <v>12</v>
      </c>
      <c r="J819" s="34">
        <v>1.2909999999999999</v>
      </c>
      <c r="K819" s="41">
        <v>4.5980999999999996</v>
      </c>
    </row>
    <row r="820" spans="1:11" ht="15.75" customHeight="1">
      <c r="A820" s="34" t="s">
        <v>22</v>
      </c>
      <c r="B820" s="34">
        <v>120</v>
      </c>
      <c r="C820" s="41">
        <v>0.8</v>
      </c>
      <c r="D820" s="34">
        <v>9.6600000000000005E-2</v>
      </c>
      <c r="E820" s="34">
        <v>0.13</v>
      </c>
      <c r="F820" s="34">
        <v>1008</v>
      </c>
      <c r="G820" s="42">
        <v>0</v>
      </c>
      <c r="H820" s="34">
        <v>20</v>
      </c>
      <c r="I820" s="34" t="s">
        <v>12</v>
      </c>
      <c r="J820" s="34">
        <v>1.2909999999999999</v>
      </c>
      <c r="K820" s="41">
        <v>4.6988000000000003</v>
      </c>
    </row>
    <row r="821" spans="1:11" ht="15.75" customHeight="1">
      <c r="A821" s="34" t="s">
        <v>22</v>
      </c>
      <c r="B821" s="34">
        <v>120</v>
      </c>
      <c r="C821" s="41">
        <v>1.0024999999999999</v>
      </c>
      <c r="D821" s="34">
        <v>9.6600000000000005E-2</v>
      </c>
      <c r="E821" s="34">
        <v>0.13</v>
      </c>
      <c r="F821" s="34">
        <v>1008</v>
      </c>
      <c r="G821" s="42">
        <v>0</v>
      </c>
      <c r="H821" s="34">
        <v>20</v>
      </c>
      <c r="I821" s="34" t="s">
        <v>12</v>
      </c>
      <c r="J821" s="34">
        <v>1.2909999999999999</v>
      </c>
      <c r="K821" s="41">
        <v>4.8071999999999999</v>
      </c>
    </row>
    <row r="822" spans="1:11" ht="15.75" customHeight="1">
      <c r="A822" s="34" t="s">
        <v>22</v>
      </c>
      <c r="B822" s="34">
        <v>150</v>
      </c>
      <c r="C822" s="41">
        <v>0.29880000000000001</v>
      </c>
      <c r="D822" s="34">
        <v>9.6600000000000005E-2</v>
      </c>
      <c r="E822" s="34">
        <v>0.13</v>
      </c>
      <c r="F822" s="34">
        <v>1008</v>
      </c>
      <c r="G822" s="42">
        <v>0</v>
      </c>
      <c r="H822" s="34">
        <v>20</v>
      </c>
      <c r="I822" s="34" t="s">
        <v>12</v>
      </c>
      <c r="J822" s="34">
        <v>1.2909999999999999</v>
      </c>
      <c r="K822" s="41">
        <v>4.8924000000000003</v>
      </c>
    </row>
    <row r="823" spans="1:11" ht="15.75" customHeight="1">
      <c r="A823" s="34" t="s">
        <v>22</v>
      </c>
      <c r="B823" s="34">
        <v>150</v>
      </c>
      <c r="C823" s="41">
        <v>0.39750000000000002</v>
      </c>
      <c r="D823" s="34">
        <v>9.6600000000000005E-2</v>
      </c>
      <c r="E823" s="34">
        <v>0.13</v>
      </c>
      <c r="F823" s="34">
        <v>1008</v>
      </c>
      <c r="G823" s="42">
        <v>0</v>
      </c>
      <c r="H823" s="34">
        <v>20</v>
      </c>
      <c r="I823" s="34" t="s">
        <v>12</v>
      </c>
      <c r="J823" s="34">
        <v>1.2909999999999999</v>
      </c>
      <c r="K823" s="41">
        <v>5.0086000000000004</v>
      </c>
    </row>
    <row r="824" spans="1:11" ht="15.75" customHeight="1">
      <c r="A824" s="34" t="s">
        <v>22</v>
      </c>
      <c r="B824" s="34">
        <v>150</v>
      </c>
      <c r="C824" s="41">
        <v>0.50119999999999998</v>
      </c>
      <c r="D824" s="34">
        <v>9.6600000000000005E-2</v>
      </c>
      <c r="E824" s="34">
        <v>0.13</v>
      </c>
      <c r="F824" s="34">
        <v>1008</v>
      </c>
      <c r="G824" s="42">
        <v>0</v>
      </c>
      <c r="H824" s="34">
        <v>20</v>
      </c>
      <c r="I824" s="34" t="s">
        <v>12</v>
      </c>
      <c r="J824" s="34">
        <v>1.2909999999999999</v>
      </c>
      <c r="K824" s="41">
        <v>4.9931000000000001</v>
      </c>
    </row>
    <row r="825" spans="1:11" ht="15.75" customHeight="1">
      <c r="A825" s="34" t="s">
        <v>22</v>
      </c>
      <c r="B825" s="34">
        <v>150</v>
      </c>
      <c r="C825" s="41">
        <v>0.59750000000000003</v>
      </c>
      <c r="D825" s="34">
        <v>9.6600000000000005E-2</v>
      </c>
      <c r="E825" s="34">
        <v>0.13</v>
      </c>
      <c r="F825" s="34">
        <v>1008</v>
      </c>
      <c r="G825" s="42">
        <v>0</v>
      </c>
      <c r="H825" s="34">
        <v>20</v>
      </c>
      <c r="I825" s="34" t="s">
        <v>12</v>
      </c>
      <c r="J825" s="34">
        <v>1.2909999999999999</v>
      </c>
      <c r="K825" s="41">
        <v>4.9931000000000001</v>
      </c>
    </row>
    <row r="826" spans="1:11" ht="15.75" customHeight="1">
      <c r="A826" s="34" t="s">
        <v>22</v>
      </c>
      <c r="B826" s="34">
        <v>150</v>
      </c>
      <c r="C826" s="41">
        <v>0.79879999999999995</v>
      </c>
      <c r="D826" s="34">
        <v>9.6600000000000005E-2</v>
      </c>
      <c r="E826" s="34">
        <v>0.13</v>
      </c>
      <c r="F826" s="34">
        <v>1008</v>
      </c>
      <c r="G826" s="42">
        <v>0</v>
      </c>
      <c r="H826" s="34">
        <v>20</v>
      </c>
      <c r="I826" s="34" t="s">
        <v>12</v>
      </c>
      <c r="J826" s="34">
        <v>1.2909999999999999</v>
      </c>
      <c r="K826" s="41">
        <v>5.1014999999999997</v>
      </c>
    </row>
    <row r="827" spans="1:11" ht="15.75" customHeight="1">
      <c r="A827" s="34" t="s">
        <v>22</v>
      </c>
      <c r="B827" s="34">
        <v>150</v>
      </c>
      <c r="C827" s="41">
        <v>1.0012000000000001</v>
      </c>
      <c r="D827" s="34">
        <v>9.6600000000000005E-2</v>
      </c>
      <c r="E827" s="34">
        <v>0.13</v>
      </c>
      <c r="F827" s="34">
        <v>1008</v>
      </c>
      <c r="G827" s="42">
        <v>0</v>
      </c>
      <c r="H827" s="34">
        <v>20</v>
      </c>
      <c r="I827" s="34" t="s">
        <v>12</v>
      </c>
      <c r="J827" s="34">
        <v>1.2909999999999999</v>
      </c>
      <c r="K827" s="41">
        <v>5.1944999999999997</v>
      </c>
    </row>
    <row r="828" spans="1:11" ht="15.75" customHeight="1">
      <c r="A828" s="34" t="s">
        <v>22</v>
      </c>
      <c r="B828" s="34">
        <v>200</v>
      </c>
      <c r="C828" s="41">
        <v>0.29749999999999999</v>
      </c>
      <c r="D828" s="34">
        <v>9.6600000000000005E-2</v>
      </c>
      <c r="E828" s="34">
        <v>0.13</v>
      </c>
      <c r="F828" s="34">
        <v>1008</v>
      </c>
      <c r="G828" s="42">
        <v>0</v>
      </c>
      <c r="H828" s="34">
        <v>20</v>
      </c>
      <c r="I828" s="34" t="s">
        <v>12</v>
      </c>
      <c r="J828" s="34">
        <v>1.2909999999999999</v>
      </c>
      <c r="K828" s="41">
        <v>5.4965999999999999</v>
      </c>
    </row>
    <row r="829" spans="1:11" ht="15.75" customHeight="1">
      <c r="A829" s="34" t="s">
        <v>22</v>
      </c>
      <c r="B829" s="34">
        <v>200</v>
      </c>
      <c r="C829" s="41">
        <v>0.39879999999999999</v>
      </c>
      <c r="D829" s="34">
        <v>9.6600000000000005E-2</v>
      </c>
      <c r="E829" s="34">
        <v>0.13</v>
      </c>
      <c r="F829" s="34">
        <v>1008</v>
      </c>
      <c r="G829" s="42">
        <v>0</v>
      </c>
      <c r="H829" s="34">
        <v>20</v>
      </c>
      <c r="I829" s="34" t="s">
        <v>12</v>
      </c>
      <c r="J829" s="34">
        <v>1.2909999999999999</v>
      </c>
      <c r="K829" s="41">
        <v>5.5042999999999997</v>
      </c>
    </row>
    <row r="830" spans="1:11" ht="15.75" customHeight="1">
      <c r="A830" s="34" t="s">
        <v>22</v>
      </c>
      <c r="B830" s="34">
        <v>200</v>
      </c>
      <c r="C830" s="41">
        <v>0.5</v>
      </c>
      <c r="D830" s="34">
        <v>9.6600000000000005E-2</v>
      </c>
      <c r="E830" s="34">
        <v>0.13</v>
      </c>
      <c r="F830" s="34">
        <v>1008</v>
      </c>
      <c r="G830" s="42">
        <v>0</v>
      </c>
      <c r="H830" s="34">
        <v>20</v>
      </c>
      <c r="I830" s="34" t="s">
        <v>12</v>
      </c>
      <c r="J830" s="34">
        <v>1.2909999999999999</v>
      </c>
      <c r="K830" s="41">
        <v>5.6050000000000004</v>
      </c>
    </row>
    <row r="831" spans="1:11" ht="15.75" customHeight="1">
      <c r="A831" s="34" t="s">
        <v>22</v>
      </c>
      <c r="B831" s="34">
        <v>200</v>
      </c>
      <c r="C831" s="41">
        <v>0.6</v>
      </c>
      <c r="D831" s="34">
        <v>9.6600000000000005E-2</v>
      </c>
      <c r="E831" s="34">
        <v>0.13</v>
      </c>
      <c r="F831" s="34">
        <v>1008</v>
      </c>
      <c r="G831" s="42">
        <v>0</v>
      </c>
      <c r="H831" s="34">
        <v>20</v>
      </c>
      <c r="I831" s="34" t="s">
        <v>12</v>
      </c>
      <c r="J831" s="34">
        <v>1.2909999999999999</v>
      </c>
      <c r="K831" s="41">
        <v>5.6127000000000002</v>
      </c>
    </row>
    <row r="832" spans="1:11" ht="15.75" customHeight="1">
      <c r="A832" s="34" t="s">
        <v>22</v>
      </c>
      <c r="B832" s="34">
        <v>200</v>
      </c>
      <c r="C832" s="41">
        <v>0.8</v>
      </c>
      <c r="D832" s="34">
        <v>9.6600000000000005E-2</v>
      </c>
      <c r="E832" s="34">
        <v>0.13</v>
      </c>
      <c r="F832" s="34">
        <v>1008</v>
      </c>
      <c r="G832" s="42">
        <v>0</v>
      </c>
      <c r="H832" s="34">
        <v>20</v>
      </c>
      <c r="I832" s="34" t="s">
        <v>12</v>
      </c>
      <c r="J832" s="34">
        <v>1.2909999999999999</v>
      </c>
      <c r="K832" s="41">
        <v>5.7057000000000002</v>
      </c>
    </row>
    <row r="833" spans="1:11" ht="15.75" customHeight="1">
      <c r="A833" s="34" t="s">
        <v>22</v>
      </c>
      <c r="B833" s="34">
        <v>200</v>
      </c>
      <c r="C833" s="41">
        <v>1.0037</v>
      </c>
      <c r="D833" s="34">
        <v>9.6600000000000005E-2</v>
      </c>
      <c r="E833" s="34">
        <v>0.13</v>
      </c>
      <c r="F833" s="34">
        <v>1008</v>
      </c>
      <c r="G833" s="42">
        <v>0</v>
      </c>
      <c r="H833" s="34">
        <v>20</v>
      </c>
      <c r="I833" s="34" t="s">
        <v>12</v>
      </c>
      <c r="J833" s="34">
        <v>1.2909999999999999</v>
      </c>
      <c r="K833" s="41">
        <v>5.6978999999999997</v>
      </c>
    </row>
    <row r="834" spans="1:11" ht="15.75" customHeight="1">
      <c r="A834" s="34" t="s">
        <v>22</v>
      </c>
      <c r="B834" s="34">
        <v>50</v>
      </c>
      <c r="C834" s="41">
        <v>0.29720000000000002</v>
      </c>
      <c r="D834" s="34">
        <v>9.6600000000000005E-2</v>
      </c>
      <c r="E834" s="34">
        <v>0.13</v>
      </c>
      <c r="F834" s="34">
        <v>1008</v>
      </c>
      <c r="G834" s="42">
        <v>0</v>
      </c>
      <c r="H834" s="34">
        <v>20</v>
      </c>
      <c r="I834" s="34" t="s">
        <v>12</v>
      </c>
      <c r="J834" s="34">
        <v>1.2909999999999999</v>
      </c>
      <c r="K834" s="41">
        <v>3.1884000000000001</v>
      </c>
    </row>
    <row r="835" spans="1:11" ht="15.75" customHeight="1">
      <c r="A835" s="34" t="s">
        <v>22</v>
      </c>
      <c r="B835" s="34">
        <v>50</v>
      </c>
      <c r="C835" s="41">
        <v>0.4007</v>
      </c>
      <c r="D835" s="34">
        <v>9.6600000000000005E-2</v>
      </c>
      <c r="E835" s="34">
        <v>0.13</v>
      </c>
      <c r="F835" s="34">
        <v>1008</v>
      </c>
      <c r="G835" s="42">
        <v>0</v>
      </c>
      <c r="H835" s="34">
        <v>20</v>
      </c>
      <c r="I835" s="34" t="s">
        <v>12</v>
      </c>
      <c r="J835" s="34">
        <v>1.2909999999999999</v>
      </c>
      <c r="K835" s="41">
        <v>3.2898999999999998</v>
      </c>
    </row>
    <row r="836" spans="1:11" ht="15.75" customHeight="1">
      <c r="A836" s="34" t="s">
        <v>22</v>
      </c>
      <c r="B836" s="34">
        <v>50</v>
      </c>
      <c r="C836" s="41">
        <v>0.49919999999999998</v>
      </c>
      <c r="D836" s="34">
        <v>9.6600000000000005E-2</v>
      </c>
      <c r="E836" s="34">
        <v>0.13</v>
      </c>
      <c r="F836" s="34">
        <v>1008</v>
      </c>
      <c r="G836" s="42">
        <v>0</v>
      </c>
      <c r="H836" s="34">
        <v>20</v>
      </c>
      <c r="I836" s="34" t="s">
        <v>12</v>
      </c>
      <c r="J836" s="34">
        <v>1.2909999999999999</v>
      </c>
      <c r="K836" s="41">
        <v>3.3986000000000001</v>
      </c>
    </row>
    <row r="837" spans="1:11" ht="15.75" customHeight="1">
      <c r="A837" s="34" t="s">
        <v>22</v>
      </c>
      <c r="B837" s="34">
        <v>50</v>
      </c>
      <c r="C837" s="41">
        <v>0.59889999999999999</v>
      </c>
      <c r="D837" s="34">
        <v>9.6600000000000005E-2</v>
      </c>
      <c r="E837" s="34">
        <v>0.13</v>
      </c>
      <c r="F837" s="34">
        <v>1008</v>
      </c>
      <c r="G837" s="42">
        <v>0</v>
      </c>
      <c r="H837" s="34">
        <v>20</v>
      </c>
      <c r="I837" s="34" t="s">
        <v>12</v>
      </c>
      <c r="J837" s="34">
        <v>1.2909999999999999</v>
      </c>
      <c r="K837" s="41">
        <v>3.4129999999999998</v>
      </c>
    </row>
    <row r="838" spans="1:11" ht="15.75" customHeight="1">
      <c r="A838" s="34" t="s">
        <v>22</v>
      </c>
      <c r="B838" s="34">
        <v>50</v>
      </c>
      <c r="C838" s="41">
        <v>0.79830000000000001</v>
      </c>
      <c r="D838" s="34">
        <v>9.6600000000000005E-2</v>
      </c>
      <c r="E838" s="34">
        <v>0.13</v>
      </c>
      <c r="F838" s="34">
        <v>1008</v>
      </c>
      <c r="G838" s="42">
        <v>0</v>
      </c>
      <c r="H838" s="34">
        <v>20</v>
      </c>
      <c r="I838" s="34" t="s">
        <v>12</v>
      </c>
      <c r="J838" s="34">
        <v>1.2909999999999999</v>
      </c>
      <c r="K838" s="41">
        <v>3.5072000000000001</v>
      </c>
    </row>
    <row r="839" spans="1:11" ht="15.75" customHeight="1">
      <c r="A839" s="34" t="s">
        <v>22</v>
      </c>
      <c r="B839" s="34">
        <v>50</v>
      </c>
      <c r="C839" s="41">
        <v>1.0015000000000001</v>
      </c>
      <c r="D839" s="34">
        <v>9.6600000000000005E-2</v>
      </c>
      <c r="E839" s="34">
        <v>0.13</v>
      </c>
      <c r="F839" s="34">
        <v>1008</v>
      </c>
      <c r="G839" s="42">
        <v>0</v>
      </c>
      <c r="H839" s="34">
        <v>20</v>
      </c>
      <c r="I839" s="34" t="s">
        <v>12</v>
      </c>
      <c r="J839" s="34">
        <v>1.2909999999999999</v>
      </c>
      <c r="K839" s="41">
        <v>3.6522000000000001</v>
      </c>
    </row>
    <row r="840" spans="1:11" ht="15.75" customHeight="1">
      <c r="A840" s="34" t="s">
        <v>22</v>
      </c>
      <c r="B840" s="34">
        <v>80</v>
      </c>
      <c r="C840" s="41">
        <v>0.29849999999999999</v>
      </c>
      <c r="D840" s="34">
        <v>9.6600000000000005E-2</v>
      </c>
      <c r="E840" s="34">
        <v>0.13</v>
      </c>
      <c r="F840" s="34">
        <v>1008</v>
      </c>
      <c r="G840" s="42">
        <v>0</v>
      </c>
      <c r="H840" s="34">
        <v>20</v>
      </c>
      <c r="I840" s="34" t="s">
        <v>12</v>
      </c>
      <c r="J840" s="34">
        <v>1.2909999999999999</v>
      </c>
      <c r="K840" s="41">
        <v>3.5941999999999998</v>
      </c>
    </row>
    <row r="841" spans="1:11" ht="15.75" customHeight="1">
      <c r="A841" s="34" t="s">
        <v>22</v>
      </c>
      <c r="B841" s="34">
        <v>80</v>
      </c>
      <c r="C841" s="41">
        <v>0.39939999999999998</v>
      </c>
      <c r="D841" s="34">
        <v>9.6600000000000005E-2</v>
      </c>
      <c r="E841" s="34">
        <v>0.13</v>
      </c>
      <c r="F841" s="34">
        <v>1008</v>
      </c>
      <c r="G841" s="42">
        <v>0</v>
      </c>
      <c r="H841" s="34">
        <v>20</v>
      </c>
      <c r="I841" s="34" t="s">
        <v>12</v>
      </c>
      <c r="J841" s="34">
        <v>1.2909999999999999</v>
      </c>
      <c r="K841" s="41">
        <v>3.5870000000000002</v>
      </c>
    </row>
    <row r="842" spans="1:11" ht="15.75" customHeight="1">
      <c r="A842" s="34" t="s">
        <v>22</v>
      </c>
      <c r="B842" s="34">
        <v>80</v>
      </c>
      <c r="C842" s="41">
        <v>0.49790000000000001</v>
      </c>
      <c r="D842" s="34">
        <v>9.6600000000000005E-2</v>
      </c>
      <c r="E842" s="34">
        <v>0.13</v>
      </c>
      <c r="F842" s="34">
        <v>1008</v>
      </c>
      <c r="G842" s="42">
        <v>0</v>
      </c>
      <c r="H842" s="34">
        <v>20</v>
      </c>
      <c r="I842" s="34" t="s">
        <v>12</v>
      </c>
      <c r="J842" s="34">
        <v>1.2909999999999999</v>
      </c>
      <c r="K842" s="41">
        <v>3.7029000000000001</v>
      </c>
    </row>
    <row r="843" spans="1:11" ht="15.75" customHeight="1">
      <c r="A843" s="34" t="s">
        <v>22</v>
      </c>
      <c r="B843" s="34">
        <v>80</v>
      </c>
      <c r="C843" s="41">
        <v>0.59640000000000004</v>
      </c>
      <c r="D843" s="34">
        <v>9.6600000000000005E-2</v>
      </c>
      <c r="E843" s="34">
        <v>0.13</v>
      </c>
      <c r="F843" s="34">
        <v>1008</v>
      </c>
      <c r="G843" s="42">
        <v>0</v>
      </c>
      <c r="H843" s="34">
        <v>20</v>
      </c>
      <c r="I843" s="34" t="s">
        <v>12</v>
      </c>
      <c r="J843" s="34">
        <v>1.2909999999999999</v>
      </c>
      <c r="K843" s="41">
        <v>3.7464</v>
      </c>
    </row>
    <row r="844" spans="1:11" ht="15.75" customHeight="1">
      <c r="A844" s="34" t="s">
        <v>22</v>
      </c>
      <c r="B844" s="34">
        <v>80</v>
      </c>
      <c r="C844" s="41">
        <v>0.80079999999999996</v>
      </c>
      <c r="D844" s="34">
        <v>9.6600000000000005E-2</v>
      </c>
      <c r="E844" s="34">
        <v>0.13</v>
      </c>
      <c r="F844" s="34">
        <v>1008</v>
      </c>
      <c r="G844" s="42">
        <v>0</v>
      </c>
      <c r="H844" s="34">
        <v>20</v>
      </c>
      <c r="I844" s="34" t="s">
        <v>12</v>
      </c>
      <c r="J844" s="34">
        <v>1.2909999999999999</v>
      </c>
      <c r="K844" s="41">
        <v>3.8696000000000002</v>
      </c>
    </row>
    <row r="845" spans="1:11" ht="15.75" customHeight="1">
      <c r="A845" s="34" t="s">
        <v>22</v>
      </c>
      <c r="B845" s="34">
        <v>80</v>
      </c>
      <c r="C845" s="41">
        <v>0.999</v>
      </c>
      <c r="D845" s="34">
        <v>9.6600000000000005E-2</v>
      </c>
      <c r="E845" s="34">
        <v>0.13</v>
      </c>
      <c r="F845" s="34">
        <v>1008</v>
      </c>
      <c r="G845" s="42">
        <v>0</v>
      </c>
      <c r="H845" s="34">
        <v>20</v>
      </c>
      <c r="I845" s="34" t="s">
        <v>12</v>
      </c>
      <c r="J845" s="34">
        <v>1.2909999999999999</v>
      </c>
      <c r="K845" s="41">
        <v>3.9203000000000001</v>
      </c>
    </row>
    <row r="846" spans="1:11" ht="15.75" customHeight="1">
      <c r="A846" s="34" t="s">
        <v>22</v>
      </c>
      <c r="B846" s="34">
        <v>100</v>
      </c>
      <c r="C846" s="41">
        <v>0.29599999999999999</v>
      </c>
      <c r="D846" s="34">
        <v>9.6600000000000005E-2</v>
      </c>
      <c r="E846" s="34">
        <v>0.13</v>
      </c>
      <c r="F846" s="34">
        <v>1008</v>
      </c>
      <c r="G846" s="42">
        <v>0</v>
      </c>
      <c r="H846" s="34">
        <v>20</v>
      </c>
      <c r="I846" s="34" t="s">
        <v>12</v>
      </c>
      <c r="J846" s="34">
        <v>1.2909999999999999</v>
      </c>
      <c r="K846" s="41">
        <v>3.8841000000000001</v>
      </c>
    </row>
    <row r="847" spans="1:11" ht="15.75" customHeight="1">
      <c r="A847" s="34" t="s">
        <v>22</v>
      </c>
      <c r="B847" s="34">
        <v>100</v>
      </c>
      <c r="C847" s="41">
        <v>0.3982</v>
      </c>
      <c r="D847" s="34">
        <v>9.6600000000000005E-2</v>
      </c>
      <c r="E847" s="34">
        <v>0.13</v>
      </c>
      <c r="F847" s="34">
        <v>1008</v>
      </c>
      <c r="G847" s="42">
        <v>0</v>
      </c>
      <c r="H847" s="34">
        <v>20</v>
      </c>
      <c r="I847" s="34" t="s">
        <v>12</v>
      </c>
      <c r="J847" s="34">
        <v>1.2909999999999999</v>
      </c>
      <c r="K847" s="41">
        <v>4</v>
      </c>
    </row>
    <row r="848" spans="1:11" ht="15.75" customHeight="1">
      <c r="A848" s="34" t="s">
        <v>22</v>
      </c>
      <c r="B848" s="34">
        <v>100</v>
      </c>
      <c r="C848" s="41">
        <v>0.49919999999999998</v>
      </c>
      <c r="D848" s="34">
        <v>9.6600000000000005E-2</v>
      </c>
      <c r="E848" s="34">
        <v>0.13</v>
      </c>
      <c r="F848" s="34">
        <v>1008</v>
      </c>
      <c r="G848" s="42">
        <v>0</v>
      </c>
      <c r="H848" s="34">
        <v>20</v>
      </c>
      <c r="I848" s="34" t="s">
        <v>12</v>
      </c>
      <c r="J848" s="34">
        <v>1.2909999999999999</v>
      </c>
      <c r="K848" s="41">
        <v>3.9927999999999999</v>
      </c>
    </row>
    <row r="849" spans="1:11" ht="15.75" customHeight="1">
      <c r="A849" s="34" t="s">
        <v>22</v>
      </c>
      <c r="B849" s="34">
        <v>100</v>
      </c>
      <c r="C849" s="41">
        <v>0.60009999999999997</v>
      </c>
      <c r="D849" s="34">
        <v>9.6600000000000005E-2</v>
      </c>
      <c r="E849" s="34">
        <v>0.13</v>
      </c>
      <c r="F849" s="34">
        <v>1008</v>
      </c>
      <c r="G849" s="42">
        <v>0</v>
      </c>
      <c r="H849" s="34">
        <v>20</v>
      </c>
      <c r="I849" s="34" t="s">
        <v>12</v>
      </c>
      <c r="J849" s="34">
        <v>1.2909999999999999</v>
      </c>
      <c r="K849" s="41">
        <v>4.0941999999999998</v>
      </c>
    </row>
    <row r="850" spans="1:11" ht="15.75" customHeight="1">
      <c r="A850" s="34" t="s">
        <v>22</v>
      </c>
      <c r="B850" s="34">
        <v>100</v>
      </c>
      <c r="C850" s="41">
        <v>0.79710000000000003</v>
      </c>
      <c r="D850" s="34">
        <v>9.6600000000000005E-2</v>
      </c>
      <c r="E850" s="34">
        <v>0.13</v>
      </c>
      <c r="F850" s="34">
        <v>1008</v>
      </c>
      <c r="G850" s="42">
        <v>0</v>
      </c>
      <c r="H850" s="34">
        <v>20</v>
      </c>
      <c r="I850" s="34" t="s">
        <v>12</v>
      </c>
      <c r="J850" s="34">
        <v>1.2909999999999999</v>
      </c>
      <c r="K850" s="41">
        <v>4.1883999999999997</v>
      </c>
    </row>
    <row r="851" spans="1:11" ht="15.75" customHeight="1">
      <c r="A851" s="34" t="s">
        <v>22</v>
      </c>
      <c r="B851" s="34">
        <v>100</v>
      </c>
      <c r="C851" s="41">
        <v>1.0015000000000001</v>
      </c>
      <c r="D851" s="34">
        <v>9.6600000000000005E-2</v>
      </c>
      <c r="E851" s="34">
        <v>0.13</v>
      </c>
      <c r="F851" s="34">
        <v>1008</v>
      </c>
      <c r="G851" s="42">
        <v>0</v>
      </c>
      <c r="H851" s="34">
        <v>20</v>
      </c>
      <c r="I851" s="34" t="s">
        <v>12</v>
      </c>
      <c r="J851" s="34">
        <v>1.2909999999999999</v>
      </c>
      <c r="K851" s="41">
        <v>4.2971000000000004</v>
      </c>
    </row>
    <row r="852" spans="1:11" ht="15.75" customHeight="1">
      <c r="A852" s="34" t="s">
        <v>22</v>
      </c>
      <c r="B852" s="34">
        <v>120</v>
      </c>
      <c r="C852" s="41">
        <v>0.29849999999999999</v>
      </c>
      <c r="D852" s="34">
        <v>9.6600000000000005E-2</v>
      </c>
      <c r="E852" s="34">
        <v>0.13</v>
      </c>
      <c r="F852" s="34">
        <v>1008</v>
      </c>
      <c r="G852" s="42">
        <v>0</v>
      </c>
      <c r="H852" s="34">
        <v>20</v>
      </c>
      <c r="I852" s="34" t="s">
        <v>12</v>
      </c>
      <c r="J852" s="34">
        <v>1.2909999999999999</v>
      </c>
      <c r="K852" s="41">
        <v>4.3042999999999996</v>
      </c>
    </row>
    <row r="853" spans="1:11" ht="15.75" customHeight="1">
      <c r="A853" s="34" t="s">
        <v>22</v>
      </c>
      <c r="B853" s="34">
        <v>120</v>
      </c>
      <c r="C853" s="41">
        <v>0.40189999999999998</v>
      </c>
      <c r="D853" s="34">
        <v>9.6600000000000005E-2</v>
      </c>
      <c r="E853" s="34">
        <v>0.13</v>
      </c>
      <c r="F853" s="34">
        <v>1008</v>
      </c>
      <c r="G853" s="42">
        <v>0</v>
      </c>
      <c r="H853" s="34">
        <v>20</v>
      </c>
      <c r="I853" s="34" t="s">
        <v>12</v>
      </c>
      <c r="J853" s="34">
        <v>1.2909999999999999</v>
      </c>
      <c r="K853" s="41">
        <v>4.2971000000000004</v>
      </c>
    </row>
    <row r="854" spans="1:11" ht="15.75" customHeight="1">
      <c r="A854" s="34" t="s">
        <v>22</v>
      </c>
      <c r="B854" s="34">
        <v>120</v>
      </c>
      <c r="C854" s="41">
        <v>0.49919999999999998</v>
      </c>
      <c r="D854" s="34">
        <v>9.6600000000000005E-2</v>
      </c>
      <c r="E854" s="34">
        <v>0.13</v>
      </c>
      <c r="F854" s="34">
        <v>1008</v>
      </c>
      <c r="G854" s="42">
        <v>0</v>
      </c>
      <c r="H854" s="34">
        <v>20</v>
      </c>
      <c r="I854" s="34" t="s">
        <v>12</v>
      </c>
      <c r="J854" s="34">
        <v>1.2909999999999999</v>
      </c>
      <c r="K854" s="41">
        <v>4.2899000000000003</v>
      </c>
    </row>
    <row r="855" spans="1:11" ht="15.75" customHeight="1">
      <c r="A855" s="34" t="s">
        <v>22</v>
      </c>
      <c r="B855" s="34">
        <v>120</v>
      </c>
      <c r="C855" s="41">
        <v>0.60009999999999997</v>
      </c>
      <c r="D855" s="34">
        <v>9.6600000000000005E-2</v>
      </c>
      <c r="E855" s="34">
        <v>0.13</v>
      </c>
      <c r="F855" s="34">
        <v>1008</v>
      </c>
      <c r="G855" s="42">
        <v>0</v>
      </c>
      <c r="H855" s="34">
        <v>20</v>
      </c>
      <c r="I855" s="34" t="s">
        <v>12</v>
      </c>
      <c r="J855" s="34">
        <v>1.2909999999999999</v>
      </c>
      <c r="K855" s="41">
        <v>4.3913000000000002</v>
      </c>
    </row>
    <row r="856" spans="1:11" ht="15.75" customHeight="1">
      <c r="A856" s="34" t="s">
        <v>22</v>
      </c>
      <c r="B856" s="34">
        <v>120</v>
      </c>
      <c r="C856" s="41">
        <v>0.80079999999999996</v>
      </c>
      <c r="D856" s="34">
        <v>9.6600000000000005E-2</v>
      </c>
      <c r="E856" s="34">
        <v>0.13</v>
      </c>
      <c r="F856" s="34">
        <v>1008</v>
      </c>
      <c r="G856" s="42">
        <v>0</v>
      </c>
      <c r="H856" s="34">
        <v>20</v>
      </c>
      <c r="I856" s="34" t="s">
        <v>12</v>
      </c>
      <c r="J856" s="34">
        <v>1.2909999999999999</v>
      </c>
      <c r="K856" s="41">
        <v>4.4927999999999999</v>
      </c>
    </row>
    <row r="857" spans="1:11" ht="15.75" customHeight="1">
      <c r="A857" s="34" t="s">
        <v>22</v>
      </c>
      <c r="B857" s="34">
        <v>120</v>
      </c>
      <c r="C857" s="41">
        <v>1.0015000000000001</v>
      </c>
      <c r="D857" s="34">
        <v>9.6600000000000005E-2</v>
      </c>
      <c r="E857" s="34">
        <v>0.13</v>
      </c>
      <c r="F857" s="34">
        <v>1008</v>
      </c>
      <c r="G857" s="42">
        <v>0</v>
      </c>
      <c r="H857" s="34">
        <v>20</v>
      </c>
      <c r="I857" s="34" t="s">
        <v>12</v>
      </c>
      <c r="J857" s="34">
        <v>1.2909999999999999</v>
      </c>
      <c r="K857" s="41">
        <v>4.5</v>
      </c>
    </row>
    <row r="858" spans="1:11" ht="15.75" customHeight="1">
      <c r="A858" s="34" t="s">
        <v>22</v>
      </c>
      <c r="B858" s="34">
        <v>150</v>
      </c>
      <c r="C858" s="41">
        <v>0.29849999999999999</v>
      </c>
      <c r="D858" s="34">
        <v>9.6600000000000005E-2</v>
      </c>
      <c r="E858" s="34">
        <v>0.13</v>
      </c>
      <c r="F858" s="34">
        <v>1008</v>
      </c>
      <c r="G858" s="42">
        <v>0</v>
      </c>
      <c r="H858" s="34">
        <v>20</v>
      </c>
      <c r="I858" s="34" t="s">
        <v>12</v>
      </c>
      <c r="J858" s="34">
        <v>1.2909999999999999</v>
      </c>
      <c r="K858" s="41">
        <v>4.6957000000000004</v>
      </c>
    </row>
    <row r="859" spans="1:11" ht="15.75" customHeight="1">
      <c r="A859" s="34" t="s">
        <v>22</v>
      </c>
      <c r="B859" s="34">
        <v>150</v>
      </c>
      <c r="C859" s="41">
        <v>0.39700000000000002</v>
      </c>
      <c r="D859" s="34">
        <v>9.6600000000000005E-2</v>
      </c>
      <c r="E859" s="34">
        <v>0.13</v>
      </c>
      <c r="F859" s="34">
        <v>1008</v>
      </c>
      <c r="G859" s="42">
        <v>0</v>
      </c>
      <c r="H859" s="34">
        <v>20</v>
      </c>
      <c r="I859" s="34" t="s">
        <v>12</v>
      </c>
      <c r="J859" s="34">
        <v>1.2909999999999999</v>
      </c>
      <c r="K859" s="41">
        <v>4.6811999999999996</v>
      </c>
    </row>
    <row r="860" spans="1:11" ht="15.75" customHeight="1">
      <c r="A860" s="34" t="s">
        <v>22</v>
      </c>
      <c r="B860" s="34">
        <v>150</v>
      </c>
      <c r="C860" s="41">
        <v>0.49919999999999998</v>
      </c>
      <c r="D860" s="34">
        <v>9.6600000000000005E-2</v>
      </c>
      <c r="E860" s="34">
        <v>0.13</v>
      </c>
      <c r="F860" s="34">
        <v>1008</v>
      </c>
      <c r="G860" s="42">
        <v>0</v>
      </c>
      <c r="H860" s="34">
        <v>20</v>
      </c>
      <c r="I860" s="34" t="s">
        <v>12</v>
      </c>
      <c r="J860" s="34">
        <v>1.2909999999999999</v>
      </c>
      <c r="K860" s="41">
        <v>4.8116000000000003</v>
      </c>
    </row>
    <row r="861" spans="1:11" ht="15.75" customHeight="1">
      <c r="A861" s="34" t="s">
        <v>22</v>
      </c>
      <c r="B861" s="34">
        <v>150</v>
      </c>
      <c r="C861" s="41">
        <v>0.60140000000000005</v>
      </c>
      <c r="D861" s="34">
        <v>9.6600000000000005E-2</v>
      </c>
      <c r="E861" s="34">
        <v>0.13</v>
      </c>
      <c r="F861" s="34">
        <v>1008</v>
      </c>
      <c r="G861" s="42">
        <v>0</v>
      </c>
      <c r="H861" s="34">
        <v>20</v>
      </c>
      <c r="I861" s="34" t="s">
        <v>12</v>
      </c>
      <c r="J861" s="34">
        <v>1.2909999999999999</v>
      </c>
      <c r="K861" s="41">
        <v>4.7899000000000003</v>
      </c>
    </row>
    <row r="862" spans="1:11" ht="15.75" customHeight="1">
      <c r="A862" s="34" t="s">
        <v>22</v>
      </c>
      <c r="B862" s="34">
        <v>150</v>
      </c>
      <c r="C862" s="41">
        <v>0.80330000000000001</v>
      </c>
      <c r="D862" s="34">
        <v>9.6600000000000005E-2</v>
      </c>
      <c r="E862" s="34">
        <v>0.13</v>
      </c>
      <c r="F862" s="34">
        <v>1008</v>
      </c>
      <c r="G862" s="42">
        <v>0</v>
      </c>
      <c r="H862" s="34">
        <v>20</v>
      </c>
      <c r="I862" s="34" t="s">
        <v>12</v>
      </c>
      <c r="J862" s="34">
        <v>1.2909999999999999</v>
      </c>
      <c r="K862" s="41">
        <v>4.8841000000000001</v>
      </c>
    </row>
    <row r="863" spans="1:11" ht="15.75" customHeight="1">
      <c r="A863" s="34" t="s">
        <v>22</v>
      </c>
      <c r="B863" s="34">
        <v>150</v>
      </c>
      <c r="C863" s="41">
        <v>1.0015000000000001</v>
      </c>
      <c r="D863" s="34">
        <v>9.6600000000000005E-2</v>
      </c>
      <c r="E863" s="34">
        <v>0.13</v>
      </c>
      <c r="F863" s="34">
        <v>1008</v>
      </c>
      <c r="G863" s="42">
        <v>0</v>
      </c>
      <c r="H863" s="34">
        <v>20</v>
      </c>
      <c r="I863" s="34" t="s">
        <v>12</v>
      </c>
      <c r="J863" s="34">
        <v>1.2909999999999999</v>
      </c>
      <c r="K863" s="41">
        <v>4.8913000000000002</v>
      </c>
    </row>
    <row r="864" spans="1:11" ht="15.75" customHeight="1">
      <c r="A864" s="34" t="s">
        <v>22</v>
      </c>
      <c r="B864" s="34">
        <v>200</v>
      </c>
      <c r="C864" s="41">
        <v>0.29849999999999999</v>
      </c>
      <c r="D864" s="34">
        <v>9.6600000000000005E-2</v>
      </c>
      <c r="E864" s="34">
        <v>0.13</v>
      </c>
      <c r="F864" s="34">
        <v>1008</v>
      </c>
      <c r="G864" s="42">
        <v>0</v>
      </c>
      <c r="H864" s="34">
        <v>20</v>
      </c>
      <c r="I864" s="34" t="s">
        <v>12</v>
      </c>
      <c r="J864" s="34">
        <v>1.2909999999999999</v>
      </c>
      <c r="K864" s="41">
        <v>5.2971000000000004</v>
      </c>
    </row>
    <row r="865" spans="1:11" ht="15.75" customHeight="1">
      <c r="A865" s="34" t="s">
        <v>22</v>
      </c>
      <c r="B865" s="34">
        <v>200</v>
      </c>
      <c r="C865" s="41">
        <v>0.39939999999999998</v>
      </c>
      <c r="D865" s="34">
        <v>9.6600000000000005E-2</v>
      </c>
      <c r="E865" s="34">
        <v>0.13</v>
      </c>
      <c r="F865" s="34">
        <v>1008</v>
      </c>
      <c r="G865" s="42">
        <v>0</v>
      </c>
      <c r="H865" s="34">
        <v>20</v>
      </c>
      <c r="I865" s="34" t="s">
        <v>12</v>
      </c>
      <c r="J865" s="34">
        <v>1.2909999999999999</v>
      </c>
      <c r="K865" s="41">
        <v>5.2899000000000003</v>
      </c>
    </row>
    <row r="866" spans="1:11" ht="15.75" customHeight="1">
      <c r="A866" s="34" t="s">
        <v>22</v>
      </c>
      <c r="B866" s="34">
        <v>200</v>
      </c>
      <c r="C866" s="41">
        <v>0.50039999999999996</v>
      </c>
      <c r="D866" s="34">
        <v>9.6600000000000005E-2</v>
      </c>
      <c r="E866" s="34">
        <v>0.13</v>
      </c>
      <c r="F866" s="34">
        <v>1008</v>
      </c>
      <c r="G866" s="42">
        <v>0</v>
      </c>
      <c r="H866" s="34">
        <v>20</v>
      </c>
      <c r="I866" s="34" t="s">
        <v>12</v>
      </c>
      <c r="J866" s="34">
        <v>1.2909999999999999</v>
      </c>
      <c r="K866" s="41">
        <v>5.2971000000000004</v>
      </c>
    </row>
    <row r="867" spans="1:11" ht="15.75" customHeight="1">
      <c r="A867" s="34" t="s">
        <v>22</v>
      </c>
      <c r="B867" s="34">
        <v>200</v>
      </c>
      <c r="C867" s="41">
        <v>0.60140000000000005</v>
      </c>
      <c r="D867" s="34">
        <v>9.6600000000000005E-2</v>
      </c>
      <c r="E867" s="34">
        <v>0.13</v>
      </c>
      <c r="F867" s="34">
        <v>1008</v>
      </c>
      <c r="G867" s="42">
        <v>0</v>
      </c>
      <c r="H867" s="34">
        <v>20</v>
      </c>
      <c r="I867" s="34" t="s">
        <v>12</v>
      </c>
      <c r="J867" s="34">
        <v>1.2909999999999999</v>
      </c>
      <c r="K867" s="41">
        <v>5.3913000000000002</v>
      </c>
    </row>
    <row r="868" spans="1:11" ht="15.75" customHeight="1">
      <c r="A868" s="34" t="s">
        <v>22</v>
      </c>
      <c r="B868" s="34">
        <v>200</v>
      </c>
      <c r="C868" s="41">
        <v>0.79959999999999998</v>
      </c>
      <c r="D868" s="34">
        <v>9.6600000000000005E-2</v>
      </c>
      <c r="E868" s="34">
        <v>0.13</v>
      </c>
      <c r="F868" s="34">
        <v>1008</v>
      </c>
      <c r="G868" s="42">
        <v>0</v>
      </c>
      <c r="H868" s="34">
        <v>20</v>
      </c>
      <c r="I868" s="34" t="s">
        <v>12</v>
      </c>
      <c r="J868" s="34">
        <v>1.2909999999999999</v>
      </c>
      <c r="K868" s="41">
        <v>5.3986000000000001</v>
      </c>
    </row>
    <row r="869" spans="1:11" ht="15.75" customHeight="1">
      <c r="A869" s="34" t="s">
        <v>22</v>
      </c>
      <c r="B869" s="34">
        <v>200</v>
      </c>
      <c r="C869" s="41">
        <v>1.0015000000000001</v>
      </c>
      <c r="D869" s="34">
        <v>9.6600000000000005E-2</v>
      </c>
      <c r="E869" s="34">
        <v>0.13</v>
      </c>
      <c r="F869" s="34">
        <v>1008</v>
      </c>
      <c r="G869" s="42">
        <v>0</v>
      </c>
      <c r="H869" s="34">
        <v>20</v>
      </c>
      <c r="I869" s="34" t="s">
        <v>12</v>
      </c>
      <c r="J869" s="34">
        <v>1.2909999999999999</v>
      </c>
      <c r="K869" s="41">
        <v>5.5072000000000001</v>
      </c>
    </row>
    <row r="870" spans="1:11" ht="15.75" customHeight="1">
      <c r="A870" s="34" t="s">
        <v>22</v>
      </c>
      <c r="B870" s="34">
        <v>50</v>
      </c>
      <c r="C870" s="41">
        <v>0.29849999999999999</v>
      </c>
      <c r="D870" s="34">
        <v>9.6600000000000005E-2</v>
      </c>
      <c r="E870" s="34">
        <v>0.13</v>
      </c>
      <c r="F870" s="34">
        <v>1008</v>
      </c>
      <c r="G870" s="42">
        <v>0</v>
      </c>
      <c r="H870" s="34">
        <v>20</v>
      </c>
      <c r="I870" s="34" t="s">
        <v>12</v>
      </c>
      <c r="J870" s="34">
        <v>1.2909999999999999</v>
      </c>
      <c r="K870" s="41">
        <v>3.0007999999999999</v>
      </c>
    </row>
    <row r="871" spans="1:11" ht="15.75" customHeight="1">
      <c r="A871" s="34" t="s">
        <v>22</v>
      </c>
      <c r="B871" s="34">
        <v>50</v>
      </c>
      <c r="C871" s="41">
        <v>0.40189999999999998</v>
      </c>
      <c r="D871" s="34">
        <v>9.6600000000000005E-2</v>
      </c>
      <c r="E871" s="34">
        <v>0.13</v>
      </c>
      <c r="F871" s="34">
        <v>1008</v>
      </c>
      <c r="G871" s="42">
        <v>0</v>
      </c>
      <c r="H871" s="34">
        <v>20</v>
      </c>
      <c r="I871" s="34" t="s">
        <v>12</v>
      </c>
      <c r="J871" s="34">
        <v>1.2909999999999999</v>
      </c>
      <c r="K871" s="41">
        <v>3.028</v>
      </c>
    </row>
    <row r="872" spans="1:11" ht="15.75" customHeight="1">
      <c r="A872" s="34" t="s">
        <v>22</v>
      </c>
      <c r="B872" s="34">
        <v>50</v>
      </c>
      <c r="C872" s="41">
        <v>0.50039999999999996</v>
      </c>
      <c r="D872" s="34">
        <v>9.6600000000000005E-2</v>
      </c>
      <c r="E872" s="34">
        <v>0.13</v>
      </c>
      <c r="F872" s="34">
        <v>1008</v>
      </c>
      <c r="G872" s="42">
        <v>0</v>
      </c>
      <c r="H872" s="34">
        <v>20</v>
      </c>
      <c r="I872" s="34" t="s">
        <v>12</v>
      </c>
      <c r="J872" s="34">
        <v>1.2909999999999999</v>
      </c>
      <c r="K872" s="41">
        <v>3.1162999999999998</v>
      </c>
    </row>
    <row r="873" spans="1:11" ht="15.75" customHeight="1">
      <c r="A873" s="34" t="s">
        <v>22</v>
      </c>
      <c r="B873" s="34">
        <v>50</v>
      </c>
      <c r="C873" s="41">
        <v>0.59640000000000004</v>
      </c>
      <c r="D873" s="34">
        <v>9.6600000000000005E-2</v>
      </c>
      <c r="E873" s="34">
        <v>0.13</v>
      </c>
      <c r="F873" s="34">
        <v>1008</v>
      </c>
      <c r="G873" s="42">
        <v>0</v>
      </c>
      <c r="H873" s="34">
        <v>20</v>
      </c>
      <c r="I873" s="34" t="s">
        <v>12</v>
      </c>
      <c r="J873" s="34">
        <v>1.2909999999999999</v>
      </c>
      <c r="K873" s="41">
        <v>3.2046000000000001</v>
      </c>
    </row>
    <row r="874" spans="1:11" ht="15.75" customHeight="1">
      <c r="A874" s="34" t="s">
        <v>22</v>
      </c>
      <c r="B874" s="34">
        <v>50</v>
      </c>
      <c r="C874" s="41">
        <v>0.79959999999999998</v>
      </c>
      <c r="D874" s="34">
        <v>9.6600000000000005E-2</v>
      </c>
      <c r="E874" s="34">
        <v>0.13</v>
      </c>
      <c r="F874" s="34">
        <v>1008</v>
      </c>
      <c r="G874" s="42">
        <v>0</v>
      </c>
      <c r="H874" s="34">
        <v>20</v>
      </c>
      <c r="I874" s="34" t="s">
        <v>12</v>
      </c>
      <c r="J874" s="34">
        <v>1.2909999999999999</v>
      </c>
      <c r="K874" s="41">
        <v>3.3607999999999998</v>
      </c>
    </row>
    <row r="875" spans="1:11" ht="15.75" customHeight="1">
      <c r="A875" s="34" t="s">
        <v>22</v>
      </c>
      <c r="B875" s="34">
        <v>50</v>
      </c>
      <c r="C875" s="41">
        <v>1.0003</v>
      </c>
      <c r="D875" s="34">
        <v>9.6600000000000005E-2</v>
      </c>
      <c r="E875" s="34">
        <v>0.13</v>
      </c>
      <c r="F875" s="34">
        <v>1008</v>
      </c>
      <c r="G875" s="42">
        <v>0</v>
      </c>
      <c r="H875" s="34">
        <v>20</v>
      </c>
      <c r="I875" s="34" t="s">
        <v>12</v>
      </c>
      <c r="J875" s="34">
        <v>1.2909999999999999</v>
      </c>
      <c r="K875" s="41">
        <v>3.4355000000000002</v>
      </c>
    </row>
    <row r="876" spans="1:11" ht="15.75" customHeight="1">
      <c r="A876" s="34" t="s">
        <v>22</v>
      </c>
      <c r="B876" s="34">
        <v>80</v>
      </c>
      <c r="C876" s="41">
        <v>0.30220000000000002</v>
      </c>
      <c r="D876" s="34">
        <v>9.6600000000000005E-2</v>
      </c>
      <c r="E876" s="34">
        <v>0.13</v>
      </c>
      <c r="F876" s="34">
        <v>1008</v>
      </c>
      <c r="G876" s="42">
        <v>0</v>
      </c>
      <c r="H876" s="34">
        <v>20</v>
      </c>
      <c r="I876" s="34" t="s">
        <v>12</v>
      </c>
      <c r="J876" s="34">
        <v>1.2909999999999999</v>
      </c>
      <c r="K876" s="41">
        <v>3.3879000000000001</v>
      </c>
    </row>
    <row r="877" spans="1:11" ht="15.75" customHeight="1">
      <c r="A877" s="34" t="s">
        <v>22</v>
      </c>
      <c r="B877" s="34">
        <v>80</v>
      </c>
      <c r="C877" s="41">
        <v>0.40189999999999998</v>
      </c>
      <c r="D877" s="34">
        <v>9.6600000000000005E-2</v>
      </c>
      <c r="E877" s="34">
        <v>0.13</v>
      </c>
      <c r="F877" s="34">
        <v>1008</v>
      </c>
      <c r="G877" s="42">
        <v>0</v>
      </c>
      <c r="H877" s="34">
        <v>20</v>
      </c>
      <c r="I877" s="34" t="s">
        <v>12</v>
      </c>
      <c r="J877" s="34">
        <v>1.2909999999999999</v>
      </c>
      <c r="K877" s="41">
        <v>3.4965999999999999</v>
      </c>
    </row>
    <row r="878" spans="1:11" ht="15.75" customHeight="1">
      <c r="A878" s="34" t="s">
        <v>22</v>
      </c>
      <c r="B878" s="34">
        <v>80</v>
      </c>
      <c r="C878" s="41">
        <v>0.50290000000000001</v>
      </c>
      <c r="D878" s="34">
        <v>9.6600000000000005E-2</v>
      </c>
      <c r="E878" s="34">
        <v>0.13</v>
      </c>
      <c r="F878" s="34">
        <v>1008</v>
      </c>
      <c r="G878" s="42">
        <v>0</v>
      </c>
      <c r="H878" s="34">
        <v>20</v>
      </c>
      <c r="I878" s="34" t="s">
        <v>12</v>
      </c>
      <c r="J878" s="34">
        <v>1.2909999999999999</v>
      </c>
      <c r="K878" s="41">
        <v>3.4965999999999999</v>
      </c>
    </row>
    <row r="879" spans="1:11" ht="15.75" customHeight="1">
      <c r="A879" s="34" t="s">
        <v>22</v>
      </c>
      <c r="B879" s="34">
        <v>80</v>
      </c>
      <c r="C879" s="41">
        <v>0.60009999999999997</v>
      </c>
      <c r="D879" s="34">
        <v>9.6600000000000005E-2</v>
      </c>
      <c r="E879" s="34">
        <v>0.13</v>
      </c>
      <c r="F879" s="34">
        <v>1008</v>
      </c>
      <c r="G879" s="42">
        <v>0</v>
      </c>
      <c r="H879" s="34">
        <v>20</v>
      </c>
      <c r="I879" s="34" t="s">
        <v>12</v>
      </c>
      <c r="J879" s="34">
        <v>1.2909999999999999</v>
      </c>
      <c r="K879" s="41">
        <v>3.6053000000000002</v>
      </c>
    </row>
    <row r="880" spans="1:11" ht="15.75" customHeight="1">
      <c r="A880" s="34" t="s">
        <v>22</v>
      </c>
      <c r="B880" s="34">
        <v>80</v>
      </c>
      <c r="C880" s="41">
        <v>0.79959999999999998</v>
      </c>
      <c r="D880" s="34">
        <v>9.6600000000000005E-2</v>
      </c>
      <c r="E880" s="34">
        <v>0.13</v>
      </c>
      <c r="F880" s="34">
        <v>1008</v>
      </c>
      <c r="G880" s="42">
        <v>0</v>
      </c>
      <c r="H880" s="34">
        <v>20</v>
      </c>
      <c r="I880" s="34" t="s">
        <v>12</v>
      </c>
      <c r="J880" s="34">
        <v>1.2909999999999999</v>
      </c>
      <c r="K880" s="41">
        <v>3.7002999999999999</v>
      </c>
    </row>
    <row r="881" spans="1:11" ht="15.75" customHeight="1">
      <c r="A881" s="34" t="s">
        <v>22</v>
      </c>
      <c r="B881" s="34">
        <v>80</v>
      </c>
      <c r="C881" s="41">
        <v>1.0003</v>
      </c>
      <c r="D881" s="34">
        <v>9.6600000000000005E-2</v>
      </c>
      <c r="E881" s="34">
        <v>0.13</v>
      </c>
      <c r="F881" s="34">
        <v>1008</v>
      </c>
      <c r="G881" s="42">
        <v>0</v>
      </c>
      <c r="H881" s="34">
        <v>20</v>
      </c>
      <c r="I881" s="34" t="s">
        <v>12</v>
      </c>
      <c r="J881" s="34">
        <v>1.2909999999999999</v>
      </c>
      <c r="K881" s="41">
        <v>3.8090000000000002</v>
      </c>
    </row>
    <row r="882" spans="1:11" ht="15.75" customHeight="1">
      <c r="A882" s="34" t="s">
        <v>22</v>
      </c>
      <c r="B882" s="34">
        <v>100</v>
      </c>
      <c r="C882" s="41">
        <v>0.30099999999999999</v>
      </c>
      <c r="D882" s="34">
        <v>9.6600000000000005E-2</v>
      </c>
      <c r="E882" s="34">
        <v>0.13</v>
      </c>
      <c r="F882" s="34">
        <v>1008</v>
      </c>
      <c r="G882" s="42">
        <v>0</v>
      </c>
      <c r="H882" s="34">
        <v>20</v>
      </c>
      <c r="I882" s="34" t="s">
        <v>12</v>
      </c>
      <c r="J882" s="34">
        <v>1.2909999999999999</v>
      </c>
      <c r="K882" s="41">
        <v>3.8090000000000002</v>
      </c>
    </row>
    <row r="883" spans="1:11" ht="15.75" customHeight="1">
      <c r="A883" s="34" t="s">
        <v>22</v>
      </c>
      <c r="B883" s="34">
        <v>100</v>
      </c>
      <c r="C883" s="41">
        <v>0.39950000000000002</v>
      </c>
      <c r="D883" s="34">
        <v>9.6600000000000005E-2</v>
      </c>
      <c r="E883" s="34">
        <v>0.13</v>
      </c>
      <c r="F883" s="34">
        <v>1008</v>
      </c>
      <c r="G883" s="42">
        <v>0</v>
      </c>
      <c r="H883" s="34">
        <v>20</v>
      </c>
      <c r="I883" s="34" t="s">
        <v>12</v>
      </c>
      <c r="J883" s="34">
        <v>1.2909999999999999</v>
      </c>
      <c r="K883" s="41">
        <v>3.7953999999999999</v>
      </c>
    </row>
    <row r="884" spans="1:11" ht="15.75" customHeight="1">
      <c r="A884" s="34" t="s">
        <v>22</v>
      </c>
      <c r="B884" s="34">
        <v>100</v>
      </c>
      <c r="C884" s="41">
        <v>0.49919999999999998</v>
      </c>
      <c r="D884" s="34">
        <v>9.6600000000000005E-2</v>
      </c>
      <c r="E884" s="34">
        <v>0.13</v>
      </c>
      <c r="F884" s="34">
        <v>1008</v>
      </c>
      <c r="G884" s="42">
        <v>0</v>
      </c>
      <c r="H884" s="34">
        <v>20</v>
      </c>
      <c r="I884" s="34" t="s">
        <v>12</v>
      </c>
      <c r="J884" s="34">
        <v>1.2909999999999999</v>
      </c>
      <c r="K884" s="41">
        <v>3.8973</v>
      </c>
    </row>
    <row r="885" spans="1:11" ht="15.75" customHeight="1">
      <c r="A885" s="34" t="s">
        <v>22</v>
      </c>
      <c r="B885" s="34">
        <v>100</v>
      </c>
      <c r="C885" s="41">
        <v>0.60009999999999997</v>
      </c>
      <c r="D885" s="34">
        <v>9.6600000000000005E-2</v>
      </c>
      <c r="E885" s="34">
        <v>0.13</v>
      </c>
      <c r="F885" s="34">
        <v>1008</v>
      </c>
      <c r="G885" s="42">
        <v>0</v>
      </c>
      <c r="H885" s="34">
        <v>20</v>
      </c>
      <c r="I885" s="34" t="s">
        <v>12</v>
      </c>
      <c r="J885" s="34">
        <v>1.2909999999999999</v>
      </c>
      <c r="K885" s="41">
        <v>3.8973</v>
      </c>
    </row>
    <row r="886" spans="1:11" ht="15.75" customHeight="1">
      <c r="A886" s="34" t="s">
        <v>22</v>
      </c>
      <c r="B886" s="34">
        <v>100</v>
      </c>
      <c r="C886" s="41">
        <v>0.80079999999999996</v>
      </c>
      <c r="D886" s="34">
        <v>9.6600000000000005E-2</v>
      </c>
      <c r="E886" s="34">
        <v>0.13</v>
      </c>
      <c r="F886" s="34">
        <v>1008</v>
      </c>
      <c r="G886" s="42">
        <v>0</v>
      </c>
      <c r="H886" s="34">
        <v>20</v>
      </c>
      <c r="I886" s="34" t="s">
        <v>12</v>
      </c>
      <c r="J886" s="34">
        <v>1.2909999999999999</v>
      </c>
      <c r="K886" s="41">
        <v>3.9855999999999998</v>
      </c>
    </row>
    <row r="887" spans="1:11" ht="15.75" customHeight="1">
      <c r="A887" s="34" t="s">
        <v>22</v>
      </c>
      <c r="B887" s="34">
        <v>100</v>
      </c>
      <c r="C887" s="41">
        <v>1.0003</v>
      </c>
      <c r="D887" s="34">
        <v>9.6600000000000005E-2</v>
      </c>
      <c r="E887" s="34">
        <v>0.13</v>
      </c>
      <c r="F887" s="34">
        <v>1008</v>
      </c>
      <c r="G887" s="42">
        <v>0</v>
      </c>
      <c r="H887" s="34">
        <v>20</v>
      </c>
      <c r="I887" s="34" t="s">
        <v>12</v>
      </c>
      <c r="J887" s="34">
        <v>1.2909999999999999</v>
      </c>
      <c r="K887" s="41">
        <v>4.101</v>
      </c>
    </row>
    <row r="888" spans="1:11" ht="15.75" customHeight="1">
      <c r="A888" s="34" t="s">
        <v>22</v>
      </c>
      <c r="B888" s="34">
        <v>120</v>
      </c>
      <c r="C888" s="41">
        <v>0.29970000000000002</v>
      </c>
      <c r="D888" s="34">
        <v>9.6600000000000005E-2</v>
      </c>
      <c r="E888" s="34">
        <v>0.13</v>
      </c>
      <c r="F888" s="34">
        <v>1008</v>
      </c>
      <c r="G888" s="42">
        <v>0</v>
      </c>
      <c r="H888" s="34">
        <v>20</v>
      </c>
      <c r="I888" s="34" t="s">
        <v>12</v>
      </c>
      <c r="J888" s="34">
        <v>1.2909999999999999</v>
      </c>
      <c r="K888" s="41">
        <v>4.101</v>
      </c>
    </row>
    <row r="889" spans="1:11" ht="15.75" customHeight="1">
      <c r="A889" s="34" t="s">
        <v>22</v>
      </c>
      <c r="B889" s="34">
        <v>120</v>
      </c>
      <c r="C889" s="41">
        <v>0.4007</v>
      </c>
      <c r="D889" s="34">
        <v>9.6600000000000005E-2</v>
      </c>
      <c r="E889" s="34">
        <v>0.13</v>
      </c>
      <c r="F889" s="34">
        <v>1008</v>
      </c>
      <c r="G889" s="42">
        <v>0</v>
      </c>
      <c r="H889" s="34">
        <v>20</v>
      </c>
      <c r="I889" s="34" t="s">
        <v>12</v>
      </c>
      <c r="J889" s="34">
        <v>1.2909999999999999</v>
      </c>
      <c r="K889" s="41">
        <v>4.0941999999999998</v>
      </c>
    </row>
    <row r="890" spans="1:11" ht="15.75" customHeight="1">
      <c r="A890" s="34" t="s">
        <v>22</v>
      </c>
      <c r="B890" s="34">
        <v>120</v>
      </c>
      <c r="C890" s="41">
        <v>0.50039999999999996</v>
      </c>
      <c r="D890" s="34">
        <v>9.6600000000000005E-2</v>
      </c>
      <c r="E890" s="34">
        <v>0.13</v>
      </c>
      <c r="F890" s="34">
        <v>1008</v>
      </c>
      <c r="G890" s="42">
        <v>0</v>
      </c>
      <c r="H890" s="34">
        <v>20</v>
      </c>
      <c r="I890" s="34" t="s">
        <v>12</v>
      </c>
      <c r="J890" s="34">
        <v>1.2909999999999999</v>
      </c>
      <c r="K890" s="41">
        <v>4.2096999999999998</v>
      </c>
    </row>
    <row r="891" spans="1:11" ht="15.75" customHeight="1">
      <c r="A891" s="34" t="s">
        <v>22</v>
      </c>
      <c r="B891" s="34">
        <v>120</v>
      </c>
      <c r="C891" s="41">
        <v>0.60140000000000005</v>
      </c>
      <c r="D891" s="34">
        <v>9.6600000000000005E-2</v>
      </c>
      <c r="E891" s="34">
        <v>0.13</v>
      </c>
      <c r="F891" s="34">
        <v>1008</v>
      </c>
      <c r="G891" s="42">
        <v>0</v>
      </c>
      <c r="H891" s="34">
        <v>20</v>
      </c>
      <c r="I891" s="34" t="s">
        <v>12</v>
      </c>
      <c r="J891" s="34">
        <v>1.2909999999999999</v>
      </c>
      <c r="K891" s="41">
        <v>4.1961000000000004</v>
      </c>
    </row>
    <row r="892" spans="1:11" ht="15.75" customHeight="1">
      <c r="A892" s="34" t="s">
        <v>22</v>
      </c>
      <c r="B892" s="34">
        <v>120</v>
      </c>
      <c r="C892" s="41">
        <v>0.80210000000000004</v>
      </c>
      <c r="D892" s="34">
        <v>9.6600000000000005E-2</v>
      </c>
      <c r="E892" s="34">
        <v>0.13</v>
      </c>
      <c r="F892" s="34">
        <v>1008</v>
      </c>
      <c r="G892" s="42">
        <v>0</v>
      </c>
      <c r="H892" s="34">
        <v>20</v>
      </c>
      <c r="I892" s="34" t="s">
        <v>12</v>
      </c>
      <c r="J892" s="34">
        <v>1.2909999999999999</v>
      </c>
      <c r="K892" s="41">
        <v>4.2911999999999999</v>
      </c>
    </row>
    <row r="893" spans="1:11" ht="15.75" customHeight="1">
      <c r="A893" s="34" t="s">
        <v>22</v>
      </c>
      <c r="B893" s="34">
        <v>120</v>
      </c>
      <c r="C893" s="41">
        <v>0.99780000000000002</v>
      </c>
      <c r="D893" s="34">
        <v>9.6600000000000005E-2</v>
      </c>
      <c r="E893" s="34">
        <v>0.13</v>
      </c>
      <c r="F893" s="34">
        <v>1008</v>
      </c>
      <c r="G893" s="42">
        <v>0</v>
      </c>
      <c r="H893" s="34">
        <v>20</v>
      </c>
      <c r="I893" s="34" t="s">
        <v>12</v>
      </c>
      <c r="J893" s="34">
        <v>1.2909999999999999</v>
      </c>
      <c r="K893" s="41">
        <v>4.3997999999999999</v>
      </c>
    </row>
    <row r="894" spans="1:11" ht="15.75" customHeight="1">
      <c r="A894" s="34" t="s">
        <v>22</v>
      </c>
      <c r="B894" s="34">
        <v>150</v>
      </c>
      <c r="C894" s="41">
        <v>0.29970000000000002</v>
      </c>
      <c r="D894" s="34">
        <v>9.6600000000000005E-2</v>
      </c>
      <c r="E894" s="34">
        <v>0.13</v>
      </c>
      <c r="F894" s="34">
        <v>1008</v>
      </c>
      <c r="G894" s="42">
        <v>0</v>
      </c>
      <c r="H894" s="34">
        <v>20</v>
      </c>
      <c r="I894" s="34" t="s">
        <v>12</v>
      </c>
      <c r="J894" s="34">
        <v>1.2909999999999999</v>
      </c>
      <c r="K894" s="41">
        <v>4.4949000000000003</v>
      </c>
    </row>
    <row r="895" spans="1:11" ht="15.75" customHeight="1">
      <c r="A895" s="34" t="s">
        <v>22</v>
      </c>
      <c r="B895" s="34">
        <v>150</v>
      </c>
      <c r="C895" s="41">
        <v>0.39950000000000002</v>
      </c>
      <c r="D895" s="34">
        <v>9.6600000000000005E-2</v>
      </c>
      <c r="E895" s="34">
        <v>0.13</v>
      </c>
      <c r="F895" s="34">
        <v>1008</v>
      </c>
      <c r="G895" s="42">
        <v>0</v>
      </c>
      <c r="H895" s="34">
        <v>20</v>
      </c>
      <c r="I895" s="34" t="s">
        <v>12</v>
      </c>
      <c r="J895" s="34">
        <v>1.2909999999999999</v>
      </c>
      <c r="K895" s="41">
        <v>4.4881000000000002</v>
      </c>
    </row>
    <row r="896" spans="1:11" ht="15.75" customHeight="1">
      <c r="A896" s="34" t="s">
        <v>22</v>
      </c>
      <c r="B896" s="34">
        <v>150</v>
      </c>
      <c r="C896" s="41">
        <v>0.49919999999999998</v>
      </c>
      <c r="D896" s="34">
        <v>9.6600000000000005E-2</v>
      </c>
      <c r="E896" s="34">
        <v>0.13</v>
      </c>
      <c r="F896" s="34">
        <v>1008</v>
      </c>
      <c r="G896" s="42">
        <v>0</v>
      </c>
      <c r="H896" s="34">
        <v>20</v>
      </c>
      <c r="I896" s="34" t="s">
        <v>12</v>
      </c>
      <c r="J896" s="34">
        <v>1.2909999999999999</v>
      </c>
      <c r="K896" s="41">
        <v>4.6104000000000003</v>
      </c>
    </row>
    <row r="897" spans="1:11" ht="15.75" customHeight="1">
      <c r="A897" s="34" t="s">
        <v>22</v>
      </c>
      <c r="B897" s="34">
        <v>150</v>
      </c>
      <c r="C897" s="41">
        <v>0.60140000000000005</v>
      </c>
      <c r="D897" s="34">
        <v>9.6600000000000005E-2</v>
      </c>
      <c r="E897" s="34">
        <v>0.13</v>
      </c>
      <c r="F897" s="34">
        <v>1008</v>
      </c>
      <c r="G897" s="42">
        <v>0</v>
      </c>
      <c r="H897" s="34">
        <v>20</v>
      </c>
      <c r="I897" s="34" t="s">
        <v>12</v>
      </c>
      <c r="J897" s="34">
        <v>1.2909999999999999</v>
      </c>
      <c r="K897" s="41">
        <v>4.5968</v>
      </c>
    </row>
    <row r="898" spans="1:11" ht="15.75" customHeight="1">
      <c r="A898" s="34" t="s">
        <v>22</v>
      </c>
      <c r="B898" s="34">
        <v>150</v>
      </c>
      <c r="C898" s="41">
        <v>0.80210000000000004</v>
      </c>
      <c r="D898" s="34">
        <v>9.6600000000000005E-2</v>
      </c>
      <c r="E898" s="34">
        <v>0.13</v>
      </c>
      <c r="F898" s="34">
        <v>1008</v>
      </c>
      <c r="G898" s="42">
        <v>0</v>
      </c>
      <c r="H898" s="34">
        <v>20</v>
      </c>
      <c r="I898" s="34" t="s">
        <v>12</v>
      </c>
      <c r="J898" s="34">
        <v>1.2909999999999999</v>
      </c>
      <c r="K898" s="41">
        <v>4.7122000000000002</v>
      </c>
    </row>
    <row r="899" spans="1:11" ht="15.75" customHeight="1">
      <c r="A899" s="34" t="s">
        <v>22</v>
      </c>
      <c r="B899" s="34">
        <v>150</v>
      </c>
      <c r="C899" s="41">
        <v>1.0003</v>
      </c>
      <c r="D899" s="34">
        <v>9.6600000000000005E-2</v>
      </c>
      <c r="E899" s="34">
        <v>0.13</v>
      </c>
      <c r="F899" s="34">
        <v>1008</v>
      </c>
      <c r="G899" s="42">
        <v>0</v>
      </c>
      <c r="H899" s="34">
        <v>20</v>
      </c>
      <c r="I899" s="34" t="s">
        <v>12</v>
      </c>
      <c r="J899" s="34">
        <v>1.2909999999999999</v>
      </c>
      <c r="K899" s="41">
        <v>4.7937000000000003</v>
      </c>
    </row>
    <row r="900" spans="1:11" ht="15.75" customHeight="1">
      <c r="A900" s="34" t="s">
        <v>22</v>
      </c>
      <c r="B900" s="34">
        <v>200</v>
      </c>
      <c r="C900" s="41">
        <v>0.29970000000000002</v>
      </c>
      <c r="D900" s="34">
        <v>9.6600000000000005E-2</v>
      </c>
      <c r="E900" s="34">
        <v>0.13</v>
      </c>
      <c r="F900" s="34">
        <v>1008</v>
      </c>
      <c r="G900" s="42">
        <v>0</v>
      </c>
      <c r="H900" s="34">
        <v>20</v>
      </c>
      <c r="I900" s="34" t="s">
        <v>12</v>
      </c>
      <c r="J900" s="34">
        <v>1.2909999999999999</v>
      </c>
      <c r="K900" s="41">
        <v>5.1128999999999998</v>
      </c>
    </row>
    <row r="901" spans="1:11" ht="15.75" customHeight="1">
      <c r="A901" s="34" t="s">
        <v>22</v>
      </c>
      <c r="B901" s="34">
        <v>200</v>
      </c>
      <c r="C901" s="41">
        <v>0.4007</v>
      </c>
      <c r="D901" s="34">
        <v>9.6600000000000005E-2</v>
      </c>
      <c r="E901" s="34">
        <v>0.13</v>
      </c>
      <c r="F901" s="34">
        <v>1008</v>
      </c>
      <c r="G901" s="42">
        <v>0</v>
      </c>
      <c r="H901" s="34">
        <v>20</v>
      </c>
      <c r="I901" s="34" t="s">
        <v>12</v>
      </c>
      <c r="J901" s="34">
        <v>1.2909999999999999</v>
      </c>
      <c r="K901" s="41">
        <v>5.0925000000000002</v>
      </c>
    </row>
    <row r="902" spans="1:11" ht="15.75" customHeight="1">
      <c r="A902" s="34" t="s">
        <v>22</v>
      </c>
      <c r="B902" s="34">
        <v>200</v>
      </c>
      <c r="C902" s="41">
        <v>0.50039999999999996</v>
      </c>
      <c r="D902" s="34">
        <v>9.6600000000000005E-2</v>
      </c>
      <c r="E902" s="34">
        <v>0.13</v>
      </c>
      <c r="F902" s="34">
        <v>1008</v>
      </c>
      <c r="G902" s="42">
        <v>0</v>
      </c>
      <c r="H902" s="34">
        <v>20</v>
      </c>
      <c r="I902" s="34" t="s">
        <v>12</v>
      </c>
      <c r="J902" s="34">
        <v>1.2909999999999999</v>
      </c>
      <c r="K902" s="41">
        <v>5.2080000000000002</v>
      </c>
    </row>
    <row r="903" spans="1:11" ht="15.75" customHeight="1">
      <c r="A903" s="34" t="s">
        <v>22</v>
      </c>
      <c r="B903" s="34">
        <v>200</v>
      </c>
      <c r="C903" s="41">
        <v>0.60140000000000005</v>
      </c>
      <c r="D903" s="34">
        <v>9.6600000000000005E-2</v>
      </c>
      <c r="E903" s="34">
        <v>0.13</v>
      </c>
      <c r="F903" s="34">
        <v>1008</v>
      </c>
      <c r="G903" s="42">
        <v>0</v>
      </c>
      <c r="H903" s="34">
        <v>20</v>
      </c>
      <c r="I903" s="34" t="s">
        <v>12</v>
      </c>
      <c r="J903" s="34">
        <v>1.2909999999999999</v>
      </c>
      <c r="K903" s="41">
        <v>5.2080000000000002</v>
      </c>
    </row>
    <row r="904" spans="1:11" ht="15.75" customHeight="1">
      <c r="A904" s="34" t="s">
        <v>22</v>
      </c>
      <c r="B904" s="34">
        <v>200</v>
      </c>
      <c r="C904" s="41">
        <v>0.80210000000000004</v>
      </c>
      <c r="D904" s="34">
        <v>9.6600000000000005E-2</v>
      </c>
      <c r="E904" s="34">
        <v>0.13</v>
      </c>
      <c r="F904" s="34">
        <v>1008</v>
      </c>
      <c r="G904" s="42">
        <v>0</v>
      </c>
      <c r="H904" s="34">
        <v>20</v>
      </c>
      <c r="I904" s="34" t="s">
        <v>12</v>
      </c>
      <c r="J904" s="34">
        <v>1.2909999999999999</v>
      </c>
      <c r="K904" s="41">
        <v>5.3030999999999997</v>
      </c>
    </row>
    <row r="905" spans="1:11" ht="15.75" customHeight="1">
      <c r="A905" s="34" t="s">
        <v>22</v>
      </c>
      <c r="B905" s="34">
        <v>200</v>
      </c>
      <c r="C905" s="41">
        <v>1.0015000000000001</v>
      </c>
      <c r="D905" s="34">
        <v>9.6600000000000005E-2</v>
      </c>
      <c r="E905" s="34">
        <v>0.13</v>
      </c>
      <c r="F905" s="34">
        <v>1008</v>
      </c>
      <c r="G905" s="42">
        <v>0</v>
      </c>
      <c r="H905" s="34">
        <v>20</v>
      </c>
      <c r="I905" s="34" t="s">
        <v>12</v>
      </c>
      <c r="J905" s="34">
        <v>1.2909999999999999</v>
      </c>
      <c r="K905" s="41">
        <v>5.3030999999999997</v>
      </c>
    </row>
    <row r="906" spans="1:11" ht="15.75" customHeight="1">
      <c r="A906" s="34" t="s">
        <v>22</v>
      </c>
      <c r="B906" s="36">
        <v>50</v>
      </c>
      <c r="C906" s="43">
        <v>0.3</v>
      </c>
      <c r="D906" s="36">
        <v>7.2800000000000004E-2</v>
      </c>
      <c r="E906" s="36">
        <v>1.01E-3</v>
      </c>
      <c r="F906" s="36">
        <v>1000</v>
      </c>
      <c r="G906" s="42">
        <v>0</v>
      </c>
      <c r="H906" s="34">
        <v>20</v>
      </c>
      <c r="I906" s="34" t="s">
        <v>12</v>
      </c>
      <c r="J906" s="34">
        <v>1.2909999999999999</v>
      </c>
      <c r="K906" s="43">
        <v>3.5135999999999998</v>
      </c>
    </row>
    <row r="907" spans="1:11" ht="15.75" customHeight="1">
      <c r="A907" s="34" t="s">
        <v>22</v>
      </c>
      <c r="B907" s="36">
        <v>50</v>
      </c>
      <c r="C907" s="43">
        <v>0.40089999999999998</v>
      </c>
      <c r="D907" s="36">
        <v>7.2800000000000004E-2</v>
      </c>
      <c r="E907" s="36">
        <v>1.01E-3</v>
      </c>
      <c r="F907" s="36">
        <v>1000</v>
      </c>
      <c r="G907" s="42">
        <v>0</v>
      </c>
      <c r="H907" s="34">
        <v>20</v>
      </c>
      <c r="I907" s="34" t="s">
        <v>12</v>
      </c>
      <c r="J907" s="34">
        <v>1.2909999999999999</v>
      </c>
      <c r="K907" s="43">
        <v>3.7349999999999999</v>
      </c>
    </row>
    <row r="908" spans="1:11" ht="15.75" customHeight="1">
      <c r="A908" s="34" t="s">
        <v>22</v>
      </c>
      <c r="B908" s="36">
        <v>50</v>
      </c>
      <c r="C908" s="43">
        <v>0.50229999999999997</v>
      </c>
      <c r="D908" s="36">
        <v>7.2800000000000004E-2</v>
      </c>
      <c r="E908" s="36">
        <v>1.01E-3</v>
      </c>
      <c r="F908" s="36">
        <v>1000</v>
      </c>
      <c r="G908" s="42">
        <v>0</v>
      </c>
      <c r="H908" s="34">
        <v>20</v>
      </c>
      <c r="I908" s="34" t="s">
        <v>12</v>
      </c>
      <c r="J908" s="34">
        <v>1.2909999999999999</v>
      </c>
      <c r="K908" s="43">
        <v>3.8294000000000001</v>
      </c>
    </row>
    <row r="909" spans="1:11" ht="15.75" customHeight="1">
      <c r="A909" s="34" t="s">
        <v>22</v>
      </c>
      <c r="B909" s="36">
        <v>50</v>
      </c>
      <c r="C909" s="43">
        <v>0.60229999999999995</v>
      </c>
      <c r="D909" s="36">
        <v>7.2800000000000004E-2</v>
      </c>
      <c r="E909" s="36">
        <v>1.01E-3</v>
      </c>
      <c r="F909" s="36">
        <v>1000</v>
      </c>
      <c r="G909" s="42">
        <v>0</v>
      </c>
      <c r="H909" s="34">
        <v>20</v>
      </c>
      <c r="I909" s="34" t="s">
        <v>12</v>
      </c>
      <c r="J909" s="34">
        <v>1.2909999999999999</v>
      </c>
      <c r="K909" s="43">
        <v>3.9636999999999998</v>
      </c>
    </row>
    <row r="910" spans="1:11" ht="15.75" customHeight="1">
      <c r="A910" s="34" t="s">
        <v>22</v>
      </c>
      <c r="B910" s="36">
        <v>50</v>
      </c>
      <c r="C910" s="43">
        <v>0.80020000000000002</v>
      </c>
      <c r="D910" s="36">
        <v>7.2800000000000004E-2</v>
      </c>
      <c r="E910" s="36">
        <v>1.01E-3</v>
      </c>
      <c r="F910" s="36">
        <v>1000</v>
      </c>
      <c r="G910" s="42">
        <v>0</v>
      </c>
      <c r="H910" s="34">
        <v>20</v>
      </c>
      <c r="I910" s="34" t="s">
        <v>12</v>
      </c>
      <c r="J910" s="34">
        <v>1.2909999999999999</v>
      </c>
      <c r="K910" s="43">
        <v>4.1669</v>
      </c>
    </row>
    <row r="911" spans="1:11" ht="15.75" customHeight="1">
      <c r="A911" s="34" t="s">
        <v>22</v>
      </c>
      <c r="B911" s="36">
        <v>50</v>
      </c>
      <c r="C911" s="43">
        <v>1.0007999999999999</v>
      </c>
      <c r="D911" s="36">
        <v>7.2800000000000004E-2</v>
      </c>
      <c r="E911" s="36">
        <v>1.01E-3</v>
      </c>
      <c r="F911" s="36">
        <v>1000</v>
      </c>
      <c r="G911" s="42">
        <v>0</v>
      </c>
      <c r="H911" s="34">
        <v>20</v>
      </c>
      <c r="I911" s="34" t="s">
        <v>12</v>
      </c>
      <c r="J911" s="34">
        <v>1.2909999999999999</v>
      </c>
      <c r="K911" s="43">
        <v>4.3811</v>
      </c>
    </row>
    <row r="912" spans="1:11" ht="15.75" customHeight="1">
      <c r="A912" s="34" t="s">
        <v>22</v>
      </c>
      <c r="B912" s="36">
        <v>80</v>
      </c>
      <c r="C912" s="43">
        <v>0.29880000000000001</v>
      </c>
      <c r="D912" s="36">
        <v>7.2800000000000004E-2</v>
      </c>
      <c r="E912" s="36">
        <v>1.01E-3</v>
      </c>
      <c r="F912" s="36">
        <v>1000</v>
      </c>
      <c r="G912" s="42">
        <v>0</v>
      </c>
      <c r="H912" s="34">
        <v>20</v>
      </c>
      <c r="I912" s="34" t="s">
        <v>12</v>
      </c>
      <c r="J912" s="34">
        <v>1.2909999999999999</v>
      </c>
      <c r="K912" s="43">
        <v>3.9445999999999999</v>
      </c>
    </row>
    <row r="913" spans="1:11" ht="15.75" customHeight="1">
      <c r="A913" s="34" t="s">
        <v>22</v>
      </c>
      <c r="B913" s="36">
        <v>80</v>
      </c>
      <c r="C913" s="43">
        <v>0.40189999999999998</v>
      </c>
      <c r="D913" s="36">
        <v>7.2800000000000004E-2</v>
      </c>
      <c r="E913" s="36">
        <v>1.01E-3</v>
      </c>
      <c r="F913" s="36">
        <v>1000</v>
      </c>
      <c r="G913" s="42">
        <v>0</v>
      </c>
      <c r="H913" s="34">
        <v>20</v>
      </c>
      <c r="I913" s="34" t="s">
        <v>12</v>
      </c>
      <c r="J913" s="34">
        <v>1.2909999999999999</v>
      </c>
      <c r="K913" s="43">
        <v>4.0644</v>
      </c>
    </row>
    <row r="914" spans="1:11" ht="15.75" customHeight="1">
      <c r="A914" s="34" t="s">
        <v>22</v>
      </c>
      <c r="B914" s="36">
        <v>80</v>
      </c>
      <c r="C914" s="43">
        <v>0.50109999999999999</v>
      </c>
      <c r="D914" s="36">
        <v>7.2800000000000004E-2</v>
      </c>
      <c r="E914" s="36">
        <v>1.01E-3</v>
      </c>
      <c r="F914" s="36">
        <v>1000</v>
      </c>
      <c r="G914" s="42">
        <v>0</v>
      </c>
      <c r="H914" s="34">
        <v>20</v>
      </c>
      <c r="I914" s="34" t="s">
        <v>12</v>
      </c>
      <c r="J914" s="34">
        <v>1.2909999999999999</v>
      </c>
      <c r="K914" s="43">
        <v>4.0697999999999999</v>
      </c>
    </row>
    <row r="915" spans="1:11" ht="15.75" customHeight="1">
      <c r="A915" s="34" t="s">
        <v>22</v>
      </c>
      <c r="B915" s="36">
        <v>80</v>
      </c>
      <c r="C915" s="43">
        <v>0.60089999999999999</v>
      </c>
      <c r="D915" s="36">
        <v>7.2800000000000004E-2</v>
      </c>
      <c r="E915" s="36">
        <v>1.01E-3</v>
      </c>
      <c r="F915" s="36">
        <v>1000</v>
      </c>
      <c r="G915" s="42">
        <v>0</v>
      </c>
      <c r="H915" s="34">
        <v>20</v>
      </c>
      <c r="I915" s="34" t="s">
        <v>12</v>
      </c>
      <c r="J915" s="34">
        <v>1.2909999999999999</v>
      </c>
      <c r="K915" s="43">
        <v>4.1787000000000001</v>
      </c>
    </row>
    <row r="916" spans="1:11" ht="15.75" customHeight="1">
      <c r="A916" s="34" t="s">
        <v>22</v>
      </c>
      <c r="B916" s="36">
        <v>80</v>
      </c>
      <c r="C916" s="43">
        <v>0.79930000000000001</v>
      </c>
      <c r="D916" s="36">
        <v>7.2800000000000004E-2</v>
      </c>
      <c r="E916" s="36">
        <v>1.01E-3</v>
      </c>
      <c r="F916" s="36">
        <v>1000</v>
      </c>
      <c r="G916" s="42">
        <v>0</v>
      </c>
      <c r="H916" s="34">
        <v>20</v>
      </c>
      <c r="I916" s="34" t="s">
        <v>12</v>
      </c>
      <c r="J916" s="34">
        <v>1.2909999999999999</v>
      </c>
      <c r="K916" s="43">
        <v>4.3964999999999996</v>
      </c>
    </row>
    <row r="917" spans="1:11" ht="15.75" customHeight="1">
      <c r="A917" s="34" t="s">
        <v>22</v>
      </c>
      <c r="B917" s="36">
        <v>80</v>
      </c>
      <c r="C917" s="44">
        <v>1</v>
      </c>
      <c r="D917" s="36">
        <v>7.2800000000000004E-2</v>
      </c>
      <c r="E917" s="36">
        <v>1.01E-3</v>
      </c>
      <c r="F917" s="36">
        <v>1000</v>
      </c>
      <c r="G917" s="42">
        <v>0</v>
      </c>
      <c r="H917" s="34">
        <v>20</v>
      </c>
      <c r="I917" s="34" t="s">
        <v>12</v>
      </c>
      <c r="J917" s="34">
        <v>1.2909999999999999</v>
      </c>
      <c r="K917" s="43">
        <v>4.5652999999999997</v>
      </c>
    </row>
    <row r="918" spans="1:11" ht="15.75" customHeight="1">
      <c r="A918" s="34" t="s">
        <v>22</v>
      </c>
      <c r="B918" s="36">
        <v>100</v>
      </c>
      <c r="C918" s="43">
        <v>0.30209999999999998</v>
      </c>
      <c r="D918" s="36">
        <v>7.2800000000000004E-2</v>
      </c>
      <c r="E918" s="36">
        <v>1.01E-3</v>
      </c>
      <c r="F918" s="36">
        <v>1000</v>
      </c>
      <c r="G918" s="42">
        <v>0</v>
      </c>
      <c r="H918" s="34">
        <v>20</v>
      </c>
      <c r="I918" s="34" t="s">
        <v>12</v>
      </c>
      <c r="J918" s="34">
        <v>1.2909999999999999</v>
      </c>
      <c r="K918" s="43">
        <v>4.1746999999999996</v>
      </c>
    </row>
    <row r="919" spans="1:11" ht="15.75" customHeight="1">
      <c r="A919" s="34" t="s">
        <v>22</v>
      </c>
      <c r="B919" s="36">
        <v>100</v>
      </c>
      <c r="C919" s="43">
        <v>0.40239999999999998</v>
      </c>
      <c r="D919" s="36">
        <v>7.2800000000000004E-2</v>
      </c>
      <c r="E919" s="36">
        <v>1.01E-3</v>
      </c>
      <c r="F919" s="36">
        <v>1000</v>
      </c>
      <c r="G919" s="42">
        <v>0</v>
      </c>
      <c r="H919" s="34">
        <v>20</v>
      </c>
      <c r="I919" s="34" t="s">
        <v>12</v>
      </c>
      <c r="J919" s="34">
        <v>1.2909999999999999</v>
      </c>
      <c r="K919" s="43">
        <v>4.2881</v>
      </c>
    </row>
    <row r="920" spans="1:11" ht="15.75" customHeight="1">
      <c r="A920" s="34" t="s">
        <v>22</v>
      </c>
      <c r="B920" s="36">
        <v>100</v>
      </c>
      <c r="C920" s="43">
        <v>0.50209999999999999</v>
      </c>
      <c r="D920" s="36">
        <v>7.2800000000000004E-2</v>
      </c>
      <c r="E920" s="36">
        <v>1.01E-3</v>
      </c>
      <c r="F920" s="36">
        <v>1000</v>
      </c>
      <c r="G920" s="42">
        <v>0</v>
      </c>
      <c r="H920" s="34">
        <v>20</v>
      </c>
      <c r="I920" s="34" t="s">
        <v>12</v>
      </c>
      <c r="J920" s="34">
        <v>1.2909999999999999</v>
      </c>
      <c r="K920" s="43">
        <v>4.3879000000000001</v>
      </c>
    </row>
    <row r="921" spans="1:11" ht="15.75" customHeight="1">
      <c r="A921" s="34" t="s">
        <v>22</v>
      </c>
      <c r="B921" s="36">
        <v>100</v>
      </c>
      <c r="C921" s="43">
        <v>0.60129999999999995</v>
      </c>
      <c r="D921" s="36">
        <v>7.2800000000000004E-2</v>
      </c>
      <c r="E921" s="36">
        <v>1.01E-3</v>
      </c>
      <c r="F921" s="36">
        <v>1000</v>
      </c>
      <c r="G921" s="42">
        <v>0</v>
      </c>
      <c r="H921" s="34">
        <v>20</v>
      </c>
      <c r="I921" s="34" t="s">
        <v>12</v>
      </c>
      <c r="J921" s="34">
        <v>1.2909999999999999</v>
      </c>
      <c r="K921" s="43">
        <v>4.5194999999999999</v>
      </c>
    </row>
    <row r="922" spans="1:11" ht="15.75" customHeight="1">
      <c r="A922" s="34" t="s">
        <v>22</v>
      </c>
      <c r="B922" s="36">
        <v>100</v>
      </c>
      <c r="C922" s="43">
        <v>0.79959999999999998</v>
      </c>
      <c r="D922" s="36">
        <v>7.2800000000000004E-2</v>
      </c>
      <c r="E922" s="36">
        <v>1.01E-3</v>
      </c>
      <c r="F922" s="36">
        <v>1000</v>
      </c>
      <c r="G922" s="42">
        <v>0</v>
      </c>
      <c r="H922" s="34">
        <v>20</v>
      </c>
      <c r="I922" s="34" t="s">
        <v>12</v>
      </c>
      <c r="J922" s="34">
        <v>1.2909999999999999</v>
      </c>
      <c r="K922" s="43">
        <v>4.6012000000000004</v>
      </c>
    </row>
    <row r="923" spans="1:11" ht="15.75" customHeight="1">
      <c r="A923" s="34" t="s">
        <v>22</v>
      </c>
      <c r="B923" s="36">
        <v>100</v>
      </c>
      <c r="C923" s="43">
        <v>1.0024</v>
      </c>
      <c r="D923" s="36">
        <v>7.2800000000000004E-2</v>
      </c>
      <c r="E923" s="36">
        <v>1.01E-3</v>
      </c>
      <c r="F923" s="36">
        <v>1000</v>
      </c>
      <c r="G923" s="42">
        <v>0</v>
      </c>
      <c r="H923" s="34">
        <v>20</v>
      </c>
      <c r="I923" s="34" t="s">
        <v>12</v>
      </c>
      <c r="J923" s="34">
        <v>1.2909999999999999</v>
      </c>
      <c r="K923" s="43">
        <v>4.8417000000000003</v>
      </c>
    </row>
    <row r="924" spans="1:11" ht="15.75" customHeight="1">
      <c r="A924" s="34" t="s">
        <v>22</v>
      </c>
      <c r="B924" s="36">
        <v>120</v>
      </c>
      <c r="C924" s="43">
        <v>0.30030000000000001</v>
      </c>
      <c r="D924" s="36">
        <v>7.2800000000000004E-2</v>
      </c>
      <c r="E924" s="36">
        <v>1.01E-3</v>
      </c>
      <c r="F924" s="36">
        <v>1000</v>
      </c>
      <c r="G924" s="42">
        <v>0</v>
      </c>
      <c r="H924" s="34">
        <v>20</v>
      </c>
      <c r="I924" s="34" t="s">
        <v>12</v>
      </c>
      <c r="J924" s="34">
        <v>1.2909999999999999</v>
      </c>
      <c r="K924" s="43">
        <v>4.4942000000000002</v>
      </c>
    </row>
    <row r="925" spans="1:11" ht="15.75" customHeight="1">
      <c r="A925" s="34" t="s">
        <v>22</v>
      </c>
      <c r="B925" s="36">
        <v>120</v>
      </c>
      <c r="C925" s="43">
        <v>0.4002</v>
      </c>
      <c r="D925" s="36">
        <v>7.2800000000000004E-2</v>
      </c>
      <c r="E925" s="36">
        <v>1.01E-3</v>
      </c>
      <c r="F925" s="36">
        <v>1000</v>
      </c>
      <c r="G925" s="42">
        <v>0</v>
      </c>
      <c r="H925" s="34">
        <v>20</v>
      </c>
      <c r="I925" s="34" t="s">
        <v>12</v>
      </c>
      <c r="J925" s="34">
        <v>1.2909999999999999</v>
      </c>
      <c r="K925" s="43">
        <v>4.6151999999999997</v>
      </c>
    </row>
    <row r="926" spans="1:11" ht="15.75" customHeight="1">
      <c r="A926" s="34" t="s">
        <v>22</v>
      </c>
      <c r="B926" s="36">
        <v>120</v>
      </c>
      <c r="C926" s="43">
        <v>0.50239999999999996</v>
      </c>
      <c r="D926" s="36">
        <v>7.2800000000000004E-2</v>
      </c>
      <c r="E926" s="36">
        <v>1.01E-3</v>
      </c>
      <c r="F926" s="36">
        <v>1000</v>
      </c>
      <c r="G926" s="42">
        <v>0</v>
      </c>
      <c r="H926" s="34">
        <v>20</v>
      </c>
      <c r="I926" s="34" t="s">
        <v>12</v>
      </c>
      <c r="J926" s="34">
        <v>1.2909999999999999</v>
      </c>
      <c r="K926" s="43">
        <v>4.7168000000000001</v>
      </c>
    </row>
    <row r="927" spans="1:11" ht="15.75" customHeight="1">
      <c r="A927" s="34" t="s">
        <v>22</v>
      </c>
      <c r="B927" s="36">
        <v>120</v>
      </c>
      <c r="C927" s="43">
        <v>0.59940000000000004</v>
      </c>
      <c r="D927" s="36">
        <v>7.2800000000000004E-2</v>
      </c>
      <c r="E927" s="36">
        <v>1.01E-3</v>
      </c>
      <c r="F927" s="36">
        <v>1000</v>
      </c>
      <c r="G927" s="42">
        <v>0</v>
      </c>
      <c r="H927" s="34">
        <v>20</v>
      </c>
      <c r="I927" s="34" t="s">
        <v>12</v>
      </c>
      <c r="J927" s="34">
        <v>1.2909999999999999</v>
      </c>
      <c r="K927" s="43">
        <v>4.7313000000000001</v>
      </c>
    </row>
    <row r="928" spans="1:11" ht="15.75" customHeight="1">
      <c r="A928" s="34" t="s">
        <v>22</v>
      </c>
      <c r="B928" s="36">
        <v>120</v>
      </c>
      <c r="C928" s="43">
        <v>0.79920000000000002</v>
      </c>
      <c r="D928" s="36">
        <v>7.2800000000000004E-2</v>
      </c>
      <c r="E928" s="36">
        <v>1.01E-3</v>
      </c>
      <c r="F928" s="36">
        <v>1000</v>
      </c>
      <c r="G928" s="42">
        <v>0</v>
      </c>
      <c r="H928" s="34">
        <v>20</v>
      </c>
      <c r="I928" s="34" t="s">
        <v>12</v>
      </c>
      <c r="J928" s="34">
        <v>1.2909999999999999</v>
      </c>
      <c r="K928" s="43">
        <v>4.9298000000000002</v>
      </c>
    </row>
    <row r="929" spans="1:11" ht="15.75" customHeight="1">
      <c r="A929" s="34" t="s">
        <v>22</v>
      </c>
      <c r="B929" s="36">
        <v>120</v>
      </c>
      <c r="C929" s="43">
        <v>0.99960000000000004</v>
      </c>
      <c r="D929" s="36">
        <v>7.2800000000000004E-2</v>
      </c>
      <c r="E929" s="36">
        <v>1.01E-3</v>
      </c>
      <c r="F929" s="36">
        <v>1000</v>
      </c>
      <c r="G929" s="42">
        <v>0</v>
      </c>
      <c r="H929" s="34">
        <v>20</v>
      </c>
      <c r="I929" s="34" t="s">
        <v>12</v>
      </c>
      <c r="J929" s="34">
        <v>1.2909999999999999</v>
      </c>
      <c r="K929" s="43">
        <v>5.0556000000000001</v>
      </c>
    </row>
    <row r="930" spans="1:11" ht="15.75" customHeight="1">
      <c r="A930" s="34" t="s">
        <v>22</v>
      </c>
      <c r="B930" s="36">
        <v>150</v>
      </c>
      <c r="C930" s="43">
        <v>0.2994</v>
      </c>
      <c r="D930" s="36">
        <v>7.2800000000000004E-2</v>
      </c>
      <c r="E930" s="36">
        <v>1.01E-3</v>
      </c>
      <c r="F930" s="36">
        <v>1000</v>
      </c>
      <c r="G930" s="42">
        <v>0</v>
      </c>
      <c r="H930" s="34">
        <v>20</v>
      </c>
      <c r="I930" s="34" t="s">
        <v>12</v>
      </c>
      <c r="J930" s="34">
        <v>1.2909999999999999</v>
      </c>
      <c r="K930" s="43">
        <v>4.9324000000000003</v>
      </c>
    </row>
    <row r="931" spans="1:11" ht="15.75" customHeight="1">
      <c r="A931" s="34" t="s">
        <v>22</v>
      </c>
      <c r="B931" s="36">
        <v>150</v>
      </c>
      <c r="C931" s="43">
        <v>0.40079999999999999</v>
      </c>
      <c r="D931" s="36">
        <v>7.2800000000000004E-2</v>
      </c>
      <c r="E931" s="36">
        <v>1.01E-3</v>
      </c>
      <c r="F931" s="36">
        <v>1000</v>
      </c>
      <c r="G931" s="42">
        <v>0</v>
      </c>
      <c r="H931" s="34">
        <v>20</v>
      </c>
      <c r="I931" s="34" t="s">
        <v>12</v>
      </c>
      <c r="J931" s="34">
        <v>1.2909999999999999</v>
      </c>
      <c r="K931" s="43">
        <v>4.9324000000000003</v>
      </c>
    </row>
    <row r="932" spans="1:11" ht="15.75" customHeight="1">
      <c r="A932" s="34" t="s">
        <v>22</v>
      </c>
      <c r="B932" s="36">
        <v>150</v>
      </c>
      <c r="C932" s="43">
        <v>0.50209999999999999</v>
      </c>
      <c r="D932" s="36">
        <v>7.2800000000000004E-2</v>
      </c>
      <c r="E932" s="36">
        <v>1.01E-3</v>
      </c>
      <c r="F932" s="36">
        <v>1000</v>
      </c>
      <c r="G932" s="42">
        <v>0</v>
      </c>
      <c r="H932" s="34">
        <v>20</v>
      </c>
      <c r="I932" s="34" t="s">
        <v>12</v>
      </c>
      <c r="J932" s="34">
        <v>1.2909999999999999</v>
      </c>
      <c r="K932" s="43">
        <v>5.0503999999999998</v>
      </c>
    </row>
    <row r="933" spans="1:11" ht="15.75" customHeight="1">
      <c r="A933" s="34" t="s">
        <v>22</v>
      </c>
      <c r="B933" s="36">
        <v>150</v>
      </c>
      <c r="C933" s="43">
        <v>0.6008</v>
      </c>
      <c r="D933" s="36">
        <v>7.2800000000000004E-2</v>
      </c>
      <c r="E933" s="36">
        <v>1.01E-3</v>
      </c>
      <c r="F933" s="36">
        <v>1000</v>
      </c>
      <c r="G933" s="42">
        <v>0</v>
      </c>
      <c r="H933" s="34">
        <v>20</v>
      </c>
      <c r="I933" s="34" t="s">
        <v>12</v>
      </c>
      <c r="J933" s="34">
        <v>1.2909999999999999</v>
      </c>
      <c r="K933" s="43">
        <v>5.1410999999999998</v>
      </c>
    </row>
    <row r="934" spans="1:11" ht="15.75" customHeight="1">
      <c r="A934" s="34" t="s">
        <v>22</v>
      </c>
      <c r="B934" s="36">
        <v>150</v>
      </c>
      <c r="C934" s="43">
        <v>0.79910000000000003</v>
      </c>
      <c r="D934" s="36">
        <v>7.2800000000000004E-2</v>
      </c>
      <c r="E934" s="36">
        <v>1.01E-3</v>
      </c>
      <c r="F934" s="36">
        <v>1000</v>
      </c>
      <c r="G934" s="42">
        <v>0</v>
      </c>
      <c r="H934" s="34">
        <v>20</v>
      </c>
      <c r="I934" s="34" t="s">
        <v>12</v>
      </c>
      <c r="J934" s="34">
        <v>1.2909999999999999</v>
      </c>
      <c r="K934" s="43">
        <v>5.2545000000000002</v>
      </c>
    </row>
    <row r="935" spans="1:11" ht="15.75" customHeight="1">
      <c r="A935" s="34" t="s">
        <v>22</v>
      </c>
      <c r="B935" s="36">
        <v>150</v>
      </c>
      <c r="C935" s="43">
        <v>1.0024</v>
      </c>
      <c r="D935" s="36">
        <v>7.2800000000000004E-2</v>
      </c>
      <c r="E935" s="36">
        <v>1.01E-3</v>
      </c>
      <c r="F935" s="36">
        <v>1000</v>
      </c>
      <c r="G935" s="42">
        <v>0</v>
      </c>
      <c r="H935" s="34">
        <v>20</v>
      </c>
      <c r="I935" s="34" t="s">
        <v>12</v>
      </c>
      <c r="J935" s="34">
        <v>1.2909999999999999</v>
      </c>
      <c r="K935" s="43">
        <v>5.3815999999999997</v>
      </c>
    </row>
    <row r="936" spans="1:11" ht="15.75" customHeight="1">
      <c r="A936" s="34" t="s">
        <v>22</v>
      </c>
      <c r="B936" s="36">
        <v>200</v>
      </c>
      <c r="C936" s="43">
        <v>0.3014</v>
      </c>
      <c r="D936" s="36">
        <v>7.2800000000000004E-2</v>
      </c>
      <c r="E936" s="36">
        <v>1.01E-3</v>
      </c>
      <c r="F936" s="36">
        <v>1000</v>
      </c>
      <c r="G936" s="42">
        <v>0</v>
      </c>
      <c r="H936" s="34">
        <v>20</v>
      </c>
      <c r="I936" s="34" t="s">
        <v>12</v>
      </c>
      <c r="J936" s="34">
        <v>1.2909999999999999</v>
      </c>
      <c r="K936" s="43">
        <v>5.4962999999999997</v>
      </c>
    </row>
    <row r="937" spans="1:11" ht="15.75" customHeight="1">
      <c r="A937" s="34" t="s">
        <v>22</v>
      </c>
      <c r="B937" s="36">
        <v>200</v>
      </c>
      <c r="C937" s="43">
        <v>0.40189999999999998</v>
      </c>
      <c r="D937" s="36">
        <v>7.2800000000000004E-2</v>
      </c>
      <c r="E937" s="36">
        <v>1.01E-3</v>
      </c>
      <c r="F937" s="36">
        <v>1000</v>
      </c>
      <c r="G937" s="42">
        <v>0</v>
      </c>
      <c r="H937" s="34">
        <v>20</v>
      </c>
      <c r="I937" s="34" t="s">
        <v>12</v>
      </c>
      <c r="J937" s="34">
        <v>1.2909999999999999</v>
      </c>
      <c r="K937" s="43">
        <v>5.4962999999999997</v>
      </c>
    </row>
    <row r="938" spans="1:11" ht="15.75" customHeight="1">
      <c r="A938" s="34" t="s">
        <v>22</v>
      </c>
      <c r="B938" s="36">
        <v>200</v>
      </c>
      <c r="C938" s="43">
        <v>0.49909999999999999</v>
      </c>
      <c r="D938" s="36">
        <v>7.2800000000000004E-2</v>
      </c>
      <c r="E938" s="36">
        <v>1.01E-3</v>
      </c>
      <c r="F938" s="36">
        <v>1000</v>
      </c>
      <c r="G938" s="42">
        <v>0</v>
      </c>
      <c r="H938" s="34">
        <v>20</v>
      </c>
      <c r="I938" s="34" t="s">
        <v>12</v>
      </c>
      <c r="J938" s="34">
        <v>1.2909999999999999</v>
      </c>
      <c r="K938" s="43">
        <v>5.5997000000000003</v>
      </c>
    </row>
    <row r="939" spans="1:11" ht="15.75" customHeight="1">
      <c r="A939" s="34" t="s">
        <v>22</v>
      </c>
      <c r="B939" s="36">
        <v>200</v>
      </c>
      <c r="C939" s="43">
        <v>0.60160000000000002</v>
      </c>
      <c r="D939" s="36">
        <v>7.2800000000000004E-2</v>
      </c>
      <c r="E939" s="36">
        <v>1.01E-3</v>
      </c>
      <c r="F939" s="36">
        <v>1000</v>
      </c>
      <c r="G939" s="42">
        <v>0</v>
      </c>
      <c r="H939" s="34">
        <v>20</v>
      </c>
      <c r="I939" s="34" t="s">
        <v>12</v>
      </c>
      <c r="J939" s="34">
        <v>1.2909999999999999</v>
      </c>
      <c r="K939" s="43">
        <v>5.6977000000000002</v>
      </c>
    </row>
    <row r="940" spans="1:11" ht="15.75" customHeight="1">
      <c r="A940" s="34" t="s">
        <v>22</v>
      </c>
      <c r="B940" s="36">
        <v>200</v>
      </c>
      <c r="C940" s="43">
        <v>0.79990000000000006</v>
      </c>
      <c r="D940" s="36">
        <v>7.2800000000000004E-2</v>
      </c>
      <c r="E940" s="36">
        <v>1.01E-3</v>
      </c>
      <c r="F940" s="36">
        <v>1000</v>
      </c>
      <c r="G940" s="42">
        <v>0</v>
      </c>
      <c r="H940" s="34">
        <v>20</v>
      </c>
      <c r="I940" s="34" t="s">
        <v>12</v>
      </c>
      <c r="J940" s="34">
        <v>1.2909999999999999</v>
      </c>
      <c r="K940" s="43">
        <v>5.8121</v>
      </c>
    </row>
    <row r="941" spans="1:11" ht="15.75" customHeight="1">
      <c r="A941" s="34" t="s">
        <v>22</v>
      </c>
      <c r="B941" s="36">
        <v>200</v>
      </c>
      <c r="C941" s="43">
        <v>1.0022</v>
      </c>
      <c r="D941" s="36">
        <v>7.2800000000000004E-2</v>
      </c>
      <c r="E941" s="36">
        <v>1.01E-3</v>
      </c>
      <c r="F941" s="36">
        <v>1000</v>
      </c>
      <c r="G941" s="42">
        <v>0</v>
      </c>
      <c r="H941" s="34">
        <v>20</v>
      </c>
      <c r="I941" s="34" t="s">
        <v>12</v>
      </c>
      <c r="J941" s="34">
        <v>1.2909999999999999</v>
      </c>
      <c r="K941" s="43">
        <v>5.9318999999999997</v>
      </c>
    </row>
    <row r="942" spans="1:11" ht="15.75" customHeight="1">
      <c r="A942" s="34" t="s">
        <v>22</v>
      </c>
      <c r="B942" s="36">
        <v>50</v>
      </c>
      <c r="C942" s="43">
        <v>0.29830000000000001</v>
      </c>
      <c r="D942" s="36">
        <v>7.2800000000000004E-2</v>
      </c>
      <c r="E942" s="36">
        <v>1.01E-3</v>
      </c>
      <c r="F942" s="36">
        <v>1000</v>
      </c>
      <c r="G942" s="42">
        <v>0</v>
      </c>
      <c r="H942" s="34">
        <v>20</v>
      </c>
      <c r="I942" s="34" t="s">
        <v>12</v>
      </c>
      <c r="J942" s="34">
        <v>1.2909999999999999</v>
      </c>
      <c r="K942" s="43">
        <v>3.1966000000000001</v>
      </c>
    </row>
    <row r="943" spans="1:11" ht="15.75" customHeight="1">
      <c r="A943" s="34" t="s">
        <v>22</v>
      </c>
      <c r="B943" s="36">
        <v>50</v>
      </c>
      <c r="C943" s="43">
        <v>0.4</v>
      </c>
      <c r="D943" s="36">
        <v>7.2800000000000004E-2</v>
      </c>
      <c r="E943" s="36">
        <v>1.01E-3</v>
      </c>
      <c r="F943" s="36">
        <v>1000</v>
      </c>
      <c r="G943" s="42">
        <v>0</v>
      </c>
      <c r="H943" s="34">
        <v>20</v>
      </c>
      <c r="I943" s="34" t="s">
        <v>12</v>
      </c>
      <c r="J943" s="34">
        <v>1.2909999999999999</v>
      </c>
      <c r="K943" s="43">
        <v>3.3108</v>
      </c>
    </row>
    <row r="944" spans="1:11" ht="15.75" customHeight="1">
      <c r="A944" s="34" t="s">
        <v>22</v>
      </c>
      <c r="B944" s="36">
        <v>50</v>
      </c>
      <c r="C944" s="43">
        <v>0.50109999999999999</v>
      </c>
      <c r="D944" s="36">
        <v>7.2800000000000004E-2</v>
      </c>
      <c r="E944" s="36">
        <v>1.01E-3</v>
      </c>
      <c r="F944" s="36">
        <v>1000</v>
      </c>
      <c r="G944" s="42">
        <v>0</v>
      </c>
      <c r="H944" s="34">
        <v>20</v>
      </c>
      <c r="I944" s="34" t="s">
        <v>12</v>
      </c>
      <c r="J944" s="34">
        <v>1.2909999999999999</v>
      </c>
      <c r="K944" s="43">
        <v>3.4447999999999999</v>
      </c>
    </row>
    <row r="945" spans="1:11" ht="15.75" customHeight="1">
      <c r="A945" s="34" t="s">
        <v>22</v>
      </c>
      <c r="B945" s="36">
        <v>50</v>
      </c>
      <c r="C945" s="43">
        <v>0.59940000000000004</v>
      </c>
      <c r="D945" s="36">
        <v>7.2800000000000004E-2</v>
      </c>
      <c r="E945" s="36">
        <v>1.01E-3</v>
      </c>
      <c r="F945" s="36">
        <v>1000</v>
      </c>
      <c r="G945" s="42">
        <v>0</v>
      </c>
      <c r="H945" s="34">
        <v>20</v>
      </c>
      <c r="I945" s="34" t="s">
        <v>12</v>
      </c>
      <c r="J945" s="34">
        <v>1.2909999999999999</v>
      </c>
      <c r="K945" s="43">
        <v>3.6236000000000002</v>
      </c>
    </row>
    <row r="946" spans="1:11" ht="15.75" customHeight="1">
      <c r="A946" s="34" t="s">
        <v>22</v>
      </c>
      <c r="B946" s="36">
        <v>50</v>
      </c>
      <c r="C946" s="43">
        <v>0.80220000000000002</v>
      </c>
      <c r="D946" s="36">
        <v>7.2800000000000004E-2</v>
      </c>
      <c r="E946" s="36">
        <v>1.01E-3</v>
      </c>
      <c r="F946" s="36">
        <v>1000</v>
      </c>
      <c r="G946" s="42">
        <v>0</v>
      </c>
      <c r="H946" s="34">
        <v>20</v>
      </c>
      <c r="I946" s="34" t="s">
        <v>12</v>
      </c>
      <c r="J946" s="34">
        <v>1.2909999999999999</v>
      </c>
      <c r="K946" s="43">
        <v>3.7675999999999998</v>
      </c>
    </row>
    <row r="947" spans="1:11" ht="15.75" customHeight="1">
      <c r="A947" s="34" t="s">
        <v>22</v>
      </c>
      <c r="B947" s="36">
        <v>50</v>
      </c>
      <c r="C947" s="43">
        <v>1.0008999999999999</v>
      </c>
      <c r="D947" s="36">
        <v>7.2800000000000004E-2</v>
      </c>
      <c r="E947" s="36">
        <v>1.01E-3</v>
      </c>
      <c r="F947" s="36">
        <v>1000</v>
      </c>
      <c r="G947" s="42">
        <v>0</v>
      </c>
      <c r="H947" s="34">
        <v>20</v>
      </c>
      <c r="I947" s="34" t="s">
        <v>12</v>
      </c>
      <c r="J947" s="34">
        <v>1.2909999999999999</v>
      </c>
      <c r="K947" s="43">
        <v>3.8717999999999999</v>
      </c>
    </row>
    <row r="948" spans="1:11" ht="15.75" customHeight="1">
      <c r="A948" s="34" t="s">
        <v>22</v>
      </c>
      <c r="B948" s="36">
        <v>80</v>
      </c>
      <c r="C948" s="43">
        <v>0.2999</v>
      </c>
      <c r="D948" s="36">
        <v>7.2800000000000004E-2</v>
      </c>
      <c r="E948" s="36">
        <v>1.01E-3</v>
      </c>
      <c r="F948" s="36">
        <v>1000</v>
      </c>
      <c r="G948" s="42">
        <v>0</v>
      </c>
      <c r="H948" s="34">
        <v>20</v>
      </c>
      <c r="I948" s="34" t="s">
        <v>12</v>
      </c>
      <c r="J948" s="34">
        <v>1.2909999999999999</v>
      </c>
      <c r="K948" s="43">
        <v>3.5423</v>
      </c>
    </row>
    <row r="949" spans="1:11" ht="15.75" customHeight="1">
      <c r="A949" s="34" t="s">
        <v>22</v>
      </c>
      <c r="B949" s="36">
        <v>80</v>
      </c>
      <c r="C949" s="43">
        <v>0.40050000000000002</v>
      </c>
      <c r="D949" s="36">
        <v>7.2800000000000004E-2</v>
      </c>
      <c r="E949" s="36">
        <v>1.01E-3</v>
      </c>
      <c r="F949" s="36">
        <v>1000</v>
      </c>
      <c r="G949" s="42">
        <v>0</v>
      </c>
      <c r="H949" s="34">
        <v>20</v>
      </c>
      <c r="I949" s="34" t="s">
        <v>12</v>
      </c>
      <c r="J949" s="34">
        <v>1.2909999999999999</v>
      </c>
      <c r="K949" s="43">
        <v>3.6503000000000001</v>
      </c>
    </row>
    <row r="950" spans="1:11" ht="15.75" customHeight="1">
      <c r="A950" s="34" t="s">
        <v>22</v>
      </c>
      <c r="B950" s="36">
        <v>80</v>
      </c>
      <c r="C950" s="43">
        <v>0.501</v>
      </c>
      <c r="D950" s="36">
        <v>7.2800000000000004E-2</v>
      </c>
      <c r="E950" s="36">
        <v>1.01E-3</v>
      </c>
      <c r="F950" s="36">
        <v>1000</v>
      </c>
      <c r="G950" s="42">
        <v>0</v>
      </c>
      <c r="H950" s="34">
        <v>20</v>
      </c>
      <c r="I950" s="34" t="s">
        <v>12</v>
      </c>
      <c r="J950" s="34">
        <v>1.2909999999999999</v>
      </c>
      <c r="K950" s="43">
        <v>3.762</v>
      </c>
    </row>
    <row r="951" spans="1:11" ht="15.75" customHeight="1">
      <c r="A951" s="34" t="s">
        <v>22</v>
      </c>
      <c r="B951" s="36">
        <v>80</v>
      </c>
      <c r="C951" s="43">
        <v>0.6</v>
      </c>
      <c r="D951" s="36">
        <v>7.2800000000000004E-2</v>
      </c>
      <c r="E951" s="36">
        <v>1.01E-3</v>
      </c>
      <c r="F951" s="36">
        <v>1000</v>
      </c>
      <c r="G951" s="42">
        <v>0</v>
      </c>
      <c r="H951" s="34">
        <v>20</v>
      </c>
      <c r="I951" s="34" t="s">
        <v>12</v>
      </c>
      <c r="J951" s="34">
        <v>1.2909999999999999</v>
      </c>
      <c r="K951" s="43">
        <v>3.9891999999999999</v>
      </c>
    </row>
    <row r="952" spans="1:11" ht="15.75" customHeight="1">
      <c r="A952" s="34" t="s">
        <v>22</v>
      </c>
      <c r="B952" s="36">
        <v>80</v>
      </c>
      <c r="C952" s="43">
        <v>0.79849999999999999</v>
      </c>
      <c r="D952" s="36">
        <v>7.2800000000000004E-2</v>
      </c>
      <c r="E952" s="36">
        <v>1.01E-3</v>
      </c>
      <c r="F952" s="36">
        <v>1000</v>
      </c>
      <c r="G952" s="42">
        <v>0</v>
      </c>
      <c r="H952" s="34">
        <v>20</v>
      </c>
      <c r="I952" s="34" t="s">
        <v>12</v>
      </c>
      <c r="J952" s="34">
        <v>1.2909999999999999</v>
      </c>
      <c r="K952" s="43">
        <v>3.9817</v>
      </c>
    </row>
    <row r="953" spans="1:11" ht="15.75" customHeight="1">
      <c r="A953" s="34" t="s">
        <v>22</v>
      </c>
      <c r="B953" s="36">
        <v>80</v>
      </c>
      <c r="C953" s="44">
        <v>1</v>
      </c>
      <c r="D953" s="36">
        <v>7.2800000000000004E-2</v>
      </c>
      <c r="E953" s="36">
        <v>1.01E-3</v>
      </c>
      <c r="F953" s="36">
        <v>1000</v>
      </c>
      <c r="G953" s="42">
        <v>0</v>
      </c>
      <c r="H953" s="34">
        <v>20</v>
      </c>
      <c r="I953" s="34" t="s">
        <v>12</v>
      </c>
      <c r="J953" s="34">
        <v>1.2909999999999999</v>
      </c>
      <c r="K953" s="43">
        <v>4.2126000000000001</v>
      </c>
    </row>
    <row r="954" spans="1:11" ht="15.75" customHeight="1">
      <c r="A954" s="34" t="s">
        <v>22</v>
      </c>
      <c r="B954" s="36">
        <v>100</v>
      </c>
      <c r="C954" s="43">
        <v>0.2984</v>
      </c>
      <c r="D954" s="36">
        <v>7.2800000000000004E-2</v>
      </c>
      <c r="E954" s="36">
        <v>1.01E-3</v>
      </c>
      <c r="F954" s="36">
        <v>1000</v>
      </c>
      <c r="G954" s="42">
        <v>0</v>
      </c>
      <c r="H954" s="34">
        <v>20</v>
      </c>
      <c r="I954" s="34" t="s">
        <v>12</v>
      </c>
      <c r="J954" s="34">
        <v>1.2909999999999999</v>
      </c>
      <c r="K954" s="43">
        <v>3.8662999999999998</v>
      </c>
    </row>
    <row r="955" spans="1:11" ht="15.75" customHeight="1">
      <c r="A955" s="34" t="s">
        <v>22</v>
      </c>
      <c r="B955" s="36">
        <v>100</v>
      </c>
      <c r="C955" s="44">
        <v>0.4</v>
      </c>
      <c r="D955" s="36">
        <v>7.2800000000000004E-2</v>
      </c>
      <c r="E955" s="36">
        <v>1.01E-3</v>
      </c>
      <c r="F955" s="36">
        <v>1000</v>
      </c>
      <c r="G955" s="42">
        <v>0</v>
      </c>
      <c r="H955" s="34">
        <v>20</v>
      </c>
      <c r="I955" s="34" t="s">
        <v>12</v>
      </c>
      <c r="J955" s="34">
        <v>1.2909999999999999</v>
      </c>
      <c r="K955" s="43">
        <v>4.0041000000000002</v>
      </c>
    </row>
    <row r="956" spans="1:11" ht="15.75" customHeight="1">
      <c r="A956" s="34" t="s">
        <v>22</v>
      </c>
      <c r="B956" s="36">
        <v>100</v>
      </c>
      <c r="C956" s="43">
        <v>0.49840000000000001</v>
      </c>
      <c r="D956" s="36">
        <v>7.2800000000000004E-2</v>
      </c>
      <c r="E956" s="36">
        <v>1.01E-3</v>
      </c>
      <c r="F956" s="36">
        <v>1000</v>
      </c>
      <c r="G956" s="42">
        <v>0</v>
      </c>
      <c r="H956" s="34">
        <v>20</v>
      </c>
      <c r="I956" s="34" t="s">
        <v>12</v>
      </c>
      <c r="J956" s="34">
        <v>1.2909999999999999</v>
      </c>
      <c r="K956" s="43">
        <v>3.9817</v>
      </c>
    </row>
    <row r="957" spans="1:11" ht="15.75" customHeight="1">
      <c r="A957" s="34" t="s">
        <v>22</v>
      </c>
      <c r="B957" s="36">
        <v>100</v>
      </c>
      <c r="C957" s="43">
        <v>0.59950000000000003</v>
      </c>
      <c r="D957" s="36">
        <v>7.2800000000000004E-2</v>
      </c>
      <c r="E957" s="36">
        <v>1.01E-3</v>
      </c>
      <c r="F957" s="36">
        <v>1000</v>
      </c>
      <c r="G957" s="42">
        <v>0</v>
      </c>
      <c r="H957" s="34">
        <v>20</v>
      </c>
      <c r="I957" s="34" t="s">
        <v>12</v>
      </c>
      <c r="J957" s="34">
        <v>1.2909999999999999</v>
      </c>
      <c r="K957" s="43">
        <v>4.0896999999999997</v>
      </c>
    </row>
    <row r="958" spans="1:11" ht="15.75" customHeight="1">
      <c r="A958" s="34" t="s">
        <v>22</v>
      </c>
      <c r="B958" s="36">
        <v>100</v>
      </c>
      <c r="C958" s="43">
        <v>0.80010000000000003</v>
      </c>
      <c r="D958" s="36">
        <v>7.2800000000000004E-2</v>
      </c>
      <c r="E958" s="36">
        <v>1.01E-3</v>
      </c>
      <c r="F958" s="36">
        <v>1000</v>
      </c>
      <c r="G958" s="42">
        <v>0</v>
      </c>
      <c r="H958" s="34">
        <v>20</v>
      </c>
      <c r="I958" s="34" t="s">
        <v>12</v>
      </c>
      <c r="J958" s="34">
        <v>1.2909999999999999</v>
      </c>
      <c r="K958" s="43">
        <v>4.2051999999999996</v>
      </c>
    </row>
    <row r="959" spans="1:11" ht="15.75" customHeight="1">
      <c r="A959" s="34" t="s">
        <v>22</v>
      </c>
      <c r="B959" s="36">
        <v>100</v>
      </c>
      <c r="C959" s="43">
        <v>1.0006999999999999</v>
      </c>
      <c r="D959" s="36">
        <v>7.2800000000000004E-2</v>
      </c>
      <c r="E959" s="36">
        <v>1.01E-3</v>
      </c>
      <c r="F959" s="36">
        <v>1000</v>
      </c>
      <c r="G959" s="42">
        <v>0</v>
      </c>
      <c r="H959" s="34">
        <v>20</v>
      </c>
      <c r="I959" s="34" t="s">
        <v>12</v>
      </c>
      <c r="J959" s="34">
        <v>1.2909999999999999</v>
      </c>
      <c r="K959" s="43">
        <v>4.4435000000000002</v>
      </c>
    </row>
    <row r="960" spans="1:11" ht="15.75" customHeight="1">
      <c r="A960" s="34" t="s">
        <v>22</v>
      </c>
      <c r="B960" s="36">
        <v>120</v>
      </c>
      <c r="C960" s="43">
        <v>0.29830000000000001</v>
      </c>
      <c r="D960" s="36">
        <v>7.2800000000000004E-2</v>
      </c>
      <c r="E960" s="36">
        <v>1.01E-3</v>
      </c>
      <c r="F960" s="36">
        <v>1000</v>
      </c>
      <c r="G960" s="42">
        <v>0</v>
      </c>
      <c r="H960" s="34">
        <v>20</v>
      </c>
      <c r="I960" s="34" t="s">
        <v>12</v>
      </c>
      <c r="J960" s="34">
        <v>1.2909999999999999</v>
      </c>
      <c r="K960" s="43">
        <v>4.0952999999999999</v>
      </c>
    </row>
    <row r="961" spans="1:11" ht="15.75" customHeight="1">
      <c r="A961" s="34" t="s">
        <v>22</v>
      </c>
      <c r="B961" s="36">
        <v>120</v>
      </c>
      <c r="C961" s="43">
        <v>0.4007</v>
      </c>
      <c r="D961" s="36">
        <v>7.2800000000000004E-2</v>
      </c>
      <c r="E961" s="36">
        <v>1.01E-3</v>
      </c>
      <c r="F961" s="36">
        <v>1000</v>
      </c>
      <c r="G961" s="42">
        <v>0</v>
      </c>
      <c r="H961" s="34">
        <v>20</v>
      </c>
      <c r="I961" s="34" t="s">
        <v>12</v>
      </c>
      <c r="J961" s="34">
        <v>1.2909999999999999</v>
      </c>
      <c r="K961" s="43">
        <v>4.1996000000000002</v>
      </c>
    </row>
    <row r="962" spans="1:11" ht="15.75" customHeight="1">
      <c r="A962" s="34" t="s">
        <v>22</v>
      </c>
      <c r="B962" s="36">
        <v>120</v>
      </c>
      <c r="C962" s="43">
        <v>0.499</v>
      </c>
      <c r="D962" s="36">
        <v>7.2800000000000004E-2</v>
      </c>
      <c r="E962" s="36">
        <v>1.01E-3</v>
      </c>
      <c r="F962" s="36">
        <v>1000</v>
      </c>
      <c r="G962" s="42">
        <v>0</v>
      </c>
      <c r="H962" s="34">
        <v>20</v>
      </c>
      <c r="I962" s="34" t="s">
        <v>12</v>
      </c>
      <c r="J962" s="34">
        <v>1.2909999999999999</v>
      </c>
      <c r="K962" s="43">
        <v>4.3285999999999998</v>
      </c>
    </row>
    <row r="963" spans="1:11" ht="15.75" customHeight="1">
      <c r="A963" s="34" t="s">
        <v>22</v>
      </c>
      <c r="B963" s="36">
        <v>120</v>
      </c>
      <c r="C963" s="43">
        <v>0.59870000000000001</v>
      </c>
      <c r="D963" s="36">
        <v>7.2800000000000004E-2</v>
      </c>
      <c r="E963" s="36">
        <v>1.01E-3</v>
      </c>
      <c r="F963" s="36">
        <v>1000</v>
      </c>
      <c r="G963" s="42">
        <v>0</v>
      </c>
      <c r="H963" s="34">
        <v>20</v>
      </c>
      <c r="I963" s="34" t="s">
        <v>12</v>
      </c>
      <c r="J963" s="34">
        <v>1.2909999999999999</v>
      </c>
      <c r="K963" s="43">
        <v>4.4379</v>
      </c>
    </row>
    <row r="964" spans="1:11" ht="15.75" customHeight="1">
      <c r="A964" s="34" t="s">
        <v>22</v>
      </c>
      <c r="B964" s="36">
        <v>120</v>
      </c>
      <c r="C964" s="43">
        <v>0.79949999999999999</v>
      </c>
      <c r="D964" s="36">
        <v>7.2800000000000004E-2</v>
      </c>
      <c r="E964" s="36">
        <v>1.01E-3</v>
      </c>
      <c r="F964" s="36">
        <v>1000</v>
      </c>
      <c r="G964" s="42">
        <v>0</v>
      </c>
      <c r="H964" s="34">
        <v>20</v>
      </c>
      <c r="I964" s="34" t="s">
        <v>12</v>
      </c>
      <c r="J964" s="34">
        <v>1.2909999999999999</v>
      </c>
      <c r="K964" s="43">
        <v>4.5372000000000003</v>
      </c>
    </row>
    <row r="965" spans="1:11" ht="15.75" customHeight="1">
      <c r="A965" s="34" t="s">
        <v>22</v>
      </c>
      <c r="B965" s="36">
        <v>120</v>
      </c>
      <c r="C965" s="43">
        <v>1.0003</v>
      </c>
      <c r="D965" s="36">
        <v>7.2800000000000004E-2</v>
      </c>
      <c r="E965" s="36">
        <v>1.01E-3</v>
      </c>
      <c r="F965" s="36">
        <v>1000</v>
      </c>
      <c r="G965" s="42">
        <v>0</v>
      </c>
      <c r="H965" s="34">
        <v>20</v>
      </c>
      <c r="I965" s="34" t="s">
        <v>12</v>
      </c>
      <c r="J965" s="34">
        <v>1.2909999999999999</v>
      </c>
      <c r="K965" s="43">
        <v>4.6612999999999998</v>
      </c>
    </row>
    <row r="966" spans="1:11" ht="15.75" customHeight="1">
      <c r="A966" s="34" t="s">
        <v>22</v>
      </c>
      <c r="B966" s="36">
        <v>150</v>
      </c>
      <c r="C966" s="43">
        <v>0.29759999999999998</v>
      </c>
      <c r="D966" s="36">
        <v>7.2800000000000004E-2</v>
      </c>
      <c r="E966" s="36">
        <v>1.01E-3</v>
      </c>
      <c r="F966" s="36">
        <v>1000</v>
      </c>
      <c r="G966" s="42">
        <v>0</v>
      </c>
      <c r="H966" s="34">
        <v>20</v>
      </c>
      <c r="I966" s="34" t="s">
        <v>12</v>
      </c>
      <c r="J966" s="34">
        <v>1.2909999999999999</v>
      </c>
      <c r="K966" s="43">
        <v>4.5372000000000003</v>
      </c>
    </row>
    <row r="967" spans="1:11" ht="15.75" customHeight="1">
      <c r="A967" s="34" t="s">
        <v>22</v>
      </c>
      <c r="B967" s="36">
        <v>150</v>
      </c>
      <c r="C967" s="43">
        <v>0.40210000000000001</v>
      </c>
      <c r="D967" s="36">
        <v>7.2800000000000004E-2</v>
      </c>
      <c r="E967" s="36">
        <v>1.01E-3</v>
      </c>
      <c r="F967" s="36">
        <v>1000</v>
      </c>
      <c r="G967" s="42">
        <v>0</v>
      </c>
      <c r="H967" s="34">
        <v>20</v>
      </c>
      <c r="I967" s="34" t="s">
        <v>12</v>
      </c>
      <c r="J967" s="34">
        <v>1.2909999999999999</v>
      </c>
      <c r="K967" s="43">
        <v>4.6612999999999998</v>
      </c>
    </row>
    <row r="968" spans="1:11" ht="15.75" customHeight="1">
      <c r="A968" s="34" t="s">
        <v>22</v>
      </c>
      <c r="B968" s="36">
        <v>150</v>
      </c>
      <c r="C968" s="43">
        <v>0.49969999999999998</v>
      </c>
      <c r="D968" s="36">
        <v>7.2800000000000004E-2</v>
      </c>
      <c r="E968" s="36">
        <v>1.01E-3</v>
      </c>
      <c r="F968" s="36">
        <v>1000</v>
      </c>
      <c r="G968" s="42">
        <v>0</v>
      </c>
      <c r="H968" s="34">
        <v>20</v>
      </c>
      <c r="I968" s="34" t="s">
        <v>12</v>
      </c>
      <c r="J968" s="34">
        <v>1.2909999999999999</v>
      </c>
      <c r="K968" s="43">
        <v>4.6364999999999998</v>
      </c>
    </row>
    <row r="969" spans="1:11" ht="15.75" customHeight="1">
      <c r="A969" s="34" t="s">
        <v>22</v>
      </c>
      <c r="B969" s="36">
        <v>150</v>
      </c>
      <c r="C969" s="43">
        <v>0.59940000000000004</v>
      </c>
      <c r="D969" s="36">
        <v>7.2800000000000004E-2</v>
      </c>
      <c r="E969" s="36">
        <v>1.01E-3</v>
      </c>
      <c r="F969" s="36">
        <v>1000</v>
      </c>
      <c r="G969" s="42">
        <v>0</v>
      </c>
      <c r="H969" s="34">
        <v>20</v>
      </c>
      <c r="I969" s="34" t="s">
        <v>12</v>
      </c>
      <c r="J969" s="34">
        <v>1.2909999999999999</v>
      </c>
      <c r="K969" s="43">
        <v>4.7755000000000001</v>
      </c>
    </row>
    <row r="970" spans="1:11" ht="15.75" customHeight="1">
      <c r="A970" s="34" t="s">
        <v>22</v>
      </c>
      <c r="B970" s="36">
        <v>150</v>
      </c>
      <c r="C970" s="43">
        <v>0.79610000000000003</v>
      </c>
      <c r="D970" s="36">
        <v>7.2800000000000004E-2</v>
      </c>
      <c r="E970" s="36">
        <v>1.01E-3</v>
      </c>
      <c r="F970" s="36">
        <v>1000</v>
      </c>
      <c r="G970" s="42">
        <v>0</v>
      </c>
      <c r="H970" s="34">
        <v>20</v>
      </c>
      <c r="I970" s="34" t="s">
        <v>12</v>
      </c>
      <c r="J970" s="34">
        <v>1.2909999999999999</v>
      </c>
      <c r="K970" s="43">
        <v>4.8848000000000003</v>
      </c>
    </row>
    <row r="971" spans="1:11" ht="15.75" customHeight="1">
      <c r="A971" s="34" t="s">
        <v>22</v>
      </c>
      <c r="B971" s="36">
        <v>150</v>
      </c>
      <c r="C971" s="43">
        <v>0.99960000000000004</v>
      </c>
      <c r="D971" s="36">
        <v>7.2800000000000004E-2</v>
      </c>
      <c r="E971" s="36">
        <v>1.01E-3</v>
      </c>
      <c r="F971" s="36">
        <v>1000</v>
      </c>
      <c r="G971" s="42">
        <v>0</v>
      </c>
      <c r="H971" s="34">
        <v>20</v>
      </c>
      <c r="I971" s="34" t="s">
        <v>12</v>
      </c>
      <c r="J971" s="34">
        <v>1.2909999999999999</v>
      </c>
      <c r="K971" s="43">
        <v>5.0038999999999998</v>
      </c>
    </row>
    <row r="972" spans="1:11" ht="15.75" customHeight="1">
      <c r="A972" s="34" t="s">
        <v>22</v>
      </c>
      <c r="B972" s="36">
        <v>200</v>
      </c>
      <c r="C972" s="43">
        <v>0.29830000000000001</v>
      </c>
      <c r="D972" s="36">
        <v>7.2800000000000004E-2</v>
      </c>
      <c r="E972" s="36">
        <v>1.01E-3</v>
      </c>
      <c r="F972" s="36">
        <v>1000</v>
      </c>
      <c r="G972" s="42">
        <v>0</v>
      </c>
      <c r="H972" s="34">
        <v>20</v>
      </c>
      <c r="I972" s="34" t="s">
        <v>12</v>
      </c>
      <c r="J972" s="34">
        <v>1.2909999999999999</v>
      </c>
      <c r="K972" s="43">
        <v>5.0933000000000002</v>
      </c>
    </row>
    <row r="973" spans="1:11" ht="15.75" customHeight="1">
      <c r="A973" s="34" t="s">
        <v>22</v>
      </c>
      <c r="B973" s="36">
        <v>200</v>
      </c>
      <c r="C973" s="43">
        <v>0.3987</v>
      </c>
      <c r="D973" s="36">
        <v>7.2800000000000004E-2</v>
      </c>
      <c r="E973" s="36">
        <v>1.01E-3</v>
      </c>
      <c r="F973" s="36">
        <v>1000</v>
      </c>
      <c r="G973" s="42">
        <v>0</v>
      </c>
      <c r="H973" s="34">
        <v>20</v>
      </c>
      <c r="I973" s="34" t="s">
        <v>12</v>
      </c>
      <c r="J973" s="34">
        <v>1.2909999999999999</v>
      </c>
      <c r="K973" s="43">
        <v>5.2125000000000004</v>
      </c>
    </row>
    <row r="974" spans="1:11" ht="15.75" customHeight="1">
      <c r="A974" s="34" t="s">
        <v>22</v>
      </c>
      <c r="B974" s="36">
        <v>200</v>
      </c>
      <c r="C974" s="43">
        <v>0.49830000000000002</v>
      </c>
      <c r="D974" s="36">
        <v>7.2800000000000004E-2</v>
      </c>
      <c r="E974" s="36">
        <v>1.01E-3</v>
      </c>
      <c r="F974" s="36">
        <v>1000</v>
      </c>
      <c r="G974" s="42">
        <v>0</v>
      </c>
      <c r="H974" s="34">
        <v>20</v>
      </c>
      <c r="I974" s="34" t="s">
        <v>12</v>
      </c>
      <c r="J974" s="34">
        <v>1.2909999999999999</v>
      </c>
      <c r="K974" s="43">
        <v>5.2074999999999996</v>
      </c>
    </row>
    <row r="975" spans="1:11" ht="15.75" customHeight="1">
      <c r="A975" s="34" t="s">
        <v>22</v>
      </c>
      <c r="B975" s="36">
        <v>200</v>
      </c>
      <c r="C975" s="43">
        <v>0.6008</v>
      </c>
      <c r="D975" s="36">
        <v>7.2800000000000004E-2</v>
      </c>
      <c r="E975" s="36">
        <v>1.01E-3</v>
      </c>
      <c r="F975" s="36">
        <v>1000</v>
      </c>
      <c r="G975" s="42">
        <v>0</v>
      </c>
      <c r="H975" s="34">
        <v>20</v>
      </c>
      <c r="I975" s="34" t="s">
        <v>12</v>
      </c>
      <c r="J975" s="34">
        <v>1.2909999999999999</v>
      </c>
      <c r="K975" s="43">
        <v>5.3068</v>
      </c>
    </row>
    <row r="976" spans="1:11" ht="15.75" customHeight="1">
      <c r="A976" s="34" t="s">
        <v>22</v>
      </c>
      <c r="B976" s="36">
        <v>200</v>
      </c>
      <c r="C976" s="43">
        <v>0.80020000000000002</v>
      </c>
      <c r="D976" s="36">
        <v>7.2800000000000004E-2</v>
      </c>
      <c r="E976" s="36">
        <v>1.01E-3</v>
      </c>
      <c r="F976" s="36">
        <v>1000</v>
      </c>
      <c r="G976" s="42">
        <v>0</v>
      </c>
      <c r="H976" s="34">
        <v>20</v>
      </c>
      <c r="I976" s="34" t="s">
        <v>12</v>
      </c>
      <c r="J976" s="34">
        <v>1.2909999999999999</v>
      </c>
      <c r="K976" s="43">
        <v>5.4409000000000001</v>
      </c>
    </row>
    <row r="977" spans="1:11" ht="15.75" customHeight="1">
      <c r="A977" s="34" t="s">
        <v>22</v>
      </c>
      <c r="B977" s="36">
        <v>200</v>
      </c>
      <c r="C977" s="43">
        <v>0.99890000000000001</v>
      </c>
      <c r="D977" s="36">
        <v>7.2800000000000004E-2</v>
      </c>
      <c r="E977" s="36">
        <v>1.01E-3</v>
      </c>
      <c r="F977" s="36">
        <v>1000</v>
      </c>
      <c r="G977" s="42">
        <v>0</v>
      </c>
      <c r="H977" s="34">
        <v>20</v>
      </c>
      <c r="I977" s="34" t="s">
        <v>12</v>
      </c>
      <c r="J977" s="34">
        <v>1.2909999999999999</v>
      </c>
      <c r="K977" s="43">
        <v>5.5551000000000004</v>
      </c>
    </row>
    <row r="978" spans="1:11" ht="15.75" customHeight="1">
      <c r="A978" s="34" t="s">
        <v>22</v>
      </c>
      <c r="B978" s="36">
        <v>50</v>
      </c>
      <c r="C978" s="43">
        <v>0.29730000000000001</v>
      </c>
      <c r="D978" s="36">
        <v>7.2800000000000004E-2</v>
      </c>
      <c r="E978" s="36">
        <v>1.01E-3</v>
      </c>
      <c r="F978" s="36">
        <v>1000</v>
      </c>
      <c r="G978" s="42">
        <v>0</v>
      </c>
      <c r="H978" s="34">
        <v>20</v>
      </c>
      <c r="I978" s="34" t="s">
        <v>12</v>
      </c>
      <c r="J978" s="34">
        <v>1.2909999999999999</v>
      </c>
      <c r="K978" s="43">
        <v>2.7826</v>
      </c>
    </row>
    <row r="979" spans="1:11" ht="15.75" customHeight="1">
      <c r="A979" s="34" t="s">
        <v>22</v>
      </c>
      <c r="B979" s="36">
        <v>50</v>
      </c>
      <c r="C979" s="43">
        <v>0.39939999999999998</v>
      </c>
      <c r="D979" s="36">
        <v>7.2800000000000004E-2</v>
      </c>
      <c r="E979" s="36">
        <v>1.01E-3</v>
      </c>
      <c r="F979" s="36">
        <v>1000</v>
      </c>
      <c r="G979" s="42">
        <v>0</v>
      </c>
      <c r="H979" s="34">
        <v>20</v>
      </c>
      <c r="I979" s="34" t="s">
        <v>12</v>
      </c>
      <c r="J979" s="34">
        <v>1.2909999999999999</v>
      </c>
      <c r="K979" s="43">
        <v>2.8860999999999999</v>
      </c>
    </row>
    <row r="980" spans="1:11" ht="15.75" customHeight="1">
      <c r="A980" s="34" t="s">
        <v>22</v>
      </c>
      <c r="B980" s="36">
        <v>50</v>
      </c>
      <c r="C980" s="43">
        <v>0.50019999999999998</v>
      </c>
      <c r="D980" s="36">
        <v>7.2800000000000004E-2</v>
      </c>
      <c r="E980" s="36">
        <v>1.01E-3</v>
      </c>
      <c r="F980" s="36">
        <v>1000</v>
      </c>
      <c r="G980" s="42">
        <v>0</v>
      </c>
      <c r="H980" s="34">
        <v>20</v>
      </c>
      <c r="I980" s="34" t="s">
        <v>12</v>
      </c>
      <c r="J980" s="34">
        <v>1.2909999999999999</v>
      </c>
      <c r="K980" s="43">
        <v>2.9855</v>
      </c>
    </row>
    <row r="981" spans="1:11" ht="15.75" customHeight="1">
      <c r="A981" s="34" t="s">
        <v>22</v>
      </c>
      <c r="B981" s="36">
        <v>50</v>
      </c>
      <c r="C981" s="43">
        <v>0.60160000000000002</v>
      </c>
      <c r="D981" s="36">
        <v>7.2800000000000004E-2</v>
      </c>
      <c r="E981" s="36">
        <v>1.01E-3</v>
      </c>
      <c r="F981" s="36">
        <v>1000</v>
      </c>
      <c r="G981" s="42">
        <v>0</v>
      </c>
      <c r="H981" s="34">
        <v>20</v>
      </c>
      <c r="I981" s="34" t="s">
        <v>12</v>
      </c>
      <c r="J981" s="34">
        <v>1.2909999999999999</v>
      </c>
      <c r="K981" s="43">
        <v>3.0848</v>
      </c>
    </row>
    <row r="982" spans="1:11" ht="15.75" customHeight="1">
      <c r="A982" s="34" t="s">
        <v>22</v>
      </c>
      <c r="B982" s="36">
        <v>50</v>
      </c>
      <c r="C982" s="43">
        <v>0.80169999999999997</v>
      </c>
      <c r="D982" s="36">
        <v>7.2800000000000004E-2</v>
      </c>
      <c r="E982" s="36">
        <v>1.01E-3</v>
      </c>
      <c r="F982" s="36">
        <v>1000</v>
      </c>
      <c r="G982" s="42">
        <v>0</v>
      </c>
      <c r="H982" s="34">
        <v>20</v>
      </c>
      <c r="I982" s="34" t="s">
        <v>12</v>
      </c>
      <c r="J982" s="34">
        <v>1.2909999999999999</v>
      </c>
      <c r="K982" s="43">
        <v>3.2835999999999999</v>
      </c>
    </row>
    <row r="983" spans="1:11" ht="15.75" customHeight="1">
      <c r="A983" s="34" t="s">
        <v>22</v>
      </c>
      <c r="B983" s="36">
        <v>50</v>
      </c>
      <c r="C983" s="43">
        <v>1.0012000000000001</v>
      </c>
      <c r="D983" s="36">
        <v>7.2800000000000004E-2</v>
      </c>
      <c r="E983" s="36">
        <v>1.01E-3</v>
      </c>
      <c r="F983" s="36">
        <v>1000</v>
      </c>
      <c r="G983" s="42">
        <v>0</v>
      </c>
      <c r="H983" s="34">
        <v>20</v>
      </c>
      <c r="I983" s="34" t="s">
        <v>12</v>
      </c>
      <c r="J983" s="34">
        <v>1.2909999999999999</v>
      </c>
      <c r="K983" s="43">
        <v>3.3954</v>
      </c>
    </row>
    <row r="984" spans="1:11" ht="15.75" customHeight="1">
      <c r="A984" s="34" t="s">
        <v>22</v>
      </c>
      <c r="B984" s="36">
        <v>80</v>
      </c>
      <c r="C984" s="43">
        <v>0.29799999999999999</v>
      </c>
      <c r="D984" s="36">
        <v>7.2800000000000004E-2</v>
      </c>
      <c r="E984" s="36">
        <v>1.01E-3</v>
      </c>
      <c r="F984" s="36">
        <v>1000</v>
      </c>
      <c r="G984" s="42">
        <v>0</v>
      </c>
      <c r="H984" s="34">
        <v>20</v>
      </c>
      <c r="I984" s="34" t="s">
        <v>12</v>
      </c>
      <c r="J984" s="34">
        <v>1.2909999999999999</v>
      </c>
      <c r="K984" s="43">
        <v>3.1097000000000001</v>
      </c>
    </row>
    <row r="985" spans="1:11" ht="15.75" customHeight="1">
      <c r="A985" s="34" t="s">
        <v>22</v>
      </c>
      <c r="B985" s="36">
        <v>80</v>
      </c>
      <c r="C985" s="43">
        <v>0.40010000000000001</v>
      </c>
      <c r="D985" s="36">
        <v>7.2800000000000004E-2</v>
      </c>
      <c r="E985" s="36">
        <v>1.01E-3</v>
      </c>
      <c r="F985" s="36">
        <v>1000</v>
      </c>
      <c r="G985" s="42">
        <v>0</v>
      </c>
      <c r="H985" s="34">
        <v>20</v>
      </c>
      <c r="I985" s="34" t="s">
        <v>12</v>
      </c>
      <c r="J985" s="34">
        <v>1.2909999999999999</v>
      </c>
      <c r="K985" s="43">
        <v>3.1842000000000001</v>
      </c>
    </row>
    <row r="986" spans="1:11" ht="15.75" customHeight="1">
      <c r="A986" s="34" t="s">
        <v>22</v>
      </c>
      <c r="B986" s="36">
        <v>80</v>
      </c>
      <c r="C986" s="43">
        <v>0.49819999999999998</v>
      </c>
      <c r="D986" s="36">
        <v>7.2800000000000004E-2</v>
      </c>
      <c r="E986" s="36">
        <v>1.01E-3</v>
      </c>
      <c r="F986" s="36">
        <v>1000</v>
      </c>
      <c r="G986" s="42">
        <v>0</v>
      </c>
      <c r="H986" s="34">
        <v>20</v>
      </c>
      <c r="I986" s="34" t="s">
        <v>12</v>
      </c>
      <c r="J986" s="34">
        <v>1.2909999999999999</v>
      </c>
      <c r="K986" s="43">
        <v>3.3043</v>
      </c>
    </row>
    <row r="987" spans="1:11" ht="15.75" customHeight="1">
      <c r="A987" s="34" t="s">
        <v>22</v>
      </c>
      <c r="B987" s="36">
        <v>80</v>
      </c>
      <c r="C987" s="43">
        <v>0.60160000000000002</v>
      </c>
      <c r="D987" s="36">
        <v>7.2800000000000004E-2</v>
      </c>
      <c r="E987" s="36">
        <v>1.01E-3</v>
      </c>
      <c r="F987" s="36">
        <v>1000</v>
      </c>
      <c r="G987" s="42">
        <v>0</v>
      </c>
      <c r="H987" s="34">
        <v>20</v>
      </c>
      <c r="I987" s="34" t="s">
        <v>12</v>
      </c>
      <c r="J987" s="34">
        <v>1.2909999999999999</v>
      </c>
      <c r="K987" s="43">
        <v>3.2919</v>
      </c>
    </row>
    <row r="988" spans="1:11" ht="15.75" customHeight="1">
      <c r="A988" s="34" t="s">
        <v>22</v>
      </c>
      <c r="B988" s="36">
        <v>80</v>
      </c>
      <c r="C988" s="43">
        <v>0.7984</v>
      </c>
      <c r="D988" s="36">
        <v>7.2800000000000004E-2</v>
      </c>
      <c r="E988" s="36">
        <v>1.01E-3</v>
      </c>
      <c r="F988" s="36">
        <v>1000</v>
      </c>
      <c r="G988" s="42">
        <v>0</v>
      </c>
      <c r="H988" s="34">
        <v>20</v>
      </c>
      <c r="I988" s="34" t="s">
        <v>12</v>
      </c>
      <c r="J988" s="34">
        <v>1.2909999999999999</v>
      </c>
      <c r="K988" s="43">
        <v>3.4824000000000002</v>
      </c>
    </row>
    <row r="989" spans="1:11" ht="15.75" customHeight="1">
      <c r="A989" s="34" t="s">
        <v>22</v>
      </c>
      <c r="B989" s="36">
        <v>80</v>
      </c>
      <c r="C989" s="43">
        <v>0.99990000000000001</v>
      </c>
      <c r="D989" s="36">
        <v>7.2800000000000004E-2</v>
      </c>
      <c r="E989" s="36">
        <v>1.01E-3</v>
      </c>
      <c r="F989" s="36">
        <v>1000</v>
      </c>
      <c r="G989" s="42">
        <v>0</v>
      </c>
      <c r="H989" s="34">
        <v>20</v>
      </c>
      <c r="I989" s="34" t="s">
        <v>12</v>
      </c>
      <c r="J989" s="34">
        <v>1.2909999999999999</v>
      </c>
      <c r="K989" s="43">
        <v>3.6107</v>
      </c>
    </row>
    <row r="990" spans="1:11" ht="15.75" customHeight="1">
      <c r="A990" s="34" t="s">
        <v>22</v>
      </c>
      <c r="B990" s="36">
        <v>100</v>
      </c>
      <c r="C990" s="43">
        <v>0.29470000000000002</v>
      </c>
      <c r="D990" s="36">
        <v>7.2800000000000004E-2</v>
      </c>
      <c r="E990" s="36">
        <v>1.01E-3</v>
      </c>
      <c r="F990" s="36">
        <v>1000</v>
      </c>
      <c r="G990" s="42">
        <v>0</v>
      </c>
      <c r="H990" s="34">
        <v>20</v>
      </c>
      <c r="I990" s="34" t="s">
        <v>12</v>
      </c>
      <c r="J990" s="34">
        <v>1.2909999999999999</v>
      </c>
      <c r="K990" s="43">
        <v>3.3871000000000002</v>
      </c>
    </row>
    <row r="991" spans="1:11" ht="15.75" customHeight="1">
      <c r="A991" s="34" t="s">
        <v>22</v>
      </c>
      <c r="B991" s="36">
        <v>100</v>
      </c>
      <c r="C991" s="43">
        <v>0.3967</v>
      </c>
      <c r="D991" s="36">
        <v>7.2800000000000004E-2</v>
      </c>
      <c r="E991" s="36">
        <v>1.01E-3</v>
      </c>
      <c r="F991" s="36">
        <v>1000</v>
      </c>
      <c r="G991" s="42">
        <v>0</v>
      </c>
      <c r="H991" s="34">
        <v>20</v>
      </c>
      <c r="I991" s="34" t="s">
        <v>12</v>
      </c>
      <c r="J991" s="34">
        <v>1.2909999999999999</v>
      </c>
      <c r="K991" s="43">
        <v>3.4988999999999999</v>
      </c>
    </row>
    <row r="992" spans="1:11" ht="15.75" customHeight="1">
      <c r="A992" s="34" t="s">
        <v>22</v>
      </c>
      <c r="B992" s="36">
        <v>100</v>
      </c>
      <c r="C992" s="43">
        <v>0.50019999999999998</v>
      </c>
      <c r="D992" s="36">
        <v>7.2800000000000004E-2</v>
      </c>
      <c r="E992" s="36">
        <v>1.01E-3</v>
      </c>
      <c r="F992" s="36">
        <v>1000</v>
      </c>
      <c r="G992" s="42">
        <v>0</v>
      </c>
      <c r="H992" s="34">
        <v>20</v>
      </c>
      <c r="I992" s="34" t="s">
        <v>12</v>
      </c>
      <c r="J992" s="34">
        <v>1.2909999999999999</v>
      </c>
      <c r="K992" s="43">
        <v>3.5817000000000001</v>
      </c>
    </row>
    <row r="993" spans="1:11" ht="15.75" customHeight="1">
      <c r="A993" s="34" t="s">
        <v>22</v>
      </c>
      <c r="B993" s="36">
        <v>100</v>
      </c>
      <c r="C993" s="43">
        <v>0.59960000000000002</v>
      </c>
      <c r="D993" s="36">
        <v>7.2800000000000004E-2</v>
      </c>
      <c r="E993" s="36">
        <v>1.01E-3</v>
      </c>
      <c r="F993" s="36">
        <v>1000</v>
      </c>
      <c r="G993" s="42">
        <v>0</v>
      </c>
      <c r="H993" s="34">
        <v>20</v>
      </c>
      <c r="I993" s="34" t="s">
        <v>12</v>
      </c>
      <c r="J993" s="34">
        <v>1.2909999999999999</v>
      </c>
      <c r="K993" s="43">
        <v>3.5859000000000001</v>
      </c>
    </row>
    <row r="994" spans="1:11" ht="15.75" customHeight="1">
      <c r="A994" s="34" t="s">
        <v>22</v>
      </c>
      <c r="B994" s="36">
        <v>100</v>
      </c>
      <c r="C994" s="43">
        <v>0.80110000000000003</v>
      </c>
      <c r="D994" s="36">
        <v>7.2800000000000004E-2</v>
      </c>
      <c r="E994" s="36">
        <v>1.01E-3</v>
      </c>
      <c r="F994" s="36">
        <v>1000</v>
      </c>
      <c r="G994" s="42">
        <v>0</v>
      </c>
      <c r="H994" s="34">
        <v>20</v>
      </c>
      <c r="I994" s="34" t="s">
        <v>12</v>
      </c>
      <c r="J994" s="34">
        <v>1.2909999999999999</v>
      </c>
      <c r="K994" s="43">
        <v>3.7763</v>
      </c>
    </row>
    <row r="995" spans="1:11" ht="15.75" customHeight="1">
      <c r="A995" s="34" t="s">
        <v>22</v>
      </c>
      <c r="B995" s="36">
        <v>100</v>
      </c>
      <c r="C995" s="43">
        <v>0.99990000000000001</v>
      </c>
      <c r="D995" s="36">
        <v>7.2800000000000004E-2</v>
      </c>
      <c r="E995" s="36">
        <v>1.01E-3</v>
      </c>
      <c r="F995" s="36">
        <v>1000</v>
      </c>
      <c r="G995" s="42">
        <v>0</v>
      </c>
      <c r="H995" s="34">
        <v>20</v>
      </c>
      <c r="I995" s="34" t="s">
        <v>12</v>
      </c>
      <c r="J995" s="34">
        <v>1.2909999999999999</v>
      </c>
      <c r="K995" s="43">
        <v>3.9916999999999998</v>
      </c>
    </row>
    <row r="996" spans="1:11" ht="15.75" customHeight="1">
      <c r="A996" s="34" t="s">
        <v>22</v>
      </c>
      <c r="B996" s="36">
        <v>120</v>
      </c>
      <c r="C996" s="43">
        <v>0.29670000000000002</v>
      </c>
      <c r="D996" s="36">
        <v>7.2800000000000004E-2</v>
      </c>
      <c r="E996" s="36">
        <v>1.01E-3</v>
      </c>
      <c r="F996" s="36">
        <v>1000</v>
      </c>
      <c r="G996" s="42">
        <v>0</v>
      </c>
      <c r="H996" s="34">
        <v>20</v>
      </c>
      <c r="I996" s="34" t="s">
        <v>12</v>
      </c>
      <c r="J996" s="34">
        <v>1.2909999999999999</v>
      </c>
      <c r="K996" s="43">
        <v>3.6977000000000002</v>
      </c>
    </row>
    <row r="997" spans="1:11" ht="15.75" customHeight="1">
      <c r="A997" s="34" t="s">
        <v>22</v>
      </c>
      <c r="B997" s="36">
        <v>120</v>
      </c>
      <c r="C997" s="43">
        <v>0.40010000000000001</v>
      </c>
      <c r="D997" s="36">
        <v>7.2800000000000004E-2</v>
      </c>
      <c r="E997" s="36">
        <v>1.01E-3</v>
      </c>
      <c r="F997" s="36">
        <v>1000</v>
      </c>
      <c r="G997" s="42">
        <v>0</v>
      </c>
      <c r="H997" s="34">
        <v>20</v>
      </c>
      <c r="I997" s="34" t="s">
        <v>12</v>
      </c>
      <c r="J997" s="34">
        <v>1.2909999999999999</v>
      </c>
      <c r="K997" s="43">
        <v>3.6977000000000002</v>
      </c>
    </row>
    <row r="998" spans="1:11" ht="15.75" customHeight="1">
      <c r="A998" s="34" t="s">
        <v>22</v>
      </c>
      <c r="B998" s="36">
        <v>120</v>
      </c>
      <c r="C998" s="43">
        <v>0.49880000000000002</v>
      </c>
      <c r="D998" s="36">
        <v>7.2800000000000004E-2</v>
      </c>
      <c r="E998" s="36">
        <v>1.01E-3</v>
      </c>
      <c r="F998" s="36">
        <v>1000</v>
      </c>
      <c r="G998" s="42">
        <v>0</v>
      </c>
      <c r="H998" s="34">
        <v>20</v>
      </c>
      <c r="I998" s="34" t="s">
        <v>12</v>
      </c>
      <c r="J998" s="34">
        <v>1.2909999999999999</v>
      </c>
      <c r="K998" s="43">
        <v>3.7928999999999999</v>
      </c>
    </row>
    <row r="999" spans="1:11" ht="15.75" customHeight="1">
      <c r="A999" s="34" t="s">
        <v>22</v>
      </c>
      <c r="B999" s="36">
        <v>120</v>
      </c>
      <c r="C999" s="43">
        <v>0.59819999999999995</v>
      </c>
      <c r="D999" s="36">
        <v>7.2800000000000004E-2</v>
      </c>
      <c r="E999" s="36">
        <v>1.01E-3</v>
      </c>
      <c r="F999" s="36">
        <v>1000</v>
      </c>
      <c r="G999" s="42">
        <v>0</v>
      </c>
      <c r="H999" s="34">
        <v>20</v>
      </c>
      <c r="I999" s="34" t="s">
        <v>12</v>
      </c>
      <c r="J999" s="34">
        <v>1.2909999999999999</v>
      </c>
      <c r="K999" s="43">
        <v>3.9089</v>
      </c>
    </row>
    <row r="1000" spans="1:11" ht="15.75" customHeight="1">
      <c r="A1000" s="34" t="s">
        <v>22</v>
      </c>
      <c r="B1000" s="36">
        <v>120</v>
      </c>
      <c r="C1000" s="43">
        <v>0.79910000000000003</v>
      </c>
      <c r="D1000" s="36">
        <v>7.2800000000000004E-2</v>
      </c>
      <c r="E1000" s="36">
        <v>1.01E-3</v>
      </c>
      <c r="F1000" s="36">
        <v>1000</v>
      </c>
      <c r="G1000" s="42">
        <v>0</v>
      </c>
      <c r="H1000" s="34">
        <v>20</v>
      </c>
      <c r="I1000" s="34" t="s">
        <v>12</v>
      </c>
      <c r="J1000" s="34">
        <v>1.2909999999999999</v>
      </c>
      <c r="K1000" s="43">
        <v>4.0082000000000004</v>
      </c>
    </row>
    <row r="1001" spans="1:11" ht="15.75" customHeight="1">
      <c r="A1001" s="34" t="s">
        <v>22</v>
      </c>
      <c r="B1001" s="36">
        <v>120</v>
      </c>
      <c r="C1001" s="43">
        <v>1.0012000000000001</v>
      </c>
      <c r="D1001" s="36">
        <v>7.2800000000000004E-2</v>
      </c>
      <c r="E1001" s="36">
        <v>1.01E-3</v>
      </c>
      <c r="F1001" s="36">
        <v>1000</v>
      </c>
      <c r="G1001" s="42">
        <v>0</v>
      </c>
      <c r="H1001" s="34">
        <v>20</v>
      </c>
      <c r="I1001" s="34" t="s">
        <v>12</v>
      </c>
      <c r="J1001" s="34">
        <v>1.2909999999999999</v>
      </c>
      <c r="K1001" s="43">
        <v>4.0952000000000002</v>
      </c>
    </row>
    <row r="1002" spans="1:11" ht="15.75" customHeight="1">
      <c r="A1002" s="34" t="s">
        <v>22</v>
      </c>
      <c r="B1002" s="36">
        <v>150</v>
      </c>
      <c r="C1002" s="43">
        <v>0.29730000000000001</v>
      </c>
      <c r="D1002" s="36">
        <v>7.2800000000000004E-2</v>
      </c>
      <c r="E1002" s="36">
        <v>1.01E-3</v>
      </c>
      <c r="F1002" s="36">
        <v>1000</v>
      </c>
      <c r="G1002" s="42">
        <v>0</v>
      </c>
      <c r="H1002" s="34">
        <v>20</v>
      </c>
      <c r="I1002" s="34" t="s">
        <v>12</v>
      </c>
      <c r="J1002" s="34">
        <v>1.2909999999999999</v>
      </c>
      <c r="K1002" s="43">
        <v>4.0041000000000002</v>
      </c>
    </row>
    <row r="1003" spans="1:11" ht="15.75" customHeight="1">
      <c r="A1003" s="34" t="s">
        <v>22</v>
      </c>
      <c r="B1003" s="36">
        <v>150</v>
      </c>
      <c r="C1003" s="43">
        <v>0.40010000000000001</v>
      </c>
      <c r="D1003" s="36">
        <v>7.2800000000000004E-2</v>
      </c>
      <c r="E1003" s="36">
        <v>1.01E-3</v>
      </c>
      <c r="F1003" s="36">
        <v>1000</v>
      </c>
      <c r="G1003" s="42">
        <v>0</v>
      </c>
      <c r="H1003" s="34">
        <v>20</v>
      </c>
      <c r="I1003" s="34" t="s">
        <v>12</v>
      </c>
      <c r="J1003" s="34">
        <v>1.2909999999999999</v>
      </c>
      <c r="K1003" s="43">
        <v>4.1075999999999997</v>
      </c>
    </row>
    <row r="1004" spans="1:11" ht="15.75" customHeight="1">
      <c r="A1004" s="34" t="s">
        <v>22</v>
      </c>
      <c r="B1004" s="36">
        <v>150</v>
      </c>
      <c r="C1004" s="43">
        <v>0.4995</v>
      </c>
      <c r="D1004" s="36">
        <v>7.2800000000000004E-2</v>
      </c>
      <c r="E1004" s="36">
        <v>1.01E-3</v>
      </c>
      <c r="F1004" s="36">
        <v>1000</v>
      </c>
      <c r="G1004" s="42">
        <v>0</v>
      </c>
      <c r="H1004" s="34">
        <v>20</v>
      </c>
      <c r="I1004" s="34" t="s">
        <v>12</v>
      </c>
      <c r="J1004" s="34">
        <v>1.2909999999999999</v>
      </c>
      <c r="K1004" s="43">
        <v>4.2027999999999999</v>
      </c>
    </row>
    <row r="1005" spans="1:11" ht="15.75" customHeight="1">
      <c r="A1005" s="34" t="s">
        <v>22</v>
      </c>
      <c r="B1005" s="36">
        <v>150</v>
      </c>
      <c r="C1005" s="43">
        <v>0.59960000000000002</v>
      </c>
      <c r="D1005" s="36">
        <v>7.2800000000000004E-2</v>
      </c>
      <c r="E1005" s="36">
        <v>1.01E-3</v>
      </c>
      <c r="F1005" s="36">
        <v>1000</v>
      </c>
      <c r="G1005" s="42">
        <v>0</v>
      </c>
      <c r="H1005" s="34">
        <v>20</v>
      </c>
      <c r="I1005" s="34" t="s">
        <v>12</v>
      </c>
      <c r="J1005" s="34">
        <v>1.2909999999999999</v>
      </c>
      <c r="K1005" s="43">
        <v>4.1946000000000003</v>
      </c>
    </row>
    <row r="1006" spans="1:11" ht="15.75" customHeight="1">
      <c r="A1006" s="34" t="s">
        <v>22</v>
      </c>
      <c r="B1006" s="36">
        <v>150</v>
      </c>
      <c r="C1006" s="43">
        <v>0.79910000000000003</v>
      </c>
      <c r="D1006" s="36">
        <v>7.2800000000000004E-2</v>
      </c>
      <c r="E1006" s="36">
        <v>1.01E-3</v>
      </c>
      <c r="F1006" s="36">
        <v>1000</v>
      </c>
      <c r="G1006" s="42">
        <v>0</v>
      </c>
      <c r="H1006" s="34">
        <v>20</v>
      </c>
      <c r="I1006" s="34" t="s">
        <v>12</v>
      </c>
      <c r="J1006" s="34">
        <v>1.2909999999999999</v>
      </c>
      <c r="K1006" s="43">
        <v>4.2980999999999998</v>
      </c>
    </row>
    <row r="1007" spans="1:11" ht="15.75" customHeight="1">
      <c r="A1007" s="34" t="s">
        <v>22</v>
      </c>
      <c r="B1007" s="36">
        <v>150</v>
      </c>
      <c r="C1007" s="43">
        <v>0.99790000000000001</v>
      </c>
      <c r="D1007" s="36">
        <v>7.2800000000000004E-2</v>
      </c>
      <c r="E1007" s="36">
        <v>1.01E-3</v>
      </c>
      <c r="F1007" s="36">
        <v>1000</v>
      </c>
      <c r="G1007" s="42">
        <v>0</v>
      </c>
      <c r="H1007" s="34">
        <v>20</v>
      </c>
      <c r="I1007" s="34" t="s">
        <v>12</v>
      </c>
      <c r="J1007" s="34">
        <v>1.2909999999999999</v>
      </c>
      <c r="K1007" s="43">
        <v>4.4139999999999997</v>
      </c>
    </row>
    <row r="1008" spans="1:11" ht="15.75" customHeight="1">
      <c r="A1008" s="34" t="s">
        <v>22</v>
      </c>
      <c r="B1008" s="36">
        <v>200</v>
      </c>
      <c r="C1008" s="43">
        <v>0.29670000000000002</v>
      </c>
      <c r="D1008" s="36">
        <v>7.2800000000000004E-2</v>
      </c>
      <c r="E1008" s="36">
        <v>1.01E-3</v>
      </c>
      <c r="F1008" s="36">
        <v>1000</v>
      </c>
      <c r="G1008" s="42">
        <v>0</v>
      </c>
      <c r="H1008" s="34">
        <v>20</v>
      </c>
      <c r="I1008" s="34" t="s">
        <v>12</v>
      </c>
      <c r="J1008" s="34">
        <v>1.2909999999999999</v>
      </c>
      <c r="K1008" s="43">
        <v>4.5838000000000001</v>
      </c>
    </row>
    <row r="1009" spans="1:11" ht="15.75" customHeight="1">
      <c r="A1009" s="34" t="s">
        <v>22</v>
      </c>
      <c r="B1009" s="36">
        <v>200</v>
      </c>
      <c r="C1009" s="43">
        <v>0.40010000000000001</v>
      </c>
      <c r="D1009" s="36">
        <v>7.2800000000000004E-2</v>
      </c>
      <c r="E1009" s="36">
        <v>1.01E-3</v>
      </c>
      <c r="F1009" s="36">
        <v>1000</v>
      </c>
      <c r="G1009" s="42">
        <v>0</v>
      </c>
      <c r="H1009" s="34">
        <v>20</v>
      </c>
      <c r="I1009" s="34" t="s">
        <v>12</v>
      </c>
      <c r="J1009" s="34">
        <v>1.2909999999999999</v>
      </c>
      <c r="K1009" s="43">
        <v>4.6003999999999996</v>
      </c>
    </row>
    <row r="1010" spans="1:11" ht="15.75" customHeight="1">
      <c r="A1010" s="34" t="s">
        <v>22</v>
      </c>
      <c r="B1010" s="36">
        <v>200</v>
      </c>
      <c r="C1010" s="43">
        <v>0.49880000000000002</v>
      </c>
      <c r="D1010" s="36">
        <v>7.2800000000000004E-2</v>
      </c>
      <c r="E1010" s="36">
        <v>1.01E-3</v>
      </c>
      <c r="F1010" s="36">
        <v>1000</v>
      </c>
      <c r="G1010" s="42">
        <v>0</v>
      </c>
      <c r="H1010" s="34">
        <v>20</v>
      </c>
      <c r="I1010" s="34" t="s">
        <v>12</v>
      </c>
      <c r="J1010" s="34">
        <v>1.2909999999999999</v>
      </c>
      <c r="K1010" s="43">
        <v>4.6459000000000001</v>
      </c>
    </row>
    <row r="1011" spans="1:11" ht="15.75" customHeight="1">
      <c r="A1011" s="34" t="s">
        <v>22</v>
      </c>
      <c r="B1011" s="36">
        <v>200</v>
      </c>
      <c r="C1011" s="43">
        <v>0.60019999999999996</v>
      </c>
      <c r="D1011" s="36">
        <v>7.2800000000000004E-2</v>
      </c>
      <c r="E1011" s="36">
        <v>1.01E-3</v>
      </c>
      <c r="F1011" s="36">
        <v>1000</v>
      </c>
      <c r="G1011" s="42">
        <v>0</v>
      </c>
      <c r="H1011" s="34">
        <v>20</v>
      </c>
      <c r="I1011" s="34" t="s">
        <v>12</v>
      </c>
      <c r="J1011" s="34">
        <v>1.2909999999999999</v>
      </c>
      <c r="K1011" s="43">
        <v>4.7080000000000002</v>
      </c>
    </row>
    <row r="1012" spans="1:11" ht="15.75" customHeight="1">
      <c r="A1012" s="34" t="s">
        <v>22</v>
      </c>
      <c r="B1012" s="36">
        <v>200</v>
      </c>
      <c r="C1012" s="43">
        <v>0.8024</v>
      </c>
      <c r="D1012" s="36">
        <v>7.2800000000000004E-2</v>
      </c>
      <c r="E1012" s="36">
        <v>1.01E-3</v>
      </c>
      <c r="F1012" s="36">
        <v>1000</v>
      </c>
      <c r="G1012" s="42">
        <v>0</v>
      </c>
      <c r="H1012" s="34">
        <v>20</v>
      </c>
      <c r="I1012" s="34" t="s">
        <v>12</v>
      </c>
      <c r="J1012" s="34">
        <v>1.2909999999999999</v>
      </c>
      <c r="K1012" s="43">
        <v>4.7949999999999999</v>
      </c>
    </row>
    <row r="1013" spans="1:11" ht="15.75" customHeight="1">
      <c r="A1013" s="34" t="s">
        <v>22</v>
      </c>
      <c r="B1013" s="36">
        <v>200</v>
      </c>
      <c r="C1013" s="43">
        <v>0.99990000000000001</v>
      </c>
      <c r="D1013" s="36">
        <v>7.2800000000000004E-2</v>
      </c>
      <c r="E1013" s="36">
        <v>1.01E-3</v>
      </c>
      <c r="F1013" s="36">
        <v>1000</v>
      </c>
      <c r="G1013" s="42">
        <v>0</v>
      </c>
      <c r="H1013" s="34">
        <v>20</v>
      </c>
      <c r="I1013" s="34" t="s">
        <v>12</v>
      </c>
      <c r="J1013" s="34">
        <v>1.2909999999999999</v>
      </c>
      <c r="K1013" s="43">
        <v>4.8944000000000001</v>
      </c>
    </row>
    <row r="1014" spans="1:11" ht="15.75" customHeight="1">
      <c r="A1014" s="34" t="s">
        <v>22</v>
      </c>
      <c r="B1014" s="36">
        <v>50</v>
      </c>
      <c r="C1014" s="43">
        <v>0.30130000000000001</v>
      </c>
      <c r="D1014" s="36">
        <v>9.6600000000000005E-2</v>
      </c>
      <c r="E1014" s="36">
        <v>0.13</v>
      </c>
      <c r="F1014" s="36">
        <v>1008</v>
      </c>
      <c r="G1014" s="42">
        <v>0</v>
      </c>
      <c r="H1014" s="34">
        <v>20</v>
      </c>
      <c r="I1014" s="34" t="s">
        <v>12</v>
      </c>
      <c r="J1014" s="34">
        <v>1.2909999999999999</v>
      </c>
      <c r="K1014" s="43">
        <v>4.9382000000000001</v>
      </c>
    </row>
    <row r="1015" spans="1:11" ht="15.75" customHeight="1">
      <c r="A1015" s="34" t="s">
        <v>22</v>
      </c>
      <c r="B1015" s="36">
        <v>50</v>
      </c>
      <c r="C1015" s="43">
        <v>0.40089999999999998</v>
      </c>
      <c r="D1015" s="36">
        <v>9.6600000000000005E-2</v>
      </c>
      <c r="E1015" s="36">
        <v>0.13</v>
      </c>
      <c r="F1015" s="36">
        <v>1008</v>
      </c>
      <c r="G1015" s="42">
        <v>0</v>
      </c>
      <c r="H1015" s="34">
        <v>20</v>
      </c>
      <c r="I1015" s="34" t="s">
        <v>12</v>
      </c>
      <c r="J1015" s="34">
        <v>1.2909999999999999</v>
      </c>
      <c r="K1015" s="43">
        <v>5.0397999999999996</v>
      </c>
    </row>
    <row r="1016" spans="1:11" ht="15.75" customHeight="1">
      <c r="A1016" s="34" t="s">
        <v>22</v>
      </c>
      <c r="B1016" s="36">
        <v>50</v>
      </c>
      <c r="C1016" s="43">
        <v>0.50490000000000002</v>
      </c>
      <c r="D1016" s="36">
        <v>9.6600000000000005E-2</v>
      </c>
      <c r="E1016" s="36">
        <v>0.13</v>
      </c>
      <c r="F1016" s="36">
        <v>1008</v>
      </c>
      <c r="G1016" s="42">
        <v>0</v>
      </c>
      <c r="H1016" s="34">
        <v>20</v>
      </c>
      <c r="I1016" s="34" t="s">
        <v>12</v>
      </c>
      <c r="J1016" s="34">
        <v>1.2909999999999999</v>
      </c>
      <c r="K1016" s="43">
        <v>5.1778000000000004</v>
      </c>
    </row>
    <row r="1017" spans="1:11" ht="15.75" customHeight="1">
      <c r="A1017" s="34" t="s">
        <v>22</v>
      </c>
      <c r="B1017" s="36">
        <v>50</v>
      </c>
      <c r="C1017" s="43">
        <v>0.60370000000000001</v>
      </c>
      <c r="D1017" s="36">
        <v>9.6600000000000005E-2</v>
      </c>
      <c r="E1017" s="36">
        <v>0.13</v>
      </c>
      <c r="F1017" s="36">
        <v>1008</v>
      </c>
      <c r="G1017" s="42">
        <v>0</v>
      </c>
      <c r="H1017" s="34">
        <v>20</v>
      </c>
      <c r="I1017" s="34" t="s">
        <v>12</v>
      </c>
      <c r="J1017" s="34">
        <v>1.2909999999999999</v>
      </c>
      <c r="K1017" s="43">
        <v>5.3011999999999997</v>
      </c>
    </row>
    <row r="1018" spans="1:11" ht="15.75" customHeight="1">
      <c r="A1018" s="34" t="s">
        <v>22</v>
      </c>
      <c r="B1018" s="36">
        <v>50</v>
      </c>
      <c r="C1018" s="43">
        <v>0.80289999999999995</v>
      </c>
      <c r="D1018" s="36">
        <v>9.6600000000000005E-2</v>
      </c>
      <c r="E1018" s="36">
        <v>0.13</v>
      </c>
      <c r="F1018" s="36">
        <v>1008</v>
      </c>
      <c r="G1018" s="42">
        <v>0</v>
      </c>
      <c r="H1018" s="34">
        <v>20</v>
      </c>
      <c r="I1018" s="34" t="s">
        <v>12</v>
      </c>
      <c r="J1018" s="34">
        <v>1.2909999999999999</v>
      </c>
      <c r="K1018" s="43">
        <v>5.3810000000000002</v>
      </c>
    </row>
    <row r="1019" spans="1:11" ht="15.75" customHeight="1">
      <c r="A1019" s="34" t="s">
        <v>22</v>
      </c>
      <c r="B1019" s="36">
        <v>50</v>
      </c>
      <c r="C1019" s="43">
        <v>0.99860000000000004</v>
      </c>
      <c r="D1019" s="36">
        <v>9.6600000000000005E-2</v>
      </c>
      <c r="E1019" s="36">
        <v>0.13</v>
      </c>
      <c r="F1019" s="36">
        <v>1008</v>
      </c>
      <c r="G1019" s="42">
        <v>0</v>
      </c>
      <c r="H1019" s="34">
        <v>20</v>
      </c>
      <c r="I1019" s="34" t="s">
        <v>12</v>
      </c>
      <c r="J1019" s="34">
        <v>1.2909999999999999</v>
      </c>
      <c r="K1019" s="43">
        <v>5.4753999999999996</v>
      </c>
    </row>
    <row r="1020" spans="1:11" ht="15.75" customHeight="1">
      <c r="A1020" s="34" t="s">
        <v>22</v>
      </c>
      <c r="B1020" s="36">
        <v>80</v>
      </c>
      <c r="C1020" s="43">
        <v>0.30220000000000002</v>
      </c>
      <c r="D1020" s="36">
        <v>9.6600000000000005E-2</v>
      </c>
      <c r="E1020" s="36">
        <v>0.13</v>
      </c>
      <c r="F1020" s="36">
        <v>1008</v>
      </c>
      <c r="G1020" s="42">
        <v>0</v>
      </c>
      <c r="H1020" s="34">
        <v>20</v>
      </c>
      <c r="I1020" s="34" t="s">
        <v>12</v>
      </c>
      <c r="J1020" s="34">
        <v>1.2909999999999999</v>
      </c>
      <c r="K1020" s="43">
        <v>5.3955000000000002</v>
      </c>
    </row>
    <row r="1021" spans="1:11" ht="15.75" customHeight="1">
      <c r="A1021" s="34" t="s">
        <v>22</v>
      </c>
      <c r="B1021" s="36">
        <v>80</v>
      </c>
      <c r="C1021" s="43">
        <v>0.40179999999999999</v>
      </c>
      <c r="D1021" s="36">
        <v>9.6600000000000005E-2</v>
      </c>
      <c r="E1021" s="36">
        <v>0.13</v>
      </c>
      <c r="F1021" s="36">
        <v>1008</v>
      </c>
      <c r="G1021" s="42">
        <v>0</v>
      </c>
      <c r="H1021" s="34">
        <v>20</v>
      </c>
      <c r="I1021" s="34" t="s">
        <v>12</v>
      </c>
      <c r="J1021" s="34">
        <v>1.2909999999999999</v>
      </c>
      <c r="K1021" s="43">
        <v>5.5044000000000004</v>
      </c>
    </row>
    <row r="1022" spans="1:11" ht="15.75" customHeight="1">
      <c r="A1022" s="34" t="s">
        <v>22</v>
      </c>
      <c r="B1022" s="36">
        <v>80</v>
      </c>
      <c r="C1022" s="43">
        <v>0.50049999999999994</v>
      </c>
      <c r="D1022" s="36">
        <v>9.6600000000000005E-2</v>
      </c>
      <c r="E1022" s="36">
        <v>0.13</v>
      </c>
      <c r="F1022" s="36">
        <v>1008</v>
      </c>
      <c r="G1022" s="42">
        <v>0</v>
      </c>
      <c r="H1022" s="34">
        <v>20</v>
      </c>
      <c r="I1022" s="34" t="s">
        <v>12</v>
      </c>
      <c r="J1022" s="34">
        <v>1.2909999999999999</v>
      </c>
      <c r="K1022" s="43">
        <v>5.6060999999999996</v>
      </c>
    </row>
    <row r="1023" spans="1:11" ht="15.75" customHeight="1">
      <c r="A1023" s="34" t="s">
        <v>22</v>
      </c>
      <c r="B1023" s="36">
        <v>80</v>
      </c>
      <c r="C1023" s="43">
        <v>0.59930000000000005</v>
      </c>
      <c r="D1023" s="36">
        <v>9.6600000000000005E-2</v>
      </c>
      <c r="E1023" s="36">
        <v>0.13</v>
      </c>
      <c r="F1023" s="36">
        <v>1008</v>
      </c>
      <c r="G1023" s="42">
        <v>0</v>
      </c>
      <c r="H1023" s="34">
        <v>20</v>
      </c>
      <c r="I1023" s="34" t="s">
        <v>12</v>
      </c>
      <c r="J1023" s="34">
        <v>1.2909999999999999</v>
      </c>
      <c r="K1023" s="43">
        <v>5.5987999999999998</v>
      </c>
    </row>
    <row r="1024" spans="1:11" ht="15.75" customHeight="1">
      <c r="A1024" s="34" t="s">
        <v>22</v>
      </c>
      <c r="B1024" s="36">
        <v>80</v>
      </c>
      <c r="C1024" s="43">
        <v>0.7994</v>
      </c>
      <c r="D1024" s="36">
        <v>9.6600000000000005E-2</v>
      </c>
      <c r="E1024" s="36">
        <v>0.13</v>
      </c>
      <c r="F1024" s="36">
        <v>1008</v>
      </c>
      <c r="G1024" s="42">
        <v>0</v>
      </c>
      <c r="H1024" s="34">
        <v>20</v>
      </c>
      <c r="I1024" s="34" t="s">
        <v>12</v>
      </c>
      <c r="J1024" s="34">
        <v>1.2909999999999999</v>
      </c>
      <c r="K1024" s="43">
        <v>5.7077</v>
      </c>
    </row>
    <row r="1025" spans="1:11" ht="15.75" customHeight="1">
      <c r="A1025" s="34" t="s">
        <v>22</v>
      </c>
      <c r="B1025" s="36">
        <v>80</v>
      </c>
      <c r="C1025" s="43">
        <v>0.99860000000000004</v>
      </c>
      <c r="D1025" s="36">
        <v>9.6600000000000005E-2</v>
      </c>
      <c r="E1025" s="36">
        <v>0.13</v>
      </c>
      <c r="F1025" s="36">
        <v>1008</v>
      </c>
      <c r="G1025" s="42">
        <v>0</v>
      </c>
      <c r="H1025" s="34">
        <v>20</v>
      </c>
      <c r="I1025" s="34" t="s">
        <v>12</v>
      </c>
      <c r="J1025" s="34">
        <v>1.2909999999999999</v>
      </c>
      <c r="K1025" s="43">
        <v>5.9326999999999996</v>
      </c>
    </row>
    <row r="1026" spans="1:11" ht="15.75" customHeight="1">
      <c r="A1026" s="34" t="s">
        <v>22</v>
      </c>
      <c r="B1026" s="36">
        <v>100</v>
      </c>
      <c r="C1026" s="43">
        <v>0.30399999999999999</v>
      </c>
      <c r="D1026" s="36">
        <v>9.6600000000000005E-2</v>
      </c>
      <c r="E1026" s="36">
        <v>0.13</v>
      </c>
      <c r="F1026" s="36">
        <v>1008</v>
      </c>
      <c r="G1026" s="42">
        <v>0</v>
      </c>
      <c r="H1026" s="34">
        <v>20</v>
      </c>
      <c r="I1026" s="34" t="s">
        <v>12</v>
      </c>
      <c r="J1026" s="34">
        <v>1.2909999999999999</v>
      </c>
      <c r="K1026" s="43">
        <v>5.8093000000000004</v>
      </c>
    </row>
    <row r="1027" spans="1:11" ht="15.75" customHeight="1">
      <c r="A1027" s="34" t="s">
        <v>22</v>
      </c>
      <c r="B1027" s="36">
        <v>100</v>
      </c>
      <c r="C1027" s="43">
        <v>0.40089999999999998</v>
      </c>
      <c r="D1027" s="36">
        <v>9.6600000000000005E-2</v>
      </c>
      <c r="E1027" s="36">
        <v>0.13</v>
      </c>
      <c r="F1027" s="36">
        <v>1008</v>
      </c>
      <c r="G1027" s="42">
        <v>0</v>
      </c>
      <c r="H1027" s="34">
        <v>20</v>
      </c>
      <c r="I1027" s="34" t="s">
        <v>12</v>
      </c>
      <c r="J1027" s="34">
        <v>1.2909999999999999</v>
      </c>
      <c r="K1027" s="43">
        <v>5.8093000000000004</v>
      </c>
    </row>
    <row r="1028" spans="1:11" ht="15.75" customHeight="1">
      <c r="A1028" s="34" t="s">
        <v>22</v>
      </c>
      <c r="B1028" s="36">
        <v>100</v>
      </c>
      <c r="C1028" s="43">
        <v>0.50319999999999998</v>
      </c>
      <c r="D1028" s="36">
        <v>9.6600000000000005E-2</v>
      </c>
      <c r="E1028" s="36">
        <v>0.13</v>
      </c>
      <c r="F1028" s="36">
        <v>1008</v>
      </c>
      <c r="G1028" s="42">
        <v>0</v>
      </c>
      <c r="H1028" s="34">
        <v>20</v>
      </c>
      <c r="I1028" s="34" t="s">
        <v>12</v>
      </c>
      <c r="J1028" s="34">
        <v>1.2909999999999999</v>
      </c>
      <c r="K1028" s="43">
        <v>5.9181999999999997</v>
      </c>
    </row>
    <row r="1029" spans="1:11" ht="15.75" customHeight="1">
      <c r="A1029" s="34" t="s">
        <v>22</v>
      </c>
      <c r="B1029" s="36">
        <v>100</v>
      </c>
      <c r="C1029" s="43">
        <v>0.60009999999999997</v>
      </c>
      <c r="D1029" s="36">
        <v>9.6600000000000005E-2</v>
      </c>
      <c r="E1029" s="36">
        <v>0.13</v>
      </c>
      <c r="F1029" s="36">
        <v>1008</v>
      </c>
      <c r="G1029" s="42">
        <v>0</v>
      </c>
      <c r="H1029" s="34">
        <v>20</v>
      </c>
      <c r="I1029" s="34" t="s">
        <v>12</v>
      </c>
      <c r="J1029" s="34">
        <v>1.2909999999999999</v>
      </c>
      <c r="K1029" s="43">
        <v>6.0270999999999999</v>
      </c>
    </row>
    <row r="1030" spans="1:11" ht="15.75" customHeight="1">
      <c r="A1030" s="34" t="s">
        <v>22</v>
      </c>
      <c r="B1030" s="36">
        <v>100</v>
      </c>
      <c r="C1030" s="43">
        <v>0.80110000000000003</v>
      </c>
      <c r="D1030" s="36">
        <v>9.6600000000000005E-2</v>
      </c>
      <c r="E1030" s="36">
        <v>0.13</v>
      </c>
      <c r="F1030" s="36">
        <v>1008</v>
      </c>
      <c r="G1030" s="42">
        <v>0</v>
      </c>
      <c r="H1030" s="34">
        <v>20</v>
      </c>
      <c r="I1030" s="34" t="s">
        <v>12</v>
      </c>
      <c r="J1030" s="34">
        <v>1.2909999999999999</v>
      </c>
      <c r="K1030" s="43">
        <v>6.1433</v>
      </c>
    </row>
    <row r="1031" spans="1:11" ht="15.75" customHeight="1">
      <c r="A1031" s="34" t="s">
        <v>22</v>
      </c>
      <c r="B1031" s="36">
        <v>100</v>
      </c>
      <c r="C1031" s="43">
        <v>1.002</v>
      </c>
      <c r="D1031" s="36">
        <v>9.6600000000000005E-2</v>
      </c>
      <c r="E1031" s="36">
        <v>0.13</v>
      </c>
      <c r="F1031" s="36">
        <v>1008</v>
      </c>
      <c r="G1031" s="42">
        <v>0</v>
      </c>
      <c r="H1031" s="34">
        <v>20</v>
      </c>
      <c r="I1031" s="34" t="s">
        <v>12</v>
      </c>
      <c r="J1031" s="34">
        <v>1.2909999999999999</v>
      </c>
      <c r="K1031" s="43">
        <v>6.2739000000000003</v>
      </c>
    </row>
    <row r="1032" spans="1:11" ht="15.75" customHeight="1">
      <c r="A1032" s="34" t="s">
        <v>22</v>
      </c>
      <c r="B1032" s="36">
        <v>120</v>
      </c>
      <c r="C1032" s="43">
        <v>0.30099999999999999</v>
      </c>
      <c r="D1032" s="36">
        <v>9.6600000000000005E-2</v>
      </c>
      <c r="E1032" s="36">
        <v>0.13</v>
      </c>
      <c r="F1032" s="36">
        <v>1008</v>
      </c>
      <c r="G1032" s="42">
        <v>0</v>
      </c>
      <c r="H1032" s="34">
        <v>20</v>
      </c>
      <c r="I1032" s="34" t="s">
        <v>12</v>
      </c>
      <c r="J1032" s="34">
        <v>1.2909999999999999</v>
      </c>
      <c r="K1032" s="43">
        <v>6.1483999999999996</v>
      </c>
    </row>
    <row r="1033" spans="1:11" ht="15.75" customHeight="1">
      <c r="A1033" s="34" t="s">
        <v>22</v>
      </c>
      <c r="B1033" s="36">
        <v>120</v>
      </c>
      <c r="C1033" s="43">
        <v>0.40189999999999998</v>
      </c>
      <c r="D1033" s="36">
        <v>9.6600000000000005E-2</v>
      </c>
      <c r="E1033" s="36">
        <v>0.13</v>
      </c>
      <c r="F1033" s="36">
        <v>1008</v>
      </c>
      <c r="G1033" s="42">
        <v>0</v>
      </c>
      <c r="H1033" s="34">
        <v>20</v>
      </c>
      <c r="I1033" s="34" t="s">
        <v>12</v>
      </c>
      <c r="J1033" s="34">
        <v>1.2909999999999999</v>
      </c>
      <c r="K1033" s="43">
        <v>6.2526999999999999</v>
      </c>
    </row>
    <row r="1034" spans="1:11" ht="15.75" customHeight="1">
      <c r="A1034" s="34" t="s">
        <v>22</v>
      </c>
      <c r="B1034" s="36">
        <v>120</v>
      </c>
      <c r="C1034" s="43">
        <v>0.50209999999999999</v>
      </c>
      <c r="D1034" s="36">
        <v>9.6600000000000005E-2</v>
      </c>
      <c r="E1034" s="36">
        <v>0.13</v>
      </c>
      <c r="F1034" s="36">
        <v>1008</v>
      </c>
      <c r="G1034" s="42">
        <v>0</v>
      </c>
      <c r="H1034" s="34">
        <v>20</v>
      </c>
      <c r="I1034" s="34" t="s">
        <v>12</v>
      </c>
      <c r="J1034" s="34">
        <v>1.2909999999999999</v>
      </c>
      <c r="K1034" s="43">
        <v>6.2346000000000004</v>
      </c>
    </row>
    <row r="1035" spans="1:11" ht="15.75" customHeight="1">
      <c r="A1035" s="34" t="s">
        <v>22</v>
      </c>
      <c r="B1035" s="36">
        <v>120</v>
      </c>
      <c r="C1035" s="43">
        <v>0.6008</v>
      </c>
      <c r="D1035" s="36">
        <v>9.6600000000000005E-2</v>
      </c>
      <c r="E1035" s="36">
        <v>0.13</v>
      </c>
      <c r="F1035" s="36">
        <v>1008</v>
      </c>
      <c r="G1035" s="42">
        <v>0</v>
      </c>
      <c r="H1035" s="34">
        <v>20</v>
      </c>
      <c r="I1035" s="34" t="s">
        <v>12</v>
      </c>
      <c r="J1035" s="34">
        <v>1.2909999999999999</v>
      </c>
      <c r="K1035" s="43">
        <v>6.3662000000000001</v>
      </c>
    </row>
    <row r="1036" spans="1:11" ht="15.75" customHeight="1">
      <c r="A1036" s="34" t="s">
        <v>22</v>
      </c>
      <c r="B1036" s="36">
        <v>120</v>
      </c>
      <c r="C1036" s="43">
        <v>0.80069999999999997</v>
      </c>
      <c r="D1036" s="36">
        <v>9.6600000000000005E-2</v>
      </c>
      <c r="E1036" s="36">
        <v>0.13</v>
      </c>
      <c r="F1036" s="36">
        <v>1008</v>
      </c>
      <c r="G1036" s="42">
        <v>0</v>
      </c>
      <c r="H1036" s="34">
        <v>20</v>
      </c>
      <c r="I1036" s="34" t="s">
        <v>12</v>
      </c>
      <c r="J1036" s="34">
        <v>1.2909999999999999</v>
      </c>
      <c r="K1036" s="43">
        <v>6.4660000000000002</v>
      </c>
    </row>
    <row r="1037" spans="1:11" ht="15.75" customHeight="1">
      <c r="A1037" s="34" t="s">
        <v>22</v>
      </c>
      <c r="B1037" s="36">
        <v>120</v>
      </c>
      <c r="C1037" s="43">
        <v>1</v>
      </c>
      <c r="D1037" s="36">
        <v>9.6600000000000005E-2</v>
      </c>
      <c r="E1037" s="36">
        <v>0.13</v>
      </c>
      <c r="F1037" s="36">
        <v>1008</v>
      </c>
      <c r="G1037" s="42">
        <v>0</v>
      </c>
      <c r="H1037" s="34">
        <v>20</v>
      </c>
      <c r="I1037" s="34" t="s">
        <v>12</v>
      </c>
      <c r="J1037" s="34">
        <v>1.2909999999999999</v>
      </c>
      <c r="K1037" s="43">
        <v>6.5975999999999999</v>
      </c>
    </row>
    <row r="1038" spans="1:11" ht="15.75" customHeight="1">
      <c r="A1038" s="34" t="s">
        <v>22</v>
      </c>
      <c r="B1038" s="36">
        <v>150</v>
      </c>
      <c r="C1038" s="43">
        <v>0.30049999999999999</v>
      </c>
      <c r="D1038" s="36">
        <v>9.6600000000000005E-2</v>
      </c>
      <c r="E1038" s="36">
        <v>0.13</v>
      </c>
      <c r="F1038" s="36">
        <v>1008</v>
      </c>
      <c r="G1038" s="42">
        <v>0</v>
      </c>
      <c r="H1038" s="34">
        <v>20</v>
      </c>
      <c r="I1038" s="34" t="s">
        <v>12</v>
      </c>
      <c r="J1038" s="34">
        <v>1.2909999999999999</v>
      </c>
      <c r="K1038" s="43">
        <v>6.5884999999999998</v>
      </c>
    </row>
    <row r="1039" spans="1:11" ht="15.75" customHeight="1">
      <c r="A1039" s="34" t="s">
        <v>22</v>
      </c>
      <c r="B1039" s="36">
        <v>150</v>
      </c>
      <c r="C1039" s="43">
        <v>0.40129999999999999</v>
      </c>
      <c r="D1039" s="36">
        <v>9.6600000000000005E-2</v>
      </c>
      <c r="E1039" s="36">
        <v>0.13</v>
      </c>
      <c r="F1039" s="36">
        <v>1008</v>
      </c>
      <c r="G1039" s="42">
        <v>0</v>
      </c>
      <c r="H1039" s="34">
        <v>20</v>
      </c>
      <c r="I1039" s="34" t="s">
        <v>12</v>
      </c>
      <c r="J1039" s="34">
        <v>1.2909999999999999</v>
      </c>
      <c r="K1039" s="43">
        <v>6.6882999999999999</v>
      </c>
    </row>
    <row r="1040" spans="1:11" ht="15.75" customHeight="1">
      <c r="A1040" s="34" t="s">
        <v>22</v>
      </c>
      <c r="B1040" s="36">
        <v>150</v>
      </c>
      <c r="C1040" s="43">
        <v>0.50049999999999994</v>
      </c>
      <c r="D1040" s="36">
        <v>9.6600000000000005E-2</v>
      </c>
      <c r="E1040" s="36">
        <v>0.13</v>
      </c>
      <c r="F1040" s="36">
        <v>1008</v>
      </c>
      <c r="G1040" s="42">
        <v>0</v>
      </c>
      <c r="H1040" s="34">
        <v>20</v>
      </c>
      <c r="I1040" s="34" t="s">
        <v>12</v>
      </c>
      <c r="J1040" s="34">
        <v>1.2909999999999999</v>
      </c>
      <c r="K1040" s="43">
        <v>6.6837999999999997</v>
      </c>
    </row>
    <row r="1041" spans="1:11" ht="15.75" customHeight="1">
      <c r="A1041" s="34" t="s">
        <v>22</v>
      </c>
      <c r="B1041" s="36">
        <v>150</v>
      </c>
      <c r="C1041" s="43">
        <v>0.59799999999999998</v>
      </c>
      <c r="D1041" s="36">
        <v>9.6600000000000005E-2</v>
      </c>
      <c r="E1041" s="36">
        <v>0.13</v>
      </c>
      <c r="F1041" s="36">
        <v>1008</v>
      </c>
      <c r="G1041" s="42">
        <v>0</v>
      </c>
      <c r="H1041" s="34">
        <v>20</v>
      </c>
      <c r="I1041" s="34" t="s">
        <v>12</v>
      </c>
      <c r="J1041" s="34">
        <v>1.2909999999999999</v>
      </c>
      <c r="K1041" s="43">
        <v>6.8108000000000004</v>
      </c>
    </row>
    <row r="1042" spans="1:11" ht="15.75" customHeight="1">
      <c r="A1042" s="34" t="s">
        <v>22</v>
      </c>
      <c r="B1042" s="36">
        <v>150</v>
      </c>
      <c r="C1042" s="43">
        <v>0.80020000000000002</v>
      </c>
      <c r="D1042" s="36">
        <v>9.6600000000000005E-2</v>
      </c>
      <c r="E1042" s="36">
        <v>0.13</v>
      </c>
      <c r="F1042" s="36">
        <v>1008</v>
      </c>
      <c r="G1042" s="42">
        <v>0</v>
      </c>
      <c r="H1042" s="34">
        <v>20</v>
      </c>
      <c r="I1042" s="34" t="s">
        <v>12</v>
      </c>
      <c r="J1042" s="34">
        <v>1.2909999999999999</v>
      </c>
      <c r="K1042" s="43">
        <v>6.9061000000000003</v>
      </c>
    </row>
    <row r="1043" spans="1:11" ht="15.75" customHeight="1">
      <c r="A1043" s="34" t="s">
        <v>22</v>
      </c>
      <c r="B1043" s="36">
        <v>150</v>
      </c>
      <c r="C1043" s="43">
        <v>1.0009999999999999</v>
      </c>
      <c r="D1043" s="36">
        <v>9.6600000000000005E-2</v>
      </c>
      <c r="E1043" s="36">
        <v>0.13</v>
      </c>
      <c r="F1043" s="36">
        <v>1008</v>
      </c>
      <c r="G1043" s="42">
        <v>0</v>
      </c>
      <c r="H1043" s="34">
        <v>20</v>
      </c>
      <c r="I1043" s="34" t="s">
        <v>12</v>
      </c>
      <c r="J1043" s="34">
        <v>1.2909999999999999</v>
      </c>
      <c r="K1043" s="43">
        <v>6.9016000000000002</v>
      </c>
    </row>
    <row r="1044" spans="1:11" ht="15.75" customHeight="1">
      <c r="A1044" s="34" t="s">
        <v>22</v>
      </c>
      <c r="B1044" s="36">
        <v>200</v>
      </c>
      <c r="C1044" s="43">
        <v>0.30209999999999998</v>
      </c>
      <c r="D1044" s="36">
        <v>9.6600000000000005E-2</v>
      </c>
      <c r="E1044" s="36">
        <v>0.13</v>
      </c>
      <c r="F1044" s="36">
        <v>1008</v>
      </c>
      <c r="G1044" s="42">
        <v>0</v>
      </c>
      <c r="H1044" s="34">
        <v>20</v>
      </c>
      <c r="I1044" s="34" t="s">
        <v>12</v>
      </c>
      <c r="J1044" s="34">
        <v>1.2909999999999999</v>
      </c>
      <c r="K1044" s="43">
        <v>7.2373000000000003</v>
      </c>
    </row>
    <row r="1045" spans="1:11" ht="15.75" customHeight="1">
      <c r="A1045" s="34" t="s">
        <v>22</v>
      </c>
      <c r="B1045" s="36">
        <v>200</v>
      </c>
      <c r="C1045" s="43">
        <v>0.40079999999999999</v>
      </c>
      <c r="D1045" s="36">
        <v>9.6600000000000005E-2</v>
      </c>
      <c r="E1045" s="36">
        <v>0.13</v>
      </c>
      <c r="F1045" s="36">
        <v>1008</v>
      </c>
      <c r="G1045" s="42">
        <v>0</v>
      </c>
      <c r="H1045" s="34">
        <v>20</v>
      </c>
      <c r="I1045" s="34" t="s">
        <v>12</v>
      </c>
      <c r="J1045" s="34">
        <v>1.2909999999999999</v>
      </c>
      <c r="K1045" s="43">
        <v>7.2328000000000001</v>
      </c>
    </row>
    <row r="1046" spans="1:11" ht="15.75" customHeight="1">
      <c r="A1046" s="34" t="s">
        <v>22</v>
      </c>
      <c r="B1046" s="36">
        <v>200</v>
      </c>
      <c r="C1046" s="43">
        <v>0.50209999999999999</v>
      </c>
      <c r="D1046" s="36">
        <v>9.6600000000000005E-2</v>
      </c>
      <c r="E1046" s="36">
        <v>0.13</v>
      </c>
      <c r="F1046" s="36">
        <v>1008</v>
      </c>
      <c r="G1046" s="42">
        <v>0</v>
      </c>
      <c r="H1046" s="34">
        <v>20</v>
      </c>
      <c r="I1046" s="34" t="s">
        <v>12</v>
      </c>
      <c r="J1046" s="34">
        <v>1.2909999999999999</v>
      </c>
      <c r="K1046" s="43">
        <v>7.3461999999999996</v>
      </c>
    </row>
    <row r="1047" spans="1:11" ht="15.75" customHeight="1">
      <c r="A1047" s="34" t="s">
        <v>22</v>
      </c>
      <c r="B1047" s="36">
        <v>200</v>
      </c>
      <c r="C1047" s="43">
        <v>0.60019999999999996</v>
      </c>
      <c r="D1047" s="36">
        <v>9.6600000000000005E-2</v>
      </c>
      <c r="E1047" s="36">
        <v>0.13</v>
      </c>
      <c r="F1047" s="36">
        <v>1008</v>
      </c>
      <c r="G1047" s="42">
        <v>0</v>
      </c>
      <c r="H1047" s="34">
        <v>20</v>
      </c>
      <c r="I1047" s="34" t="s">
        <v>12</v>
      </c>
      <c r="J1047" s="34">
        <v>1.2909999999999999</v>
      </c>
      <c r="K1047" s="43">
        <v>7.3461999999999996</v>
      </c>
    </row>
    <row r="1048" spans="1:11" ht="15.75" customHeight="1">
      <c r="A1048" s="34" t="s">
        <v>22</v>
      </c>
      <c r="B1048" s="36">
        <v>200</v>
      </c>
      <c r="C1048" s="43">
        <v>0.79910000000000003</v>
      </c>
      <c r="D1048" s="36">
        <v>9.6600000000000005E-2</v>
      </c>
      <c r="E1048" s="36">
        <v>0.13</v>
      </c>
      <c r="F1048" s="36">
        <v>1008</v>
      </c>
      <c r="G1048" s="42">
        <v>0</v>
      </c>
      <c r="H1048" s="34">
        <v>20</v>
      </c>
      <c r="I1048" s="34" t="s">
        <v>12</v>
      </c>
      <c r="J1048" s="34">
        <v>1.2909999999999999</v>
      </c>
      <c r="K1048" s="43">
        <v>7.4641999999999999</v>
      </c>
    </row>
    <row r="1049" spans="1:11" ht="15.75" customHeight="1">
      <c r="A1049" s="34" t="s">
        <v>22</v>
      </c>
      <c r="B1049" s="36">
        <v>200</v>
      </c>
      <c r="C1049" s="43">
        <v>1.002</v>
      </c>
      <c r="D1049" s="36">
        <v>9.6600000000000005E-2</v>
      </c>
      <c r="E1049" s="36">
        <v>0.13</v>
      </c>
      <c r="F1049" s="36">
        <v>1008</v>
      </c>
      <c r="G1049" s="42">
        <v>0</v>
      </c>
      <c r="H1049" s="34">
        <v>20</v>
      </c>
      <c r="I1049" s="34" t="s">
        <v>12</v>
      </c>
      <c r="J1049" s="34">
        <v>1.2909999999999999</v>
      </c>
      <c r="K1049" s="43">
        <v>7.5548999999999999</v>
      </c>
    </row>
    <row r="1050" spans="1:11" ht="15.75" customHeight="1">
      <c r="A1050" s="34" t="s">
        <v>22</v>
      </c>
      <c r="B1050" s="36">
        <v>50</v>
      </c>
      <c r="C1050" s="43">
        <v>0.29830000000000001</v>
      </c>
      <c r="D1050" s="36">
        <v>9.6600000000000005E-2</v>
      </c>
      <c r="E1050" s="36">
        <v>0.13</v>
      </c>
      <c r="F1050" s="36">
        <v>1008</v>
      </c>
      <c r="G1050" s="42">
        <v>0</v>
      </c>
      <c r="H1050" s="34">
        <v>20</v>
      </c>
      <c r="I1050" s="34" t="s">
        <v>12</v>
      </c>
      <c r="J1050" s="34">
        <v>1.2909999999999999</v>
      </c>
      <c r="K1050" s="43">
        <v>4.3037999999999998</v>
      </c>
    </row>
    <row r="1051" spans="1:11" ht="15.75" customHeight="1">
      <c r="A1051" s="34" t="s">
        <v>22</v>
      </c>
      <c r="B1051" s="36">
        <v>50</v>
      </c>
      <c r="C1051" s="43">
        <v>0.40139999999999998</v>
      </c>
      <c r="D1051" s="36">
        <v>9.6600000000000005E-2</v>
      </c>
      <c r="E1051" s="36">
        <v>0.13</v>
      </c>
      <c r="F1051" s="36">
        <v>1008</v>
      </c>
      <c r="G1051" s="42">
        <v>0</v>
      </c>
      <c r="H1051" s="34">
        <v>20</v>
      </c>
      <c r="I1051" s="34" t="s">
        <v>12</v>
      </c>
      <c r="J1051" s="34">
        <v>1.2909999999999999</v>
      </c>
      <c r="K1051" s="43">
        <v>4.4577</v>
      </c>
    </row>
    <row r="1052" spans="1:11" ht="15.75" customHeight="1">
      <c r="A1052" s="34" t="s">
        <v>22</v>
      </c>
      <c r="B1052" s="36">
        <v>50</v>
      </c>
      <c r="C1052" s="43">
        <v>0.50109999999999999</v>
      </c>
      <c r="D1052" s="36">
        <v>9.6600000000000005E-2</v>
      </c>
      <c r="E1052" s="36">
        <v>0.13</v>
      </c>
      <c r="F1052" s="36">
        <v>1008</v>
      </c>
      <c r="G1052" s="42">
        <v>0</v>
      </c>
      <c r="H1052" s="34">
        <v>20</v>
      </c>
      <c r="I1052" s="34" t="s">
        <v>12</v>
      </c>
      <c r="J1052" s="34">
        <v>1.2909999999999999</v>
      </c>
      <c r="K1052" s="43">
        <v>4.5273000000000003</v>
      </c>
    </row>
    <row r="1053" spans="1:11" ht="15.75" customHeight="1">
      <c r="A1053" s="34" t="s">
        <v>22</v>
      </c>
      <c r="B1053" s="36">
        <v>50</v>
      </c>
      <c r="C1053" s="43">
        <v>0.60289999999999999</v>
      </c>
      <c r="D1053" s="36">
        <v>9.6600000000000005E-2</v>
      </c>
      <c r="E1053" s="36">
        <v>0.13</v>
      </c>
      <c r="F1053" s="36">
        <v>1008</v>
      </c>
      <c r="G1053" s="42">
        <v>0</v>
      </c>
      <c r="H1053" s="34">
        <v>20</v>
      </c>
      <c r="I1053" s="34" t="s">
        <v>12</v>
      </c>
      <c r="J1053" s="34">
        <v>1.2909999999999999</v>
      </c>
      <c r="K1053" s="43">
        <v>4.5819000000000001</v>
      </c>
    </row>
    <row r="1054" spans="1:11" ht="15.75" customHeight="1">
      <c r="A1054" s="34" t="s">
        <v>22</v>
      </c>
      <c r="B1054" s="36">
        <v>50</v>
      </c>
      <c r="C1054" s="43">
        <v>0.80089999999999995</v>
      </c>
      <c r="D1054" s="36">
        <v>9.6600000000000005E-2</v>
      </c>
      <c r="E1054" s="36">
        <v>0.13</v>
      </c>
      <c r="F1054" s="36">
        <v>1008</v>
      </c>
      <c r="G1054" s="42">
        <v>0</v>
      </c>
      <c r="H1054" s="34">
        <v>20</v>
      </c>
      <c r="I1054" s="34" t="s">
        <v>12</v>
      </c>
      <c r="J1054" s="34">
        <v>1.2909999999999999</v>
      </c>
      <c r="K1054" s="43">
        <v>4.6612999999999998</v>
      </c>
    </row>
    <row r="1055" spans="1:11" ht="15.75" customHeight="1">
      <c r="A1055" s="34" t="s">
        <v>22</v>
      </c>
      <c r="B1055" s="36">
        <v>50</v>
      </c>
      <c r="C1055" s="43">
        <v>1.002</v>
      </c>
      <c r="D1055" s="36">
        <v>9.6600000000000005E-2</v>
      </c>
      <c r="E1055" s="36">
        <v>0.13</v>
      </c>
      <c r="F1055" s="36">
        <v>1008</v>
      </c>
      <c r="G1055" s="42">
        <v>0</v>
      </c>
      <c r="H1055" s="34">
        <v>20</v>
      </c>
      <c r="I1055" s="34" t="s">
        <v>12</v>
      </c>
      <c r="J1055" s="34">
        <v>1.2909999999999999</v>
      </c>
      <c r="K1055" s="43">
        <v>4.8798000000000004</v>
      </c>
    </row>
    <row r="1056" spans="1:11" ht="15.75" customHeight="1">
      <c r="A1056" s="34" t="s">
        <v>22</v>
      </c>
      <c r="B1056" s="36">
        <v>80</v>
      </c>
      <c r="C1056" s="43">
        <v>0.30099999999999999</v>
      </c>
      <c r="D1056" s="36">
        <v>9.6600000000000005E-2</v>
      </c>
      <c r="E1056" s="36">
        <v>0.13</v>
      </c>
      <c r="F1056" s="36">
        <v>1008</v>
      </c>
      <c r="G1056" s="42">
        <v>0</v>
      </c>
      <c r="H1056" s="34">
        <v>20</v>
      </c>
      <c r="I1056" s="34" t="s">
        <v>12</v>
      </c>
      <c r="J1056" s="34">
        <v>1.2909999999999999</v>
      </c>
      <c r="K1056" s="43">
        <v>4.8598999999999997</v>
      </c>
    </row>
    <row r="1057" spans="1:11" ht="15.75" customHeight="1">
      <c r="A1057" s="34" t="s">
        <v>22</v>
      </c>
      <c r="B1057" s="36">
        <v>80</v>
      </c>
      <c r="C1057" s="43">
        <v>0.39929999999999999</v>
      </c>
      <c r="D1057" s="36">
        <v>9.6600000000000005E-2</v>
      </c>
      <c r="E1057" s="36">
        <v>0.13</v>
      </c>
      <c r="F1057" s="36">
        <v>1008</v>
      </c>
      <c r="G1057" s="42">
        <v>0</v>
      </c>
      <c r="H1057" s="34">
        <v>20</v>
      </c>
      <c r="I1057" s="34" t="s">
        <v>12</v>
      </c>
      <c r="J1057" s="34">
        <v>1.2909999999999999</v>
      </c>
      <c r="K1057" s="43">
        <v>4.8848000000000003</v>
      </c>
    </row>
    <row r="1058" spans="1:11" ht="15.75" customHeight="1">
      <c r="A1058" s="34" t="s">
        <v>22</v>
      </c>
      <c r="B1058" s="36">
        <v>80</v>
      </c>
      <c r="C1058" s="43">
        <v>0.49969999999999998</v>
      </c>
      <c r="D1058" s="36">
        <v>9.6600000000000005E-2</v>
      </c>
      <c r="E1058" s="36">
        <v>0.13</v>
      </c>
      <c r="F1058" s="36">
        <v>1008</v>
      </c>
      <c r="G1058" s="42">
        <v>0</v>
      </c>
      <c r="H1058" s="34">
        <v>20</v>
      </c>
      <c r="I1058" s="34" t="s">
        <v>12</v>
      </c>
      <c r="J1058" s="34">
        <v>1.2909999999999999</v>
      </c>
      <c r="K1058" s="43">
        <v>4.9840999999999998</v>
      </c>
    </row>
    <row r="1059" spans="1:11" ht="15.75" customHeight="1">
      <c r="A1059" s="34" t="s">
        <v>22</v>
      </c>
      <c r="B1059" s="36">
        <v>80</v>
      </c>
      <c r="C1059" s="43">
        <v>0.60009999999999997</v>
      </c>
      <c r="D1059" s="36">
        <v>9.6600000000000005E-2</v>
      </c>
      <c r="E1059" s="36">
        <v>0.13</v>
      </c>
      <c r="F1059" s="36">
        <v>1008</v>
      </c>
      <c r="G1059" s="42">
        <v>0</v>
      </c>
      <c r="H1059" s="34">
        <v>20</v>
      </c>
      <c r="I1059" s="34" t="s">
        <v>12</v>
      </c>
      <c r="J1059" s="34">
        <v>1.2909999999999999</v>
      </c>
      <c r="K1059" s="43">
        <v>5.0883000000000003</v>
      </c>
    </row>
    <row r="1060" spans="1:11" ht="15.75" customHeight="1">
      <c r="A1060" s="34" t="s">
        <v>22</v>
      </c>
      <c r="B1060" s="36">
        <v>80</v>
      </c>
      <c r="C1060" s="43">
        <v>0.80089999999999995</v>
      </c>
      <c r="D1060" s="36">
        <v>9.6600000000000005E-2</v>
      </c>
      <c r="E1060" s="36">
        <v>0.13</v>
      </c>
      <c r="F1060" s="36">
        <v>1008</v>
      </c>
      <c r="G1060" s="42">
        <v>0</v>
      </c>
      <c r="H1060" s="34">
        <v>20</v>
      </c>
      <c r="I1060" s="34" t="s">
        <v>12</v>
      </c>
      <c r="J1060" s="34">
        <v>1.2909999999999999</v>
      </c>
      <c r="K1060" s="43">
        <v>5.2125000000000004</v>
      </c>
    </row>
    <row r="1061" spans="1:11" ht="15.75" customHeight="1">
      <c r="A1061" s="34" t="s">
        <v>22</v>
      </c>
      <c r="B1061" s="36">
        <v>80</v>
      </c>
      <c r="C1061" s="43">
        <v>1.0016</v>
      </c>
      <c r="D1061" s="36">
        <v>9.6600000000000005E-2</v>
      </c>
      <c r="E1061" s="36">
        <v>0.13</v>
      </c>
      <c r="F1061" s="36">
        <v>1008</v>
      </c>
      <c r="G1061" s="42">
        <v>0</v>
      </c>
      <c r="H1061" s="34">
        <v>20</v>
      </c>
      <c r="I1061" s="34" t="s">
        <v>12</v>
      </c>
      <c r="J1061" s="34">
        <v>1.2909999999999999</v>
      </c>
      <c r="K1061" s="43">
        <v>5.3068</v>
      </c>
    </row>
    <row r="1062" spans="1:11" ht="15.75" customHeight="1">
      <c r="A1062" s="34" t="s">
        <v>22</v>
      </c>
      <c r="B1062" s="36">
        <v>100</v>
      </c>
      <c r="C1062" s="43">
        <v>0.29899999999999999</v>
      </c>
      <c r="D1062" s="36">
        <v>9.6600000000000005E-2</v>
      </c>
      <c r="E1062" s="36">
        <v>0.13</v>
      </c>
      <c r="F1062" s="36">
        <v>1008</v>
      </c>
      <c r="G1062" s="42">
        <v>0</v>
      </c>
      <c r="H1062" s="34">
        <v>20</v>
      </c>
      <c r="I1062" s="34" t="s">
        <v>12</v>
      </c>
      <c r="J1062" s="34">
        <v>1.2909999999999999</v>
      </c>
      <c r="K1062" s="43">
        <v>5.2173999999999996</v>
      </c>
    </row>
    <row r="1063" spans="1:11" ht="15.75" customHeight="1">
      <c r="A1063" s="34" t="s">
        <v>22</v>
      </c>
      <c r="B1063" s="36">
        <v>100</v>
      </c>
      <c r="C1063" s="43">
        <v>0.4</v>
      </c>
      <c r="D1063" s="36">
        <v>9.6600000000000005E-2</v>
      </c>
      <c r="E1063" s="36">
        <v>0.13</v>
      </c>
      <c r="F1063" s="36">
        <v>1008</v>
      </c>
      <c r="G1063" s="42">
        <v>0</v>
      </c>
      <c r="H1063" s="34">
        <v>20</v>
      </c>
      <c r="I1063" s="34" t="s">
        <v>12</v>
      </c>
      <c r="J1063" s="34">
        <v>1.2909999999999999</v>
      </c>
      <c r="K1063" s="43">
        <v>5.3216999999999999</v>
      </c>
    </row>
    <row r="1064" spans="1:11" ht="15.75" customHeight="1">
      <c r="A1064" s="34" t="s">
        <v>22</v>
      </c>
      <c r="B1064" s="36">
        <v>100</v>
      </c>
      <c r="C1064" s="43">
        <v>0.499</v>
      </c>
      <c r="D1064" s="36">
        <v>9.6600000000000005E-2</v>
      </c>
      <c r="E1064" s="36">
        <v>0.13</v>
      </c>
      <c r="F1064" s="36">
        <v>1008</v>
      </c>
      <c r="G1064" s="42">
        <v>0</v>
      </c>
      <c r="H1064" s="34">
        <v>20</v>
      </c>
      <c r="I1064" s="34" t="s">
        <v>12</v>
      </c>
      <c r="J1064" s="34">
        <v>1.2909999999999999</v>
      </c>
      <c r="K1064" s="43">
        <v>5.3167</v>
      </c>
    </row>
    <row r="1065" spans="1:11" ht="15.75" customHeight="1">
      <c r="A1065" s="34" t="s">
        <v>22</v>
      </c>
      <c r="B1065" s="36">
        <v>100</v>
      </c>
      <c r="C1065" s="43">
        <v>0.60289999999999999</v>
      </c>
      <c r="D1065" s="36">
        <v>9.6600000000000005E-2</v>
      </c>
      <c r="E1065" s="36">
        <v>0.13</v>
      </c>
      <c r="F1065" s="36">
        <v>1008</v>
      </c>
      <c r="G1065" s="42">
        <v>0</v>
      </c>
      <c r="H1065" s="34">
        <v>20</v>
      </c>
      <c r="I1065" s="34" t="s">
        <v>12</v>
      </c>
      <c r="J1065" s="34">
        <v>1.2909999999999999</v>
      </c>
      <c r="K1065" s="43">
        <v>5.4260000000000002</v>
      </c>
    </row>
    <row r="1066" spans="1:11" ht="15.75" customHeight="1">
      <c r="A1066" s="34" t="s">
        <v>22</v>
      </c>
      <c r="B1066" s="36">
        <v>100</v>
      </c>
      <c r="C1066" s="43">
        <v>0.79949999999999999</v>
      </c>
      <c r="D1066" s="36">
        <v>9.6600000000000005E-2</v>
      </c>
      <c r="E1066" s="36">
        <v>0.13</v>
      </c>
      <c r="F1066" s="36">
        <v>1008</v>
      </c>
      <c r="G1066" s="42">
        <v>0</v>
      </c>
      <c r="H1066" s="34">
        <v>20</v>
      </c>
      <c r="I1066" s="34" t="s">
        <v>12</v>
      </c>
      <c r="J1066" s="34">
        <v>1.2909999999999999</v>
      </c>
      <c r="K1066" s="43">
        <v>5.5948000000000002</v>
      </c>
    </row>
    <row r="1067" spans="1:11" ht="15.75" customHeight="1">
      <c r="A1067" s="34" t="s">
        <v>22</v>
      </c>
      <c r="B1067" s="36">
        <v>100</v>
      </c>
      <c r="C1067" s="43">
        <v>1.0008999999999999</v>
      </c>
      <c r="D1067" s="36">
        <v>9.6600000000000005E-2</v>
      </c>
      <c r="E1067" s="36">
        <v>0.13</v>
      </c>
      <c r="F1067" s="36">
        <v>1008</v>
      </c>
      <c r="G1067" s="42">
        <v>0</v>
      </c>
      <c r="H1067" s="34">
        <v>20</v>
      </c>
      <c r="I1067" s="34" t="s">
        <v>12</v>
      </c>
      <c r="J1067" s="34">
        <v>1.2909999999999999</v>
      </c>
      <c r="K1067" s="43">
        <v>5.6494</v>
      </c>
    </row>
    <row r="1068" spans="1:11" ht="15.75" customHeight="1">
      <c r="A1068" s="34" t="s">
        <v>22</v>
      </c>
      <c r="B1068" s="36">
        <v>120</v>
      </c>
      <c r="C1068" s="43">
        <v>0.30099999999999999</v>
      </c>
      <c r="D1068" s="36">
        <v>9.6600000000000005E-2</v>
      </c>
      <c r="E1068" s="36">
        <v>0.13</v>
      </c>
      <c r="F1068" s="36">
        <v>1008</v>
      </c>
      <c r="G1068" s="42">
        <v>0</v>
      </c>
      <c r="H1068" s="34">
        <v>20</v>
      </c>
      <c r="I1068" s="34" t="s">
        <v>12</v>
      </c>
      <c r="J1068" s="34">
        <v>1.2909999999999999</v>
      </c>
      <c r="K1068" s="43">
        <v>5.5401999999999996</v>
      </c>
    </row>
    <row r="1069" spans="1:11" ht="15.75" customHeight="1">
      <c r="A1069" s="34" t="s">
        <v>22</v>
      </c>
      <c r="B1069" s="36">
        <v>120</v>
      </c>
      <c r="C1069" s="43">
        <v>0.39800000000000002</v>
      </c>
      <c r="D1069" s="36">
        <v>9.6600000000000005E-2</v>
      </c>
      <c r="E1069" s="36">
        <v>0.13</v>
      </c>
      <c r="F1069" s="36">
        <v>1008</v>
      </c>
      <c r="G1069" s="42">
        <v>0</v>
      </c>
      <c r="H1069" s="34">
        <v>20</v>
      </c>
      <c r="I1069" s="34" t="s">
        <v>12</v>
      </c>
      <c r="J1069" s="34">
        <v>1.2909999999999999</v>
      </c>
      <c r="K1069" s="43">
        <v>5.6395</v>
      </c>
    </row>
    <row r="1070" spans="1:11" ht="15.75" customHeight="1">
      <c r="A1070" s="34" t="s">
        <v>22</v>
      </c>
      <c r="B1070" s="36">
        <v>120</v>
      </c>
      <c r="C1070" s="43">
        <v>0.49969999999999998</v>
      </c>
      <c r="D1070" s="36">
        <v>9.6600000000000005E-2</v>
      </c>
      <c r="E1070" s="36">
        <v>0.13</v>
      </c>
      <c r="F1070" s="36">
        <v>1008</v>
      </c>
      <c r="G1070" s="42">
        <v>0</v>
      </c>
      <c r="H1070" s="34">
        <v>20</v>
      </c>
      <c r="I1070" s="34" t="s">
        <v>12</v>
      </c>
      <c r="J1070" s="34">
        <v>1.2909999999999999</v>
      </c>
      <c r="K1070" s="43">
        <v>5.6791999999999998</v>
      </c>
    </row>
    <row r="1071" spans="1:11" ht="15.75" customHeight="1">
      <c r="A1071" s="34" t="s">
        <v>22</v>
      </c>
      <c r="B1071" s="36">
        <v>120</v>
      </c>
      <c r="C1071" s="43">
        <v>0.60150000000000003</v>
      </c>
      <c r="D1071" s="36">
        <v>9.6600000000000005E-2</v>
      </c>
      <c r="E1071" s="36">
        <v>0.13</v>
      </c>
      <c r="F1071" s="36">
        <v>1008</v>
      </c>
      <c r="G1071" s="42">
        <v>0</v>
      </c>
      <c r="H1071" s="34">
        <v>20</v>
      </c>
      <c r="I1071" s="34" t="s">
        <v>12</v>
      </c>
      <c r="J1071" s="34">
        <v>1.2909999999999999</v>
      </c>
      <c r="K1071" s="43">
        <v>5.7735000000000003</v>
      </c>
    </row>
    <row r="1072" spans="1:11" ht="15.75" customHeight="1">
      <c r="A1072" s="34" t="s">
        <v>22</v>
      </c>
      <c r="B1072" s="36">
        <v>120</v>
      </c>
      <c r="C1072" s="43">
        <v>0.80159999999999998</v>
      </c>
      <c r="D1072" s="36">
        <v>9.6600000000000005E-2</v>
      </c>
      <c r="E1072" s="36">
        <v>0.13</v>
      </c>
      <c r="F1072" s="36">
        <v>1008</v>
      </c>
      <c r="G1072" s="42">
        <v>0</v>
      </c>
      <c r="H1072" s="34">
        <v>20</v>
      </c>
      <c r="I1072" s="34" t="s">
        <v>12</v>
      </c>
      <c r="J1072" s="34">
        <v>1.2909999999999999</v>
      </c>
      <c r="K1072" s="43">
        <v>5.8977000000000004</v>
      </c>
    </row>
    <row r="1073" spans="1:11" ht="15.75" customHeight="1">
      <c r="A1073" s="34" t="s">
        <v>22</v>
      </c>
      <c r="B1073" s="36">
        <v>120</v>
      </c>
      <c r="C1073" s="43">
        <v>0.99960000000000004</v>
      </c>
      <c r="D1073" s="36">
        <v>9.6600000000000005E-2</v>
      </c>
      <c r="E1073" s="36">
        <v>0.13</v>
      </c>
      <c r="F1073" s="36">
        <v>1008</v>
      </c>
      <c r="G1073" s="42">
        <v>0</v>
      </c>
      <c r="H1073" s="34">
        <v>20</v>
      </c>
      <c r="I1073" s="34" t="s">
        <v>12</v>
      </c>
      <c r="J1073" s="34">
        <v>1.2909999999999999</v>
      </c>
      <c r="K1073" s="43">
        <v>5.9870000000000001</v>
      </c>
    </row>
    <row r="1074" spans="1:11" ht="15.75" customHeight="1">
      <c r="A1074" s="34" t="s">
        <v>22</v>
      </c>
      <c r="B1074" s="36">
        <v>150</v>
      </c>
      <c r="C1074" s="43">
        <v>0.29620000000000002</v>
      </c>
      <c r="D1074" s="36">
        <v>9.6600000000000005E-2</v>
      </c>
      <c r="E1074" s="36">
        <v>0.13</v>
      </c>
      <c r="F1074" s="36">
        <v>1008</v>
      </c>
      <c r="G1074" s="42">
        <v>0</v>
      </c>
      <c r="H1074" s="34">
        <v>20</v>
      </c>
      <c r="I1074" s="34" t="s">
        <v>12</v>
      </c>
      <c r="J1074" s="34">
        <v>1.2909999999999999</v>
      </c>
      <c r="K1074" s="43">
        <v>6.1062000000000003</v>
      </c>
    </row>
    <row r="1075" spans="1:11" ht="15.75" customHeight="1">
      <c r="A1075" s="34" t="s">
        <v>22</v>
      </c>
      <c r="B1075" s="36">
        <v>150</v>
      </c>
      <c r="C1075" s="43">
        <v>0.40279999999999999</v>
      </c>
      <c r="D1075" s="36">
        <v>9.6600000000000005E-2</v>
      </c>
      <c r="E1075" s="36">
        <v>0.13</v>
      </c>
      <c r="F1075" s="36">
        <v>1008</v>
      </c>
      <c r="G1075" s="42">
        <v>0</v>
      </c>
      <c r="H1075" s="34">
        <v>20</v>
      </c>
      <c r="I1075" s="34" t="s">
        <v>12</v>
      </c>
      <c r="J1075" s="34">
        <v>1.2909999999999999</v>
      </c>
      <c r="K1075" s="43">
        <v>6.1012000000000004</v>
      </c>
    </row>
    <row r="1076" spans="1:11" ht="15.75" customHeight="1">
      <c r="A1076" s="34" t="s">
        <v>22</v>
      </c>
      <c r="B1076" s="36">
        <v>150</v>
      </c>
      <c r="C1076" s="43">
        <v>0.50039999999999996</v>
      </c>
      <c r="D1076" s="36">
        <v>9.6600000000000005E-2</v>
      </c>
      <c r="E1076" s="36">
        <v>0.13</v>
      </c>
      <c r="F1076" s="36">
        <v>1008</v>
      </c>
      <c r="G1076" s="42">
        <v>0</v>
      </c>
      <c r="H1076" s="34">
        <v>20</v>
      </c>
      <c r="I1076" s="34" t="s">
        <v>12</v>
      </c>
      <c r="J1076" s="34">
        <v>1.2909999999999999</v>
      </c>
      <c r="K1076" s="43">
        <v>6.2253999999999996</v>
      </c>
    </row>
    <row r="1077" spans="1:11" ht="15.75" customHeight="1">
      <c r="A1077" s="34" t="s">
        <v>22</v>
      </c>
      <c r="B1077" s="36">
        <v>150</v>
      </c>
      <c r="C1077" s="43">
        <v>0.60009999999999997</v>
      </c>
      <c r="D1077" s="36">
        <v>9.6600000000000005E-2</v>
      </c>
      <c r="E1077" s="36">
        <v>0.13</v>
      </c>
      <c r="F1077" s="36">
        <v>1008</v>
      </c>
      <c r="G1077" s="42">
        <v>0</v>
      </c>
      <c r="H1077" s="34">
        <v>20</v>
      </c>
      <c r="I1077" s="34" t="s">
        <v>12</v>
      </c>
      <c r="J1077" s="34">
        <v>1.2909999999999999</v>
      </c>
      <c r="K1077" s="43">
        <v>6.2750000000000004</v>
      </c>
    </row>
    <row r="1078" spans="1:11" ht="15.75" customHeight="1">
      <c r="A1078" s="34" t="s">
        <v>22</v>
      </c>
      <c r="B1078" s="36">
        <v>150</v>
      </c>
      <c r="C1078" s="43">
        <v>0.80220000000000002</v>
      </c>
      <c r="D1078" s="36">
        <v>9.6600000000000005E-2</v>
      </c>
      <c r="E1078" s="36">
        <v>0.13</v>
      </c>
      <c r="F1078" s="36">
        <v>1008</v>
      </c>
      <c r="G1078" s="42">
        <v>0</v>
      </c>
      <c r="H1078" s="34">
        <v>20</v>
      </c>
      <c r="I1078" s="34" t="s">
        <v>12</v>
      </c>
      <c r="J1078" s="34">
        <v>1.2909999999999999</v>
      </c>
      <c r="K1078" s="43">
        <v>6.2949000000000002</v>
      </c>
    </row>
    <row r="1079" spans="1:11" ht="15.75" customHeight="1">
      <c r="A1079" s="34" t="s">
        <v>22</v>
      </c>
      <c r="B1079" s="36">
        <v>150</v>
      </c>
      <c r="C1079" s="43">
        <v>1.0016</v>
      </c>
      <c r="D1079" s="36">
        <v>9.6600000000000005E-2</v>
      </c>
      <c r="E1079" s="36">
        <v>0.13</v>
      </c>
      <c r="F1079" s="36">
        <v>1008</v>
      </c>
      <c r="G1079" s="42">
        <v>0</v>
      </c>
      <c r="H1079" s="34">
        <v>20</v>
      </c>
      <c r="I1079" s="34" t="s">
        <v>12</v>
      </c>
      <c r="J1079" s="34">
        <v>1.2909999999999999</v>
      </c>
      <c r="K1079" s="43">
        <v>6.4438000000000004</v>
      </c>
    </row>
    <row r="1080" spans="1:11" ht="15.75" customHeight="1">
      <c r="A1080" s="34" t="s">
        <v>22</v>
      </c>
      <c r="B1080" s="36">
        <v>200</v>
      </c>
      <c r="C1080" s="43">
        <v>0.29830000000000001</v>
      </c>
      <c r="D1080" s="36">
        <v>9.6600000000000005E-2</v>
      </c>
      <c r="E1080" s="36">
        <v>0.13</v>
      </c>
      <c r="F1080" s="36">
        <v>1008</v>
      </c>
      <c r="G1080" s="42">
        <v>0</v>
      </c>
      <c r="H1080" s="34">
        <v>20</v>
      </c>
      <c r="I1080" s="34" t="s">
        <v>12</v>
      </c>
      <c r="J1080" s="34">
        <v>1.2909999999999999</v>
      </c>
      <c r="K1080" s="43">
        <v>6.6673</v>
      </c>
    </row>
    <row r="1081" spans="1:11" ht="15.75" customHeight="1">
      <c r="A1081" s="34" t="s">
        <v>22</v>
      </c>
      <c r="B1081" s="36">
        <v>200</v>
      </c>
      <c r="C1081" s="43">
        <v>0.40210000000000001</v>
      </c>
      <c r="D1081" s="36">
        <v>9.6600000000000005E-2</v>
      </c>
      <c r="E1081" s="36">
        <v>0.13</v>
      </c>
      <c r="F1081" s="36">
        <v>1008</v>
      </c>
      <c r="G1081" s="42">
        <v>0</v>
      </c>
      <c r="H1081" s="34">
        <v>20</v>
      </c>
      <c r="I1081" s="34" t="s">
        <v>12</v>
      </c>
      <c r="J1081" s="34">
        <v>1.2909999999999999</v>
      </c>
      <c r="K1081" s="43">
        <v>6.7567000000000004</v>
      </c>
    </row>
    <row r="1082" spans="1:11" ht="15.75" customHeight="1">
      <c r="A1082" s="34" t="s">
        <v>22</v>
      </c>
      <c r="B1082" s="36">
        <v>200</v>
      </c>
      <c r="C1082" s="43">
        <v>0.499</v>
      </c>
      <c r="D1082" s="36">
        <v>9.6600000000000005E-2</v>
      </c>
      <c r="E1082" s="36">
        <v>0.13</v>
      </c>
      <c r="F1082" s="36">
        <v>1008</v>
      </c>
      <c r="G1082" s="42">
        <v>0</v>
      </c>
      <c r="H1082" s="34">
        <v>20</v>
      </c>
      <c r="I1082" s="34" t="s">
        <v>12</v>
      </c>
      <c r="J1082" s="34">
        <v>1.2909999999999999</v>
      </c>
      <c r="K1082" s="43">
        <v>6.7714999999999996</v>
      </c>
    </row>
    <row r="1083" spans="1:11" ht="15.75" customHeight="1">
      <c r="A1083" s="34" t="s">
        <v>22</v>
      </c>
      <c r="B1083" s="36">
        <v>200</v>
      </c>
      <c r="C1083" s="43">
        <v>0.6008</v>
      </c>
      <c r="D1083" s="36">
        <v>9.6600000000000005E-2</v>
      </c>
      <c r="E1083" s="36">
        <v>0.13</v>
      </c>
      <c r="F1083" s="36">
        <v>1008</v>
      </c>
      <c r="G1083" s="42">
        <v>0</v>
      </c>
      <c r="H1083" s="34">
        <v>20</v>
      </c>
      <c r="I1083" s="34" t="s">
        <v>12</v>
      </c>
      <c r="J1083" s="34">
        <v>1.2909999999999999</v>
      </c>
      <c r="K1083" s="43">
        <v>6.8807999999999998</v>
      </c>
    </row>
    <row r="1084" spans="1:11" ht="15.75" customHeight="1">
      <c r="A1084" s="34" t="s">
        <v>22</v>
      </c>
      <c r="B1084" s="36">
        <v>200</v>
      </c>
      <c r="C1084" s="43">
        <v>0.79810000000000003</v>
      </c>
      <c r="D1084" s="36">
        <v>9.6600000000000005E-2</v>
      </c>
      <c r="E1084" s="36">
        <v>0.13</v>
      </c>
      <c r="F1084" s="36">
        <v>1008</v>
      </c>
      <c r="G1084" s="42">
        <v>0</v>
      </c>
      <c r="H1084" s="34">
        <v>20</v>
      </c>
      <c r="I1084" s="34" t="s">
        <v>12</v>
      </c>
      <c r="J1084" s="34">
        <v>1.2909999999999999</v>
      </c>
      <c r="K1084" s="43">
        <v>6.8757999999999999</v>
      </c>
    </row>
    <row r="1085" spans="1:11" ht="15.75" customHeight="1">
      <c r="A1085" s="34" t="s">
        <v>22</v>
      </c>
      <c r="B1085" s="36">
        <v>200</v>
      </c>
      <c r="C1085" s="43">
        <v>1</v>
      </c>
      <c r="D1085" s="36">
        <v>9.6600000000000005E-2</v>
      </c>
      <c r="E1085" s="36">
        <v>0.13</v>
      </c>
      <c r="F1085" s="36">
        <v>1008</v>
      </c>
      <c r="G1085" s="42">
        <v>0</v>
      </c>
      <c r="H1085" s="34">
        <v>20</v>
      </c>
      <c r="I1085" s="34" t="s">
        <v>12</v>
      </c>
      <c r="J1085" s="34">
        <v>1.2909999999999999</v>
      </c>
      <c r="K1085" s="43">
        <v>6.9801000000000002</v>
      </c>
    </row>
    <row r="1086" spans="1:11" ht="15.75" customHeight="1">
      <c r="A1086" s="34" t="s">
        <v>22</v>
      </c>
      <c r="B1086" s="36">
        <v>50</v>
      </c>
      <c r="C1086" s="43">
        <v>0.29799999999999999</v>
      </c>
      <c r="D1086" s="36">
        <v>9.6600000000000005E-2</v>
      </c>
      <c r="E1086" s="36">
        <v>0.13</v>
      </c>
      <c r="F1086" s="36">
        <v>1008</v>
      </c>
      <c r="G1086" s="42">
        <v>0</v>
      </c>
      <c r="H1086" s="34">
        <v>20</v>
      </c>
      <c r="I1086" s="34" t="s">
        <v>12</v>
      </c>
      <c r="J1086" s="34">
        <v>1.2909999999999999</v>
      </c>
      <c r="K1086" s="43">
        <v>3.6810999999999998</v>
      </c>
    </row>
    <row r="1087" spans="1:11" ht="15.75" customHeight="1">
      <c r="A1087" s="34" t="s">
        <v>22</v>
      </c>
      <c r="B1087" s="36">
        <v>50</v>
      </c>
      <c r="C1087" s="43">
        <v>0.39939999999999998</v>
      </c>
      <c r="D1087" s="36">
        <v>9.6600000000000005E-2</v>
      </c>
      <c r="E1087" s="36">
        <v>0.13</v>
      </c>
      <c r="F1087" s="36">
        <v>1008</v>
      </c>
      <c r="G1087" s="42">
        <v>0</v>
      </c>
      <c r="H1087" s="34">
        <v>20</v>
      </c>
      <c r="I1087" s="34" t="s">
        <v>12</v>
      </c>
      <c r="J1087" s="34">
        <v>1.2909999999999999</v>
      </c>
      <c r="K1087" s="43">
        <v>3.8094999999999999</v>
      </c>
    </row>
    <row r="1088" spans="1:11" ht="15.75" customHeight="1">
      <c r="A1088" s="34" t="s">
        <v>22</v>
      </c>
      <c r="B1088" s="36">
        <v>50</v>
      </c>
      <c r="C1088" s="43">
        <v>0.50019999999999998</v>
      </c>
      <c r="D1088" s="36">
        <v>9.6600000000000005E-2</v>
      </c>
      <c r="E1088" s="36">
        <v>0.13</v>
      </c>
      <c r="F1088" s="36">
        <v>1008</v>
      </c>
      <c r="G1088" s="42">
        <v>0</v>
      </c>
      <c r="H1088" s="34">
        <v>20</v>
      </c>
      <c r="I1088" s="34" t="s">
        <v>12</v>
      </c>
      <c r="J1088" s="34">
        <v>1.2909999999999999</v>
      </c>
      <c r="K1088" s="43">
        <v>3.8302</v>
      </c>
    </row>
    <row r="1089" spans="1:11" ht="15.75" customHeight="1">
      <c r="A1089" s="34" t="s">
        <v>22</v>
      </c>
      <c r="B1089" s="36">
        <v>50</v>
      </c>
      <c r="C1089" s="43">
        <v>0.59760000000000002</v>
      </c>
      <c r="D1089" s="36">
        <v>9.6600000000000005E-2</v>
      </c>
      <c r="E1089" s="36">
        <v>0.13</v>
      </c>
      <c r="F1089" s="36">
        <v>1008</v>
      </c>
      <c r="G1089" s="42">
        <v>0</v>
      </c>
      <c r="H1089" s="34">
        <v>20</v>
      </c>
      <c r="I1089" s="34" t="s">
        <v>12</v>
      </c>
      <c r="J1089" s="34">
        <v>1.2909999999999999</v>
      </c>
      <c r="K1089" s="43">
        <v>3.8799000000000001</v>
      </c>
    </row>
    <row r="1090" spans="1:11" ht="15.75" customHeight="1">
      <c r="A1090" s="34" t="s">
        <v>22</v>
      </c>
      <c r="B1090" s="36">
        <v>50</v>
      </c>
      <c r="C1090" s="43">
        <v>0.8024</v>
      </c>
      <c r="D1090" s="36">
        <v>9.6600000000000005E-2</v>
      </c>
      <c r="E1090" s="36">
        <v>0.13</v>
      </c>
      <c r="F1090" s="36">
        <v>1008</v>
      </c>
      <c r="G1090" s="42">
        <v>0</v>
      </c>
      <c r="H1090" s="34">
        <v>20</v>
      </c>
      <c r="I1090" s="34" t="s">
        <v>12</v>
      </c>
      <c r="J1090" s="34">
        <v>1.2909999999999999</v>
      </c>
      <c r="K1090" s="43">
        <v>3.9958</v>
      </c>
    </row>
    <row r="1091" spans="1:11" ht="15.75" customHeight="1">
      <c r="A1091" s="34" t="s">
        <v>22</v>
      </c>
      <c r="B1091" s="36">
        <v>50</v>
      </c>
      <c r="C1091" s="43">
        <v>0.99850000000000005</v>
      </c>
      <c r="D1091" s="36">
        <v>9.6600000000000005E-2</v>
      </c>
      <c r="E1091" s="36">
        <v>0.13</v>
      </c>
      <c r="F1091" s="36">
        <v>1008</v>
      </c>
      <c r="G1091" s="42">
        <v>0</v>
      </c>
      <c r="H1091" s="34">
        <v>20</v>
      </c>
      <c r="I1091" s="34" t="s">
        <v>12</v>
      </c>
      <c r="J1091" s="34">
        <v>1.2909999999999999</v>
      </c>
      <c r="K1091" s="43">
        <v>4.1904000000000003</v>
      </c>
    </row>
    <row r="1092" spans="1:11" ht="15.75" customHeight="1">
      <c r="A1092" s="34" t="s">
        <v>22</v>
      </c>
      <c r="B1092" s="36">
        <v>80</v>
      </c>
      <c r="C1092" s="43">
        <v>0.30070000000000002</v>
      </c>
      <c r="D1092" s="36">
        <v>9.6600000000000005E-2</v>
      </c>
      <c r="E1092" s="36">
        <v>0.13</v>
      </c>
      <c r="F1092" s="36">
        <v>1008</v>
      </c>
      <c r="G1092" s="42">
        <v>0</v>
      </c>
      <c r="H1092" s="34">
        <v>20</v>
      </c>
      <c r="I1092" s="34" t="s">
        <v>12</v>
      </c>
      <c r="J1092" s="34">
        <v>1.2909999999999999</v>
      </c>
      <c r="K1092" s="43">
        <v>4.0910000000000002</v>
      </c>
    </row>
    <row r="1093" spans="1:11" ht="15.75" customHeight="1">
      <c r="A1093" s="34" t="s">
        <v>22</v>
      </c>
      <c r="B1093" s="36">
        <v>80</v>
      </c>
      <c r="C1093" s="43">
        <v>0.40350000000000003</v>
      </c>
      <c r="D1093" s="36">
        <v>9.6600000000000005E-2</v>
      </c>
      <c r="E1093" s="36">
        <v>0.13</v>
      </c>
      <c r="F1093" s="36">
        <v>1008</v>
      </c>
      <c r="G1093" s="42">
        <v>0</v>
      </c>
      <c r="H1093" s="34">
        <v>20</v>
      </c>
      <c r="I1093" s="34" t="s">
        <v>12</v>
      </c>
      <c r="J1093" s="34">
        <v>1.2909999999999999</v>
      </c>
      <c r="K1093" s="43">
        <v>4.2027999999999999</v>
      </c>
    </row>
    <row r="1094" spans="1:11" ht="15.75" customHeight="1">
      <c r="A1094" s="34" t="s">
        <v>22</v>
      </c>
      <c r="B1094" s="36">
        <v>80</v>
      </c>
      <c r="C1094" s="43">
        <v>0.50149999999999995</v>
      </c>
      <c r="D1094" s="36">
        <v>9.6600000000000005E-2</v>
      </c>
      <c r="E1094" s="36">
        <v>0.13</v>
      </c>
      <c r="F1094" s="36">
        <v>1008</v>
      </c>
      <c r="G1094" s="42">
        <v>0</v>
      </c>
      <c r="H1094" s="34">
        <v>20</v>
      </c>
      <c r="I1094" s="34" t="s">
        <v>12</v>
      </c>
      <c r="J1094" s="34">
        <v>1.2909999999999999</v>
      </c>
      <c r="K1094" s="43">
        <v>4.3022</v>
      </c>
    </row>
    <row r="1095" spans="1:11" ht="15.75" customHeight="1">
      <c r="A1095" s="34" t="s">
        <v>22</v>
      </c>
      <c r="B1095" s="36">
        <v>80</v>
      </c>
      <c r="C1095" s="43">
        <v>0.59960000000000002</v>
      </c>
      <c r="D1095" s="36">
        <v>9.6600000000000005E-2</v>
      </c>
      <c r="E1095" s="36">
        <v>0.13</v>
      </c>
      <c r="F1095" s="36">
        <v>1008</v>
      </c>
      <c r="G1095" s="42">
        <v>0</v>
      </c>
      <c r="H1095" s="34">
        <v>20</v>
      </c>
      <c r="I1095" s="34" t="s">
        <v>12</v>
      </c>
      <c r="J1095" s="34">
        <v>1.2909999999999999</v>
      </c>
      <c r="K1095" s="43">
        <v>4.3105000000000002</v>
      </c>
    </row>
    <row r="1096" spans="1:11" ht="15.75" customHeight="1">
      <c r="A1096" s="34" t="s">
        <v>22</v>
      </c>
      <c r="B1096" s="36">
        <v>80</v>
      </c>
      <c r="C1096" s="43">
        <v>0.79969999999999997</v>
      </c>
      <c r="D1096" s="36">
        <v>9.6600000000000005E-2</v>
      </c>
      <c r="E1096" s="36">
        <v>0.13</v>
      </c>
      <c r="F1096" s="36">
        <v>1008</v>
      </c>
      <c r="G1096" s="42">
        <v>0</v>
      </c>
      <c r="H1096" s="34">
        <v>20</v>
      </c>
      <c r="I1096" s="34" t="s">
        <v>12</v>
      </c>
      <c r="J1096" s="34">
        <v>1.2909999999999999</v>
      </c>
      <c r="K1096" s="43">
        <v>4.3975</v>
      </c>
    </row>
    <row r="1097" spans="1:11" ht="15.75" customHeight="1">
      <c r="A1097" s="34" t="s">
        <v>22</v>
      </c>
      <c r="B1097" s="36">
        <v>80</v>
      </c>
      <c r="C1097" s="43">
        <v>1.0019</v>
      </c>
      <c r="D1097" s="36">
        <v>9.6600000000000005E-2</v>
      </c>
      <c r="E1097" s="36">
        <v>0.13</v>
      </c>
      <c r="F1097" s="36">
        <v>1008</v>
      </c>
      <c r="G1097" s="42">
        <v>0</v>
      </c>
      <c r="H1097" s="34">
        <v>20</v>
      </c>
      <c r="I1097" s="34" t="s">
        <v>12</v>
      </c>
      <c r="J1097" s="34">
        <v>1.2909999999999999</v>
      </c>
      <c r="K1097" s="43">
        <v>4.4802999999999997</v>
      </c>
    </row>
    <row r="1098" spans="1:11" ht="15.75" customHeight="1">
      <c r="A1098" s="34" t="s">
        <v>22</v>
      </c>
      <c r="B1098" s="36">
        <v>100</v>
      </c>
      <c r="C1098" s="43">
        <v>0.29870000000000002</v>
      </c>
      <c r="D1098" s="36">
        <v>9.6600000000000005E-2</v>
      </c>
      <c r="E1098" s="36">
        <v>0.13</v>
      </c>
      <c r="F1098" s="36">
        <v>1008</v>
      </c>
      <c r="G1098" s="42">
        <v>0</v>
      </c>
      <c r="H1098" s="34">
        <v>20</v>
      </c>
      <c r="I1098" s="34" t="s">
        <v>12</v>
      </c>
      <c r="J1098" s="34">
        <v>1.2909999999999999</v>
      </c>
      <c r="K1098" s="43">
        <v>4.5050999999999997</v>
      </c>
    </row>
    <row r="1099" spans="1:11" ht="15.75" customHeight="1">
      <c r="A1099" s="34" t="s">
        <v>22</v>
      </c>
      <c r="B1099" s="36">
        <v>100</v>
      </c>
      <c r="C1099" s="43">
        <v>0.39939999999999998</v>
      </c>
      <c r="D1099" s="36">
        <v>9.6600000000000005E-2</v>
      </c>
      <c r="E1099" s="36">
        <v>0.13</v>
      </c>
      <c r="F1099" s="36">
        <v>1008</v>
      </c>
      <c r="G1099" s="42">
        <v>0</v>
      </c>
      <c r="H1099" s="34">
        <v>20</v>
      </c>
      <c r="I1099" s="34" t="s">
        <v>12</v>
      </c>
      <c r="J1099" s="34">
        <v>1.2909999999999999</v>
      </c>
      <c r="K1099" s="43">
        <v>4.4927000000000001</v>
      </c>
    </row>
    <row r="1100" spans="1:11" ht="15.75" customHeight="1">
      <c r="A1100" s="34" t="s">
        <v>22</v>
      </c>
      <c r="B1100" s="36">
        <v>100</v>
      </c>
      <c r="C1100" s="43">
        <v>0.4995</v>
      </c>
      <c r="D1100" s="36">
        <v>9.6600000000000005E-2</v>
      </c>
      <c r="E1100" s="36">
        <v>0.13</v>
      </c>
      <c r="F1100" s="36">
        <v>1008</v>
      </c>
      <c r="G1100" s="42">
        <v>0</v>
      </c>
      <c r="H1100" s="34">
        <v>20</v>
      </c>
      <c r="I1100" s="34" t="s">
        <v>12</v>
      </c>
      <c r="J1100" s="34">
        <v>1.2909999999999999</v>
      </c>
      <c r="K1100" s="43">
        <v>4.6128</v>
      </c>
    </row>
    <row r="1101" spans="1:11" ht="15.75" customHeight="1">
      <c r="A1101" s="34" t="s">
        <v>22</v>
      </c>
      <c r="B1101" s="36">
        <v>100</v>
      </c>
      <c r="C1101" s="43">
        <v>0.59889999999999999</v>
      </c>
      <c r="D1101" s="36">
        <v>9.6600000000000005E-2</v>
      </c>
      <c r="E1101" s="36">
        <v>0.13</v>
      </c>
      <c r="F1101" s="36">
        <v>1008</v>
      </c>
      <c r="G1101" s="42">
        <v>0</v>
      </c>
      <c r="H1101" s="34">
        <v>20</v>
      </c>
      <c r="I1101" s="34" t="s">
        <v>12</v>
      </c>
      <c r="J1101" s="34">
        <v>1.2909999999999999</v>
      </c>
      <c r="K1101" s="43">
        <v>4.6955999999999998</v>
      </c>
    </row>
    <row r="1102" spans="1:11" ht="15.75" customHeight="1">
      <c r="A1102" s="34" t="s">
        <v>22</v>
      </c>
      <c r="B1102" s="36">
        <v>100</v>
      </c>
      <c r="C1102" s="44">
        <v>0.8</v>
      </c>
      <c r="D1102" s="36">
        <v>9.6600000000000005E-2</v>
      </c>
      <c r="E1102" s="36">
        <v>0.13</v>
      </c>
      <c r="F1102" s="36">
        <v>1008</v>
      </c>
      <c r="G1102" s="42">
        <v>0</v>
      </c>
      <c r="H1102" s="34">
        <v>20</v>
      </c>
      <c r="I1102" s="34" t="s">
        <v>12</v>
      </c>
      <c r="J1102" s="34">
        <v>1.2909999999999999</v>
      </c>
      <c r="K1102" s="43">
        <v>4.7949999999999999</v>
      </c>
    </row>
    <row r="1103" spans="1:11" ht="15.75" customHeight="1">
      <c r="A1103" s="34" t="s">
        <v>22</v>
      </c>
      <c r="B1103" s="36">
        <v>100</v>
      </c>
      <c r="C1103" s="43">
        <v>1</v>
      </c>
      <c r="D1103" s="36">
        <v>9.6600000000000005E-2</v>
      </c>
      <c r="E1103" s="36">
        <v>0.13</v>
      </c>
      <c r="F1103" s="36">
        <v>1008</v>
      </c>
      <c r="G1103" s="42">
        <v>0</v>
      </c>
      <c r="H1103" s="34">
        <v>20</v>
      </c>
      <c r="I1103" s="34" t="s">
        <v>12</v>
      </c>
      <c r="J1103" s="34">
        <v>1.2909999999999999</v>
      </c>
      <c r="K1103" s="43">
        <v>4.9067999999999996</v>
      </c>
    </row>
    <row r="1104" spans="1:11" ht="15.75" customHeight="1">
      <c r="A1104" s="34" t="s">
        <v>22</v>
      </c>
      <c r="B1104" s="36">
        <v>120</v>
      </c>
      <c r="C1104" s="43">
        <v>0.3</v>
      </c>
      <c r="D1104" s="36">
        <v>9.6600000000000005E-2</v>
      </c>
      <c r="E1104" s="36">
        <v>0.13</v>
      </c>
      <c r="F1104" s="36">
        <v>1008</v>
      </c>
      <c r="G1104" s="42">
        <v>0</v>
      </c>
      <c r="H1104" s="34">
        <v>20</v>
      </c>
      <c r="I1104" s="34" t="s">
        <v>12</v>
      </c>
      <c r="J1104" s="34">
        <v>1.2909999999999999</v>
      </c>
      <c r="K1104" s="43">
        <v>4.7866999999999997</v>
      </c>
    </row>
    <row r="1105" spans="1:11" ht="15.75" customHeight="1">
      <c r="A1105" s="34" t="s">
        <v>22</v>
      </c>
      <c r="B1105" s="36">
        <v>120</v>
      </c>
      <c r="C1105" s="43">
        <v>0.40210000000000001</v>
      </c>
      <c r="D1105" s="36">
        <v>9.6600000000000005E-2</v>
      </c>
      <c r="E1105" s="36">
        <v>0.13</v>
      </c>
      <c r="F1105" s="36">
        <v>1008</v>
      </c>
      <c r="G1105" s="42">
        <v>0</v>
      </c>
      <c r="H1105" s="34">
        <v>20</v>
      </c>
      <c r="I1105" s="34" t="s">
        <v>12</v>
      </c>
      <c r="J1105" s="34">
        <v>1.2909999999999999</v>
      </c>
      <c r="K1105" s="43">
        <v>4.8860999999999999</v>
      </c>
    </row>
    <row r="1106" spans="1:11" ht="15.75" customHeight="1">
      <c r="A1106" s="34" t="s">
        <v>22</v>
      </c>
      <c r="B1106" s="36">
        <v>120</v>
      </c>
      <c r="C1106" s="43">
        <v>0.50219999999999998</v>
      </c>
      <c r="D1106" s="36">
        <v>9.6600000000000005E-2</v>
      </c>
      <c r="E1106" s="36">
        <v>0.13</v>
      </c>
      <c r="F1106" s="36">
        <v>1008</v>
      </c>
      <c r="G1106" s="42">
        <v>0</v>
      </c>
      <c r="H1106" s="34">
        <v>20</v>
      </c>
      <c r="I1106" s="34" t="s">
        <v>12</v>
      </c>
      <c r="J1106" s="34">
        <v>1.2909999999999999</v>
      </c>
      <c r="K1106" s="43">
        <v>4.8944000000000001</v>
      </c>
    </row>
    <row r="1107" spans="1:11" ht="15.75" customHeight="1">
      <c r="A1107" s="34" t="s">
        <v>22</v>
      </c>
      <c r="B1107" s="36">
        <v>120</v>
      </c>
      <c r="C1107" s="43">
        <v>0.60089999999999999</v>
      </c>
      <c r="D1107" s="36">
        <v>9.6600000000000005E-2</v>
      </c>
      <c r="E1107" s="36">
        <v>0.13</v>
      </c>
      <c r="F1107" s="36">
        <v>1008</v>
      </c>
      <c r="G1107" s="42">
        <v>0</v>
      </c>
      <c r="H1107" s="34">
        <v>20</v>
      </c>
      <c r="I1107" s="34" t="s">
        <v>12</v>
      </c>
      <c r="J1107" s="34">
        <v>1.2909999999999999</v>
      </c>
      <c r="K1107" s="43">
        <v>4.9978999999999996</v>
      </c>
    </row>
    <row r="1108" spans="1:11" ht="15.75" customHeight="1">
      <c r="A1108" s="34" t="s">
        <v>22</v>
      </c>
      <c r="B1108" s="36">
        <v>120</v>
      </c>
      <c r="C1108" s="43">
        <v>0.80379999999999996</v>
      </c>
      <c r="D1108" s="36">
        <v>9.6600000000000005E-2</v>
      </c>
      <c r="E1108" s="36">
        <v>0.13</v>
      </c>
      <c r="F1108" s="36">
        <v>1008</v>
      </c>
      <c r="G1108" s="42">
        <v>0</v>
      </c>
      <c r="H1108" s="34">
        <v>20</v>
      </c>
      <c r="I1108" s="34" t="s">
        <v>12</v>
      </c>
      <c r="J1108" s="34">
        <v>1.2909999999999999</v>
      </c>
      <c r="K1108" s="43">
        <v>4.9978999999999996</v>
      </c>
    </row>
    <row r="1109" spans="1:11" ht="15.75" customHeight="1">
      <c r="A1109" s="34" t="s">
        <v>22</v>
      </c>
      <c r="B1109" s="36">
        <v>120</v>
      </c>
      <c r="C1109" s="43">
        <v>0.99850000000000005</v>
      </c>
      <c r="D1109" s="36">
        <v>9.6600000000000005E-2</v>
      </c>
      <c r="E1109" s="36">
        <v>0.13</v>
      </c>
      <c r="F1109" s="36">
        <v>1008</v>
      </c>
      <c r="G1109" s="42">
        <v>0</v>
      </c>
      <c r="H1109" s="34">
        <v>20</v>
      </c>
      <c r="I1109" s="34" t="s">
        <v>12</v>
      </c>
      <c r="J1109" s="34">
        <v>1.2909999999999999</v>
      </c>
      <c r="K1109" s="43">
        <v>5.0972999999999997</v>
      </c>
    </row>
    <row r="1110" spans="1:11" ht="15.75" customHeight="1">
      <c r="A1110" s="34" t="s">
        <v>22</v>
      </c>
      <c r="B1110" s="36">
        <v>150</v>
      </c>
      <c r="C1110" s="43">
        <v>0.2994</v>
      </c>
      <c r="D1110" s="36">
        <v>9.6600000000000005E-2</v>
      </c>
      <c r="E1110" s="36">
        <v>0.13</v>
      </c>
      <c r="F1110" s="36">
        <v>1008</v>
      </c>
      <c r="G1110" s="42">
        <v>0</v>
      </c>
      <c r="H1110" s="34">
        <v>20</v>
      </c>
      <c r="I1110" s="34" t="s">
        <v>12</v>
      </c>
      <c r="J1110" s="34">
        <v>1.2909999999999999</v>
      </c>
      <c r="K1110" s="43">
        <v>5.2008000000000001</v>
      </c>
    </row>
    <row r="1111" spans="1:11" ht="15.75" customHeight="1">
      <c r="A1111" s="34" t="s">
        <v>22</v>
      </c>
      <c r="B1111" s="36">
        <v>150</v>
      </c>
      <c r="C1111" s="43">
        <v>0.40010000000000001</v>
      </c>
      <c r="D1111" s="36">
        <v>9.6600000000000005E-2</v>
      </c>
      <c r="E1111" s="36">
        <v>0.13</v>
      </c>
      <c r="F1111" s="36">
        <v>1008</v>
      </c>
      <c r="G1111" s="42">
        <v>0</v>
      </c>
      <c r="H1111" s="34">
        <v>20</v>
      </c>
      <c r="I1111" s="34" t="s">
        <v>12</v>
      </c>
      <c r="J1111" s="34">
        <v>1.2909999999999999</v>
      </c>
      <c r="K1111" s="43">
        <v>5.3002000000000002</v>
      </c>
    </row>
    <row r="1112" spans="1:11" ht="15.75" customHeight="1">
      <c r="A1112" s="34" t="s">
        <v>22</v>
      </c>
      <c r="B1112" s="36">
        <v>150</v>
      </c>
      <c r="C1112" s="43">
        <v>0.49880000000000002</v>
      </c>
      <c r="D1112" s="36">
        <v>9.6600000000000005E-2</v>
      </c>
      <c r="E1112" s="36">
        <v>0.13</v>
      </c>
      <c r="F1112" s="36">
        <v>1008</v>
      </c>
      <c r="G1112" s="42">
        <v>0</v>
      </c>
      <c r="H1112" s="34">
        <v>20</v>
      </c>
      <c r="I1112" s="34" t="s">
        <v>12</v>
      </c>
      <c r="J1112" s="34">
        <v>1.2909999999999999</v>
      </c>
      <c r="K1112" s="43">
        <v>5.3042999999999996</v>
      </c>
    </row>
    <row r="1113" spans="1:11" ht="15.75" customHeight="1">
      <c r="A1113" s="34" t="s">
        <v>22</v>
      </c>
      <c r="B1113" s="36">
        <v>150</v>
      </c>
      <c r="C1113" s="43">
        <v>0.60289999999999999</v>
      </c>
      <c r="D1113" s="36">
        <v>9.6600000000000005E-2</v>
      </c>
      <c r="E1113" s="36">
        <v>0.13</v>
      </c>
      <c r="F1113" s="36">
        <v>1008</v>
      </c>
      <c r="G1113" s="42">
        <v>0</v>
      </c>
      <c r="H1113" s="34">
        <v>20</v>
      </c>
      <c r="I1113" s="34" t="s">
        <v>12</v>
      </c>
      <c r="J1113" s="34">
        <v>1.2909999999999999</v>
      </c>
      <c r="K1113" s="43">
        <v>5.4077999999999999</v>
      </c>
    </row>
    <row r="1114" spans="1:11" ht="15.75" customHeight="1">
      <c r="A1114" s="34" t="s">
        <v>22</v>
      </c>
      <c r="B1114" s="36">
        <v>150</v>
      </c>
      <c r="C1114" s="43">
        <v>0.8004</v>
      </c>
      <c r="D1114" s="36">
        <v>9.6600000000000005E-2</v>
      </c>
      <c r="E1114" s="36">
        <v>0.13</v>
      </c>
      <c r="F1114" s="36">
        <v>1008</v>
      </c>
      <c r="G1114" s="42">
        <v>0</v>
      </c>
      <c r="H1114" s="34">
        <v>20</v>
      </c>
      <c r="I1114" s="34" t="s">
        <v>12</v>
      </c>
      <c r="J1114" s="34">
        <v>1.2909999999999999</v>
      </c>
      <c r="K1114" s="43">
        <v>5.3994999999999997</v>
      </c>
    </row>
    <row r="1115" spans="1:11" ht="15.75" customHeight="1">
      <c r="A1115" s="34" t="s">
        <v>22</v>
      </c>
      <c r="B1115" s="36">
        <v>150</v>
      </c>
      <c r="C1115" s="43">
        <v>1.0012000000000001</v>
      </c>
      <c r="D1115" s="36">
        <v>9.6600000000000005E-2</v>
      </c>
      <c r="E1115" s="36">
        <v>0.13</v>
      </c>
      <c r="F1115" s="36">
        <v>1008</v>
      </c>
      <c r="G1115" s="42">
        <v>0</v>
      </c>
      <c r="H1115" s="34">
        <v>20</v>
      </c>
      <c r="I1115" s="34" t="s">
        <v>12</v>
      </c>
      <c r="J1115" s="34">
        <v>1.2909999999999999</v>
      </c>
      <c r="K1115" s="43">
        <v>5.4824000000000002</v>
      </c>
    </row>
    <row r="1116" spans="1:11" ht="15.75" customHeight="1">
      <c r="A1116" s="34" t="s">
        <v>22</v>
      </c>
      <c r="B1116" s="36">
        <v>200</v>
      </c>
      <c r="C1116" s="43">
        <v>0.3</v>
      </c>
      <c r="D1116" s="36">
        <v>9.6600000000000005E-2</v>
      </c>
      <c r="E1116" s="36">
        <v>0.13</v>
      </c>
      <c r="F1116" s="36">
        <v>1008</v>
      </c>
      <c r="G1116" s="42">
        <v>0</v>
      </c>
      <c r="H1116" s="34">
        <v>20</v>
      </c>
      <c r="I1116" s="34" t="s">
        <v>12</v>
      </c>
      <c r="J1116" s="34">
        <v>1.2909999999999999</v>
      </c>
      <c r="K1116" s="43">
        <v>5.8052999999999999</v>
      </c>
    </row>
    <row r="1117" spans="1:11" ht="15.75" customHeight="1">
      <c r="A1117" s="34" t="s">
        <v>22</v>
      </c>
      <c r="B1117" s="36">
        <v>200</v>
      </c>
      <c r="C1117" s="43">
        <v>0.40079999999999999</v>
      </c>
      <c r="D1117" s="36">
        <v>9.6600000000000005E-2</v>
      </c>
      <c r="E1117" s="36">
        <v>0.13</v>
      </c>
      <c r="F1117" s="36">
        <v>1008</v>
      </c>
      <c r="G1117" s="42">
        <v>0</v>
      </c>
      <c r="H1117" s="34">
        <v>20</v>
      </c>
      <c r="I1117" s="34" t="s">
        <v>12</v>
      </c>
      <c r="J1117" s="34">
        <v>1.2909999999999999</v>
      </c>
      <c r="K1117" s="43">
        <v>5.8922999999999996</v>
      </c>
    </row>
    <row r="1118" spans="1:11" ht="15.75" customHeight="1">
      <c r="A1118" s="34" t="s">
        <v>22</v>
      </c>
      <c r="B1118" s="36">
        <v>200</v>
      </c>
      <c r="C1118" s="43">
        <v>0.50219999999999998</v>
      </c>
      <c r="D1118" s="36">
        <v>9.6600000000000005E-2</v>
      </c>
      <c r="E1118" s="36">
        <v>0.13</v>
      </c>
      <c r="F1118" s="36">
        <v>1008</v>
      </c>
      <c r="G1118" s="42">
        <v>0</v>
      </c>
      <c r="H1118" s="34">
        <v>20</v>
      </c>
      <c r="I1118" s="34" t="s">
        <v>12</v>
      </c>
      <c r="J1118" s="34">
        <v>1.2909999999999999</v>
      </c>
      <c r="K1118" s="43">
        <v>5.9005999999999998</v>
      </c>
    </row>
    <row r="1119" spans="1:11" ht="15.75" customHeight="1">
      <c r="A1119" s="34" t="s">
        <v>22</v>
      </c>
      <c r="B1119" s="36">
        <v>200</v>
      </c>
      <c r="C1119" s="43">
        <v>0.60229999999999995</v>
      </c>
      <c r="D1119" s="36">
        <v>9.6600000000000005E-2</v>
      </c>
      <c r="E1119" s="36">
        <v>0.13</v>
      </c>
      <c r="F1119" s="36">
        <v>1008</v>
      </c>
      <c r="G1119" s="42">
        <v>0</v>
      </c>
      <c r="H1119" s="34">
        <v>20</v>
      </c>
      <c r="I1119" s="34" t="s">
        <v>12</v>
      </c>
      <c r="J1119" s="34">
        <v>1.2909999999999999</v>
      </c>
      <c r="K1119" s="43">
        <v>5.9047000000000001</v>
      </c>
    </row>
    <row r="1120" spans="1:11" ht="15.75" customHeight="1">
      <c r="A1120" s="34" t="s">
        <v>22</v>
      </c>
      <c r="B1120" s="36">
        <v>200</v>
      </c>
      <c r="C1120" s="43">
        <v>0.80110000000000003</v>
      </c>
      <c r="D1120" s="36">
        <v>9.6600000000000005E-2</v>
      </c>
      <c r="E1120" s="36">
        <v>0.13</v>
      </c>
      <c r="F1120" s="36">
        <v>1008</v>
      </c>
      <c r="G1120" s="42">
        <v>0</v>
      </c>
      <c r="H1120" s="34">
        <v>20</v>
      </c>
      <c r="I1120" s="34" t="s">
        <v>12</v>
      </c>
      <c r="J1120" s="34">
        <v>1.2909999999999999</v>
      </c>
      <c r="K1120" s="43">
        <v>6.0082000000000004</v>
      </c>
    </row>
    <row r="1121" spans="1:11" ht="15.75" customHeight="1">
      <c r="A1121" s="34" t="s">
        <v>22</v>
      </c>
      <c r="B1121" s="36">
        <v>200</v>
      </c>
      <c r="C1121" s="43">
        <v>0.99990000000000001</v>
      </c>
      <c r="D1121" s="36">
        <v>9.6600000000000005E-2</v>
      </c>
      <c r="E1121" s="36">
        <v>0.13</v>
      </c>
      <c r="F1121" s="36">
        <v>1008</v>
      </c>
      <c r="G1121" s="42">
        <v>0</v>
      </c>
      <c r="H1121" s="34">
        <v>20</v>
      </c>
      <c r="I1121" s="34" t="s">
        <v>12</v>
      </c>
      <c r="J1121" s="34">
        <v>1.2909999999999999</v>
      </c>
      <c r="K1121" s="43">
        <v>6.0910000000000002</v>
      </c>
    </row>
    <row r="1122" spans="1:11" ht="15.75" customHeight="1">
      <c r="A1122" s="32" t="s">
        <v>23</v>
      </c>
      <c r="B1122" s="32">
        <v>50</v>
      </c>
      <c r="C1122" s="33">
        <v>0.5</v>
      </c>
      <c r="D1122" s="32">
        <v>7.1999999999999995E-2</v>
      </c>
      <c r="E1122" s="32">
        <v>9.5E-4</v>
      </c>
      <c r="F1122" s="32">
        <v>997</v>
      </c>
      <c r="G1122" s="32">
        <v>0</v>
      </c>
      <c r="H1122" s="32">
        <v>22.1</v>
      </c>
      <c r="I1122" s="32" t="s">
        <v>12</v>
      </c>
      <c r="J1122" s="32">
        <v>1.2</v>
      </c>
      <c r="K1122" s="35">
        <v>6.4</v>
      </c>
    </row>
    <row r="1123" spans="1:11" ht="15.75" customHeight="1">
      <c r="A1123" s="32" t="s">
        <v>23</v>
      </c>
      <c r="B1123" s="32">
        <v>75</v>
      </c>
      <c r="C1123" s="33">
        <v>0.5</v>
      </c>
      <c r="D1123" s="32">
        <v>7.1999999999999995E-2</v>
      </c>
      <c r="E1123" s="32">
        <v>9.5E-4</v>
      </c>
      <c r="F1123" s="32">
        <v>997</v>
      </c>
      <c r="G1123" s="32">
        <v>0</v>
      </c>
      <c r="H1123" s="32">
        <v>22.1</v>
      </c>
      <c r="I1123" s="32" t="s">
        <v>12</v>
      </c>
      <c r="J1123" s="32">
        <v>1.2</v>
      </c>
      <c r="K1123" s="35">
        <v>6.64</v>
      </c>
    </row>
    <row r="1124" spans="1:11" ht="15.75" customHeight="1">
      <c r="A1124" s="32" t="s">
        <v>23</v>
      </c>
      <c r="B1124" s="32">
        <v>100.2</v>
      </c>
      <c r="C1124" s="33">
        <v>0.5</v>
      </c>
      <c r="D1124" s="32">
        <v>7.1999999999999995E-2</v>
      </c>
      <c r="E1124" s="32">
        <v>9.5E-4</v>
      </c>
      <c r="F1124" s="32">
        <v>997</v>
      </c>
      <c r="G1124" s="32">
        <v>0</v>
      </c>
      <c r="H1124" s="32">
        <v>22.1</v>
      </c>
      <c r="I1124" s="32" t="s">
        <v>12</v>
      </c>
      <c r="J1124" s="32">
        <v>1.2</v>
      </c>
      <c r="K1124" s="35">
        <v>6.65</v>
      </c>
    </row>
    <row r="1125" spans="1:11" ht="15.75" customHeight="1">
      <c r="A1125" s="32" t="s">
        <v>23</v>
      </c>
      <c r="B1125" s="32">
        <v>124.8</v>
      </c>
      <c r="C1125" s="33">
        <v>0.5</v>
      </c>
      <c r="D1125" s="32">
        <v>7.1999999999999995E-2</v>
      </c>
      <c r="E1125" s="32">
        <v>9.5E-4</v>
      </c>
      <c r="F1125" s="32">
        <v>997</v>
      </c>
      <c r="G1125" s="32">
        <v>0</v>
      </c>
      <c r="H1125" s="32">
        <v>22.1</v>
      </c>
      <c r="I1125" s="32" t="s">
        <v>12</v>
      </c>
      <c r="J1125" s="32">
        <v>1.2</v>
      </c>
      <c r="K1125" s="35">
        <v>7.01</v>
      </c>
    </row>
    <row r="1126" spans="1:11" ht="15.75" customHeight="1">
      <c r="A1126" s="32" t="s">
        <v>23</v>
      </c>
      <c r="B1126" s="32">
        <v>175.2</v>
      </c>
      <c r="C1126" s="33">
        <v>0.5</v>
      </c>
      <c r="D1126" s="32">
        <v>7.1999999999999995E-2</v>
      </c>
      <c r="E1126" s="32">
        <v>9.5E-4</v>
      </c>
      <c r="F1126" s="32">
        <v>997</v>
      </c>
      <c r="G1126" s="32">
        <v>0</v>
      </c>
      <c r="H1126" s="32">
        <v>22.1</v>
      </c>
      <c r="I1126" s="32" t="s">
        <v>12</v>
      </c>
      <c r="J1126" s="32">
        <v>1.2</v>
      </c>
      <c r="K1126" s="35">
        <v>7.3</v>
      </c>
    </row>
    <row r="1127" spans="1:11" ht="15.75" customHeight="1">
      <c r="A1127" s="32" t="s">
        <v>23</v>
      </c>
      <c r="B1127" s="32">
        <v>250.2</v>
      </c>
      <c r="C1127" s="33">
        <v>0.5</v>
      </c>
      <c r="D1127" s="32">
        <v>7.1999999999999995E-2</v>
      </c>
      <c r="E1127" s="32">
        <v>9.5E-4</v>
      </c>
      <c r="F1127" s="32">
        <v>997</v>
      </c>
      <c r="G1127" s="32">
        <v>0</v>
      </c>
      <c r="H1127" s="32">
        <v>22.1</v>
      </c>
      <c r="I1127" s="32" t="s">
        <v>12</v>
      </c>
      <c r="J1127" s="32">
        <v>1.2</v>
      </c>
      <c r="K1127" s="35">
        <v>6.7</v>
      </c>
    </row>
    <row r="1128" spans="1:11" ht="15.75" customHeight="1">
      <c r="A1128" s="32" t="s">
        <v>23</v>
      </c>
      <c r="B1128" s="32">
        <v>325.2</v>
      </c>
      <c r="C1128" s="33">
        <v>0.5</v>
      </c>
      <c r="D1128" s="32">
        <v>7.1999999999999995E-2</v>
      </c>
      <c r="E1128" s="32">
        <v>9.5E-4</v>
      </c>
      <c r="F1128" s="32">
        <v>997</v>
      </c>
      <c r="G1128" s="32">
        <v>0</v>
      </c>
      <c r="H1128" s="32">
        <v>22.1</v>
      </c>
      <c r="I1128" s="32" t="s">
        <v>12</v>
      </c>
      <c r="J1128" s="32">
        <v>1.2</v>
      </c>
      <c r="K1128" s="35">
        <v>6.47</v>
      </c>
    </row>
    <row r="1129" spans="1:11" ht="15.75" customHeight="1">
      <c r="A1129" s="32" t="s">
        <v>23</v>
      </c>
      <c r="B1129" s="32">
        <v>375</v>
      </c>
      <c r="C1129" s="33">
        <v>0.5</v>
      </c>
      <c r="D1129" s="32">
        <v>7.1999999999999995E-2</v>
      </c>
      <c r="E1129" s="32">
        <v>9.5E-4</v>
      </c>
      <c r="F1129" s="32">
        <v>997</v>
      </c>
      <c r="G1129" s="32">
        <v>0</v>
      </c>
      <c r="H1129" s="32">
        <v>22.1</v>
      </c>
      <c r="I1129" s="32" t="s">
        <v>12</v>
      </c>
      <c r="J1129" s="32">
        <v>1.2</v>
      </c>
      <c r="K1129" s="35">
        <v>6.31</v>
      </c>
    </row>
    <row r="1130" spans="1:11" ht="15.75" customHeight="1">
      <c r="A1130" s="32" t="s">
        <v>23</v>
      </c>
      <c r="B1130" s="32">
        <v>424.8</v>
      </c>
      <c r="C1130" s="33">
        <v>0.5</v>
      </c>
      <c r="D1130" s="32">
        <v>7.1999999999999995E-2</v>
      </c>
      <c r="E1130" s="32">
        <v>9.5E-4</v>
      </c>
      <c r="F1130" s="32">
        <v>997</v>
      </c>
      <c r="G1130" s="32">
        <v>0</v>
      </c>
      <c r="H1130" s="32">
        <v>22.1</v>
      </c>
      <c r="I1130" s="32" t="s">
        <v>12</v>
      </c>
      <c r="J1130" s="32">
        <v>1.2</v>
      </c>
      <c r="K1130" s="35">
        <v>6.42</v>
      </c>
    </row>
    <row r="1131" spans="1:11" ht="15.75" customHeight="1">
      <c r="A1131" s="32" t="s">
        <v>23</v>
      </c>
      <c r="B1131" s="32">
        <v>499.8</v>
      </c>
      <c r="C1131" s="33">
        <v>0.5</v>
      </c>
      <c r="D1131" s="32">
        <v>7.1999999999999995E-2</v>
      </c>
      <c r="E1131" s="32">
        <v>9.5E-4</v>
      </c>
      <c r="F1131" s="32">
        <v>997</v>
      </c>
      <c r="G1131" s="32">
        <v>0</v>
      </c>
      <c r="H1131" s="32">
        <v>22.1</v>
      </c>
      <c r="I1131" s="32" t="s">
        <v>12</v>
      </c>
      <c r="J1131" s="32">
        <v>1.2</v>
      </c>
      <c r="K1131" s="35">
        <v>6.44</v>
      </c>
    </row>
    <row r="1132" spans="1:11" ht="15.75" customHeight="1">
      <c r="A1132" s="32" t="s">
        <v>23</v>
      </c>
      <c r="B1132" s="32">
        <v>50</v>
      </c>
      <c r="C1132" s="33">
        <v>0.5</v>
      </c>
      <c r="D1132" s="32">
        <v>7.0900000000000005E-2</v>
      </c>
      <c r="E1132" s="32">
        <v>1.1299999999999999E-3</v>
      </c>
      <c r="F1132" s="32">
        <v>1007</v>
      </c>
      <c r="G1132" s="32">
        <v>0</v>
      </c>
      <c r="H1132" s="32">
        <v>23.2</v>
      </c>
      <c r="I1132" s="32" t="s">
        <v>12</v>
      </c>
      <c r="J1132" s="32">
        <v>1.2</v>
      </c>
      <c r="K1132" s="35">
        <v>6.31</v>
      </c>
    </row>
    <row r="1133" spans="1:11" ht="15.75" customHeight="1">
      <c r="A1133" s="32" t="s">
        <v>23</v>
      </c>
      <c r="B1133" s="32">
        <v>75</v>
      </c>
      <c r="C1133" s="33">
        <v>0.5</v>
      </c>
      <c r="D1133" s="32">
        <v>7.0900000000000005E-2</v>
      </c>
      <c r="E1133" s="32">
        <v>1.1299999999999999E-3</v>
      </c>
      <c r="F1133" s="32">
        <v>1007</v>
      </c>
      <c r="G1133" s="32">
        <v>0</v>
      </c>
      <c r="H1133" s="32">
        <v>23.2</v>
      </c>
      <c r="I1133" s="32" t="s">
        <v>12</v>
      </c>
      <c r="J1133" s="32">
        <v>1.2</v>
      </c>
      <c r="K1133" s="35">
        <v>6.28</v>
      </c>
    </row>
    <row r="1134" spans="1:11" ht="15.75" customHeight="1">
      <c r="A1134" s="32" t="s">
        <v>23</v>
      </c>
      <c r="B1134" s="32">
        <v>100.2</v>
      </c>
      <c r="C1134" s="33">
        <v>0.5</v>
      </c>
      <c r="D1134" s="32">
        <v>7.0900000000000005E-2</v>
      </c>
      <c r="E1134" s="32">
        <v>1.1299999999999999E-3</v>
      </c>
      <c r="F1134" s="32">
        <v>1007</v>
      </c>
      <c r="G1134" s="32">
        <v>0</v>
      </c>
      <c r="H1134" s="32">
        <v>23.2</v>
      </c>
      <c r="I1134" s="32" t="s">
        <v>12</v>
      </c>
      <c r="J1134" s="32">
        <v>1.2</v>
      </c>
      <c r="K1134" s="35">
        <v>6.46</v>
      </c>
    </row>
    <row r="1135" spans="1:11" ht="15.75" customHeight="1">
      <c r="A1135" s="32" t="s">
        <v>23</v>
      </c>
      <c r="B1135" s="32">
        <v>124.8</v>
      </c>
      <c r="C1135" s="33">
        <v>0.5</v>
      </c>
      <c r="D1135" s="32">
        <v>7.0900000000000005E-2</v>
      </c>
      <c r="E1135" s="32">
        <v>1.1299999999999999E-3</v>
      </c>
      <c r="F1135" s="32">
        <v>1007</v>
      </c>
      <c r="G1135" s="32">
        <v>0</v>
      </c>
      <c r="H1135" s="32">
        <v>23.2</v>
      </c>
      <c r="I1135" s="32" t="s">
        <v>12</v>
      </c>
      <c r="J1135" s="32">
        <v>1.2</v>
      </c>
      <c r="K1135" s="35">
        <v>6.7</v>
      </c>
    </row>
    <row r="1136" spans="1:11" ht="15.75" customHeight="1">
      <c r="A1136" s="32" t="s">
        <v>23</v>
      </c>
      <c r="B1136" s="32">
        <v>175.2</v>
      </c>
      <c r="C1136" s="33">
        <v>0.5</v>
      </c>
      <c r="D1136" s="32">
        <v>7.0900000000000005E-2</v>
      </c>
      <c r="E1136" s="32">
        <v>1.1299999999999999E-3</v>
      </c>
      <c r="F1136" s="32">
        <v>1007</v>
      </c>
      <c r="G1136" s="32">
        <v>0</v>
      </c>
      <c r="H1136" s="32">
        <v>23.2</v>
      </c>
      <c r="I1136" s="32" t="s">
        <v>12</v>
      </c>
      <c r="J1136" s="32">
        <v>1.2</v>
      </c>
      <c r="K1136" s="35">
        <v>7.26</v>
      </c>
    </row>
    <row r="1137" spans="1:11" ht="15.75" customHeight="1">
      <c r="A1137" s="32" t="s">
        <v>23</v>
      </c>
      <c r="B1137" s="32">
        <v>250.2</v>
      </c>
      <c r="C1137" s="33">
        <v>0.5</v>
      </c>
      <c r="D1137" s="32">
        <v>7.0900000000000005E-2</v>
      </c>
      <c r="E1137" s="32">
        <v>1.1299999999999999E-3</v>
      </c>
      <c r="F1137" s="32">
        <v>1007</v>
      </c>
      <c r="G1137" s="32">
        <v>0</v>
      </c>
      <c r="H1137" s="32">
        <v>23.2</v>
      </c>
      <c r="I1137" s="32" t="s">
        <v>12</v>
      </c>
      <c r="J1137" s="32">
        <v>1.2</v>
      </c>
      <c r="K1137" s="35">
        <v>6.42</v>
      </c>
    </row>
    <row r="1138" spans="1:11" ht="15.75" customHeight="1">
      <c r="A1138" s="32" t="s">
        <v>23</v>
      </c>
      <c r="B1138" s="32">
        <v>325.2</v>
      </c>
      <c r="C1138" s="33">
        <v>0.5</v>
      </c>
      <c r="D1138" s="32">
        <v>7.0900000000000005E-2</v>
      </c>
      <c r="E1138" s="32">
        <v>1.1299999999999999E-3</v>
      </c>
      <c r="F1138" s="32">
        <v>1007</v>
      </c>
      <c r="G1138" s="32">
        <v>0</v>
      </c>
      <c r="H1138" s="32">
        <v>23.2</v>
      </c>
      <c r="I1138" s="32" t="s">
        <v>12</v>
      </c>
      <c r="J1138" s="32">
        <v>1.2</v>
      </c>
      <c r="K1138" s="35">
        <v>6.18</v>
      </c>
    </row>
    <row r="1139" spans="1:11" ht="15.75" customHeight="1">
      <c r="A1139" s="32" t="s">
        <v>23</v>
      </c>
      <c r="B1139" s="32">
        <v>375</v>
      </c>
      <c r="C1139" s="33">
        <v>0.5</v>
      </c>
      <c r="D1139" s="32">
        <v>7.0900000000000005E-2</v>
      </c>
      <c r="E1139" s="32">
        <v>1.1299999999999999E-3</v>
      </c>
      <c r="F1139" s="32">
        <v>1007</v>
      </c>
      <c r="G1139" s="32">
        <v>0</v>
      </c>
      <c r="H1139" s="32">
        <v>23.2</v>
      </c>
      <c r="I1139" s="32" t="s">
        <v>12</v>
      </c>
      <c r="J1139" s="32">
        <v>1.2</v>
      </c>
      <c r="K1139" s="35">
        <v>6.06</v>
      </c>
    </row>
    <row r="1140" spans="1:11" ht="15.75" customHeight="1">
      <c r="A1140" s="32" t="s">
        <v>23</v>
      </c>
      <c r="B1140" s="32">
        <v>424.8</v>
      </c>
      <c r="C1140" s="33">
        <v>0.5</v>
      </c>
      <c r="D1140" s="32">
        <v>7.0900000000000005E-2</v>
      </c>
      <c r="E1140" s="32">
        <v>1.1299999999999999E-3</v>
      </c>
      <c r="F1140" s="32">
        <v>1007</v>
      </c>
      <c r="G1140" s="32">
        <v>0</v>
      </c>
      <c r="H1140" s="32">
        <v>23.2</v>
      </c>
      <c r="I1140" s="32" t="s">
        <v>12</v>
      </c>
      <c r="J1140" s="32">
        <v>1.2</v>
      </c>
      <c r="K1140" s="35">
        <v>5.94</v>
      </c>
    </row>
    <row r="1141" spans="1:11" ht="15.75" customHeight="1">
      <c r="A1141" s="32" t="s">
        <v>23</v>
      </c>
      <c r="B1141" s="32">
        <v>499.8</v>
      </c>
      <c r="C1141" s="33">
        <v>0.5</v>
      </c>
      <c r="D1141" s="32">
        <v>7.0900000000000005E-2</v>
      </c>
      <c r="E1141" s="32">
        <v>1.1299999999999999E-3</v>
      </c>
      <c r="F1141" s="32">
        <v>1007</v>
      </c>
      <c r="G1141" s="32">
        <v>0</v>
      </c>
      <c r="H1141" s="32">
        <v>23.2</v>
      </c>
      <c r="I1141" s="32" t="s">
        <v>12</v>
      </c>
      <c r="J1141" s="32">
        <v>1.2</v>
      </c>
      <c r="K1141" s="35">
        <v>5.92</v>
      </c>
    </row>
    <row r="1142" spans="1:11" ht="15.75" customHeight="1">
      <c r="A1142" s="32" t="s">
        <v>23</v>
      </c>
      <c r="B1142" s="32">
        <v>50</v>
      </c>
      <c r="C1142" s="33">
        <v>0.5</v>
      </c>
      <c r="D1142" s="32">
        <v>7.0599999999999996E-2</v>
      </c>
      <c r="E1142" s="32">
        <v>1.16E-3</v>
      </c>
      <c r="F1142" s="32">
        <v>1019</v>
      </c>
      <c r="G1142" s="32">
        <v>0</v>
      </c>
      <c r="H1142" s="32">
        <v>24</v>
      </c>
      <c r="I1142" s="32" t="s">
        <v>12</v>
      </c>
      <c r="J1142" s="32">
        <v>1.2</v>
      </c>
      <c r="K1142" s="35">
        <v>6.4</v>
      </c>
    </row>
    <row r="1143" spans="1:11" ht="15.75" customHeight="1">
      <c r="A1143" s="32" t="s">
        <v>23</v>
      </c>
      <c r="B1143" s="32">
        <v>75</v>
      </c>
      <c r="C1143" s="33">
        <v>0.5</v>
      </c>
      <c r="D1143" s="32">
        <v>7.0599999999999996E-2</v>
      </c>
      <c r="E1143" s="32">
        <v>1.16E-3</v>
      </c>
      <c r="F1143" s="32">
        <v>1019</v>
      </c>
      <c r="G1143" s="32">
        <v>0</v>
      </c>
      <c r="H1143" s="32">
        <v>24</v>
      </c>
      <c r="I1143" s="32" t="s">
        <v>12</v>
      </c>
      <c r="J1143" s="32">
        <v>1.2</v>
      </c>
      <c r="K1143" s="35">
        <v>6.49</v>
      </c>
    </row>
    <row r="1144" spans="1:11" ht="15.75" customHeight="1">
      <c r="A1144" s="32" t="s">
        <v>23</v>
      </c>
      <c r="B1144" s="32">
        <v>100.2</v>
      </c>
      <c r="C1144" s="33">
        <v>0.5</v>
      </c>
      <c r="D1144" s="32">
        <v>7.0599999999999996E-2</v>
      </c>
      <c r="E1144" s="32">
        <v>1.16E-3</v>
      </c>
      <c r="F1144" s="32">
        <v>1019</v>
      </c>
      <c r="G1144" s="32">
        <v>0</v>
      </c>
      <c r="H1144" s="32">
        <v>24</v>
      </c>
      <c r="I1144" s="32" t="s">
        <v>12</v>
      </c>
      <c r="J1144" s="32">
        <v>1.2</v>
      </c>
      <c r="K1144" s="35">
        <v>6.54</v>
      </c>
    </row>
    <row r="1145" spans="1:11" ht="15.75" customHeight="1">
      <c r="A1145" s="32" t="s">
        <v>23</v>
      </c>
      <c r="B1145" s="32">
        <v>124.8</v>
      </c>
      <c r="C1145" s="33">
        <v>0.5</v>
      </c>
      <c r="D1145" s="32">
        <v>7.0599999999999996E-2</v>
      </c>
      <c r="E1145" s="32">
        <v>1.16E-3</v>
      </c>
      <c r="F1145" s="32">
        <v>1019</v>
      </c>
      <c r="G1145" s="32">
        <v>0</v>
      </c>
      <c r="H1145" s="32">
        <v>24</v>
      </c>
      <c r="I1145" s="32" t="s">
        <v>12</v>
      </c>
      <c r="J1145" s="32">
        <v>1.2</v>
      </c>
      <c r="K1145" s="35">
        <v>6.79</v>
      </c>
    </row>
    <row r="1146" spans="1:11" ht="15.75" customHeight="1">
      <c r="A1146" s="32" t="s">
        <v>23</v>
      </c>
      <c r="B1146" s="32">
        <v>175.2</v>
      </c>
      <c r="C1146" s="33">
        <v>0.5</v>
      </c>
      <c r="D1146" s="32">
        <v>7.0599999999999996E-2</v>
      </c>
      <c r="E1146" s="32">
        <v>1.16E-3</v>
      </c>
      <c r="F1146" s="32">
        <v>1019</v>
      </c>
      <c r="G1146" s="32">
        <v>0</v>
      </c>
      <c r="H1146" s="32">
        <v>24</v>
      </c>
      <c r="I1146" s="32" t="s">
        <v>12</v>
      </c>
      <c r="J1146" s="32">
        <v>1.2</v>
      </c>
      <c r="K1146" s="35">
        <v>7.47</v>
      </c>
    </row>
    <row r="1147" spans="1:11" ht="15.75" customHeight="1">
      <c r="A1147" s="32" t="s">
        <v>23</v>
      </c>
      <c r="B1147" s="32">
        <v>250.2</v>
      </c>
      <c r="C1147" s="33">
        <v>0.5</v>
      </c>
      <c r="D1147" s="32">
        <v>7.0599999999999996E-2</v>
      </c>
      <c r="E1147" s="32">
        <v>1.16E-3</v>
      </c>
      <c r="F1147" s="32">
        <v>1019</v>
      </c>
      <c r="G1147" s="32">
        <v>0</v>
      </c>
      <c r="H1147" s="32">
        <v>24</v>
      </c>
      <c r="I1147" s="32" t="s">
        <v>12</v>
      </c>
      <c r="J1147" s="32">
        <v>1.2</v>
      </c>
      <c r="K1147" s="35">
        <v>6.86</v>
      </c>
    </row>
    <row r="1148" spans="1:11" ht="15.75" customHeight="1">
      <c r="A1148" s="32" t="s">
        <v>23</v>
      </c>
      <c r="B1148" s="32">
        <v>325.2</v>
      </c>
      <c r="C1148" s="33">
        <v>0.5</v>
      </c>
      <c r="D1148" s="32">
        <v>7.0599999999999996E-2</v>
      </c>
      <c r="E1148" s="32">
        <v>1.16E-3</v>
      </c>
      <c r="F1148" s="32">
        <v>1019</v>
      </c>
      <c r="G1148" s="32">
        <v>0</v>
      </c>
      <c r="H1148" s="32">
        <v>24</v>
      </c>
      <c r="I1148" s="32" t="s">
        <v>12</v>
      </c>
      <c r="J1148" s="32">
        <v>1.2</v>
      </c>
      <c r="K1148" s="35">
        <v>6.48</v>
      </c>
    </row>
    <row r="1149" spans="1:11" ht="15.75" customHeight="1">
      <c r="A1149" s="32" t="s">
        <v>23</v>
      </c>
      <c r="B1149" s="32">
        <v>375</v>
      </c>
      <c r="C1149" s="33">
        <v>0.5</v>
      </c>
      <c r="D1149" s="32">
        <v>7.0599999999999996E-2</v>
      </c>
      <c r="E1149" s="32">
        <v>1.16E-3</v>
      </c>
      <c r="F1149" s="32">
        <v>1019</v>
      </c>
      <c r="G1149" s="32">
        <v>0</v>
      </c>
      <c r="H1149" s="32">
        <v>24</v>
      </c>
      <c r="I1149" s="32" t="s">
        <v>12</v>
      </c>
      <c r="J1149" s="32">
        <v>1.2</v>
      </c>
      <c r="K1149" s="35">
        <v>6.23</v>
      </c>
    </row>
    <row r="1150" spans="1:11" ht="15.75" customHeight="1">
      <c r="A1150" s="32" t="s">
        <v>23</v>
      </c>
      <c r="B1150" s="32">
        <v>424.8</v>
      </c>
      <c r="C1150" s="33">
        <v>0.5</v>
      </c>
      <c r="D1150" s="32">
        <v>7.0599999999999996E-2</v>
      </c>
      <c r="E1150" s="32">
        <v>1.16E-3</v>
      </c>
      <c r="F1150" s="32">
        <v>1019</v>
      </c>
      <c r="G1150" s="32">
        <v>0</v>
      </c>
      <c r="H1150" s="32">
        <v>24</v>
      </c>
      <c r="I1150" s="32" t="s">
        <v>12</v>
      </c>
      <c r="J1150" s="32">
        <v>1.2</v>
      </c>
      <c r="K1150" s="35">
        <v>6.36</v>
      </c>
    </row>
    <row r="1151" spans="1:11" ht="15.75" customHeight="1">
      <c r="A1151" s="32" t="s">
        <v>23</v>
      </c>
      <c r="B1151" s="32">
        <v>499.8</v>
      </c>
      <c r="C1151" s="33">
        <v>0.5</v>
      </c>
      <c r="D1151" s="32">
        <v>7.0599999999999996E-2</v>
      </c>
      <c r="E1151" s="32">
        <v>1.16E-3</v>
      </c>
      <c r="F1151" s="32">
        <v>1019</v>
      </c>
      <c r="G1151" s="32">
        <v>0</v>
      </c>
      <c r="H1151" s="32">
        <v>24</v>
      </c>
      <c r="I1151" s="32" t="s">
        <v>12</v>
      </c>
      <c r="J1151" s="32">
        <v>1.2</v>
      </c>
      <c r="K1151" s="35">
        <v>6.7</v>
      </c>
    </row>
    <row r="1152" spans="1:11" ht="15.75" customHeight="1">
      <c r="A1152" s="32" t="s">
        <v>23</v>
      </c>
      <c r="B1152" s="32">
        <v>50</v>
      </c>
      <c r="C1152" s="33">
        <v>0.5</v>
      </c>
      <c r="D1152" s="32">
        <v>7.0099999999999996E-2</v>
      </c>
      <c r="E1152" s="32">
        <v>1.2800000000000001E-3</v>
      </c>
      <c r="F1152" s="32">
        <v>1034</v>
      </c>
      <c r="G1152" s="32">
        <v>0</v>
      </c>
      <c r="H1152" s="32">
        <v>24.8</v>
      </c>
      <c r="I1152" s="32" t="s">
        <v>12</v>
      </c>
      <c r="J1152" s="32">
        <v>1.2</v>
      </c>
      <c r="K1152" s="35">
        <v>6.26</v>
      </c>
    </row>
    <row r="1153" spans="1:11" ht="15.75" customHeight="1">
      <c r="A1153" s="32" t="s">
        <v>23</v>
      </c>
      <c r="B1153" s="32">
        <v>75</v>
      </c>
      <c r="C1153" s="33">
        <v>0.5</v>
      </c>
      <c r="D1153" s="32">
        <v>7.0099999999999996E-2</v>
      </c>
      <c r="E1153" s="32">
        <v>1.2800000000000001E-3</v>
      </c>
      <c r="F1153" s="32">
        <v>1034</v>
      </c>
      <c r="G1153" s="32">
        <v>0</v>
      </c>
      <c r="H1153" s="32">
        <v>24.8</v>
      </c>
      <c r="I1153" s="32" t="s">
        <v>12</v>
      </c>
      <c r="J1153" s="32">
        <v>1.2</v>
      </c>
      <c r="K1153" s="35">
        <v>6.44</v>
      </c>
    </row>
    <row r="1154" spans="1:11" ht="15.75" customHeight="1">
      <c r="A1154" s="32" t="s">
        <v>23</v>
      </c>
      <c r="B1154" s="32">
        <v>100.2</v>
      </c>
      <c r="C1154" s="33">
        <v>0.5</v>
      </c>
      <c r="D1154" s="32">
        <v>7.0099999999999996E-2</v>
      </c>
      <c r="E1154" s="32">
        <v>1.2800000000000001E-3</v>
      </c>
      <c r="F1154" s="32">
        <v>1034</v>
      </c>
      <c r="G1154" s="32">
        <v>0</v>
      </c>
      <c r="H1154" s="32">
        <v>24.8</v>
      </c>
      <c r="I1154" s="32" t="s">
        <v>12</v>
      </c>
      <c r="J1154" s="32">
        <v>1.2</v>
      </c>
      <c r="K1154" s="35">
        <v>6.56</v>
      </c>
    </row>
    <row r="1155" spans="1:11" ht="15.75" customHeight="1">
      <c r="A1155" s="32" t="s">
        <v>23</v>
      </c>
      <c r="B1155" s="32">
        <v>124.8</v>
      </c>
      <c r="C1155" s="33">
        <v>0.5</v>
      </c>
      <c r="D1155" s="32">
        <v>7.0099999999999996E-2</v>
      </c>
      <c r="E1155" s="32">
        <v>1.2800000000000001E-3</v>
      </c>
      <c r="F1155" s="32">
        <v>1034</v>
      </c>
      <c r="G1155" s="32">
        <v>0</v>
      </c>
      <c r="H1155" s="32">
        <v>24.8</v>
      </c>
      <c r="I1155" s="32" t="s">
        <v>12</v>
      </c>
      <c r="J1155" s="32">
        <v>1.2</v>
      </c>
      <c r="K1155" s="35">
        <v>6.82</v>
      </c>
    </row>
    <row r="1156" spans="1:11" ht="15.75" customHeight="1">
      <c r="A1156" s="32" t="s">
        <v>23</v>
      </c>
      <c r="B1156" s="32">
        <v>175.2</v>
      </c>
      <c r="C1156" s="33">
        <v>0.5</v>
      </c>
      <c r="D1156" s="32">
        <v>7.0099999999999996E-2</v>
      </c>
      <c r="E1156" s="32">
        <v>1.2800000000000001E-3</v>
      </c>
      <c r="F1156" s="32">
        <v>1034</v>
      </c>
      <c r="G1156" s="32">
        <v>0</v>
      </c>
      <c r="H1156" s="32">
        <v>24.8</v>
      </c>
      <c r="I1156" s="32" t="s">
        <v>12</v>
      </c>
      <c r="J1156" s="32">
        <v>1.2</v>
      </c>
      <c r="K1156" s="35">
        <v>7.66</v>
      </c>
    </row>
    <row r="1157" spans="1:11" ht="15.75" customHeight="1">
      <c r="A1157" s="32" t="s">
        <v>23</v>
      </c>
      <c r="B1157" s="32">
        <v>250.2</v>
      </c>
      <c r="C1157" s="33">
        <v>0.5</v>
      </c>
      <c r="D1157" s="32">
        <v>7.0099999999999996E-2</v>
      </c>
      <c r="E1157" s="32">
        <v>1.2800000000000001E-3</v>
      </c>
      <c r="F1157" s="32">
        <v>1034</v>
      </c>
      <c r="G1157" s="32">
        <v>0</v>
      </c>
      <c r="H1157" s="32">
        <v>24.8</v>
      </c>
      <c r="I1157" s="32" t="s">
        <v>12</v>
      </c>
      <c r="J1157" s="32">
        <v>1.2</v>
      </c>
      <c r="K1157" s="35">
        <v>6.63</v>
      </c>
    </row>
    <row r="1158" spans="1:11" ht="15.75" customHeight="1">
      <c r="A1158" s="32" t="s">
        <v>23</v>
      </c>
      <c r="B1158" s="32">
        <v>325.2</v>
      </c>
      <c r="C1158" s="33">
        <v>0.5</v>
      </c>
      <c r="D1158" s="32">
        <v>7.0099999999999996E-2</v>
      </c>
      <c r="E1158" s="32">
        <v>1.2800000000000001E-3</v>
      </c>
      <c r="F1158" s="32">
        <v>1034</v>
      </c>
      <c r="G1158" s="32">
        <v>0</v>
      </c>
      <c r="H1158" s="32">
        <v>24.8</v>
      </c>
      <c r="I1158" s="32" t="s">
        <v>12</v>
      </c>
      <c r="J1158" s="32">
        <v>1.2</v>
      </c>
      <c r="K1158" s="35">
        <v>6.3</v>
      </c>
    </row>
    <row r="1159" spans="1:11" ht="15.75" customHeight="1">
      <c r="A1159" s="32" t="s">
        <v>23</v>
      </c>
      <c r="B1159" s="32">
        <v>375</v>
      </c>
      <c r="C1159" s="33">
        <v>0.5</v>
      </c>
      <c r="D1159" s="32">
        <v>7.0099999999999996E-2</v>
      </c>
      <c r="E1159" s="32">
        <v>1.2800000000000001E-3</v>
      </c>
      <c r="F1159" s="32">
        <v>1034</v>
      </c>
      <c r="G1159" s="32">
        <v>0</v>
      </c>
      <c r="H1159" s="32">
        <v>24.8</v>
      </c>
      <c r="I1159" s="32" t="s">
        <v>12</v>
      </c>
      <c r="J1159" s="32">
        <v>1.2</v>
      </c>
      <c r="K1159" s="35">
        <v>6.37</v>
      </c>
    </row>
    <row r="1160" spans="1:11" ht="15.75" customHeight="1">
      <c r="A1160" s="32" t="s">
        <v>23</v>
      </c>
      <c r="B1160" s="32">
        <v>424.8</v>
      </c>
      <c r="C1160" s="33">
        <v>0.5</v>
      </c>
      <c r="D1160" s="32">
        <v>7.0099999999999996E-2</v>
      </c>
      <c r="E1160" s="32">
        <v>1.2800000000000001E-3</v>
      </c>
      <c r="F1160" s="32">
        <v>1034</v>
      </c>
      <c r="G1160" s="32">
        <v>0</v>
      </c>
      <c r="H1160" s="32">
        <v>24.8</v>
      </c>
      <c r="I1160" s="32" t="s">
        <v>12</v>
      </c>
      <c r="J1160" s="32">
        <v>1.2</v>
      </c>
      <c r="K1160" s="35">
        <v>6.43</v>
      </c>
    </row>
    <row r="1161" spans="1:11" ht="15.75" customHeight="1">
      <c r="A1161" s="32" t="s">
        <v>23</v>
      </c>
      <c r="B1161" s="32">
        <v>499.8</v>
      </c>
      <c r="C1161" s="33">
        <v>0.5</v>
      </c>
      <c r="D1161" s="32">
        <v>7.0099999999999996E-2</v>
      </c>
      <c r="E1161" s="32">
        <v>1.2800000000000001E-3</v>
      </c>
      <c r="F1161" s="32">
        <v>1034</v>
      </c>
      <c r="G1161" s="32">
        <v>0</v>
      </c>
      <c r="H1161" s="32">
        <v>24.8</v>
      </c>
      <c r="I1161" s="32" t="s">
        <v>12</v>
      </c>
      <c r="J1161" s="32">
        <v>1.2</v>
      </c>
      <c r="K1161" s="35">
        <v>6.4</v>
      </c>
    </row>
    <row r="1162" spans="1:11" ht="15.75" customHeight="1">
      <c r="A1162" s="32" t="s">
        <v>23</v>
      </c>
      <c r="B1162" s="32">
        <v>50</v>
      </c>
      <c r="C1162" s="33">
        <v>0.5</v>
      </c>
      <c r="D1162" s="32">
        <v>6.9900000000000004E-2</v>
      </c>
      <c r="E1162" s="32">
        <v>1.89E-3</v>
      </c>
      <c r="F1162" s="32">
        <v>1057</v>
      </c>
      <c r="G1162" s="32">
        <v>0</v>
      </c>
      <c r="H1162" s="32">
        <v>25.6</v>
      </c>
      <c r="I1162" s="32" t="s">
        <v>12</v>
      </c>
      <c r="J1162" s="32">
        <v>1.2</v>
      </c>
      <c r="K1162" s="35">
        <v>6.03</v>
      </c>
    </row>
    <row r="1163" spans="1:11" ht="15.75" customHeight="1">
      <c r="A1163" s="32" t="s">
        <v>23</v>
      </c>
      <c r="B1163" s="32">
        <v>75</v>
      </c>
      <c r="C1163" s="33">
        <v>0.5</v>
      </c>
      <c r="D1163" s="32">
        <v>6.9900000000000004E-2</v>
      </c>
      <c r="E1163" s="32">
        <v>1.89E-3</v>
      </c>
      <c r="F1163" s="32">
        <v>1057</v>
      </c>
      <c r="G1163" s="32">
        <v>0</v>
      </c>
      <c r="H1163" s="32">
        <v>25.6</v>
      </c>
      <c r="I1163" s="32" t="s">
        <v>12</v>
      </c>
      <c r="J1163" s="32">
        <v>1.2</v>
      </c>
      <c r="K1163" s="35">
        <v>6.13</v>
      </c>
    </row>
    <row r="1164" spans="1:11" ht="15.75" customHeight="1">
      <c r="A1164" s="32" t="s">
        <v>23</v>
      </c>
      <c r="B1164" s="32">
        <v>100.2</v>
      </c>
      <c r="C1164" s="33">
        <v>0.5</v>
      </c>
      <c r="D1164" s="32">
        <v>6.9900000000000004E-2</v>
      </c>
      <c r="E1164" s="32">
        <v>1.89E-3</v>
      </c>
      <c r="F1164" s="32">
        <v>1057</v>
      </c>
      <c r="G1164" s="32">
        <v>0</v>
      </c>
      <c r="H1164" s="32">
        <v>25.6</v>
      </c>
      <c r="I1164" s="32" t="s">
        <v>12</v>
      </c>
      <c r="J1164" s="32">
        <v>1.2</v>
      </c>
      <c r="K1164" s="35">
        <v>6.21</v>
      </c>
    </row>
    <row r="1165" spans="1:11" ht="15.75" customHeight="1">
      <c r="A1165" s="32" t="s">
        <v>23</v>
      </c>
      <c r="B1165" s="32">
        <v>124.8</v>
      </c>
      <c r="C1165" s="33">
        <v>0.5</v>
      </c>
      <c r="D1165" s="32">
        <v>6.9900000000000004E-2</v>
      </c>
      <c r="E1165" s="32">
        <v>1.89E-3</v>
      </c>
      <c r="F1165" s="32">
        <v>1057</v>
      </c>
      <c r="G1165" s="32">
        <v>0</v>
      </c>
      <c r="H1165" s="32">
        <v>25.6</v>
      </c>
      <c r="I1165" s="32" t="s">
        <v>12</v>
      </c>
      <c r="J1165" s="32">
        <v>1.2</v>
      </c>
      <c r="K1165" s="35">
        <v>6.61</v>
      </c>
    </row>
    <row r="1166" spans="1:11" ht="15.75" customHeight="1">
      <c r="A1166" s="32" t="s">
        <v>23</v>
      </c>
      <c r="B1166" s="32">
        <v>175.2</v>
      </c>
      <c r="C1166" s="33">
        <v>0.5</v>
      </c>
      <c r="D1166" s="32">
        <v>6.9900000000000004E-2</v>
      </c>
      <c r="E1166" s="32">
        <v>1.89E-3</v>
      </c>
      <c r="F1166" s="32">
        <v>1057</v>
      </c>
      <c r="G1166" s="32">
        <v>0</v>
      </c>
      <c r="H1166" s="32">
        <v>25.6</v>
      </c>
      <c r="I1166" s="32" t="s">
        <v>12</v>
      </c>
      <c r="J1166" s="32">
        <v>1.2</v>
      </c>
      <c r="K1166" s="35">
        <v>7.17</v>
      </c>
    </row>
    <row r="1167" spans="1:11" ht="15.75" customHeight="1">
      <c r="A1167" s="32" t="s">
        <v>23</v>
      </c>
      <c r="B1167" s="32">
        <v>250.2</v>
      </c>
      <c r="C1167" s="33">
        <v>0.5</v>
      </c>
      <c r="D1167" s="32">
        <v>6.9900000000000004E-2</v>
      </c>
      <c r="E1167" s="32">
        <v>1.89E-3</v>
      </c>
      <c r="F1167" s="32">
        <v>1057</v>
      </c>
      <c r="G1167" s="32">
        <v>0</v>
      </c>
      <c r="H1167" s="32">
        <v>25.6</v>
      </c>
      <c r="I1167" s="32" t="s">
        <v>12</v>
      </c>
      <c r="J1167" s="32">
        <v>1.2</v>
      </c>
      <c r="K1167" s="35">
        <v>6.58</v>
      </c>
    </row>
    <row r="1168" spans="1:11" ht="15.75" customHeight="1">
      <c r="A1168" s="32" t="s">
        <v>23</v>
      </c>
      <c r="B1168" s="32">
        <v>325.2</v>
      </c>
      <c r="C1168" s="33">
        <v>0.5</v>
      </c>
      <c r="D1168" s="32">
        <v>6.9900000000000004E-2</v>
      </c>
      <c r="E1168" s="32">
        <v>1.89E-3</v>
      </c>
      <c r="F1168" s="32">
        <v>1057</v>
      </c>
      <c r="G1168" s="32">
        <v>0</v>
      </c>
      <c r="H1168" s="32">
        <v>25.6</v>
      </c>
      <c r="I1168" s="32" t="s">
        <v>12</v>
      </c>
      <c r="J1168" s="32">
        <v>1.2</v>
      </c>
      <c r="K1168" s="35">
        <v>6.14</v>
      </c>
    </row>
    <row r="1169" spans="1:11" ht="15.75" customHeight="1">
      <c r="A1169" s="32" t="s">
        <v>23</v>
      </c>
      <c r="B1169" s="32">
        <v>375</v>
      </c>
      <c r="C1169" s="33">
        <v>0.5</v>
      </c>
      <c r="D1169" s="32">
        <v>6.9900000000000004E-2</v>
      </c>
      <c r="E1169" s="32">
        <v>1.89E-3</v>
      </c>
      <c r="F1169" s="32">
        <v>1057</v>
      </c>
      <c r="G1169" s="32">
        <v>0</v>
      </c>
      <c r="H1169" s="32">
        <v>25.6</v>
      </c>
      <c r="I1169" s="32" t="s">
        <v>12</v>
      </c>
      <c r="J1169" s="32">
        <v>1.2</v>
      </c>
      <c r="K1169" s="35">
        <v>6.2</v>
      </c>
    </row>
    <row r="1170" spans="1:11" ht="15.75" customHeight="1">
      <c r="A1170" s="32" t="s">
        <v>23</v>
      </c>
      <c r="B1170" s="32">
        <v>424.8</v>
      </c>
      <c r="C1170" s="33">
        <v>0.5</v>
      </c>
      <c r="D1170" s="32">
        <v>6.9900000000000004E-2</v>
      </c>
      <c r="E1170" s="32">
        <v>1.89E-3</v>
      </c>
      <c r="F1170" s="32">
        <v>1057</v>
      </c>
      <c r="G1170" s="32">
        <v>0</v>
      </c>
      <c r="H1170" s="32">
        <v>25.6</v>
      </c>
      <c r="I1170" s="32" t="s">
        <v>12</v>
      </c>
      <c r="J1170" s="32">
        <v>1.2</v>
      </c>
      <c r="K1170" s="35">
        <v>6.23</v>
      </c>
    </row>
    <row r="1171" spans="1:11" ht="15.75" customHeight="1">
      <c r="A1171" s="32" t="s">
        <v>23</v>
      </c>
      <c r="B1171" s="32">
        <v>499.8</v>
      </c>
      <c r="C1171" s="33">
        <v>0.5</v>
      </c>
      <c r="D1171" s="32">
        <v>6.9900000000000004E-2</v>
      </c>
      <c r="E1171" s="32">
        <v>1.89E-3</v>
      </c>
      <c r="F1171" s="32">
        <v>1057</v>
      </c>
      <c r="G1171" s="32">
        <v>0</v>
      </c>
      <c r="H1171" s="32">
        <v>25.6</v>
      </c>
      <c r="I1171" s="32" t="s">
        <v>12</v>
      </c>
      <c r="J1171" s="32">
        <v>1.2</v>
      </c>
      <c r="K1171" s="35">
        <v>6.22</v>
      </c>
    </row>
    <row r="1172" spans="1:11" ht="15.75" customHeight="1">
      <c r="A1172" s="32" t="s">
        <v>23</v>
      </c>
      <c r="B1172" s="32">
        <v>50</v>
      </c>
      <c r="C1172" s="33">
        <v>0.5</v>
      </c>
      <c r="D1172" s="32">
        <v>6.7699999999999996E-2</v>
      </c>
      <c r="E1172" s="32">
        <v>2.6700000000000001E-3</v>
      </c>
      <c r="F1172" s="32">
        <v>1097</v>
      </c>
      <c r="G1172" s="32">
        <v>0</v>
      </c>
      <c r="H1172" s="32">
        <v>24.8</v>
      </c>
      <c r="I1172" s="32" t="s">
        <v>12</v>
      </c>
      <c r="J1172" s="32">
        <v>1.2</v>
      </c>
      <c r="K1172" s="35">
        <v>5.35</v>
      </c>
    </row>
    <row r="1173" spans="1:11" ht="15.75" customHeight="1">
      <c r="A1173" s="32" t="s">
        <v>23</v>
      </c>
      <c r="B1173" s="32">
        <v>75</v>
      </c>
      <c r="C1173" s="33">
        <v>0.5</v>
      </c>
      <c r="D1173" s="32">
        <v>6.7699999999999996E-2</v>
      </c>
      <c r="E1173" s="32">
        <v>2.6700000000000001E-3</v>
      </c>
      <c r="F1173" s="32">
        <v>1097</v>
      </c>
      <c r="G1173" s="32">
        <v>0</v>
      </c>
      <c r="H1173" s="32">
        <v>24.8</v>
      </c>
      <c r="I1173" s="32" t="s">
        <v>12</v>
      </c>
      <c r="J1173" s="32">
        <v>1.2</v>
      </c>
      <c r="K1173" s="35">
        <v>5.21</v>
      </c>
    </row>
    <row r="1174" spans="1:11" ht="15.75" customHeight="1">
      <c r="A1174" s="32" t="s">
        <v>23</v>
      </c>
      <c r="B1174" s="32">
        <v>100.2</v>
      </c>
      <c r="C1174" s="33">
        <v>0.5</v>
      </c>
      <c r="D1174" s="32">
        <v>6.7699999999999996E-2</v>
      </c>
      <c r="E1174" s="32">
        <v>2.6700000000000001E-3</v>
      </c>
      <c r="F1174" s="32">
        <v>1097</v>
      </c>
      <c r="G1174" s="32">
        <v>0</v>
      </c>
      <c r="H1174" s="32">
        <v>24.8</v>
      </c>
      <c r="I1174" s="32" t="s">
        <v>12</v>
      </c>
      <c r="J1174" s="32">
        <v>1.2</v>
      </c>
      <c r="K1174" s="35">
        <v>5.47</v>
      </c>
    </row>
    <row r="1175" spans="1:11" ht="15.75" customHeight="1">
      <c r="A1175" s="32" t="s">
        <v>23</v>
      </c>
      <c r="B1175" s="32">
        <v>124.8</v>
      </c>
      <c r="C1175" s="33">
        <v>0.5</v>
      </c>
      <c r="D1175" s="32">
        <v>6.7699999999999996E-2</v>
      </c>
      <c r="E1175" s="32">
        <v>2.6700000000000001E-3</v>
      </c>
      <c r="F1175" s="32">
        <v>1097</v>
      </c>
      <c r="G1175" s="32">
        <v>0</v>
      </c>
      <c r="H1175" s="32">
        <v>24.8</v>
      </c>
      <c r="I1175" s="32" t="s">
        <v>12</v>
      </c>
      <c r="J1175" s="32">
        <v>1.2</v>
      </c>
      <c r="K1175" s="35">
        <v>6.03</v>
      </c>
    </row>
    <row r="1176" spans="1:11" ht="15.75" customHeight="1">
      <c r="A1176" s="32" t="s">
        <v>23</v>
      </c>
      <c r="B1176" s="32">
        <v>175.2</v>
      </c>
      <c r="C1176" s="33">
        <v>0.5</v>
      </c>
      <c r="D1176" s="32">
        <v>6.7699999999999996E-2</v>
      </c>
      <c r="E1176" s="32">
        <v>2.6700000000000001E-3</v>
      </c>
      <c r="F1176" s="32">
        <v>1097</v>
      </c>
      <c r="G1176" s="32">
        <v>0</v>
      </c>
      <c r="H1176" s="32">
        <v>24.8</v>
      </c>
      <c r="I1176" s="32" t="s">
        <v>12</v>
      </c>
      <c r="J1176" s="32">
        <v>1.2</v>
      </c>
      <c r="K1176" s="35">
        <v>7.11</v>
      </c>
    </row>
    <row r="1177" spans="1:11" ht="15.75" customHeight="1">
      <c r="A1177" s="32" t="s">
        <v>23</v>
      </c>
      <c r="B1177" s="32">
        <v>250.2</v>
      </c>
      <c r="C1177" s="33">
        <v>0.5</v>
      </c>
      <c r="D1177" s="32">
        <v>6.7699999999999996E-2</v>
      </c>
      <c r="E1177" s="32">
        <v>2.6700000000000001E-3</v>
      </c>
      <c r="F1177" s="32">
        <v>1097</v>
      </c>
      <c r="G1177" s="32">
        <v>0</v>
      </c>
      <c r="H1177" s="32">
        <v>24.8</v>
      </c>
      <c r="I1177" s="32" t="s">
        <v>12</v>
      </c>
      <c r="J1177" s="32">
        <v>1.2</v>
      </c>
      <c r="K1177" s="35">
        <v>5.81</v>
      </c>
    </row>
    <row r="1178" spans="1:11" ht="15.75" customHeight="1">
      <c r="A1178" s="32" t="s">
        <v>23</v>
      </c>
      <c r="B1178" s="32">
        <v>325.2</v>
      </c>
      <c r="C1178" s="33">
        <v>0.5</v>
      </c>
      <c r="D1178" s="32">
        <v>6.7699999999999996E-2</v>
      </c>
      <c r="E1178" s="32">
        <v>2.6700000000000001E-3</v>
      </c>
      <c r="F1178" s="32">
        <v>1097</v>
      </c>
      <c r="G1178" s="32">
        <v>0</v>
      </c>
      <c r="H1178" s="32">
        <v>24.8</v>
      </c>
      <c r="I1178" s="32" t="s">
        <v>12</v>
      </c>
      <c r="J1178" s="32">
        <v>1.2</v>
      </c>
      <c r="K1178" s="35">
        <v>5.77</v>
      </c>
    </row>
    <row r="1179" spans="1:11" ht="15.75" customHeight="1">
      <c r="A1179" s="32" t="s">
        <v>23</v>
      </c>
      <c r="B1179" s="32">
        <v>375</v>
      </c>
      <c r="C1179" s="33">
        <v>0.5</v>
      </c>
      <c r="D1179" s="32">
        <v>6.7699999999999996E-2</v>
      </c>
      <c r="E1179" s="32">
        <v>2.6700000000000001E-3</v>
      </c>
      <c r="F1179" s="32">
        <v>1097</v>
      </c>
      <c r="G1179" s="32">
        <v>0</v>
      </c>
      <c r="H1179" s="32">
        <v>24.8</v>
      </c>
      <c r="I1179" s="32" t="s">
        <v>12</v>
      </c>
      <c r="J1179" s="32">
        <v>1.2</v>
      </c>
      <c r="K1179" s="35">
        <v>5.84</v>
      </c>
    </row>
    <row r="1180" spans="1:11" ht="15.75" customHeight="1">
      <c r="A1180" s="32" t="s">
        <v>23</v>
      </c>
      <c r="B1180" s="32">
        <v>424.8</v>
      </c>
      <c r="C1180" s="33">
        <v>0.5</v>
      </c>
      <c r="D1180" s="32">
        <v>6.7699999999999996E-2</v>
      </c>
      <c r="E1180" s="32">
        <v>2.6700000000000001E-3</v>
      </c>
      <c r="F1180" s="32">
        <v>1097</v>
      </c>
      <c r="G1180" s="32">
        <v>0</v>
      </c>
      <c r="H1180" s="32">
        <v>24.8</v>
      </c>
      <c r="I1180" s="32" t="s">
        <v>12</v>
      </c>
      <c r="J1180" s="32">
        <v>1.2</v>
      </c>
      <c r="K1180" s="35">
        <v>5.74</v>
      </c>
    </row>
    <row r="1181" spans="1:11" ht="15.75" customHeight="1">
      <c r="A1181" s="32" t="s">
        <v>23</v>
      </c>
      <c r="B1181" s="32">
        <v>499.8</v>
      </c>
      <c r="C1181" s="33">
        <v>0.5</v>
      </c>
      <c r="D1181" s="32">
        <v>6.7699999999999996E-2</v>
      </c>
      <c r="E1181" s="32">
        <v>2.6700000000000001E-3</v>
      </c>
      <c r="F1181" s="32">
        <v>1097</v>
      </c>
      <c r="G1181" s="32">
        <v>0</v>
      </c>
      <c r="H1181" s="32">
        <v>24.8</v>
      </c>
      <c r="I1181" s="32" t="s">
        <v>12</v>
      </c>
      <c r="J1181" s="32">
        <v>1.2</v>
      </c>
      <c r="K1181" s="35">
        <v>5.81</v>
      </c>
    </row>
    <row r="1182" spans="1:11" ht="15.75" customHeight="1">
      <c r="A1182" s="32" t="s">
        <v>23</v>
      </c>
      <c r="B1182" s="32">
        <v>50</v>
      </c>
      <c r="C1182" s="33">
        <v>0.5</v>
      </c>
      <c r="D1182" s="32">
        <v>6.7299999999999999E-2</v>
      </c>
      <c r="E1182" s="32">
        <v>4.15E-3</v>
      </c>
      <c r="F1182" s="32">
        <v>1124</v>
      </c>
      <c r="G1182" s="32">
        <v>0</v>
      </c>
      <c r="H1182" s="32">
        <v>25.6</v>
      </c>
      <c r="I1182" s="32" t="s">
        <v>12</v>
      </c>
      <c r="J1182" s="32">
        <v>1.2</v>
      </c>
      <c r="K1182" s="35">
        <v>5.74</v>
      </c>
    </row>
    <row r="1183" spans="1:11" ht="15.75" customHeight="1">
      <c r="A1183" s="32" t="s">
        <v>23</v>
      </c>
      <c r="B1183" s="32">
        <v>75</v>
      </c>
      <c r="C1183" s="33">
        <v>0.5</v>
      </c>
      <c r="D1183" s="32">
        <v>6.7299999999999999E-2</v>
      </c>
      <c r="E1183" s="32">
        <v>4.15E-3</v>
      </c>
      <c r="F1183" s="32">
        <v>1124</v>
      </c>
      <c r="G1183" s="32">
        <v>0</v>
      </c>
      <c r="H1183" s="32">
        <v>25.6</v>
      </c>
      <c r="I1183" s="32" t="s">
        <v>12</v>
      </c>
      <c r="J1183" s="32">
        <v>1.2</v>
      </c>
      <c r="K1183" s="35">
        <v>5.69</v>
      </c>
    </row>
    <row r="1184" spans="1:11" ht="15.75" customHeight="1">
      <c r="A1184" s="32" t="s">
        <v>23</v>
      </c>
      <c r="B1184" s="32">
        <v>100.2</v>
      </c>
      <c r="C1184" s="33">
        <v>0.5</v>
      </c>
      <c r="D1184" s="32">
        <v>6.7299999999999999E-2</v>
      </c>
      <c r="E1184" s="32">
        <v>4.15E-3</v>
      </c>
      <c r="F1184" s="32">
        <v>1124</v>
      </c>
      <c r="G1184" s="32">
        <v>0</v>
      </c>
      <c r="H1184" s="32">
        <v>25.6</v>
      </c>
      <c r="I1184" s="32" t="s">
        <v>12</v>
      </c>
      <c r="J1184" s="32">
        <v>1.2</v>
      </c>
      <c r="K1184" s="35">
        <v>5.69</v>
      </c>
    </row>
    <row r="1185" spans="1:11" ht="15.75" customHeight="1">
      <c r="A1185" s="32" t="s">
        <v>23</v>
      </c>
      <c r="B1185" s="32">
        <v>124.8</v>
      </c>
      <c r="C1185" s="33">
        <v>0.5</v>
      </c>
      <c r="D1185" s="32">
        <v>6.7299999999999999E-2</v>
      </c>
      <c r="E1185" s="32">
        <v>4.15E-3</v>
      </c>
      <c r="F1185" s="32">
        <v>1124</v>
      </c>
      <c r="G1185" s="32">
        <v>0</v>
      </c>
      <c r="H1185" s="32">
        <v>25.6</v>
      </c>
      <c r="I1185" s="32" t="s">
        <v>12</v>
      </c>
      <c r="J1185" s="32">
        <v>1.2</v>
      </c>
      <c r="K1185" s="35">
        <v>6</v>
      </c>
    </row>
    <row r="1186" spans="1:11" ht="15.75" customHeight="1">
      <c r="A1186" s="32" t="s">
        <v>23</v>
      </c>
      <c r="B1186" s="32">
        <v>175.2</v>
      </c>
      <c r="C1186" s="33">
        <v>0.5</v>
      </c>
      <c r="D1186" s="32">
        <v>6.7299999999999999E-2</v>
      </c>
      <c r="E1186" s="32">
        <v>4.15E-3</v>
      </c>
      <c r="F1186" s="32">
        <v>1124</v>
      </c>
      <c r="G1186" s="32">
        <v>0</v>
      </c>
      <c r="H1186" s="32">
        <v>25.6</v>
      </c>
      <c r="I1186" s="32" t="s">
        <v>12</v>
      </c>
      <c r="J1186" s="32">
        <v>1.2</v>
      </c>
      <c r="K1186" s="35">
        <v>6.99</v>
      </c>
    </row>
    <row r="1187" spans="1:11" ht="15.75" customHeight="1">
      <c r="A1187" s="32" t="s">
        <v>23</v>
      </c>
      <c r="B1187" s="32">
        <v>250.2</v>
      </c>
      <c r="C1187" s="33">
        <v>0.5</v>
      </c>
      <c r="D1187" s="32">
        <v>6.7299999999999999E-2</v>
      </c>
      <c r="E1187" s="32">
        <v>4.15E-3</v>
      </c>
      <c r="F1187" s="32">
        <v>1124</v>
      </c>
      <c r="G1187" s="32">
        <v>0</v>
      </c>
      <c r="H1187" s="32">
        <v>25.6</v>
      </c>
      <c r="I1187" s="32" t="s">
        <v>12</v>
      </c>
      <c r="J1187" s="32">
        <v>1.2</v>
      </c>
      <c r="K1187" s="35">
        <v>7.05</v>
      </c>
    </row>
    <row r="1188" spans="1:11" ht="15.75" customHeight="1">
      <c r="A1188" s="32" t="s">
        <v>23</v>
      </c>
      <c r="B1188" s="32">
        <v>325.2</v>
      </c>
      <c r="C1188" s="33">
        <v>0.5</v>
      </c>
      <c r="D1188" s="32">
        <v>6.7299999999999999E-2</v>
      </c>
      <c r="E1188" s="32">
        <v>4.15E-3</v>
      </c>
      <c r="F1188" s="32">
        <v>1124</v>
      </c>
      <c r="G1188" s="32">
        <v>0</v>
      </c>
      <c r="H1188" s="32">
        <v>25.6</v>
      </c>
      <c r="I1188" s="32" t="s">
        <v>12</v>
      </c>
      <c r="J1188" s="32">
        <v>1.2</v>
      </c>
      <c r="K1188" s="35">
        <v>6.1</v>
      </c>
    </row>
    <row r="1189" spans="1:11" ht="15.75" customHeight="1">
      <c r="A1189" s="32" t="s">
        <v>23</v>
      </c>
      <c r="B1189" s="32">
        <v>375</v>
      </c>
      <c r="C1189" s="33">
        <v>0.5</v>
      </c>
      <c r="D1189" s="32">
        <v>6.7299999999999999E-2</v>
      </c>
      <c r="E1189" s="32">
        <v>4.15E-3</v>
      </c>
      <c r="F1189" s="32">
        <v>1124</v>
      </c>
      <c r="G1189" s="32">
        <v>0</v>
      </c>
      <c r="H1189" s="32">
        <v>25.6</v>
      </c>
      <c r="I1189" s="32" t="s">
        <v>12</v>
      </c>
      <c r="J1189" s="32">
        <v>1.2</v>
      </c>
      <c r="K1189" s="35">
        <v>6.02</v>
      </c>
    </row>
    <row r="1190" spans="1:11" ht="15.75" customHeight="1">
      <c r="A1190" s="32" t="s">
        <v>23</v>
      </c>
      <c r="B1190" s="32">
        <v>424.8</v>
      </c>
      <c r="C1190" s="33">
        <v>0.5</v>
      </c>
      <c r="D1190" s="32">
        <v>6.7299999999999999E-2</v>
      </c>
      <c r="E1190" s="32">
        <v>4.15E-3</v>
      </c>
      <c r="F1190" s="32">
        <v>1124</v>
      </c>
      <c r="G1190" s="32">
        <v>0</v>
      </c>
      <c r="H1190" s="32">
        <v>25.6</v>
      </c>
      <c r="I1190" s="32" t="s">
        <v>12</v>
      </c>
      <c r="J1190" s="32">
        <v>1.2</v>
      </c>
      <c r="K1190" s="35">
        <v>6.11</v>
      </c>
    </row>
    <row r="1191" spans="1:11" ht="15.75" customHeight="1">
      <c r="A1191" s="32" t="s">
        <v>23</v>
      </c>
      <c r="B1191" s="32">
        <v>499.8</v>
      </c>
      <c r="C1191" s="33">
        <v>0.5</v>
      </c>
      <c r="D1191" s="32">
        <v>6.7299999999999999E-2</v>
      </c>
      <c r="E1191" s="32">
        <v>4.15E-3</v>
      </c>
      <c r="F1191" s="32">
        <v>1124</v>
      </c>
      <c r="G1191" s="32">
        <v>0</v>
      </c>
      <c r="H1191" s="32">
        <v>25.6</v>
      </c>
      <c r="I1191" s="32" t="s">
        <v>12</v>
      </c>
      <c r="J1191" s="32">
        <v>1.2</v>
      </c>
      <c r="K1191" s="35">
        <v>6.21</v>
      </c>
    </row>
    <row r="1192" spans="1:11" ht="15.75" customHeight="1">
      <c r="A1192" s="32" t="s">
        <v>23</v>
      </c>
      <c r="B1192" s="32">
        <v>50</v>
      </c>
      <c r="C1192" s="33">
        <v>0.5</v>
      </c>
      <c r="D1192" s="32">
        <v>6.59E-2</v>
      </c>
      <c r="E1192" s="32">
        <v>1.0699999999999999E-2</v>
      </c>
      <c r="F1192" s="32">
        <v>1159</v>
      </c>
      <c r="G1192" s="32">
        <v>0</v>
      </c>
      <c r="H1192" s="32">
        <v>24.8</v>
      </c>
      <c r="I1192" s="32" t="s">
        <v>12</v>
      </c>
      <c r="J1192" s="32">
        <v>1.2</v>
      </c>
      <c r="K1192" s="35">
        <v>6.15</v>
      </c>
    </row>
    <row r="1193" spans="1:11" ht="15.75" customHeight="1">
      <c r="A1193" s="32" t="s">
        <v>23</v>
      </c>
      <c r="B1193" s="32">
        <v>75</v>
      </c>
      <c r="C1193" s="33">
        <v>0.5</v>
      </c>
      <c r="D1193" s="32">
        <v>6.59E-2</v>
      </c>
      <c r="E1193" s="32">
        <v>1.0699999999999999E-2</v>
      </c>
      <c r="F1193" s="32">
        <v>1159</v>
      </c>
      <c r="G1193" s="32">
        <v>0</v>
      </c>
      <c r="H1193" s="32">
        <v>24.8</v>
      </c>
      <c r="I1193" s="32" t="s">
        <v>12</v>
      </c>
      <c r="J1193" s="32">
        <v>1.2</v>
      </c>
      <c r="K1193" s="35">
        <v>6.19</v>
      </c>
    </row>
    <row r="1194" spans="1:11" ht="15.75" customHeight="1">
      <c r="A1194" s="32" t="s">
        <v>23</v>
      </c>
      <c r="B1194" s="32">
        <v>100.2</v>
      </c>
      <c r="C1194" s="33">
        <v>0.5</v>
      </c>
      <c r="D1194" s="32">
        <v>6.59E-2</v>
      </c>
      <c r="E1194" s="32">
        <v>1.0699999999999999E-2</v>
      </c>
      <c r="F1194" s="32">
        <v>1159</v>
      </c>
      <c r="G1194" s="32">
        <v>0</v>
      </c>
      <c r="H1194" s="32">
        <v>24.8</v>
      </c>
      <c r="I1194" s="32" t="s">
        <v>12</v>
      </c>
      <c r="J1194" s="32">
        <v>1.2</v>
      </c>
      <c r="K1194" s="35">
        <v>6.18</v>
      </c>
    </row>
    <row r="1195" spans="1:11" ht="15.75" customHeight="1">
      <c r="A1195" s="32" t="s">
        <v>23</v>
      </c>
      <c r="B1195" s="32">
        <v>124.8</v>
      </c>
      <c r="C1195" s="33">
        <v>0.5</v>
      </c>
      <c r="D1195" s="32">
        <v>6.59E-2</v>
      </c>
      <c r="E1195" s="32">
        <v>1.0699999999999999E-2</v>
      </c>
      <c r="F1195" s="32">
        <v>1159</v>
      </c>
      <c r="G1195" s="32">
        <v>0</v>
      </c>
      <c r="H1195" s="32">
        <v>24.8</v>
      </c>
      <c r="I1195" s="32" t="s">
        <v>12</v>
      </c>
      <c r="J1195" s="32">
        <v>1.2</v>
      </c>
      <c r="K1195" s="35">
        <v>6.02</v>
      </c>
    </row>
    <row r="1196" spans="1:11" ht="15.75" customHeight="1">
      <c r="A1196" s="32" t="s">
        <v>23</v>
      </c>
      <c r="B1196" s="32">
        <v>175.2</v>
      </c>
      <c r="C1196" s="33">
        <v>0.5</v>
      </c>
      <c r="D1196" s="32">
        <v>6.59E-2</v>
      </c>
      <c r="E1196" s="32">
        <v>1.0699999999999999E-2</v>
      </c>
      <c r="F1196" s="32">
        <v>1159</v>
      </c>
      <c r="G1196" s="32">
        <v>0</v>
      </c>
      <c r="H1196" s="32">
        <v>24.8</v>
      </c>
      <c r="I1196" s="32" t="s">
        <v>12</v>
      </c>
      <c r="J1196" s="32">
        <v>1.2</v>
      </c>
      <c r="K1196" s="35">
        <v>7.41</v>
      </c>
    </row>
    <row r="1197" spans="1:11" ht="15.75" customHeight="1">
      <c r="A1197" s="32" t="s">
        <v>23</v>
      </c>
      <c r="B1197" s="32">
        <v>250.2</v>
      </c>
      <c r="C1197" s="33">
        <v>0.5</v>
      </c>
      <c r="D1197" s="32">
        <v>6.59E-2</v>
      </c>
      <c r="E1197" s="32">
        <v>1.0699999999999999E-2</v>
      </c>
      <c r="F1197" s="32">
        <v>1159</v>
      </c>
      <c r="G1197" s="32">
        <v>0</v>
      </c>
      <c r="H1197" s="32">
        <v>24.8</v>
      </c>
      <c r="I1197" s="32" t="s">
        <v>12</v>
      </c>
      <c r="J1197" s="32">
        <v>1.2</v>
      </c>
      <c r="K1197" s="35">
        <v>6.91</v>
      </c>
    </row>
    <row r="1198" spans="1:11" ht="15.75" customHeight="1">
      <c r="A1198" s="32" t="s">
        <v>23</v>
      </c>
      <c r="B1198" s="32">
        <v>325.2</v>
      </c>
      <c r="C1198" s="33">
        <v>0.5</v>
      </c>
      <c r="D1198" s="32">
        <v>6.59E-2</v>
      </c>
      <c r="E1198" s="32">
        <v>1.0699999999999999E-2</v>
      </c>
      <c r="F1198" s="32">
        <v>1159</v>
      </c>
      <c r="G1198" s="32">
        <v>0</v>
      </c>
      <c r="H1198" s="32">
        <v>24.8</v>
      </c>
      <c r="I1198" s="32" t="s">
        <v>12</v>
      </c>
      <c r="J1198" s="32">
        <v>1.2</v>
      </c>
      <c r="K1198" s="35">
        <v>6.12</v>
      </c>
    </row>
    <row r="1199" spans="1:11" ht="15.75" customHeight="1">
      <c r="A1199" s="32" t="s">
        <v>23</v>
      </c>
      <c r="B1199" s="32">
        <v>375</v>
      </c>
      <c r="C1199" s="33">
        <v>0.5</v>
      </c>
      <c r="D1199" s="32">
        <v>6.59E-2</v>
      </c>
      <c r="E1199" s="32">
        <v>1.0699999999999999E-2</v>
      </c>
      <c r="F1199" s="32">
        <v>1159</v>
      </c>
      <c r="G1199" s="32">
        <v>0</v>
      </c>
      <c r="H1199" s="32">
        <v>24.8</v>
      </c>
      <c r="I1199" s="32" t="s">
        <v>12</v>
      </c>
      <c r="J1199" s="32">
        <v>1.2</v>
      </c>
      <c r="K1199" s="35">
        <v>6.13</v>
      </c>
    </row>
    <row r="1200" spans="1:11" ht="15.75" customHeight="1">
      <c r="A1200" s="32" t="s">
        <v>23</v>
      </c>
      <c r="B1200" s="32">
        <v>424.8</v>
      </c>
      <c r="C1200" s="33">
        <v>0.5</v>
      </c>
      <c r="D1200" s="32">
        <v>6.59E-2</v>
      </c>
      <c r="E1200" s="32">
        <v>1.0699999999999999E-2</v>
      </c>
      <c r="F1200" s="32">
        <v>1159</v>
      </c>
      <c r="G1200" s="32">
        <v>0</v>
      </c>
      <c r="H1200" s="32">
        <v>24.8</v>
      </c>
      <c r="I1200" s="32" t="s">
        <v>12</v>
      </c>
      <c r="J1200" s="32">
        <v>1.2</v>
      </c>
      <c r="K1200" s="35">
        <v>6.16</v>
      </c>
    </row>
    <row r="1201" spans="1:11" ht="15.75" customHeight="1">
      <c r="A1201" s="32" t="s">
        <v>23</v>
      </c>
      <c r="B1201" s="32">
        <v>499.8</v>
      </c>
      <c r="C1201" s="33">
        <v>0.5</v>
      </c>
      <c r="D1201" s="32">
        <v>6.59E-2</v>
      </c>
      <c r="E1201" s="32">
        <v>1.0699999999999999E-2</v>
      </c>
      <c r="F1201" s="32">
        <v>1159</v>
      </c>
      <c r="G1201" s="32">
        <v>0</v>
      </c>
      <c r="H1201" s="32">
        <v>24.8</v>
      </c>
      <c r="I1201" s="32" t="s">
        <v>12</v>
      </c>
      <c r="J1201" s="32">
        <v>1.2</v>
      </c>
      <c r="K1201" s="35">
        <v>6.51</v>
      </c>
    </row>
    <row r="1202" spans="1:11" ht="15.75" customHeight="1">
      <c r="A1202" s="45" t="s">
        <v>24</v>
      </c>
      <c r="B1202" s="46"/>
      <c r="C1202" s="47">
        <v>0.25</v>
      </c>
      <c r="D1202" s="45">
        <v>7.1999999999999995E-2</v>
      </c>
      <c r="E1202" s="45">
        <v>1.003E-3</v>
      </c>
      <c r="F1202" s="45">
        <v>998.2</v>
      </c>
      <c r="G1202" s="46"/>
      <c r="H1202" s="45">
        <v>25</v>
      </c>
      <c r="I1202" s="45" t="s">
        <v>12</v>
      </c>
      <c r="J1202" s="46"/>
      <c r="K1202" s="48">
        <v>2.9</v>
      </c>
    </row>
    <row r="1203" spans="1:11" ht="15.75" customHeight="1">
      <c r="A1203" s="45" t="s">
        <v>24</v>
      </c>
      <c r="B1203" s="46"/>
      <c r="C1203" s="47">
        <v>0.25</v>
      </c>
      <c r="D1203" s="45">
        <v>7.1999999999999995E-2</v>
      </c>
      <c r="E1203" s="45">
        <v>1.003E-3</v>
      </c>
      <c r="F1203" s="45">
        <v>998.2</v>
      </c>
      <c r="G1203" s="46"/>
      <c r="H1203" s="45">
        <v>25</v>
      </c>
      <c r="I1203" s="45" t="s">
        <v>12</v>
      </c>
      <c r="J1203" s="46"/>
      <c r="K1203" s="48">
        <v>3.37</v>
      </c>
    </row>
    <row r="1204" spans="1:11" ht="15.75" customHeight="1">
      <c r="A1204" s="45" t="s">
        <v>24</v>
      </c>
      <c r="B1204" s="46"/>
      <c r="C1204" s="47">
        <v>0.25</v>
      </c>
      <c r="D1204" s="45">
        <v>7.1999999999999995E-2</v>
      </c>
      <c r="E1204" s="45">
        <v>1.003E-3</v>
      </c>
      <c r="F1204" s="45">
        <v>998.2</v>
      </c>
      <c r="G1204" s="46"/>
      <c r="H1204" s="45">
        <v>25</v>
      </c>
      <c r="I1204" s="45" t="s">
        <v>12</v>
      </c>
      <c r="J1204" s="46"/>
      <c r="K1204" s="48">
        <v>3.98</v>
      </c>
    </row>
    <row r="1205" spans="1:11" ht="15.75" customHeight="1">
      <c r="A1205" s="45" t="s">
        <v>24</v>
      </c>
      <c r="B1205" s="46"/>
      <c r="C1205" s="47">
        <v>0.25</v>
      </c>
      <c r="D1205" s="45">
        <v>7.1999999999999995E-2</v>
      </c>
      <c r="E1205" s="45">
        <v>1.003E-3</v>
      </c>
      <c r="F1205" s="45">
        <v>998.2</v>
      </c>
      <c r="G1205" s="46"/>
      <c r="H1205" s="45">
        <v>25</v>
      </c>
      <c r="I1205" s="45" t="s">
        <v>12</v>
      </c>
      <c r="J1205" s="46"/>
      <c r="K1205" s="48">
        <v>4.1500000000000004</v>
      </c>
    </row>
    <row r="1206" spans="1:11" ht="15.75" customHeight="1">
      <c r="A1206" s="45" t="s">
        <v>24</v>
      </c>
      <c r="B1206" s="46"/>
      <c r="C1206" s="47">
        <v>0.25</v>
      </c>
      <c r="D1206" s="45">
        <v>7.1999999999999995E-2</v>
      </c>
      <c r="E1206" s="45">
        <v>1.003E-3</v>
      </c>
      <c r="F1206" s="45">
        <v>998.2</v>
      </c>
      <c r="G1206" s="46"/>
      <c r="H1206" s="45">
        <v>25</v>
      </c>
      <c r="I1206" s="45" t="s">
        <v>12</v>
      </c>
      <c r="J1206" s="46"/>
      <c r="K1206" s="48">
        <v>4.32</v>
      </c>
    </row>
    <row r="1207" spans="1:11" ht="15.75" customHeight="1">
      <c r="A1207" s="45" t="s">
        <v>24</v>
      </c>
      <c r="B1207" s="46"/>
      <c r="C1207" s="47">
        <v>0.25</v>
      </c>
      <c r="D1207" s="45">
        <v>7.1999999999999995E-2</v>
      </c>
      <c r="E1207" s="45">
        <v>1.003E-3</v>
      </c>
      <c r="F1207" s="45">
        <v>998.2</v>
      </c>
      <c r="G1207" s="46"/>
      <c r="H1207" s="45">
        <v>25</v>
      </c>
      <c r="I1207" s="45" t="s">
        <v>12</v>
      </c>
      <c r="J1207" s="46"/>
      <c r="K1207" s="48">
        <v>4.2699999999999996</v>
      </c>
    </row>
    <row r="1208" spans="1:11" ht="15.75" customHeight="1">
      <c r="A1208" s="45" t="s">
        <v>24</v>
      </c>
      <c r="B1208" s="46"/>
      <c r="C1208" s="47">
        <v>0.25</v>
      </c>
      <c r="D1208" s="45">
        <v>7.1999999999999995E-2</v>
      </c>
      <c r="E1208" s="45">
        <v>1.003E-3</v>
      </c>
      <c r="F1208" s="45">
        <v>998.2</v>
      </c>
      <c r="G1208" s="46"/>
      <c r="H1208" s="45">
        <v>25</v>
      </c>
      <c r="I1208" s="45" t="s">
        <v>12</v>
      </c>
      <c r="J1208" s="46"/>
      <c r="K1208" s="48">
        <v>4.25</v>
      </c>
    </row>
    <row r="1209" spans="1:11" ht="15.75" customHeight="1">
      <c r="A1209" s="45" t="s">
        <v>24</v>
      </c>
      <c r="B1209" s="46"/>
      <c r="C1209" s="47">
        <v>0.25</v>
      </c>
      <c r="D1209" s="45">
        <v>7.1999999999999995E-2</v>
      </c>
      <c r="E1209" s="45">
        <v>1.003E-3</v>
      </c>
      <c r="F1209" s="45">
        <v>998.2</v>
      </c>
      <c r="G1209" s="46"/>
      <c r="H1209" s="45">
        <v>25</v>
      </c>
      <c r="I1209" s="45" t="s">
        <v>12</v>
      </c>
      <c r="J1209" s="46"/>
      <c r="K1209" s="48">
        <v>4.1100000000000003</v>
      </c>
    </row>
    <row r="1210" spans="1:11" ht="15.75" customHeight="1">
      <c r="A1210" s="45" t="s">
        <v>24</v>
      </c>
      <c r="B1210" s="46"/>
      <c r="C1210" s="47">
        <v>0.34</v>
      </c>
      <c r="D1210" s="45">
        <v>7.1999999999999995E-2</v>
      </c>
      <c r="E1210" s="45">
        <v>1.003E-3</v>
      </c>
      <c r="F1210" s="45">
        <v>998.2</v>
      </c>
      <c r="G1210" s="46"/>
      <c r="H1210" s="45">
        <v>25</v>
      </c>
      <c r="I1210" s="45" t="s">
        <v>12</v>
      </c>
      <c r="J1210" s="46"/>
      <c r="K1210" s="48">
        <v>3.16</v>
      </c>
    </row>
    <row r="1211" spans="1:11" ht="15.75" customHeight="1">
      <c r="A1211" s="45" t="s">
        <v>24</v>
      </c>
      <c r="B1211" s="46"/>
      <c r="C1211" s="47">
        <v>0.34</v>
      </c>
      <c r="D1211" s="45">
        <v>7.1999999999999995E-2</v>
      </c>
      <c r="E1211" s="45">
        <v>1.003E-3</v>
      </c>
      <c r="F1211" s="45">
        <v>998.2</v>
      </c>
      <c r="G1211" s="46"/>
      <c r="H1211" s="45">
        <v>25</v>
      </c>
      <c r="I1211" s="45" t="s">
        <v>12</v>
      </c>
      <c r="J1211" s="46"/>
      <c r="K1211" s="48">
        <v>3.84</v>
      </c>
    </row>
    <row r="1212" spans="1:11" ht="15.75" customHeight="1">
      <c r="A1212" s="45" t="s">
        <v>24</v>
      </c>
      <c r="B1212" s="46"/>
      <c r="C1212" s="47">
        <v>0.34</v>
      </c>
      <c r="D1212" s="45">
        <v>7.1999999999999995E-2</v>
      </c>
      <c r="E1212" s="45">
        <v>1.003E-3</v>
      </c>
      <c r="F1212" s="45">
        <v>998.2</v>
      </c>
      <c r="G1212" s="46"/>
      <c r="H1212" s="45">
        <v>25</v>
      </c>
      <c r="I1212" s="45" t="s">
        <v>12</v>
      </c>
      <c r="J1212" s="46"/>
      <c r="K1212" s="48">
        <v>4.57</v>
      </c>
    </row>
    <row r="1213" spans="1:11" ht="15.75" customHeight="1">
      <c r="A1213" s="45" t="s">
        <v>24</v>
      </c>
      <c r="B1213" s="46"/>
      <c r="C1213" s="47">
        <v>0.34</v>
      </c>
      <c r="D1213" s="45">
        <v>7.1999999999999995E-2</v>
      </c>
      <c r="E1213" s="45">
        <v>1.003E-3</v>
      </c>
      <c r="F1213" s="45">
        <v>998.2</v>
      </c>
      <c r="G1213" s="46"/>
      <c r="H1213" s="45">
        <v>25</v>
      </c>
      <c r="I1213" s="45" t="s">
        <v>12</v>
      </c>
      <c r="J1213" s="46"/>
      <c r="K1213" s="48">
        <v>4.51</v>
      </c>
    </row>
    <row r="1214" spans="1:11" ht="15.75" customHeight="1">
      <c r="A1214" s="45" t="s">
        <v>24</v>
      </c>
      <c r="B1214" s="46"/>
      <c r="C1214" s="47">
        <v>0.34</v>
      </c>
      <c r="D1214" s="45">
        <v>7.1999999999999995E-2</v>
      </c>
      <c r="E1214" s="45">
        <v>1.003E-3</v>
      </c>
      <c r="F1214" s="45">
        <v>998.2</v>
      </c>
      <c r="G1214" s="46"/>
      <c r="H1214" s="45">
        <v>25</v>
      </c>
      <c r="I1214" s="45" t="s">
        <v>12</v>
      </c>
      <c r="J1214" s="46"/>
      <c r="K1214" s="48">
        <v>4.46</v>
      </c>
    </row>
    <row r="1215" spans="1:11" ht="15.75" customHeight="1">
      <c r="A1215" s="45" t="s">
        <v>24</v>
      </c>
      <c r="B1215" s="46"/>
      <c r="C1215" s="47">
        <v>0.34</v>
      </c>
      <c r="D1215" s="45">
        <v>7.1999999999999995E-2</v>
      </c>
      <c r="E1215" s="45">
        <v>1.003E-3</v>
      </c>
      <c r="F1215" s="45">
        <v>998.2</v>
      </c>
      <c r="G1215" s="46"/>
      <c r="H1215" s="45">
        <v>25</v>
      </c>
      <c r="I1215" s="45" t="s">
        <v>12</v>
      </c>
      <c r="J1215" s="46"/>
      <c r="K1215" s="48">
        <v>4.3899999999999997</v>
      </c>
    </row>
    <row r="1216" spans="1:11" ht="15.75" customHeight="1">
      <c r="A1216" s="45" t="s">
        <v>24</v>
      </c>
      <c r="B1216" s="46"/>
      <c r="C1216" s="47">
        <v>0.34</v>
      </c>
      <c r="D1216" s="45">
        <v>7.1999999999999995E-2</v>
      </c>
      <c r="E1216" s="45">
        <v>1.003E-3</v>
      </c>
      <c r="F1216" s="45">
        <v>998.2</v>
      </c>
      <c r="G1216" s="46"/>
      <c r="H1216" s="45">
        <v>25</v>
      </c>
      <c r="I1216" s="45" t="s">
        <v>12</v>
      </c>
      <c r="J1216" s="46"/>
      <c r="K1216" s="48">
        <v>4.3899999999999997</v>
      </c>
    </row>
    <row r="1217" spans="1:11" ht="15.75" customHeight="1">
      <c r="A1217" s="45" t="s">
        <v>24</v>
      </c>
      <c r="B1217" s="46"/>
      <c r="C1217" s="47">
        <v>0.34</v>
      </c>
      <c r="D1217" s="45">
        <v>7.1999999999999995E-2</v>
      </c>
      <c r="E1217" s="45">
        <v>1.003E-3</v>
      </c>
      <c r="F1217" s="45">
        <v>998.2</v>
      </c>
      <c r="G1217" s="46"/>
      <c r="H1217" s="45">
        <v>25</v>
      </c>
      <c r="I1217" s="45" t="s">
        <v>12</v>
      </c>
      <c r="J1217" s="46"/>
      <c r="K1217" s="48">
        <v>4.3899999999999997</v>
      </c>
    </row>
    <row r="1218" spans="1:11" ht="15.75" customHeight="1">
      <c r="A1218" s="45" t="s">
        <v>24</v>
      </c>
      <c r="B1218" s="46"/>
      <c r="C1218" s="47">
        <v>0.41</v>
      </c>
      <c r="D1218" s="45">
        <v>7.1999999999999995E-2</v>
      </c>
      <c r="E1218" s="45">
        <v>1.003E-3</v>
      </c>
      <c r="F1218" s="45">
        <v>998.2</v>
      </c>
      <c r="G1218" s="46"/>
      <c r="H1218" s="45">
        <v>25</v>
      </c>
      <c r="I1218" s="45" t="s">
        <v>12</v>
      </c>
      <c r="J1218" s="46"/>
      <c r="K1218" s="48">
        <v>3.57</v>
      </c>
    </row>
    <row r="1219" spans="1:11" ht="15.75" customHeight="1">
      <c r="A1219" s="45" t="s">
        <v>24</v>
      </c>
      <c r="B1219" s="46"/>
      <c r="C1219" s="47">
        <v>0.41</v>
      </c>
      <c r="D1219" s="45">
        <v>7.1999999999999995E-2</v>
      </c>
      <c r="E1219" s="45">
        <v>1.003E-3</v>
      </c>
      <c r="F1219" s="45">
        <v>998.2</v>
      </c>
      <c r="G1219" s="46"/>
      <c r="H1219" s="45">
        <v>25</v>
      </c>
      <c r="I1219" s="45" t="s">
        <v>12</v>
      </c>
      <c r="J1219" s="46"/>
      <c r="K1219" s="48">
        <v>4.6100000000000003</v>
      </c>
    </row>
    <row r="1220" spans="1:11" ht="15.75" customHeight="1">
      <c r="A1220" s="45" t="s">
        <v>24</v>
      </c>
      <c r="B1220" s="46"/>
      <c r="C1220" s="47">
        <v>0.41</v>
      </c>
      <c r="D1220" s="45">
        <v>7.1999999999999995E-2</v>
      </c>
      <c r="E1220" s="45">
        <v>1.003E-3</v>
      </c>
      <c r="F1220" s="45">
        <v>998.2</v>
      </c>
      <c r="G1220" s="46"/>
      <c r="H1220" s="45">
        <v>25</v>
      </c>
      <c r="I1220" s="45" t="s">
        <v>12</v>
      </c>
      <c r="J1220" s="46"/>
      <c r="K1220" s="48">
        <v>4.72</v>
      </c>
    </row>
    <row r="1221" spans="1:11" ht="15.75" customHeight="1">
      <c r="A1221" s="45" t="s">
        <v>24</v>
      </c>
      <c r="B1221" s="46"/>
      <c r="C1221" s="47">
        <v>0.41</v>
      </c>
      <c r="D1221" s="45">
        <v>7.1999999999999995E-2</v>
      </c>
      <c r="E1221" s="45">
        <v>1.003E-3</v>
      </c>
      <c r="F1221" s="45">
        <v>998.2</v>
      </c>
      <c r="G1221" s="46"/>
      <c r="H1221" s="45">
        <v>25</v>
      </c>
      <c r="I1221" s="45" t="s">
        <v>12</v>
      </c>
      <c r="J1221" s="46"/>
      <c r="K1221" s="48">
        <v>4.88</v>
      </c>
    </row>
    <row r="1222" spans="1:11" ht="15.75" customHeight="1">
      <c r="A1222" s="45" t="s">
        <v>24</v>
      </c>
      <c r="B1222" s="46"/>
      <c r="C1222" s="47">
        <v>0.41</v>
      </c>
      <c r="D1222" s="45">
        <v>7.1999999999999995E-2</v>
      </c>
      <c r="E1222" s="45">
        <v>1.003E-3</v>
      </c>
      <c r="F1222" s="45">
        <v>998.2</v>
      </c>
      <c r="G1222" s="46"/>
      <c r="H1222" s="45">
        <v>25</v>
      </c>
      <c r="I1222" s="45" t="s">
        <v>12</v>
      </c>
      <c r="J1222" s="46"/>
      <c r="K1222" s="48">
        <v>4.7699999999999996</v>
      </c>
    </row>
    <row r="1223" spans="1:11" ht="15.75" customHeight="1">
      <c r="A1223" s="45" t="s">
        <v>24</v>
      </c>
      <c r="B1223" s="46"/>
      <c r="C1223" s="47">
        <v>0.41</v>
      </c>
      <c r="D1223" s="45">
        <v>7.1999999999999995E-2</v>
      </c>
      <c r="E1223" s="45">
        <v>1.003E-3</v>
      </c>
      <c r="F1223" s="45">
        <v>998.2</v>
      </c>
      <c r="G1223" s="46"/>
      <c r="H1223" s="45">
        <v>25</v>
      </c>
      <c r="I1223" s="45" t="s">
        <v>12</v>
      </c>
      <c r="J1223" s="46"/>
      <c r="K1223" s="48">
        <v>4.72</v>
      </c>
    </row>
    <row r="1224" spans="1:11" ht="15.75" customHeight="1">
      <c r="A1224" s="45" t="s">
        <v>24</v>
      </c>
      <c r="B1224" s="46"/>
      <c r="C1224" s="47">
        <v>0.41</v>
      </c>
      <c r="D1224" s="45">
        <v>7.1999999999999995E-2</v>
      </c>
      <c r="E1224" s="45">
        <v>1.003E-3</v>
      </c>
      <c r="F1224" s="45">
        <v>998.2</v>
      </c>
      <c r="G1224" s="46"/>
      <c r="H1224" s="45">
        <v>25</v>
      </c>
      <c r="I1224" s="45" t="s">
        <v>12</v>
      </c>
      <c r="J1224" s="46"/>
      <c r="K1224" s="48">
        <v>4.8099999999999996</v>
      </c>
    </row>
    <row r="1225" spans="1:11" ht="15.75" customHeight="1">
      <c r="A1225" s="45" t="s">
        <v>24</v>
      </c>
      <c r="B1225" s="46"/>
      <c r="C1225" s="47">
        <v>0.41</v>
      </c>
      <c r="D1225" s="45">
        <v>7.1999999999999995E-2</v>
      </c>
      <c r="E1225" s="45">
        <v>1.003E-3</v>
      </c>
      <c r="F1225" s="45">
        <v>998.2</v>
      </c>
      <c r="G1225" s="46"/>
      <c r="H1225" s="45">
        <v>25</v>
      </c>
      <c r="I1225" s="45" t="s">
        <v>12</v>
      </c>
      <c r="J1225" s="46"/>
      <c r="K1225" s="48">
        <v>4.8600000000000003</v>
      </c>
    </row>
    <row r="1226" spans="1:11" ht="15.75" customHeight="1">
      <c r="A1226" s="45" t="s">
        <v>24</v>
      </c>
      <c r="B1226" s="46"/>
      <c r="C1226" s="47">
        <v>0.51</v>
      </c>
      <c r="D1226" s="45">
        <v>7.1999999999999995E-2</v>
      </c>
      <c r="E1226" s="45">
        <v>1.003E-3</v>
      </c>
      <c r="F1226" s="45">
        <v>998.2</v>
      </c>
      <c r="G1226" s="46"/>
      <c r="H1226" s="45">
        <v>25</v>
      </c>
      <c r="I1226" s="45" t="s">
        <v>12</v>
      </c>
      <c r="J1226" s="46"/>
      <c r="K1226" s="48">
        <v>4.62</v>
      </c>
    </row>
    <row r="1227" spans="1:11" ht="15.75" customHeight="1">
      <c r="A1227" s="45" t="s">
        <v>24</v>
      </c>
      <c r="B1227" s="46"/>
      <c r="C1227" s="47">
        <v>0.51</v>
      </c>
      <c r="D1227" s="45">
        <v>7.1999999999999995E-2</v>
      </c>
      <c r="E1227" s="45">
        <v>1.003E-3</v>
      </c>
      <c r="F1227" s="45">
        <v>998.2</v>
      </c>
      <c r="G1227" s="46"/>
      <c r="H1227" s="45">
        <v>25</v>
      </c>
      <c r="I1227" s="45" t="s">
        <v>12</v>
      </c>
      <c r="J1227" s="46"/>
      <c r="K1227" s="48">
        <v>5.32</v>
      </c>
    </row>
    <row r="1228" spans="1:11" ht="15.75" customHeight="1">
      <c r="A1228" s="45" t="s">
        <v>24</v>
      </c>
      <c r="B1228" s="46"/>
      <c r="C1228" s="47">
        <v>0.51</v>
      </c>
      <c r="D1228" s="45">
        <v>7.1999999999999995E-2</v>
      </c>
      <c r="E1228" s="45">
        <v>1.003E-3</v>
      </c>
      <c r="F1228" s="45">
        <v>998.2</v>
      </c>
      <c r="G1228" s="46"/>
      <c r="H1228" s="45">
        <v>25</v>
      </c>
      <c r="I1228" s="45" t="s">
        <v>12</v>
      </c>
      <c r="J1228" s="46"/>
      <c r="K1228" s="48">
        <v>5.0999999999999996</v>
      </c>
    </row>
    <row r="1229" spans="1:11" ht="15.75" customHeight="1">
      <c r="A1229" s="45" t="s">
        <v>24</v>
      </c>
      <c r="B1229" s="46"/>
      <c r="C1229" s="47">
        <v>0.51</v>
      </c>
      <c r="D1229" s="45">
        <v>7.1999999999999995E-2</v>
      </c>
      <c r="E1229" s="45">
        <v>1.003E-3</v>
      </c>
      <c r="F1229" s="45">
        <v>998.2</v>
      </c>
      <c r="G1229" s="46"/>
      <c r="H1229" s="45">
        <v>25</v>
      </c>
      <c r="I1229" s="45" t="s">
        <v>12</v>
      </c>
      <c r="J1229" s="46"/>
      <c r="K1229" s="48">
        <v>5.22</v>
      </c>
    </row>
    <row r="1230" spans="1:11" ht="15.75" customHeight="1">
      <c r="A1230" s="45" t="s">
        <v>24</v>
      </c>
      <c r="B1230" s="46"/>
      <c r="C1230" s="47">
        <v>0.51</v>
      </c>
      <c r="D1230" s="45">
        <v>7.1999999999999995E-2</v>
      </c>
      <c r="E1230" s="45">
        <v>1.003E-3</v>
      </c>
      <c r="F1230" s="45">
        <v>998.2</v>
      </c>
      <c r="G1230" s="46"/>
      <c r="H1230" s="45">
        <v>25</v>
      </c>
      <c r="I1230" s="45" t="s">
        <v>12</v>
      </c>
      <c r="J1230" s="46"/>
      <c r="K1230" s="48">
        <v>5.16</v>
      </c>
    </row>
    <row r="1231" spans="1:11" ht="15.75" customHeight="1">
      <c r="A1231" s="45" t="s">
        <v>24</v>
      </c>
      <c r="B1231" s="46"/>
      <c r="C1231" s="47">
        <v>0.51</v>
      </c>
      <c r="D1231" s="45">
        <v>7.1999999999999995E-2</v>
      </c>
      <c r="E1231" s="45">
        <v>1.003E-3</v>
      </c>
      <c r="F1231" s="45">
        <v>998.2</v>
      </c>
      <c r="G1231" s="46"/>
      <c r="H1231" s="45">
        <v>25</v>
      </c>
      <c r="I1231" s="45" t="s">
        <v>12</v>
      </c>
      <c r="J1231" s="46"/>
      <c r="K1231" s="48">
        <v>5.23</v>
      </c>
    </row>
    <row r="1232" spans="1:11" ht="15.75" customHeight="1">
      <c r="A1232" s="45" t="s">
        <v>24</v>
      </c>
      <c r="B1232" s="46"/>
      <c r="C1232" s="47">
        <v>0.51</v>
      </c>
      <c r="D1232" s="45">
        <v>7.1999999999999995E-2</v>
      </c>
      <c r="E1232" s="45">
        <v>1.003E-3</v>
      </c>
      <c r="F1232" s="45">
        <v>998.2</v>
      </c>
      <c r="G1232" s="46"/>
      <c r="H1232" s="45">
        <v>25</v>
      </c>
      <c r="I1232" s="45" t="s">
        <v>12</v>
      </c>
      <c r="J1232" s="46"/>
      <c r="K1232" s="48">
        <v>5.21</v>
      </c>
    </row>
    <row r="1233" spans="1:11" ht="15.75" customHeight="1">
      <c r="A1233" s="45" t="s">
        <v>24</v>
      </c>
      <c r="B1233" s="46"/>
      <c r="C1233" s="47">
        <v>0.25</v>
      </c>
      <c r="D1233" s="45">
        <v>5.8500000000000003E-2</v>
      </c>
      <c r="E1233" s="45">
        <v>1.003E-3</v>
      </c>
      <c r="F1233" s="45">
        <v>998.2</v>
      </c>
      <c r="G1233" s="46"/>
      <c r="H1233" s="45">
        <v>25</v>
      </c>
      <c r="I1233" s="45" t="s">
        <v>12</v>
      </c>
      <c r="J1233" s="46"/>
      <c r="K1233" s="48">
        <v>2.4500000000000002</v>
      </c>
    </row>
    <row r="1234" spans="1:11" ht="15.75" customHeight="1">
      <c r="A1234" s="45" t="s">
        <v>24</v>
      </c>
      <c r="B1234" s="46"/>
      <c r="C1234" s="47">
        <v>0.25</v>
      </c>
      <c r="D1234" s="45">
        <v>5.8500000000000003E-2</v>
      </c>
      <c r="E1234" s="45">
        <v>1.003E-3</v>
      </c>
      <c r="F1234" s="45">
        <v>998.2</v>
      </c>
      <c r="G1234" s="46"/>
      <c r="H1234" s="45">
        <v>25</v>
      </c>
      <c r="I1234" s="45" t="s">
        <v>12</v>
      </c>
      <c r="J1234" s="46"/>
      <c r="K1234" s="48">
        <v>3.29</v>
      </c>
    </row>
    <row r="1235" spans="1:11" ht="15.75" customHeight="1">
      <c r="A1235" s="45" t="s">
        <v>24</v>
      </c>
      <c r="B1235" s="46"/>
      <c r="C1235" s="47">
        <v>0.25</v>
      </c>
      <c r="D1235" s="45">
        <v>5.8500000000000003E-2</v>
      </c>
      <c r="E1235" s="45">
        <v>1.003E-3</v>
      </c>
      <c r="F1235" s="45">
        <v>998.2</v>
      </c>
      <c r="G1235" s="46"/>
      <c r="H1235" s="45">
        <v>25</v>
      </c>
      <c r="I1235" s="45" t="s">
        <v>12</v>
      </c>
      <c r="J1235" s="46"/>
      <c r="K1235" s="48">
        <v>3.59</v>
      </c>
    </row>
    <row r="1236" spans="1:11" ht="15.75" customHeight="1">
      <c r="A1236" s="45" t="s">
        <v>24</v>
      </c>
      <c r="B1236" s="46"/>
      <c r="C1236" s="47">
        <v>0.25</v>
      </c>
      <c r="D1236" s="45">
        <v>5.8500000000000003E-2</v>
      </c>
      <c r="E1236" s="45">
        <v>1.003E-3</v>
      </c>
      <c r="F1236" s="45">
        <v>998.2</v>
      </c>
      <c r="G1236" s="46"/>
      <c r="H1236" s="45">
        <v>25</v>
      </c>
      <c r="I1236" s="45" t="s">
        <v>12</v>
      </c>
      <c r="J1236" s="46"/>
      <c r="K1236" s="48">
        <v>3.8</v>
      </c>
    </row>
    <row r="1237" spans="1:11" ht="15.75" customHeight="1">
      <c r="A1237" s="45" t="s">
        <v>24</v>
      </c>
      <c r="B1237" s="46"/>
      <c r="C1237" s="47">
        <v>0.25</v>
      </c>
      <c r="D1237" s="45">
        <v>5.8500000000000003E-2</v>
      </c>
      <c r="E1237" s="45">
        <v>1.003E-3</v>
      </c>
      <c r="F1237" s="45">
        <v>998.2</v>
      </c>
      <c r="G1237" s="46"/>
      <c r="H1237" s="45">
        <v>25</v>
      </c>
      <c r="I1237" s="45" t="s">
        <v>12</v>
      </c>
      <c r="J1237" s="46"/>
      <c r="K1237" s="48">
        <v>3.83</v>
      </c>
    </row>
    <row r="1238" spans="1:11" ht="15.75" customHeight="1">
      <c r="A1238" s="45" t="s">
        <v>24</v>
      </c>
      <c r="B1238" s="46"/>
      <c r="C1238" s="47">
        <v>0.25</v>
      </c>
      <c r="D1238" s="45">
        <v>5.8500000000000003E-2</v>
      </c>
      <c r="E1238" s="45">
        <v>1.003E-3</v>
      </c>
      <c r="F1238" s="45">
        <v>998.2</v>
      </c>
      <c r="G1238" s="46"/>
      <c r="H1238" s="45">
        <v>25</v>
      </c>
      <c r="I1238" s="45" t="s">
        <v>12</v>
      </c>
      <c r="J1238" s="46"/>
      <c r="K1238" s="48">
        <v>3.78</v>
      </c>
    </row>
    <row r="1239" spans="1:11" ht="15.75" customHeight="1">
      <c r="A1239" s="45" t="s">
        <v>24</v>
      </c>
      <c r="B1239" s="46"/>
      <c r="C1239" s="47">
        <v>0.25</v>
      </c>
      <c r="D1239" s="45">
        <v>5.0700000000000002E-2</v>
      </c>
      <c r="E1239" s="45">
        <v>1.003E-3</v>
      </c>
      <c r="F1239" s="45">
        <v>998.2</v>
      </c>
      <c r="G1239" s="46"/>
      <c r="H1239" s="45">
        <v>25</v>
      </c>
      <c r="I1239" s="45" t="s">
        <v>12</v>
      </c>
      <c r="J1239" s="46"/>
      <c r="K1239" s="48">
        <v>2.65</v>
      </c>
    </row>
    <row r="1240" spans="1:11" ht="15.75" customHeight="1">
      <c r="A1240" s="45" t="s">
        <v>24</v>
      </c>
      <c r="B1240" s="46"/>
      <c r="C1240" s="47">
        <v>0.25</v>
      </c>
      <c r="D1240" s="45">
        <v>5.0700000000000002E-2</v>
      </c>
      <c r="E1240" s="45">
        <v>1.003E-3</v>
      </c>
      <c r="F1240" s="45">
        <v>998.2</v>
      </c>
      <c r="G1240" s="46"/>
      <c r="H1240" s="45">
        <v>25</v>
      </c>
      <c r="I1240" s="45" t="s">
        <v>12</v>
      </c>
      <c r="J1240" s="46"/>
      <c r="K1240" s="48">
        <v>3.17</v>
      </c>
    </row>
    <row r="1241" spans="1:11" ht="15.75" customHeight="1">
      <c r="A1241" s="45" t="s">
        <v>24</v>
      </c>
      <c r="B1241" s="46"/>
      <c r="C1241" s="47">
        <v>0.25</v>
      </c>
      <c r="D1241" s="45">
        <v>5.0700000000000002E-2</v>
      </c>
      <c r="E1241" s="45">
        <v>1.003E-3</v>
      </c>
      <c r="F1241" s="45">
        <v>998.2</v>
      </c>
      <c r="G1241" s="46"/>
      <c r="H1241" s="45">
        <v>25</v>
      </c>
      <c r="I1241" s="45" t="s">
        <v>12</v>
      </c>
      <c r="J1241" s="46"/>
      <c r="K1241" s="48">
        <v>3.58</v>
      </c>
    </row>
    <row r="1242" spans="1:11" ht="15.75" customHeight="1">
      <c r="A1242" s="45" t="s">
        <v>24</v>
      </c>
      <c r="B1242" s="46"/>
      <c r="C1242" s="47">
        <v>0.25</v>
      </c>
      <c r="D1242" s="45">
        <v>5.0700000000000002E-2</v>
      </c>
      <c r="E1242" s="45">
        <v>1.003E-3</v>
      </c>
      <c r="F1242" s="45">
        <v>998.2</v>
      </c>
      <c r="G1242" s="46"/>
      <c r="H1242" s="45">
        <v>25</v>
      </c>
      <c r="I1242" s="45" t="s">
        <v>12</v>
      </c>
      <c r="J1242" s="46"/>
      <c r="K1242" s="48">
        <v>3.51</v>
      </c>
    </row>
    <row r="1243" spans="1:11" ht="15.75" customHeight="1">
      <c r="A1243" s="45" t="s">
        <v>24</v>
      </c>
      <c r="B1243" s="46"/>
      <c r="C1243" s="47">
        <v>0.25</v>
      </c>
      <c r="D1243" s="45">
        <v>5.0700000000000002E-2</v>
      </c>
      <c r="E1243" s="45">
        <v>1.003E-3</v>
      </c>
      <c r="F1243" s="45">
        <v>998.2</v>
      </c>
      <c r="G1243" s="46"/>
      <c r="H1243" s="45">
        <v>25</v>
      </c>
      <c r="I1243" s="45" t="s">
        <v>12</v>
      </c>
      <c r="J1243" s="46"/>
      <c r="K1243" s="48">
        <v>3.78</v>
      </c>
    </row>
    <row r="1244" spans="1:11" ht="15.75" customHeight="1">
      <c r="A1244" s="45" t="s">
        <v>24</v>
      </c>
      <c r="B1244" s="46"/>
      <c r="C1244" s="47">
        <v>0.25</v>
      </c>
      <c r="D1244" s="45">
        <v>5.0700000000000002E-2</v>
      </c>
      <c r="E1244" s="45">
        <v>1.003E-3</v>
      </c>
      <c r="F1244" s="45">
        <v>998.2</v>
      </c>
      <c r="G1244" s="46"/>
      <c r="H1244" s="45">
        <v>25</v>
      </c>
      <c r="I1244" s="45" t="s">
        <v>12</v>
      </c>
      <c r="J1244" s="46"/>
      <c r="K1244" s="48">
        <v>3.81</v>
      </c>
    </row>
    <row r="1245" spans="1:11" ht="15.75" customHeight="1">
      <c r="A1245" s="45" t="s">
        <v>24</v>
      </c>
      <c r="B1245" s="46"/>
      <c r="C1245" s="47">
        <v>0.25</v>
      </c>
      <c r="D1245" s="45">
        <v>4.7800000000000002E-2</v>
      </c>
      <c r="E1245" s="45">
        <v>1.003E-3</v>
      </c>
      <c r="F1245" s="45">
        <v>998.2</v>
      </c>
      <c r="G1245" s="46"/>
      <c r="H1245" s="45">
        <v>25</v>
      </c>
      <c r="I1245" s="45" t="s">
        <v>12</v>
      </c>
      <c r="J1245" s="46"/>
      <c r="K1245" s="48">
        <v>2.33</v>
      </c>
    </row>
    <row r="1246" spans="1:11" ht="15.75" customHeight="1">
      <c r="A1246" s="45" t="s">
        <v>24</v>
      </c>
      <c r="B1246" s="46"/>
      <c r="C1246" s="47">
        <v>0.25</v>
      </c>
      <c r="D1246" s="45">
        <v>4.7800000000000002E-2</v>
      </c>
      <c r="E1246" s="45">
        <v>1.003E-3</v>
      </c>
      <c r="F1246" s="45">
        <v>998.2</v>
      </c>
      <c r="G1246" s="46"/>
      <c r="H1246" s="45">
        <v>25</v>
      </c>
      <c r="I1246" s="45" t="s">
        <v>12</v>
      </c>
      <c r="J1246" s="46"/>
      <c r="K1246" s="48">
        <v>3.27</v>
      </c>
    </row>
    <row r="1247" spans="1:11" ht="15.75" customHeight="1">
      <c r="A1247" s="45" t="s">
        <v>24</v>
      </c>
      <c r="B1247" s="46"/>
      <c r="C1247" s="47">
        <v>0.25</v>
      </c>
      <c r="D1247" s="45">
        <v>4.7800000000000002E-2</v>
      </c>
      <c r="E1247" s="45">
        <v>1.003E-3</v>
      </c>
      <c r="F1247" s="45">
        <v>998.2</v>
      </c>
      <c r="G1247" s="46"/>
      <c r="H1247" s="45">
        <v>25</v>
      </c>
      <c r="I1247" s="45" t="s">
        <v>12</v>
      </c>
      <c r="J1247" s="46"/>
      <c r="K1247" s="48">
        <v>3.56</v>
      </c>
    </row>
    <row r="1248" spans="1:11" ht="15.75" customHeight="1">
      <c r="A1248" s="45" t="s">
        <v>24</v>
      </c>
      <c r="B1248" s="46"/>
      <c r="C1248" s="47">
        <v>0.25</v>
      </c>
      <c r="D1248" s="45">
        <v>4.7800000000000002E-2</v>
      </c>
      <c r="E1248" s="45">
        <v>1.003E-3</v>
      </c>
      <c r="F1248" s="45">
        <v>998.2</v>
      </c>
      <c r="G1248" s="46"/>
      <c r="H1248" s="45">
        <v>25</v>
      </c>
      <c r="I1248" s="45" t="s">
        <v>12</v>
      </c>
      <c r="J1248" s="46"/>
      <c r="K1248" s="48">
        <v>3.68</v>
      </c>
    </row>
    <row r="1249" spans="1:11" ht="15.75" customHeight="1">
      <c r="A1249" s="45" t="s">
        <v>24</v>
      </c>
      <c r="B1249" s="46"/>
      <c r="C1249" s="47">
        <v>0.25</v>
      </c>
      <c r="D1249" s="45">
        <v>4.7800000000000002E-2</v>
      </c>
      <c r="E1249" s="45">
        <v>1.003E-3</v>
      </c>
      <c r="F1249" s="45">
        <v>998.2</v>
      </c>
      <c r="G1249" s="46"/>
      <c r="H1249" s="45">
        <v>25</v>
      </c>
      <c r="I1249" s="45" t="s">
        <v>12</v>
      </c>
      <c r="J1249" s="46"/>
      <c r="K1249" s="48">
        <v>3.97</v>
      </c>
    </row>
    <row r="1250" spans="1:11" ht="15.75" customHeight="1">
      <c r="A1250" s="45" t="s">
        <v>24</v>
      </c>
      <c r="B1250" s="46"/>
      <c r="C1250" s="47">
        <v>0.25</v>
      </c>
      <c r="D1250" s="45">
        <v>4.7800000000000002E-2</v>
      </c>
      <c r="E1250" s="45">
        <v>1.003E-3</v>
      </c>
      <c r="F1250" s="45">
        <v>998.2</v>
      </c>
      <c r="G1250" s="46"/>
      <c r="H1250" s="45">
        <v>25</v>
      </c>
      <c r="I1250" s="45" t="s">
        <v>12</v>
      </c>
      <c r="J1250" s="46"/>
      <c r="K1250" s="48">
        <v>3.83</v>
      </c>
    </row>
    <row r="1251" spans="1:11" ht="15.75" customHeight="1">
      <c r="A1251" s="45" t="s">
        <v>24</v>
      </c>
      <c r="B1251" s="46"/>
      <c r="C1251" s="47">
        <v>0.34</v>
      </c>
      <c r="D1251" s="45">
        <v>5.8500000000000003E-2</v>
      </c>
      <c r="E1251" s="45">
        <v>1.003E-3</v>
      </c>
      <c r="F1251" s="45">
        <v>998.2</v>
      </c>
      <c r="G1251" s="46"/>
      <c r="H1251" s="45">
        <v>25</v>
      </c>
      <c r="I1251" s="45" t="s">
        <v>12</v>
      </c>
      <c r="J1251" s="46"/>
      <c r="K1251" s="48">
        <v>2.71</v>
      </c>
    </row>
    <row r="1252" spans="1:11" ht="15.75" customHeight="1">
      <c r="A1252" s="45" t="s">
        <v>24</v>
      </c>
      <c r="B1252" s="46"/>
      <c r="C1252" s="47">
        <v>0.34</v>
      </c>
      <c r="D1252" s="45">
        <v>5.8500000000000003E-2</v>
      </c>
      <c r="E1252" s="45">
        <v>1.003E-3</v>
      </c>
      <c r="F1252" s="45">
        <v>998.2</v>
      </c>
      <c r="G1252" s="46"/>
      <c r="H1252" s="45">
        <v>25</v>
      </c>
      <c r="I1252" s="45" t="s">
        <v>12</v>
      </c>
      <c r="J1252" s="46"/>
      <c r="K1252" s="48">
        <v>3.82</v>
      </c>
    </row>
    <row r="1253" spans="1:11" ht="15.75" customHeight="1">
      <c r="A1253" s="45" t="s">
        <v>24</v>
      </c>
      <c r="B1253" s="46"/>
      <c r="C1253" s="47">
        <v>0.34</v>
      </c>
      <c r="D1253" s="45">
        <v>5.8500000000000003E-2</v>
      </c>
      <c r="E1253" s="45">
        <v>1.003E-3</v>
      </c>
      <c r="F1253" s="45">
        <v>998.2</v>
      </c>
      <c r="G1253" s="46"/>
      <c r="H1253" s="45">
        <v>25</v>
      </c>
      <c r="I1253" s="45" t="s">
        <v>12</v>
      </c>
      <c r="J1253" s="46"/>
      <c r="K1253" s="48">
        <v>4.16</v>
      </c>
    </row>
    <row r="1254" spans="1:11" ht="15.75" customHeight="1">
      <c r="A1254" s="45" t="s">
        <v>24</v>
      </c>
      <c r="B1254" s="46"/>
      <c r="C1254" s="47">
        <v>0.34</v>
      </c>
      <c r="D1254" s="45">
        <v>5.8500000000000003E-2</v>
      </c>
      <c r="E1254" s="45">
        <v>1.003E-3</v>
      </c>
      <c r="F1254" s="45">
        <v>998.2</v>
      </c>
      <c r="G1254" s="46"/>
      <c r="H1254" s="45">
        <v>25</v>
      </c>
      <c r="I1254" s="45" t="s">
        <v>12</v>
      </c>
      <c r="J1254" s="46"/>
      <c r="K1254" s="48">
        <v>4.12</v>
      </c>
    </row>
    <row r="1255" spans="1:11" ht="15.75" customHeight="1">
      <c r="A1255" s="45" t="s">
        <v>24</v>
      </c>
      <c r="B1255" s="46"/>
      <c r="C1255" s="47">
        <v>0.34</v>
      </c>
      <c r="D1255" s="45">
        <v>5.8500000000000003E-2</v>
      </c>
      <c r="E1255" s="45">
        <v>1.003E-3</v>
      </c>
      <c r="F1255" s="45">
        <v>998.2</v>
      </c>
      <c r="G1255" s="46"/>
      <c r="H1255" s="45">
        <v>25</v>
      </c>
      <c r="I1255" s="45" t="s">
        <v>12</v>
      </c>
      <c r="J1255" s="46"/>
      <c r="K1255" s="48">
        <v>4.03</v>
      </c>
    </row>
    <row r="1256" spans="1:11" ht="15.75" customHeight="1">
      <c r="A1256" s="45" t="s">
        <v>24</v>
      </c>
      <c r="B1256" s="46"/>
      <c r="C1256" s="47">
        <v>0.34</v>
      </c>
      <c r="D1256" s="45">
        <v>5.8500000000000003E-2</v>
      </c>
      <c r="E1256" s="45">
        <v>1.003E-3</v>
      </c>
      <c r="F1256" s="45">
        <v>998.2</v>
      </c>
      <c r="G1256" s="46"/>
      <c r="H1256" s="45">
        <v>25</v>
      </c>
      <c r="I1256" s="45" t="s">
        <v>12</v>
      </c>
      <c r="J1256" s="46"/>
      <c r="K1256" s="48">
        <v>4.05</v>
      </c>
    </row>
    <row r="1257" spans="1:11" ht="15.75" customHeight="1">
      <c r="A1257" s="45" t="s">
        <v>24</v>
      </c>
      <c r="B1257" s="46"/>
      <c r="C1257" s="47">
        <v>0.34</v>
      </c>
      <c r="D1257" s="45">
        <v>5.0700000000000002E-2</v>
      </c>
      <c r="E1257" s="45">
        <v>1.003E-3</v>
      </c>
      <c r="F1257" s="45">
        <v>998.2</v>
      </c>
      <c r="G1257" s="46"/>
      <c r="H1257" s="45">
        <v>25</v>
      </c>
      <c r="I1257" s="45" t="s">
        <v>12</v>
      </c>
      <c r="J1257" s="46"/>
      <c r="K1257" s="48">
        <v>2.72</v>
      </c>
    </row>
    <row r="1258" spans="1:11" ht="15.75" customHeight="1">
      <c r="A1258" s="45" t="s">
        <v>24</v>
      </c>
      <c r="B1258" s="46"/>
      <c r="C1258" s="47">
        <v>0.34</v>
      </c>
      <c r="D1258" s="45">
        <v>5.0700000000000002E-2</v>
      </c>
      <c r="E1258" s="45">
        <v>1.003E-3</v>
      </c>
      <c r="F1258" s="45">
        <v>998.2</v>
      </c>
      <c r="G1258" s="46"/>
      <c r="H1258" s="45">
        <v>25</v>
      </c>
      <c r="I1258" s="45" t="s">
        <v>12</v>
      </c>
      <c r="J1258" s="46"/>
      <c r="K1258" s="48">
        <v>3.72</v>
      </c>
    </row>
    <row r="1259" spans="1:11" ht="15.75" customHeight="1">
      <c r="A1259" s="45" t="s">
        <v>24</v>
      </c>
      <c r="B1259" s="46"/>
      <c r="C1259" s="47">
        <v>0.34</v>
      </c>
      <c r="D1259" s="45">
        <v>5.0700000000000002E-2</v>
      </c>
      <c r="E1259" s="45">
        <v>1.003E-3</v>
      </c>
      <c r="F1259" s="45">
        <v>998.2</v>
      </c>
      <c r="G1259" s="46"/>
      <c r="H1259" s="45">
        <v>25</v>
      </c>
      <c r="I1259" s="45" t="s">
        <v>12</v>
      </c>
      <c r="J1259" s="46"/>
      <c r="K1259" s="48">
        <v>4.1500000000000004</v>
      </c>
    </row>
    <row r="1260" spans="1:11" ht="15.75" customHeight="1">
      <c r="A1260" s="45" t="s">
        <v>24</v>
      </c>
      <c r="B1260" s="46"/>
      <c r="C1260" s="47">
        <v>0.34</v>
      </c>
      <c r="D1260" s="45">
        <v>5.0700000000000002E-2</v>
      </c>
      <c r="E1260" s="45">
        <v>1.003E-3</v>
      </c>
      <c r="F1260" s="45">
        <v>998.2</v>
      </c>
      <c r="G1260" s="46"/>
      <c r="H1260" s="45">
        <v>25</v>
      </c>
      <c r="I1260" s="45" t="s">
        <v>12</v>
      </c>
      <c r="J1260" s="46"/>
      <c r="K1260" s="48">
        <v>4.04</v>
      </c>
    </row>
    <row r="1261" spans="1:11" ht="15.75" customHeight="1">
      <c r="A1261" s="45" t="s">
        <v>24</v>
      </c>
      <c r="B1261" s="46"/>
      <c r="C1261" s="47">
        <v>0.34</v>
      </c>
      <c r="D1261" s="45">
        <v>5.0700000000000002E-2</v>
      </c>
      <c r="E1261" s="45">
        <v>1.003E-3</v>
      </c>
      <c r="F1261" s="45">
        <v>998.2</v>
      </c>
      <c r="G1261" s="46"/>
      <c r="H1261" s="45">
        <v>25</v>
      </c>
      <c r="I1261" s="45" t="s">
        <v>12</v>
      </c>
      <c r="J1261" s="46"/>
      <c r="K1261" s="48">
        <v>4.0599999999999996</v>
      </c>
    </row>
    <row r="1262" spans="1:11" ht="15.75" customHeight="1">
      <c r="A1262" s="45" t="s">
        <v>24</v>
      </c>
      <c r="B1262" s="46"/>
      <c r="C1262" s="47">
        <v>0.34</v>
      </c>
      <c r="D1262" s="45">
        <v>5.0700000000000002E-2</v>
      </c>
      <c r="E1262" s="45">
        <v>1.003E-3</v>
      </c>
      <c r="F1262" s="45">
        <v>998.2</v>
      </c>
      <c r="G1262" s="46"/>
      <c r="H1262" s="45">
        <v>25</v>
      </c>
      <c r="I1262" s="45" t="s">
        <v>12</v>
      </c>
      <c r="J1262" s="46"/>
      <c r="K1262" s="48">
        <v>4.03</v>
      </c>
    </row>
    <row r="1263" spans="1:11" ht="15.75" customHeight="1">
      <c r="A1263" s="45" t="s">
        <v>24</v>
      </c>
      <c r="B1263" s="46"/>
      <c r="C1263" s="47">
        <v>0.34</v>
      </c>
      <c r="D1263" s="45">
        <v>4.7800000000000002E-2</v>
      </c>
      <c r="E1263" s="45">
        <v>1.003E-3</v>
      </c>
      <c r="F1263" s="45">
        <v>998.2</v>
      </c>
      <c r="G1263" s="46"/>
      <c r="H1263" s="45">
        <v>25</v>
      </c>
      <c r="I1263" s="45" t="s">
        <v>12</v>
      </c>
      <c r="J1263" s="46"/>
      <c r="K1263" s="48">
        <v>2.69</v>
      </c>
    </row>
    <row r="1264" spans="1:11" ht="15.75" customHeight="1">
      <c r="A1264" s="45" t="s">
        <v>24</v>
      </c>
      <c r="B1264" s="46"/>
      <c r="C1264" s="47">
        <v>0.34</v>
      </c>
      <c r="D1264" s="45">
        <v>4.7800000000000002E-2</v>
      </c>
      <c r="E1264" s="45">
        <v>1.003E-3</v>
      </c>
      <c r="F1264" s="45">
        <v>998.2</v>
      </c>
      <c r="G1264" s="46"/>
      <c r="H1264" s="45">
        <v>25</v>
      </c>
      <c r="I1264" s="45" t="s">
        <v>12</v>
      </c>
      <c r="J1264" s="46"/>
      <c r="K1264" s="48">
        <v>3.86</v>
      </c>
    </row>
    <row r="1265" spans="1:11" ht="15.75" customHeight="1">
      <c r="A1265" s="45" t="s">
        <v>24</v>
      </c>
      <c r="B1265" s="46"/>
      <c r="C1265" s="47">
        <v>0.34</v>
      </c>
      <c r="D1265" s="45">
        <v>4.7800000000000002E-2</v>
      </c>
      <c r="E1265" s="45">
        <v>1.003E-3</v>
      </c>
      <c r="F1265" s="45">
        <v>998.2</v>
      </c>
      <c r="G1265" s="46"/>
      <c r="H1265" s="45">
        <v>25</v>
      </c>
      <c r="I1265" s="45" t="s">
        <v>12</v>
      </c>
      <c r="J1265" s="46"/>
      <c r="K1265" s="48">
        <v>4.03</v>
      </c>
    </row>
    <row r="1266" spans="1:11" ht="15.75" customHeight="1">
      <c r="A1266" s="45" t="s">
        <v>24</v>
      </c>
      <c r="B1266" s="46"/>
      <c r="C1266" s="47">
        <v>0.34</v>
      </c>
      <c r="D1266" s="45">
        <v>4.7800000000000002E-2</v>
      </c>
      <c r="E1266" s="45">
        <v>1.003E-3</v>
      </c>
      <c r="F1266" s="45">
        <v>998.2</v>
      </c>
      <c r="G1266" s="46"/>
      <c r="H1266" s="45">
        <v>25</v>
      </c>
      <c r="I1266" s="45" t="s">
        <v>12</v>
      </c>
      <c r="J1266" s="46"/>
      <c r="K1266" s="48">
        <v>4.03</v>
      </c>
    </row>
    <row r="1267" spans="1:11" ht="15.75" customHeight="1">
      <c r="A1267" s="45" t="s">
        <v>24</v>
      </c>
      <c r="B1267" s="46"/>
      <c r="C1267" s="47">
        <v>0.34</v>
      </c>
      <c r="D1267" s="45">
        <v>4.7800000000000002E-2</v>
      </c>
      <c r="E1267" s="45">
        <v>1.003E-3</v>
      </c>
      <c r="F1267" s="45">
        <v>998.2</v>
      </c>
      <c r="G1267" s="46"/>
      <c r="H1267" s="45">
        <v>25</v>
      </c>
      <c r="I1267" s="45" t="s">
        <v>12</v>
      </c>
      <c r="J1267" s="46"/>
      <c r="K1267" s="48">
        <v>4</v>
      </c>
    </row>
    <row r="1268" spans="1:11" ht="15.75" customHeight="1">
      <c r="A1268" s="45" t="s">
        <v>24</v>
      </c>
      <c r="B1268" s="46"/>
      <c r="C1268" s="47">
        <v>0.34</v>
      </c>
      <c r="D1268" s="45">
        <v>4.7800000000000002E-2</v>
      </c>
      <c r="E1268" s="45">
        <v>1.003E-3</v>
      </c>
      <c r="F1268" s="45">
        <v>998.2</v>
      </c>
      <c r="G1268" s="46"/>
      <c r="H1268" s="45">
        <v>25</v>
      </c>
      <c r="I1268" s="45" t="s">
        <v>12</v>
      </c>
      <c r="J1268" s="46"/>
      <c r="K1268" s="48">
        <v>3.96</v>
      </c>
    </row>
    <row r="1269" spans="1:11" ht="15.75" customHeight="1">
      <c r="A1269" s="45" t="s">
        <v>24</v>
      </c>
      <c r="B1269" s="46"/>
      <c r="C1269" s="47">
        <v>0.41</v>
      </c>
      <c r="D1269" s="45">
        <v>5.8500000000000003E-2</v>
      </c>
      <c r="E1269" s="45">
        <v>1.003E-3</v>
      </c>
      <c r="F1269" s="45">
        <v>998.2</v>
      </c>
      <c r="G1269" s="46"/>
      <c r="H1269" s="45">
        <v>25</v>
      </c>
      <c r="I1269" s="45" t="s">
        <v>12</v>
      </c>
      <c r="J1269" s="46"/>
      <c r="K1269" s="48">
        <v>3.2</v>
      </c>
    </row>
    <row r="1270" spans="1:11" ht="15.75" customHeight="1">
      <c r="A1270" s="45" t="s">
        <v>24</v>
      </c>
      <c r="B1270" s="46"/>
      <c r="C1270" s="47">
        <v>0.41</v>
      </c>
      <c r="D1270" s="45">
        <v>5.8500000000000003E-2</v>
      </c>
      <c r="E1270" s="45">
        <v>1.003E-3</v>
      </c>
      <c r="F1270" s="45">
        <v>998.2</v>
      </c>
      <c r="G1270" s="46"/>
      <c r="H1270" s="45">
        <v>25</v>
      </c>
      <c r="I1270" s="45" t="s">
        <v>12</v>
      </c>
      <c r="J1270" s="46"/>
      <c r="K1270" s="48">
        <v>4.55</v>
      </c>
    </row>
    <row r="1271" spans="1:11" ht="15.75" customHeight="1">
      <c r="A1271" s="45" t="s">
        <v>24</v>
      </c>
      <c r="B1271" s="46"/>
      <c r="C1271" s="47">
        <v>0.41</v>
      </c>
      <c r="D1271" s="45">
        <v>5.8500000000000003E-2</v>
      </c>
      <c r="E1271" s="45">
        <v>1.003E-3</v>
      </c>
      <c r="F1271" s="45">
        <v>998.2</v>
      </c>
      <c r="G1271" s="46"/>
      <c r="H1271" s="45">
        <v>25</v>
      </c>
      <c r="I1271" s="45" t="s">
        <v>12</v>
      </c>
      <c r="J1271" s="46"/>
      <c r="K1271" s="48">
        <v>4.51</v>
      </c>
    </row>
    <row r="1272" spans="1:11" ht="15.75" customHeight="1">
      <c r="A1272" s="45" t="s">
        <v>24</v>
      </c>
      <c r="B1272" s="46"/>
      <c r="C1272" s="47">
        <v>0.41</v>
      </c>
      <c r="D1272" s="45">
        <v>5.8500000000000003E-2</v>
      </c>
      <c r="E1272" s="45">
        <v>1.003E-3</v>
      </c>
      <c r="F1272" s="45">
        <v>998.2</v>
      </c>
      <c r="G1272" s="46"/>
      <c r="H1272" s="45">
        <v>25</v>
      </c>
      <c r="I1272" s="45" t="s">
        <v>12</v>
      </c>
      <c r="J1272" s="46"/>
      <c r="K1272" s="48">
        <v>4.41</v>
      </c>
    </row>
    <row r="1273" spans="1:11" ht="15.75" customHeight="1">
      <c r="A1273" s="45" t="s">
        <v>24</v>
      </c>
      <c r="B1273" s="46"/>
      <c r="C1273" s="47">
        <v>0.41</v>
      </c>
      <c r="D1273" s="45">
        <v>5.8500000000000003E-2</v>
      </c>
      <c r="E1273" s="45">
        <v>1.003E-3</v>
      </c>
      <c r="F1273" s="45">
        <v>998.2</v>
      </c>
      <c r="G1273" s="46"/>
      <c r="H1273" s="45">
        <v>25</v>
      </c>
      <c r="I1273" s="45" t="s">
        <v>12</v>
      </c>
      <c r="J1273" s="46"/>
      <c r="K1273" s="48">
        <v>4.5</v>
      </c>
    </row>
    <row r="1274" spans="1:11" ht="15.75" customHeight="1">
      <c r="A1274" s="45" t="s">
        <v>24</v>
      </c>
      <c r="B1274" s="46"/>
      <c r="C1274" s="47">
        <v>0.41</v>
      </c>
      <c r="D1274" s="45">
        <v>5.8500000000000003E-2</v>
      </c>
      <c r="E1274" s="45">
        <v>1.003E-3</v>
      </c>
      <c r="F1274" s="45">
        <v>998.2</v>
      </c>
      <c r="G1274" s="46"/>
      <c r="H1274" s="45">
        <v>25</v>
      </c>
      <c r="I1274" s="45" t="s">
        <v>12</v>
      </c>
      <c r="J1274" s="46"/>
      <c r="K1274" s="48">
        <v>4.3499999999999996</v>
      </c>
    </row>
    <row r="1275" spans="1:11" ht="15.75" customHeight="1">
      <c r="A1275" s="45" t="s">
        <v>24</v>
      </c>
      <c r="B1275" s="46"/>
      <c r="C1275" s="47">
        <v>0.41</v>
      </c>
      <c r="D1275" s="45">
        <v>5.0700000000000002E-2</v>
      </c>
      <c r="E1275" s="45">
        <v>1.003E-3</v>
      </c>
      <c r="F1275" s="45">
        <v>998.2</v>
      </c>
      <c r="G1275" s="46"/>
      <c r="H1275" s="45">
        <v>25</v>
      </c>
      <c r="I1275" s="45" t="s">
        <v>12</v>
      </c>
      <c r="J1275" s="46"/>
      <c r="K1275" s="48">
        <v>3.08</v>
      </c>
    </row>
    <row r="1276" spans="1:11" ht="15.75" customHeight="1">
      <c r="A1276" s="45" t="s">
        <v>24</v>
      </c>
      <c r="B1276" s="46"/>
      <c r="C1276" s="47">
        <v>0.41</v>
      </c>
      <c r="D1276" s="45">
        <v>5.0700000000000002E-2</v>
      </c>
      <c r="E1276" s="45">
        <v>1.003E-3</v>
      </c>
      <c r="F1276" s="45">
        <v>998.2</v>
      </c>
      <c r="G1276" s="46"/>
      <c r="H1276" s="45">
        <v>25</v>
      </c>
      <c r="I1276" s="45" t="s">
        <v>12</v>
      </c>
      <c r="J1276" s="46"/>
      <c r="K1276" s="48">
        <v>4.5</v>
      </c>
    </row>
    <row r="1277" spans="1:11" ht="15.75" customHeight="1">
      <c r="A1277" s="45" t="s">
        <v>24</v>
      </c>
      <c r="B1277" s="46"/>
      <c r="C1277" s="47">
        <v>0.41</v>
      </c>
      <c r="D1277" s="45">
        <v>5.0700000000000002E-2</v>
      </c>
      <c r="E1277" s="45">
        <v>1.003E-3</v>
      </c>
      <c r="F1277" s="45">
        <v>998.2</v>
      </c>
      <c r="G1277" s="46"/>
      <c r="H1277" s="45">
        <v>25</v>
      </c>
      <c r="I1277" s="45" t="s">
        <v>12</v>
      </c>
      <c r="J1277" s="46"/>
      <c r="K1277" s="48">
        <v>4.22</v>
      </c>
    </row>
    <row r="1278" spans="1:11" ht="15.75" customHeight="1">
      <c r="A1278" s="45" t="s">
        <v>24</v>
      </c>
      <c r="B1278" s="46"/>
      <c r="C1278" s="47">
        <v>0.41</v>
      </c>
      <c r="D1278" s="45">
        <v>5.0700000000000002E-2</v>
      </c>
      <c r="E1278" s="45">
        <v>1.003E-3</v>
      </c>
      <c r="F1278" s="45">
        <v>998.2</v>
      </c>
      <c r="G1278" s="46"/>
      <c r="H1278" s="45">
        <v>25</v>
      </c>
      <c r="I1278" s="45" t="s">
        <v>12</v>
      </c>
      <c r="J1278" s="46"/>
      <c r="K1278" s="48">
        <v>4.2699999999999996</v>
      </c>
    </row>
    <row r="1279" spans="1:11" ht="15.75" customHeight="1">
      <c r="A1279" s="45" t="s">
        <v>24</v>
      </c>
      <c r="B1279" s="46"/>
      <c r="C1279" s="47">
        <v>0.41</v>
      </c>
      <c r="D1279" s="45">
        <v>5.0700000000000002E-2</v>
      </c>
      <c r="E1279" s="45">
        <v>1.003E-3</v>
      </c>
      <c r="F1279" s="45">
        <v>998.2</v>
      </c>
      <c r="G1279" s="46"/>
      <c r="H1279" s="45">
        <v>25</v>
      </c>
      <c r="I1279" s="45" t="s">
        <v>12</v>
      </c>
      <c r="J1279" s="46"/>
      <c r="K1279" s="48">
        <v>4.2300000000000004</v>
      </c>
    </row>
    <row r="1280" spans="1:11" ht="15.75" customHeight="1">
      <c r="A1280" s="45" t="s">
        <v>24</v>
      </c>
      <c r="B1280" s="46"/>
      <c r="C1280" s="47">
        <v>0.41</v>
      </c>
      <c r="D1280" s="45">
        <v>5.0700000000000002E-2</v>
      </c>
      <c r="E1280" s="45">
        <v>1.003E-3</v>
      </c>
      <c r="F1280" s="45">
        <v>998.2</v>
      </c>
      <c r="G1280" s="46"/>
      <c r="H1280" s="45">
        <v>25</v>
      </c>
      <c r="I1280" s="45" t="s">
        <v>12</v>
      </c>
      <c r="J1280" s="46"/>
      <c r="K1280" s="48">
        <v>4.21</v>
      </c>
    </row>
    <row r="1281" spans="1:11" ht="15.75" customHeight="1">
      <c r="A1281" s="45" t="s">
        <v>24</v>
      </c>
      <c r="B1281" s="46"/>
      <c r="C1281" s="47">
        <v>0.41</v>
      </c>
      <c r="D1281" s="45">
        <v>4.7800000000000002E-2</v>
      </c>
      <c r="E1281" s="45">
        <v>1.003E-3</v>
      </c>
      <c r="F1281" s="45">
        <v>998.2</v>
      </c>
      <c r="G1281" s="46"/>
      <c r="H1281" s="45">
        <v>25</v>
      </c>
      <c r="I1281" s="45" t="s">
        <v>12</v>
      </c>
      <c r="J1281" s="46"/>
      <c r="K1281" s="48">
        <v>2.94</v>
      </c>
    </row>
    <row r="1282" spans="1:11" ht="15.75" customHeight="1">
      <c r="A1282" s="45" t="s">
        <v>24</v>
      </c>
      <c r="B1282" s="46"/>
      <c r="C1282" s="47">
        <v>0.41</v>
      </c>
      <c r="D1282" s="45">
        <v>4.7800000000000002E-2</v>
      </c>
      <c r="E1282" s="45">
        <v>1.003E-3</v>
      </c>
      <c r="F1282" s="45">
        <v>998.2</v>
      </c>
      <c r="G1282" s="46"/>
      <c r="H1282" s="45">
        <v>25</v>
      </c>
      <c r="I1282" s="45" t="s">
        <v>12</v>
      </c>
      <c r="J1282" s="46"/>
      <c r="K1282" s="48">
        <v>4.46</v>
      </c>
    </row>
    <row r="1283" spans="1:11" ht="15.75" customHeight="1">
      <c r="A1283" s="45" t="s">
        <v>24</v>
      </c>
      <c r="B1283" s="46"/>
      <c r="C1283" s="47">
        <v>0.41</v>
      </c>
      <c r="D1283" s="45">
        <v>4.7800000000000002E-2</v>
      </c>
      <c r="E1283" s="45">
        <v>1.003E-3</v>
      </c>
      <c r="F1283" s="45">
        <v>998.2</v>
      </c>
      <c r="G1283" s="46"/>
      <c r="H1283" s="45">
        <v>25</v>
      </c>
      <c r="I1283" s="45" t="s">
        <v>12</v>
      </c>
      <c r="J1283" s="46"/>
      <c r="K1283" s="48">
        <v>4.2699999999999996</v>
      </c>
    </row>
    <row r="1284" spans="1:11" ht="15.75" customHeight="1">
      <c r="A1284" s="45" t="s">
        <v>24</v>
      </c>
      <c r="B1284" s="46"/>
      <c r="C1284" s="47">
        <v>0.41</v>
      </c>
      <c r="D1284" s="45">
        <v>4.7800000000000002E-2</v>
      </c>
      <c r="E1284" s="45">
        <v>1.003E-3</v>
      </c>
      <c r="F1284" s="45">
        <v>998.2</v>
      </c>
      <c r="G1284" s="46"/>
      <c r="H1284" s="45">
        <v>25</v>
      </c>
      <c r="I1284" s="45" t="s">
        <v>12</v>
      </c>
      <c r="J1284" s="46"/>
      <c r="K1284" s="48">
        <v>4.1900000000000004</v>
      </c>
    </row>
    <row r="1285" spans="1:11" ht="15.75" customHeight="1">
      <c r="A1285" s="45" t="s">
        <v>24</v>
      </c>
      <c r="B1285" s="46"/>
      <c r="C1285" s="47">
        <v>0.41</v>
      </c>
      <c r="D1285" s="45">
        <v>4.7800000000000002E-2</v>
      </c>
      <c r="E1285" s="45">
        <v>1.003E-3</v>
      </c>
      <c r="F1285" s="45">
        <v>998.2</v>
      </c>
      <c r="G1285" s="46"/>
      <c r="H1285" s="45">
        <v>25</v>
      </c>
      <c r="I1285" s="45" t="s">
        <v>12</v>
      </c>
      <c r="J1285" s="46"/>
      <c r="K1285" s="48">
        <v>4.28</v>
      </c>
    </row>
    <row r="1286" spans="1:11" ht="15.75" customHeight="1">
      <c r="A1286" s="45" t="s">
        <v>24</v>
      </c>
      <c r="B1286" s="46"/>
      <c r="C1286" s="47">
        <v>0.41</v>
      </c>
      <c r="D1286" s="45">
        <v>4.7800000000000002E-2</v>
      </c>
      <c r="E1286" s="45">
        <v>1.003E-3</v>
      </c>
      <c r="F1286" s="45">
        <v>998.2</v>
      </c>
      <c r="G1286" s="46"/>
      <c r="H1286" s="45">
        <v>25</v>
      </c>
      <c r="I1286" s="45" t="s">
        <v>12</v>
      </c>
      <c r="J1286" s="46"/>
      <c r="K1286" s="48">
        <v>4.33</v>
      </c>
    </row>
    <row r="1287" spans="1:11" ht="15.75" customHeight="1">
      <c r="A1287" s="45" t="s">
        <v>24</v>
      </c>
      <c r="B1287" s="46"/>
      <c r="C1287" s="47">
        <v>0.51</v>
      </c>
      <c r="D1287" s="45">
        <v>5.8500000000000003E-2</v>
      </c>
      <c r="E1287" s="45">
        <v>1.003E-3</v>
      </c>
      <c r="F1287" s="45">
        <v>998.2</v>
      </c>
      <c r="G1287" s="46"/>
      <c r="H1287" s="45">
        <v>25</v>
      </c>
      <c r="I1287" s="45" t="s">
        <v>12</v>
      </c>
      <c r="J1287" s="46"/>
      <c r="K1287" s="48">
        <v>3.32</v>
      </c>
    </row>
    <row r="1288" spans="1:11" ht="15.75" customHeight="1">
      <c r="A1288" s="45" t="s">
        <v>24</v>
      </c>
      <c r="B1288" s="46"/>
      <c r="C1288" s="47">
        <v>0.51</v>
      </c>
      <c r="D1288" s="45">
        <v>5.8500000000000003E-2</v>
      </c>
      <c r="E1288" s="45">
        <v>1.003E-3</v>
      </c>
      <c r="F1288" s="45">
        <v>998.2</v>
      </c>
      <c r="G1288" s="46"/>
      <c r="H1288" s="45">
        <v>25</v>
      </c>
      <c r="I1288" s="45" t="s">
        <v>12</v>
      </c>
      <c r="J1288" s="46"/>
      <c r="K1288" s="48">
        <v>4.6399999999999997</v>
      </c>
    </row>
    <row r="1289" spans="1:11" ht="15.75" customHeight="1">
      <c r="A1289" s="45" t="s">
        <v>24</v>
      </c>
      <c r="B1289" s="46"/>
      <c r="C1289" s="47">
        <v>0.51</v>
      </c>
      <c r="D1289" s="45">
        <v>5.8500000000000003E-2</v>
      </c>
      <c r="E1289" s="45">
        <v>1.003E-3</v>
      </c>
      <c r="F1289" s="45">
        <v>998.2</v>
      </c>
      <c r="G1289" s="46"/>
      <c r="H1289" s="45">
        <v>25</v>
      </c>
      <c r="I1289" s="45" t="s">
        <v>12</v>
      </c>
      <c r="J1289" s="46"/>
      <c r="K1289" s="48">
        <v>4.49</v>
      </c>
    </row>
    <row r="1290" spans="1:11" ht="15.75" customHeight="1">
      <c r="A1290" s="45" t="s">
        <v>24</v>
      </c>
      <c r="B1290" s="46"/>
      <c r="C1290" s="47">
        <v>0.51</v>
      </c>
      <c r="D1290" s="45">
        <v>5.8500000000000003E-2</v>
      </c>
      <c r="E1290" s="45">
        <v>1.003E-3</v>
      </c>
      <c r="F1290" s="45">
        <v>998.2</v>
      </c>
      <c r="G1290" s="46"/>
      <c r="H1290" s="45">
        <v>25</v>
      </c>
      <c r="I1290" s="45" t="s">
        <v>12</v>
      </c>
      <c r="J1290" s="46"/>
      <c r="K1290" s="48">
        <v>4.53</v>
      </c>
    </row>
    <row r="1291" spans="1:11" ht="15.75" customHeight="1">
      <c r="A1291" s="45" t="s">
        <v>24</v>
      </c>
      <c r="B1291" s="46"/>
      <c r="C1291" s="47">
        <v>0.51</v>
      </c>
      <c r="D1291" s="45">
        <v>5.8500000000000003E-2</v>
      </c>
      <c r="E1291" s="45">
        <v>1.003E-3</v>
      </c>
      <c r="F1291" s="45">
        <v>998.2</v>
      </c>
      <c r="G1291" s="46"/>
      <c r="H1291" s="45">
        <v>25</v>
      </c>
      <c r="I1291" s="45" t="s">
        <v>12</v>
      </c>
      <c r="J1291" s="46"/>
      <c r="K1291" s="48">
        <v>4.47</v>
      </c>
    </row>
    <row r="1292" spans="1:11" ht="15.75" customHeight="1">
      <c r="A1292" s="45" t="s">
        <v>24</v>
      </c>
      <c r="B1292" s="46"/>
      <c r="C1292" s="47">
        <v>0.51</v>
      </c>
      <c r="D1292" s="45">
        <v>5.8500000000000003E-2</v>
      </c>
      <c r="E1292" s="45">
        <v>1.003E-3</v>
      </c>
      <c r="F1292" s="45">
        <v>998.2</v>
      </c>
      <c r="G1292" s="46"/>
      <c r="H1292" s="45">
        <v>25</v>
      </c>
      <c r="I1292" s="45" t="s">
        <v>12</v>
      </c>
      <c r="J1292" s="46"/>
      <c r="K1292" s="48">
        <v>4.4400000000000004</v>
      </c>
    </row>
    <row r="1293" spans="1:11" ht="15.75" customHeight="1">
      <c r="A1293" s="45" t="s">
        <v>24</v>
      </c>
      <c r="B1293" s="46"/>
      <c r="C1293" s="47">
        <v>0.51</v>
      </c>
      <c r="D1293" s="45">
        <v>5.0700000000000002E-2</v>
      </c>
      <c r="E1293" s="45">
        <v>1.003E-3</v>
      </c>
      <c r="F1293" s="45">
        <v>998.2</v>
      </c>
      <c r="G1293" s="46"/>
      <c r="H1293" s="45">
        <v>25</v>
      </c>
      <c r="I1293" s="45" t="s">
        <v>12</v>
      </c>
      <c r="J1293" s="46"/>
      <c r="K1293" s="48">
        <v>3.48</v>
      </c>
    </row>
    <row r="1294" spans="1:11" ht="15.75" customHeight="1">
      <c r="A1294" s="45" t="s">
        <v>24</v>
      </c>
      <c r="B1294" s="46"/>
      <c r="C1294" s="47">
        <v>0.51</v>
      </c>
      <c r="D1294" s="45">
        <v>5.0700000000000002E-2</v>
      </c>
      <c r="E1294" s="45">
        <v>1.003E-3</v>
      </c>
      <c r="F1294" s="45">
        <v>998.2</v>
      </c>
      <c r="G1294" s="46"/>
      <c r="H1294" s="45">
        <v>25</v>
      </c>
      <c r="I1294" s="45" t="s">
        <v>12</v>
      </c>
      <c r="J1294" s="46"/>
      <c r="K1294" s="48">
        <v>4.5999999999999996</v>
      </c>
    </row>
    <row r="1295" spans="1:11" ht="15.75" customHeight="1">
      <c r="A1295" s="45" t="s">
        <v>24</v>
      </c>
      <c r="B1295" s="46"/>
      <c r="C1295" s="47">
        <v>0.51</v>
      </c>
      <c r="D1295" s="45">
        <v>5.0700000000000002E-2</v>
      </c>
      <c r="E1295" s="45">
        <v>1.003E-3</v>
      </c>
      <c r="F1295" s="45">
        <v>998.2</v>
      </c>
      <c r="G1295" s="46"/>
      <c r="H1295" s="45">
        <v>25</v>
      </c>
      <c r="I1295" s="45" t="s">
        <v>12</v>
      </c>
      <c r="J1295" s="46"/>
      <c r="K1295" s="48">
        <v>4.4800000000000004</v>
      </c>
    </row>
    <row r="1296" spans="1:11" ht="15.75" customHeight="1">
      <c r="A1296" s="45" t="s">
        <v>24</v>
      </c>
      <c r="B1296" s="46"/>
      <c r="C1296" s="47">
        <v>0.51</v>
      </c>
      <c r="D1296" s="45">
        <v>5.0700000000000002E-2</v>
      </c>
      <c r="E1296" s="45">
        <v>1.003E-3</v>
      </c>
      <c r="F1296" s="45">
        <v>998.2</v>
      </c>
      <c r="G1296" s="46"/>
      <c r="H1296" s="45">
        <v>25</v>
      </c>
      <c r="I1296" s="45" t="s">
        <v>12</v>
      </c>
      <c r="J1296" s="46"/>
      <c r="K1296" s="48">
        <v>4.6100000000000003</v>
      </c>
    </row>
    <row r="1297" spans="1:11" ht="15.75" customHeight="1">
      <c r="A1297" s="45" t="s">
        <v>24</v>
      </c>
      <c r="B1297" s="46"/>
      <c r="C1297" s="47">
        <v>0.51</v>
      </c>
      <c r="D1297" s="45">
        <v>5.0700000000000002E-2</v>
      </c>
      <c r="E1297" s="45">
        <v>1.003E-3</v>
      </c>
      <c r="F1297" s="45">
        <v>998.2</v>
      </c>
      <c r="G1297" s="46"/>
      <c r="H1297" s="45">
        <v>25</v>
      </c>
      <c r="I1297" s="45" t="s">
        <v>12</v>
      </c>
      <c r="J1297" s="46"/>
      <c r="K1297" s="48">
        <v>4.53</v>
      </c>
    </row>
    <row r="1298" spans="1:11" ht="15.75" customHeight="1">
      <c r="A1298" s="45" t="s">
        <v>24</v>
      </c>
      <c r="B1298" s="46"/>
      <c r="C1298" s="47">
        <v>0.51</v>
      </c>
      <c r="D1298" s="45">
        <v>5.0700000000000002E-2</v>
      </c>
      <c r="E1298" s="45">
        <v>1.003E-3</v>
      </c>
      <c r="F1298" s="45">
        <v>998.2</v>
      </c>
      <c r="G1298" s="46"/>
      <c r="H1298" s="45">
        <v>25</v>
      </c>
      <c r="I1298" s="45" t="s">
        <v>12</v>
      </c>
      <c r="J1298" s="46"/>
      <c r="K1298" s="48">
        <v>4.34</v>
      </c>
    </row>
    <row r="1299" spans="1:11" ht="15.75" customHeight="1">
      <c r="A1299" s="45" t="s">
        <v>24</v>
      </c>
      <c r="B1299" s="46"/>
      <c r="C1299" s="47">
        <v>0.51</v>
      </c>
      <c r="D1299" s="45">
        <v>4.7800000000000002E-2</v>
      </c>
      <c r="E1299" s="45">
        <v>1.003E-3</v>
      </c>
      <c r="F1299" s="45">
        <v>998.2</v>
      </c>
      <c r="G1299" s="46"/>
      <c r="H1299" s="45">
        <v>25</v>
      </c>
      <c r="I1299" s="45" t="s">
        <v>12</v>
      </c>
      <c r="J1299" s="46"/>
      <c r="K1299" s="48">
        <v>4</v>
      </c>
    </row>
    <row r="1300" spans="1:11" ht="15.75" customHeight="1">
      <c r="A1300" s="45" t="s">
        <v>24</v>
      </c>
      <c r="B1300" s="46"/>
      <c r="C1300" s="47">
        <v>0.51</v>
      </c>
      <c r="D1300" s="45">
        <v>4.7800000000000002E-2</v>
      </c>
      <c r="E1300" s="45">
        <v>1.003E-3</v>
      </c>
      <c r="F1300" s="45">
        <v>998.2</v>
      </c>
      <c r="G1300" s="46"/>
      <c r="H1300" s="45">
        <v>25</v>
      </c>
      <c r="I1300" s="45" t="s">
        <v>12</v>
      </c>
      <c r="J1300" s="46"/>
      <c r="K1300" s="48">
        <v>4.42</v>
      </c>
    </row>
    <row r="1301" spans="1:11" ht="15.75" customHeight="1">
      <c r="A1301" s="45" t="s">
        <v>24</v>
      </c>
      <c r="B1301" s="46"/>
      <c r="C1301" s="47">
        <v>0.51</v>
      </c>
      <c r="D1301" s="45">
        <v>4.7800000000000002E-2</v>
      </c>
      <c r="E1301" s="45">
        <v>1.003E-3</v>
      </c>
      <c r="F1301" s="45">
        <v>998.2</v>
      </c>
      <c r="G1301" s="46"/>
      <c r="H1301" s="45">
        <v>25</v>
      </c>
      <c r="I1301" s="45" t="s">
        <v>12</v>
      </c>
      <c r="J1301" s="46"/>
      <c r="K1301" s="48">
        <v>4.5599999999999996</v>
      </c>
    </row>
    <row r="1302" spans="1:11" ht="15.75" customHeight="1">
      <c r="A1302" s="45" t="s">
        <v>24</v>
      </c>
      <c r="B1302" s="46"/>
      <c r="C1302" s="47">
        <v>0.51</v>
      </c>
      <c r="D1302" s="45">
        <v>4.7800000000000002E-2</v>
      </c>
      <c r="E1302" s="45">
        <v>1.003E-3</v>
      </c>
      <c r="F1302" s="45">
        <v>998.2</v>
      </c>
      <c r="G1302" s="46"/>
      <c r="H1302" s="45">
        <v>25</v>
      </c>
      <c r="I1302" s="45" t="s">
        <v>12</v>
      </c>
      <c r="J1302" s="46"/>
      <c r="K1302" s="48">
        <v>4.5999999999999996</v>
      </c>
    </row>
    <row r="1303" spans="1:11" ht="15.75" customHeight="1">
      <c r="A1303" s="45" t="s">
        <v>24</v>
      </c>
      <c r="B1303" s="46"/>
      <c r="C1303" s="47">
        <v>0.51</v>
      </c>
      <c r="D1303" s="45">
        <v>4.7800000000000002E-2</v>
      </c>
      <c r="E1303" s="45">
        <v>1.003E-3</v>
      </c>
      <c r="F1303" s="45">
        <v>998.2</v>
      </c>
      <c r="G1303" s="46"/>
      <c r="H1303" s="45">
        <v>25</v>
      </c>
      <c r="I1303" s="45" t="s">
        <v>12</v>
      </c>
      <c r="J1303" s="46"/>
      <c r="K1303" s="48">
        <v>4.59</v>
      </c>
    </row>
    <row r="1304" spans="1:11" ht="15.75" customHeight="1">
      <c r="A1304" s="45" t="s">
        <v>24</v>
      </c>
      <c r="B1304" s="46"/>
      <c r="C1304" s="47">
        <v>0.51</v>
      </c>
      <c r="D1304" s="45">
        <v>4.7800000000000002E-2</v>
      </c>
      <c r="E1304" s="45">
        <v>1.003E-3</v>
      </c>
      <c r="F1304" s="45">
        <v>998.2</v>
      </c>
      <c r="G1304" s="46"/>
      <c r="H1304" s="45">
        <v>25</v>
      </c>
      <c r="I1304" s="45" t="s">
        <v>12</v>
      </c>
      <c r="J1304" s="46"/>
      <c r="K1304" s="48">
        <v>4.3600000000000003</v>
      </c>
    </row>
    <row r="1305" spans="1:11" ht="15.75" customHeight="1">
      <c r="A1305" s="45" t="s">
        <v>24</v>
      </c>
      <c r="B1305" s="46"/>
      <c r="C1305" s="47">
        <v>0.25</v>
      </c>
      <c r="D1305" s="45">
        <v>6.4000000000000001E-2</v>
      </c>
      <c r="E1305" s="45">
        <v>5.6899999999999999E-2</v>
      </c>
      <c r="F1305" s="45">
        <v>1214.5</v>
      </c>
      <c r="G1305" s="46"/>
      <c r="H1305" s="45">
        <v>25</v>
      </c>
      <c r="I1305" s="45" t="s">
        <v>12</v>
      </c>
      <c r="J1305" s="46"/>
      <c r="K1305" s="48">
        <v>2.13</v>
      </c>
    </row>
    <row r="1306" spans="1:11" ht="15.75" customHeight="1">
      <c r="A1306" s="45" t="s">
        <v>24</v>
      </c>
      <c r="B1306" s="46"/>
      <c r="C1306" s="47">
        <v>0.25</v>
      </c>
      <c r="D1306" s="45">
        <v>6.4000000000000001E-2</v>
      </c>
      <c r="E1306" s="45">
        <v>5.6899999999999999E-2</v>
      </c>
      <c r="F1306" s="45">
        <v>1214.5</v>
      </c>
      <c r="G1306" s="46"/>
      <c r="H1306" s="45">
        <v>25</v>
      </c>
      <c r="I1306" s="45" t="s">
        <v>12</v>
      </c>
      <c r="J1306" s="46"/>
      <c r="K1306" s="48">
        <v>2.74</v>
      </c>
    </row>
    <row r="1307" spans="1:11" ht="15.75" customHeight="1">
      <c r="A1307" s="45" t="s">
        <v>24</v>
      </c>
      <c r="B1307" s="46"/>
      <c r="C1307" s="47">
        <v>0.25</v>
      </c>
      <c r="D1307" s="45">
        <v>6.4000000000000001E-2</v>
      </c>
      <c r="E1307" s="45">
        <v>5.6899999999999999E-2</v>
      </c>
      <c r="F1307" s="45">
        <v>1214.5</v>
      </c>
      <c r="G1307" s="46"/>
      <c r="H1307" s="45">
        <v>25</v>
      </c>
      <c r="I1307" s="45" t="s">
        <v>12</v>
      </c>
      <c r="J1307" s="46"/>
      <c r="K1307" s="48">
        <v>3.17</v>
      </c>
    </row>
    <row r="1308" spans="1:11" ht="15.75" customHeight="1">
      <c r="A1308" s="45" t="s">
        <v>24</v>
      </c>
      <c r="B1308" s="46"/>
      <c r="C1308" s="47">
        <v>0.25</v>
      </c>
      <c r="D1308" s="45">
        <v>6.4000000000000001E-2</v>
      </c>
      <c r="E1308" s="45">
        <v>5.6899999999999999E-2</v>
      </c>
      <c r="F1308" s="45">
        <v>1214.5</v>
      </c>
      <c r="G1308" s="46"/>
      <c r="H1308" s="45">
        <v>25</v>
      </c>
      <c r="I1308" s="45" t="s">
        <v>12</v>
      </c>
      <c r="J1308" s="46"/>
      <c r="K1308" s="48">
        <v>3.37</v>
      </c>
    </row>
    <row r="1309" spans="1:11" ht="15.75" customHeight="1">
      <c r="A1309" s="45" t="s">
        <v>24</v>
      </c>
      <c r="B1309" s="46"/>
      <c r="C1309" s="47">
        <v>0.25</v>
      </c>
      <c r="D1309" s="45">
        <v>6.4000000000000001E-2</v>
      </c>
      <c r="E1309" s="45">
        <v>5.6899999999999999E-2</v>
      </c>
      <c r="F1309" s="45">
        <v>1214.5</v>
      </c>
      <c r="G1309" s="46"/>
      <c r="H1309" s="45">
        <v>25</v>
      </c>
      <c r="I1309" s="45" t="s">
        <v>12</v>
      </c>
      <c r="J1309" s="46"/>
      <c r="K1309" s="48">
        <v>3.36</v>
      </c>
    </row>
    <row r="1310" spans="1:11" ht="15.75" customHeight="1">
      <c r="A1310" s="45" t="s">
        <v>24</v>
      </c>
      <c r="B1310" s="46"/>
      <c r="C1310" s="47">
        <v>0.25</v>
      </c>
      <c r="D1310" s="45">
        <v>6.4000000000000001E-2</v>
      </c>
      <c r="E1310" s="45">
        <v>5.6899999999999999E-2</v>
      </c>
      <c r="F1310" s="45">
        <v>1214.5</v>
      </c>
      <c r="G1310" s="46"/>
      <c r="H1310" s="45">
        <v>25</v>
      </c>
      <c r="I1310" s="45" t="s">
        <v>12</v>
      </c>
      <c r="J1310" s="46"/>
      <c r="K1310" s="48">
        <v>3.34</v>
      </c>
    </row>
    <row r="1311" spans="1:11" ht="15.75" customHeight="1">
      <c r="A1311" s="45" t="s">
        <v>24</v>
      </c>
      <c r="B1311" s="46"/>
      <c r="C1311" s="47">
        <v>0.25</v>
      </c>
      <c r="D1311" s="45">
        <v>6.3E-2</v>
      </c>
      <c r="E1311" s="45">
        <v>0.32700000000000001</v>
      </c>
      <c r="F1311" s="45">
        <v>1245.5999999999999</v>
      </c>
      <c r="G1311" s="46"/>
      <c r="H1311" s="45">
        <v>25</v>
      </c>
      <c r="I1311" s="45" t="s">
        <v>12</v>
      </c>
      <c r="J1311" s="46"/>
      <c r="K1311" s="48">
        <v>3.3</v>
      </c>
    </row>
    <row r="1312" spans="1:11" ht="15.75" customHeight="1">
      <c r="A1312" s="45" t="s">
        <v>24</v>
      </c>
      <c r="B1312" s="46"/>
      <c r="C1312" s="47">
        <v>0.25</v>
      </c>
      <c r="D1312" s="45">
        <v>6.3E-2</v>
      </c>
      <c r="E1312" s="45">
        <v>0.32700000000000001</v>
      </c>
      <c r="F1312" s="45">
        <v>1245.5999999999999</v>
      </c>
      <c r="G1312" s="46"/>
      <c r="H1312" s="45">
        <v>25</v>
      </c>
      <c r="I1312" s="45" t="s">
        <v>12</v>
      </c>
      <c r="J1312" s="46"/>
      <c r="K1312" s="48">
        <v>3.47</v>
      </c>
    </row>
    <row r="1313" spans="1:11" ht="15.75" customHeight="1">
      <c r="A1313" s="45" t="s">
        <v>24</v>
      </c>
      <c r="B1313" s="46"/>
      <c r="C1313" s="47">
        <v>0.25</v>
      </c>
      <c r="D1313" s="45">
        <v>6.3E-2</v>
      </c>
      <c r="E1313" s="45">
        <v>0.32700000000000001</v>
      </c>
      <c r="F1313" s="45">
        <v>1245.5999999999999</v>
      </c>
      <c r="G1313" s="46"/>
      <c r="H1313" s="45">
        <v>25</v>
      </c>
      <c r="I1313" s="45" t="s">
        <v>12</v>
      </c>
      <c r="J1313" s="46"/>
      <c r="K1313" s="48">
        <v>4.58</v>
      </c>
    </row>
    <row r="1314" spans="1:11" ht="15.75" customHeight="1">
      <c r="A1314" s="45" t="s">
        <v>24</v>
      </c>
      <c r="B1314" s="46"/>
      <c r="C1314" s="47">
        <v>0.25</v>
      </c>
      <c r="D1314" s="45">
        <v>6.3E-2</v>
      </c>
      <c r="E1314" s="45">
        <v>0.32700000000000001</v>
      </c>
      <c r="F1314" s="45">
        <v>1245.5999999999999</v>
      </c>
      <c r="G1314" s="46"/>
      <c r="H1314" s="45">
        <v>25</v>
      </c>
      <c r="I1314" s="45" t="s">
        <v>12</v>
      </c>
      <c r="J1314" s="46"/>
      <c r="K1314" s="48">
        <v>5.24</v>
      </c>
    </row>
    <row r="1315" spans="1:11" ht="15.75" customHeight="1">
      <c r="A1315" s="45" t="s">
        <v>24</v>
      </c>
      <c r="B1315" s="46"/>
      <c r="C1315" s="47">
        <v>0.25</v>
      </c>
      <c r="D1315" s="45">
        <v>6.3E-2</v>
      </c>
      <c r="E1315" s="45">
        <v>0.32700000000000001</v>
      </c>
      <c r="F1315" s="45">
        <v>1245.5999999999999</v>
      </c>
      <c r="G1315" s="46"/>
      <c r="H1315" s="45">
        <v>25</v>
      </c>
      <c r="I1315" s="45" t="s">
        <v>12</v>
      </c>
      <c r="J1315" s="49"/>
      <c r="K1315" s="48">
        <v>5.55</v>
      </c>
    </row>
    <row r="1316" spans="1:11" ht="15.75" customHeight="1">
      <c r="A1316" s="45" t="s">
        <v>24</v>
      </c>
      <c r="B1316" s="46"/>
      <c r="C1316" s="47">
        <v>0.25</v>
      </c>
      <c r="D1316" s="45">
        <v>6.3E-2</v>
      </c>
      <c r="E1316" s="45">
        <v>0.32700000000000001</v>
      </c>
      <c r="F1316" s="45">
        <v>1245.5999999999999</v>
      </c>
      <c r="G1316" s="46"/>
      <c r="H1316" s="45">
        <v>25</v>
      </c>
      <c r="I1316" s="45" t="s">
        <v>12</v>
      </c>
      <c r="J1316" s="49"/>
      <c r="K1316" s="48">
        <v>5.51</v>
      </c>
    </row>
    <row r="1317" spans="1:11" ht="15.75" customHeight="1">
      <c r="A1317" s="45" t="s">
        <v>24</v>
      </c>
      <c r="B1317" s="46"/>
      <c r="C1317" s="47">
        <v>0.25</v>
      </c>
      <c r="D1317" s="45">
        <v>6.25E-2</v>
      </c>
      <c r="E1317" s="45">
        <v>0.77500000000000002</v>
      </c>
      <c r="F1317" s="45">
        <v>1260</v>
      </c>
      <c r="G1317" s="46"/>
      <c r="H1317" s="45">
        <v>25</v>
      </c>
      <c r="I1317" s="45" t="s">
        <v>12</v>
      </c>
      <c r="J1317" s="49"/>
      <c r="K1317" s="48">
        <v>3.77</v>
      </c>
    </row>
    <row r="1318" spans="1:11" ht="15.75" customHeight="1">
      <c r="A1318" s="45" t="s">
        <v>24</v>
      </c>
      <c r="B1318" s="46"/>
      <c r="C1318" s="47">
        <v>0.25</v>
      </c>
      <c r="D1318" s="45">
        <v>6.25E-2</v>
      </c>
      <c r="E1318" s="45">
        <v>0.77500000000000002</v>
      </c>
      <c r="F1318" s="45">
        <v>1260</v>
      </c>
      <c r="G1318" s="46"/>
      <c r="H1318" s="45">
        <v>25</v>
      </c>
      <c r="I1318" s="45" t="s">
        <v>12</v>
      </c>
      <c r="J1318" s="46"/>
      <c r="K1318" s="48">
        <v>4.5999999999999996</v>
      </c>
    </row>
    <row r="1319" spans="1:11" ht="15.75" customHeight="1">
      <c r="A1319" s="45" t="s">
        <v>24</v>
      </c>
      <c r="B1319" s="46"/>
      <c r="C1319" s="47">
        <v>0.25</v>
      </c>
      <c r="D1319" s="45">
        <v>6.25E-2</v>
      </c>
      <c r="E1319" s="45">
        <v>0.77500000000000002</v>
      </c>
      <c r="F1319" s="45">
        <v>1260</v>
      </c>
      <c r="G1319" s="46"/>
      <c r="H1319" s="45">
        <v>25</v>
      </c>
      <c r="I1319" s="45" t="s">
        <v>12</v>
      </c>
      <c r="J1319" s="46"/>
      <c r="K1319" s="48">
        <v>5.63</v>
      </c>
    </row>
    <row r="1320" spans="1:11" ht="15.75" customHeight="1">
      <c r="A1320" s="45" t="s">
        <v>24</v>
      </c>
      <c r="B1320" s="46"/>
      <c r="C1320" s="47">
        <v>0.25</v>
      </c>
      <c r="D1320" s="45">
        <v>6.25E-2</v>
      </c>
      <c r="E1320" s="45">
        <v>0.77500000000000002</v>
      </c>
      <c r="F1320" s="45">
        <v>1260</v>
      </c>
      <c r="G1320" s="46"/>
      <c r="H1320" s="45">
        <v>25</v>
      </c>
      <c r="I1320" s="45" t="s">
        <v>12</v>
      </c>
      <c r="J1320" s="46"/>
      <c r="K1320" s="48">
        <v>5.93</v>
      </c>
    </row>
    <row r="1321" spans="1:11" ht="15.75" customHeight="1">
      <c r="A1321" s="45" t="s">
        <v>24</v>
      </c>
      <c r="B1321" s="46"/>
      <c r="C1321" s="47">
        <v>0.25</v>
      </c>
      <c r="D1321" s="45">
        <v>6.25E-2</v>
      </c>
      <c r="E1321" s="45">
        <v>0.77500000000000002</v>
      </c>
      <c r="F1321" s="45">
        <v>1260</v>
      </c>
      <c r="G1321" s="46"/>
      <c r="H1321" s="45">
        <v>25</v>
      </c>
      <c r="I1321" s="45" t="s">
        <v>12</v>
      </c>
      <c r="J1321" s="46"/>
      <c r="K1321" s="48">
        <v>6.85</v>
      </c>
    </row>
    <row r="1322" spans="1:11" ht="15.75" customHeight="1">
      <c r="A1322" s="45" t="s">
        <v>24</v>
      </c>
      <c r="B1322" s="46"/>
      <c r="C1322" s="47">
        <v>0.25</v>
      </c>
      <c r="D1322" s="45">
        <v>6.25E-2</v>
      </c>
      <c r="E1322" s="45">
        <v>0.77500000000000002</v>
      </c>
      <c r="F1322" s="45">
        <v>1260</v>
      </c>
      <c r="G1322" s="46"/>
      <c r="H1322" s="45">
        <v>25</v>
      </c>
      <c r="I1322" s="45" t="s">
        <v>12</v>
      </c>
      <c r="J1322" s="46"/>
      <c r="K1322" s="48">
        <v>7.18</v>
      </c>
    </row>
    <row r="1323" spans="1:11" ht="15.75" customHeight="1">
      <c r="A1323" s="45" t="s">
        <v>24</v>
      </c>
      <c r="B1323" s="46"/>
      <c r="C1323" s="47">
        <v>0.34</v>
      </c>
      <c r="D1323" s="45">
        <v>6.4000000000000001E-2</v>
      </c>
      <c r="E1323" s="45">
        <v>5.6899999999999999E-2</v>
      </c>
      <c r="F1323" s="45">
        <v>1214.5</v>
      </c>
      <c r="G1323" s="46"/>
      <c r="H1323" s="45">
        <v>25</v>
      </c>
      <c r="I1323" s="45" t="s">
        <v>12</v>
      </c>
      <c r="J1323" s="46"/>
      <c r="K1323" s="48">
        <v>3</v>
      </c>
    </row>
    <row r="1324" spans="1:11" ht="15.75" customHeight="1">
      <c r="A1324" s="45" t="s">
        <v>24</v>
      </c>
      <c r="B1324" s="46"/>
      <c r="C1324" s="47">
        <v>0.34</v>
      </c>
      <c r="D1324" s="45">
        <v>6.4000000000000001E-2</v>
      </c>
      <c r="E1324" s="45">
        <v>5.6899999999999999E-2</v>
      </c>
      <c r="F1324" s="45">
        <v>1214.5</v>
      </c>
      <c r="G1324" s="46"/>
      <c r="H1324" s="45">
        <v>25</v>
      </c>
      <c r="I1324" s="45" t="s">
        <v>12</v>
      </c>
      <c r="J1324" s="46"/>
      <c r="K1324" s="48">
        <v>3.72</v>
      </c>
    </row>
    <row r="1325" spans="1:11" ht="15.75" customHeight="1">
      <c r="A1325" s="45" t="s">
        <v>24</v>
      </c>
      <c r="B1325" s="46"/>
      <c r="C1325" s="47">
        <v>0.34</v>
      </c>
      <c r="D1325" s="45">
        <v>6.4000000000000001E-2</v>
      </c>
      <c r="E1325" s="45">
        <v>5.6899999999999999E-2</v>
      </c>
      <c r="F1325" s="45">
        <v>1214.5</v>
      </c>
      <c r="G1325" s="46"/>
      <c r="H1325" s="45">
        <v>25</v>
      </c>
      <c r="I1325" s="45" t="s">
        <v>12</v>
      </c>
      <c r="J1325" s="46"/>
      <c r="K1325" s="48">
        <v>4.05</v>
      </c>
    </row>
    <row r="1326" spans="1:11" ht="15.75" customHeight="1">
      <c r="A1326" s="45" t="s">
        <v>24</v>
      </c>
      <c r="B1326" s="46"/>
      <c r="C1326" s="47">
        <v>0.34</v>
      </c>
      <c r="D1326" s="45">
        <v>6.4000000000000001E-2</v>
      </c>
      <c r="E1326" s="45">
        <v>5.6899999999999999E-2</v>
      </c>
      <c r="F1326" s="45">
        <v>1214.5</v>
      </c>
      <c r="G1326" s="46"/>
      <c r="H1326" s="45">
        <v>25</v>
      </c>
      <c r="I1326" s="45" t="s">
        <v>12</v>
      </c>
      <c r="J1326" s="46"/>
      <c r="K1326" s="48">
        <v>4.04</v>
      </c>
    </row>
    <row r="1327" spans="1:11" ht="15.75" customHeight="1">
      <c r="A1327" s="45" t="s">
        <v>24</v>
      </c>
      <c r="B1327" s="46"/>
      <c r="C1327" s="47">
        <v>0.34</v>
      </c>
      <c r="D1327" s="45">
        <v>6.4000000000000001E-2</v>
      </c>
      <c r="E1327" s="45">
        <v>5.6899999999999999E-2</v>
      </c>
      <c r="F1327" s="45">
        <v>1214.5</v>
      </c>
      <c r="G1327" s="46"/>
      <c r="H1327" s="45">
        <v>25</v>
      </c>
      <c r="I1327" s="45" t="s">
        <v>12</v>
      </c>
      <c r="J1327" s="46"/>
      <c r="K1327" s="48">
        <v>3.81</v>
      </c>
    </row>
    <row r="1328" spans="1:11" ht="15.75" customHeight="1">
      <c r="A1328" s="45" t="s">
        <v>24</v>
      </c>
      <c r="B1328" s="46"/>
      <c r="C1328" s="47">
        <v>0.34</v>
      </c>
      <c r="D1328" s="45">
        <v>6.4000000000000001E-2</v>
      </c>
      <c r="E1328" s="45">
        <v>5.6899999999999999E-2</v>
      </c>
      <c r="F1328" s="45">
        <v>1214.5</v>
      </c>
      <c r="G1328" s="46"/>
      <c r="H1328" s="45">
        <v>25</v>
      </c>
      <c r="I1328" s="45" t="s">
        <v>12</v>
      </c>
      <c r="J1328" s="46"/>
      <c r="K1328" s="48">
        <v>3.79</v>
      </c>
    </row>
    <row r="1329" spans="1:11" ht="15.75" customHeight="1">
      <c r="A1329" s="45" t="s">
        <v>24</v>
      </c>
      <c r="B1329" s="46"/>
      <c r="C1329" s="47">
        <v>0.34</v>
      </c>
      <c r="D1329" s="45">
        <v>6.3E-2</v>
      </c>
      <c r="E1329" s="45">
        <v>0.32700000000000001</v>
      </c>
      <c r="F1329" s="45">
        <v>1245.5999999999999</v>
      </c>
      <c r="G1329" s="46"/>
      <c r="H1329" s="45">
        <v>25</v>
      </c>
      <c r="I1329" s="45" t="s">
        <v>12</v>
      </c>
      <c r="J1329" s="46"/>
      <c r="K1329" s="48">
        <v>4.0999999999999996</v>
      </c>
    </row>
    <row r="1330" spans="1:11" ht="15.75" customHeight="1">
      <c r="A1330" s="45" t="s">
        <v>24</v>
      </c>
      <c r="B1330" s="46"/>
      <c r="C1330" s="47">
        <v>0.34</v>
      </c>
      <c r="D1330" s="45">
        <v>6.3E-2</v>
      </c>
      <c r="E1330" s="45">
        <v>0.32700000000000001</v>
      </c>
      <c r="F1330" s="45">
        <v>1245.5999999999999</v>
      </c>
      <c r="G1330" s="46"/>
      <c r="H1330" s="45">
        <v>25</v>
      </c>
      <c r="I1330" s="45" t="s">
        <v>12</v>
      </c>
      <c r="J1330" s="46"/>
      <c r="K1330" s="48">
        <v>4.76</v>
      </c>
    </row>
    <row r="1331" spans="1:11" ht="15.75" customHeight="1">
      <c r="A1331" s="45" t="s">
        <v>24</v>
      </c>
      <c r="B1331" s="46"/>
      <c r="C1331" s="47">
        <v>0.34</v>
      </c>
      <c r="D1331" s="45">
        <v>6.3E-2</v>
      </c>
      <c r="E1331" s="45">
        <v>0.32700000000000001</v>
      </c>
      <c r="F1331" s="45">
        <v>1245.5999999999999</v>
      </c>
      <c r="G1331" s="46"/>
      <c r="H1331" s="45">
        <v>25</v>
      </c>
      <c r="I1331" s="45" t="s">
        <v>12</v>
      </c>
      <c r="J1331" s="46"/>
      <c r="K1331" s="48">
        <v>5.63</v>
      </c>
    </row>
    <row r="1332" spans="1:11" ht="15.75" customHeight="1">
      <c r="A1332" s="45" t="s">
        <v>24</v>
      </c>
      <c r="B1332" s="46"/>
      <c r="C1332" s="47">
        <v>0.34</v>
      </c>
      <c r="D1332" s="45">
        <v>6.3E-2</v>
      </c>
      <c r="E1332" s="45">
        <v>0.32700000000000001</v>
      </c>
      <c r="F1332" s="45">
        <v>1245.5999999999999</v>
      </c>
      <c r="G1332" s="46"/>
      <c r="H1332" s="45">
        <v>25</v>
      </c>
      <c r="I1332" s="45" t="s">
        <v>12</v>
      </c>
      <c r="J1332" s="46"/>
      <c r="K1332" s="48">
        <v>6.84</v>
      </c>
    </row>
    <row r="1333" spans="1:11" ht="15.75" customHeight="1">
      <c r="A1333" s="45" t="s">
        <v>24</v>
      </c>
      <c r="B1333" s="46"/>
      <c r="C1333" s="47">
        <v>0.34</v>
      </c>
      <c r="D1333" s="45">
        <v>6.3E-2</v>
      </c>
      <c r="E1333" s="45">
        <v>0.32700000000000001</v>
      </c>
      <c r="F1333" s="45">
        <v>1245.5999999999999</v>
      </c>
      <c r="G1333" s="46"/>
      <c r="H1333" s="45">
        <v>25</v>
      </c>
      <c r="I1333" s="45" t="s">
        <v>12</v>
      </c>
      <c r="J1333" s="46"/>
      <c r="K1333" s="48">
        <v>6.86</v>
      </c>
    </row>
    <row r="1334" spans="1:11" ht="15.75" customHeight="1">
      <c r="A1334" s="45" t="s">
        <v>24</v>
      </c>
      <c r="B1334" s="46"/>
      <c r="C1334" s="47">
        <v>0.34</v>
      </c>
      <c r="D1334" s="45">
        <v>6.3E-2</v>
      </c>
      <c r="E1334" s="45">
        <v>0.32700000000000001</v>
      </c>
      <c r="F1334" s="45">
        <v>1245.5999999999999</v>
      </c>
      <c r="G1334" s="46"/>
      <c r="H1334" s="45">
        <v>25</v>
      </c>
      <c r="I1334" s="45" t="s">
        <v>12</v>
      </c>
      <c r="J1334" s="46"/>
      <c r="K1334" s="48">
        <v>6.84</v>
      </c>
    </row>
    <row r="1335" spans="1:11" ht="15.75" customHeight="1">
      <c r="A1335" s="45" t="s">
        <v>24</v>
      </c>
      <c r="B1335" s="46"/>
      <c r="C1335" s="47">
        <v>0.34</v>
      </c>
      <c r="D1335" s="45">
        <v>6.25E-2</v>
      </c>
      <c r="E1335" s="45">
        <v>0.77500000000000002</v>
      </c>
      <c r="F1335" s="45">
        <v>1260</v>
      </c>
      <c r="G1335" s="46"/>
      <c r="H1335" s="45">
        <v>25</v>
      </c>
      <c r="I1335" s="45" t="s">
        <v>12</v>
      </c>
      <c r="J1335" s="46"/>
      <c r="K1335" s="48">
        <v>4.66</v>
      </c>
    </row>
    <row r="1336" spans="1:11" ht="15.75" customHeight="1">
      <c r="A1336" s="45" t="s">
        <v>24</v>
      </c>
      <c r="B1336" s="46"/>
      <c r="C1336" s="47">
        <v>0.34</v>
      </c>
      <c r="D1336" s="45">
        <v>6.25E-2</v>
      </c>
      <c r="E1336" s="45">
        <v>0.77500000000000002</v>
      </c>
      <c r="F1336" s="45">
        <v>1260</v>
      </c>
      <c r="G1336" s="46"/>
      <c r="H1336" s="45">
        <v>25</v>
      </c>
      <c r="I1336" s="45" t="s">
        <v>12</v>
      </c>
      <c r="J1336" s="46"/>
      <c r="K1336" s="48">
        <v>5.68</v>
      </c>
    </row>
    <row r="1337" spans="1:11" ht="15.75" customHeight="1">
      <c r="A1337" s="45" t="s">
        <v>24</v>
      </c>
      <c r="B1337" s="46"/>
      <c r="C1337" s="47">
        <v>0.34</v>
      </c>
      <c r="D1337" s="45">
        <v>6.25E-2</v>
      </c>
      <c r="E1337" s="45">
        <v>0.77500000000000002</v>
      </c>
      <c r="F1337" s="45">
        <v>1260</v>
      </c>
      <c r="G1337" s="46"/>
      <c r="H1337" s="45">
        <v>25</v>
      </c>
      <c r="I1337" s="45" t="s">
        <v>12</v>
      </c>
      <c r="J1337" s="46"/>
      <c r="K1337" s="48">
        <v>6.64</v>
      </c>
    </row>
    <row r="1338" spans="1:11" ht="15.75" customHeight="1">
      <c r="A1338" s="45" t="s">
        <v>24</v>
      </c>
      <c r="B1338" s="46"/>
      <c r="C1338" s="47">
        <v>0.34</v>
      </c>
      <c r="D1338" s="45">
        <v>6.25E-2</v>
      </c>
      <c r="E1338" s="45">
        <v>0.77500000000000002</v>
      </c>
      <c r="F1338" s="45">
        <v>1260</v>
      </c>
      <c r="G1338" s="46"/>
      <c r="H1338" s="45">
        <v>25</v>
      </c>
      <c r="I1338" s="45" t="s">
        <v>12</v>
      </c>
      <c r="J1338" s="46"/>
      <c r="K1338" s="48">
        <v>8.1</v>
      </c>
    </row>
    <row r="1339" spans="1:11" ht="15.75" customHeight="1">
      <c r="A1339" s="45" t="s">
        <v>24</v>
      </c>
      <c r="B1339" s="46"/>
      <c r="C1339" s="47">
        <v>0.34</v>
      </c>
      <c r="D1339" s="45">
        <v>6.25E-2</v>
      </c>
      <c r="E1339" s="45">
        <v>0.77500000000000002</v>
      </c>
      <c r="F1339" s="45">
        <v>1260</v>
      </c>
      <c r="G1339" s="46"/>
      <c r="H1339" s="45">
        <v>25</v>
      </c>
      <c r="I1339" s="45" t="s">
        <v>12</v>
      </c>
      <c r="J1339" s="46"/>
      <c r="K1339" s="48">
        <v>8.4700000000000006</v>
      </c>
    </row>
    <row r="1340" spans="1:11" ht="15.75" customHeight="1">
      <c r="A1340" s="45" t="s">
        <v>24</v>
      </c>
      <c r="B1340" s="46"/>
      <c r="C1340" s="47">
        <v>0.34</v>
      </c>
      <c r="D1340" s="45">
        <v>6.25E-2</v>
      </c>
      <c r="E1340" s="45">
        <v>0.77500000000000002</v>
      </c>
      <c r="F1340" s="45">
        <v>1260</v>
      </c>
      <c r="G1340" s="46"/>
      <c r="H1340" s="45">
        <v>25</v>
      </c>
      <c r="I1340" s="45" t="s">
        <v>12</v>
      </c>
      <c r="J1340" s="46"/>
      <c r="K1340" s="48">
        <v>9.02</v>
      </c>
    </row>
    <row r="1341" spans="1:11" ht="15.75" customHeight="1">
      <c r="A1341" s="45" t="s">
        <v>24</v>
      </c>
      <c r="B1341" s="46"/>
      <c r="C1341" s="47">
        <v>0.41</v>
      </c>
      <c r="D1341" s="45">
        <v>6.4000000000000001E-2</v>
      </c>
      <c r="E1341" s="45">
        <v>5.6899999999999999E-2</v>
      </c>
      <c r="F1341" s="45">
        <v>1214.5</v>
      </c>
      <c r="G1341" s="46"/>
      <c r="H1341" s="45">
        <v>25</v>
      </c>
      <c r="I1341" s="45" t="s">
        <v>12</v>
      </c>
      <c r="J1341" s="46"/>
      <c r="K1341" s="48">
        <v>0.97</v>
      </c>
    </row>
    <row r="1342" spans="1:11" ht="15.75" customHeight="1">
      <c r="A1342" s="45" t="s">
        <v>24</v>
      </c>
      <c r="B1342" s="46"/>
      <c r="C1342" s="47">
        <v>0.41</v>
      </c>
      <c r="D1342" s="45">
        <v>6.4000000000000001E-2</v>
      </c>
      <c r="E1342" s="45">
        <v>5.6899999999999999E-2</v>
      </c>
      <c r="F1342" s="45">
        <v>1214.5</v>
      </c>
      <c r="G1342" s="46"/>
      <c r="H1342" s="45">
        <v>25</v>
      </c>
      <c r="I1342" s="45" t="s">
        <v>12</v>
      </c>
      <c r="J1342" s="46"/>
      <c r="K1342" s="48">
        <v>1.37</v>
      </c>
    </row>
    <row r="1343" spans="1:11" ht="15.75" customHeight="1">
      <c r="A1343" s="45" t="s">
        <v>24</v>
      </c>
      <c r="B1343" s="46"/>
      <c r="C1343" s="47">
        <v>0.41</v>
      </c>
      <c r="D1343" s="45">
        <v>6.4000000000000001E-2</v>
      </c>
      <c r="E1343" s="45">
        <v>5.6899999999999999E-2</v>
      </c>
      <c r="F1343" s="45">
        <v>1214.5</v>
      </c>
      <c r="G1343" s="46"/>
      <c r="H1343" s="45">
        <v>25</v>
      </c>
      <c r="I1343" s="45" t="s">
        <v>12</v>
      </c>
      <c r="J1343" s="46"/>
      <c r="K1343" s="48">
        <v>2.08</v>
      </c>
    </row>
    <row r="1344" spans="1:11" ht="15.75" customHeight="1">
      <c r="A1344" s="45" t="s">
        <v>24</v>
      </c>
      <c r="B1344" s="46"/>
      <c r="C1344" s="47">
        <v>0.41</v>
      </c>
      <c r="D1344" s="45">
        <v>6.4000000000000001E-2</v>
      </c>
      <c r="E1344" s="45">
        <v>5.6899999999999999E-2</v>
      </c>
      <c r="F1344" s="45">
        <v>1214.5</v>
      </c>
      <c r="G1344" s="46"/>
      <c r="H1344" s="45">
        <v>25</v>
      </c>
      <c r="I1344" s="45" t="s">
        <v>12</v>
      </c>
      <c r="J1344" s="46"/>
      <c r="K1344" s="48">
        <v>2.1</v>
      </c>
    </row>
    <row r="1345" spans="1:11" ht="15.75" customHeight="1">
      <c r="A1345" s="45" t="s">
        <v>24</v>
      </c>
      <c r="B1345" s="46"/>
      <c r="C1345" s="47">
        <v>0.41</v>
      </c>
      <c r="D1345" s="45">
        <v>6.4000000000000001E-2</v>
      </c>
      <c r="E1345" s="45">
        <v>5.6899999999999999E-2</v>
      </c>
      <c r="F1345" s="45">
        <v>1214.5</v>
      </c>
      <c r="G1345" s="46"/>
      <c r="H1345" s="45">
        <v>25</v>
      </c>
      <c r="I1345" s="45" t="s">
        <v>12</v>
      </c>
      <c r="J1345" s="46"/>
      <c r="K1345" s="48">
        <v>2.0299999999999998</v>
      </c>
    </row>
    <row r="1346" spans="1:11" ht="15.75" customHeight="1">
      <c r="A1346" s="45" t="s">
        <v>24</v>
      </c>
      <c r="B1346" s="46"/>
      <c r="C1346" s="47">
        <v>0.41</v>
      </c>
      <c r="D1346" s="45">
        <v>6.4000000000000001E-2</v>
      </c>
      <c r="E1346" s="45">
        <v>5.6899999999999999E-2</v>
      </c>
      <c r="F1346" s="45">
        <v>1214.5</v>
      </c>
      <c r="G1346" s="46"/>
      <c r="H1346" s="45">
        <v>25</v>
      </c>
      <c r="I1346" s="45" t="s">
        <v>12</v>
      </c>
      <c r="J1346" s="46"/>
      <c r="K1346" s="48">
        <v>1.85</v>
      </c>
    </row>
    <row r="1347" spans="1:11" ht="15.75" customHeight="1">
      <c r="A1347" s="45" t="s">
        <v>24</v>
      </c>
      <c r="B1347" s="46"/>
      <c r="C1347" s="47">
        <v>0.41</v>
      </c>
      <c r="D1347" s="45">
        <v>6.3E-2</v>
      </c>
      <c r="E1347" s="45">
        <v>0.32700000000000001</v>
      </c>
      <c r="F1347" s="45">
        <v>1245.5999999999999</v>
      </c>
      <c r="G1347" s="46"/>
      <c r="H1347" s="45">
        <v>25</v>
      </c>
      <c r="I1347" s="45" t="s">
        <v>12</v>
      </c>
      <c r="J1347" s="46"/>
      <c r="K1347" s="48">
        <v>1.84</v>
      </c>
    </row>
    <row r="1348" spans="1:11" ht="15.75" customHeight="1">
      <c r="A1348" s="45" t="s">
        <v>24</v>
      </c>
      <c r="B1348" s="46"/>
      <c r="C1348" s="47">
        <v>0.41</v>
      </c>
      <c r="D1348" s="45">
        <v>6.3E-2</v>
      </c>
      <c r="E1348" s="45">
        <v>0.32700000000000001</v>
      </c>
      <c r="F1348" s="45">
        <v>1245.5999999999999</v>
      </c>
      <c r="G1348" s="46"/>
      <c r="H1348" s="45">
        <v>25</v>
      </c>
      <c r="I1348" s="45" t="s">
        <v>12</v>
      </c>
      <c r="J1348" s="46"/>
      <c r="K1348" s="48">
        <v>3.2</v>
      </c>
    </row>
    <row r="1349" spans="1:11" ht="15.75" customHeight="1">
      <c r="A1349" s="45" t="s">
        <v>24</v>
      </c>
      <c r="B1349" s="46"/>
      <c r="C1349" s="47">
        <v>0.41</v>
      </c>
      <c r="D1349" s="45">
        <v>6.3E-2</v>
      </c>
      <c r="E1349" s="45">
        <v>0.32700000000000001</v>
      </c>
      <c r="F1349" s="45">
        <v>1245.5999999999999</v>
      </c>
      <c r="G1349" s="46"/>
      <c r="H1349" s="45">
        <v>25</v>
      </c>
      <c r="I1349" s="45" t="s">
        <v>12</v>
      </c>
      <c r="J1349" s="46"/>
      <c r="K1349" s="48">
        <v>5.23</v>
      </c>
    </row>
    <row r="1350" spans="1:11" ht="15.75" customHeight="1">
      <c r="A1350" s="45" t="s">
        <v>24</v>
      </c>
      <c r="B1350" s="46"/>
      <c r="C1350" s="47">
        <v>0.41</v>
      </c>
      <c r="D1350" s="45">
        <v>6.3E-2</v>
      </c>
      <c r="E1350" s="45">
        <v>0.32700000000000001</v>
      </c>
      <c r="F1350" s="45">
        <v>1245.5999999999999</v>
      </c>
      <c r="G1350" s="46"/>
      <c r="H1350" s="45">
        <v>25</v>
      </c>
      <c r="I1350" s="45" t="s">
        <v>12</v>
      </c>
      <c r="J1350" s="46"/>
      <c r="K1350" s="48">
        <v>5.86</v>
      </c>
    </row>
    <row r="1351" spans="1:11" ht="15.75" customHeight="1">
      <c r="A1351" s="45" t="s">
        <v>24</v>
      </c>
      <c r="B1351" s="46"/>
      <c r="C1351" s="47">
        <v>0.41</v>
      </c>
      <c r="D1351" s="45">
        <v>6.3E-2</v>
      </c>
      <c r="E1351" s="45">
        <v>0.32700000000000001</v>
      </c>
      <c r="F1351" s="45">
        <v>1245.5999999999999</v>
      </c>
      <c r="G1351" s="46"/>
      <c r="H1351" s="45">
        <v>25</v>
      </c>
      <c r="I1351" s="45" t="s">
        <v>12</v>
      </c>
      <c r="J1351" s="46"/>
      <c r="K1351" s="48">
        <v>6.89</v>
      </c>
    </row>
    <row r="1352" spans="1:11" ht="15.75" customHeight="1">
      <c r="A1352" s="45" t="s">
        <v>24</v>
      </c>
      <c r="B1352" s="46"/>
      <c r="C1352" s="47">
        <v>0.41</v>
      </c>
      <c r="D1352" s="45">
        <v>6.3E-2</v>
      </c>
      <c r="E1352" s="45">
        <v>0.32700000000000001</v>
      </c>
      <c r="F1352" s="45">
        <v>1245.5999999999999</v>
      </c>
      <c r="G1352" s="46"/>
      <c r="H1352" s="45">
        <v>25</v>
      </c>
      <c r="I1352" s="45" t="s">
        <v>12</v>
      </c>
      <c r="J1352" s="46"/>
      <c r="K1352" s="48">
        <v>6.88</v>
      </c>
    </row>
    <row r="1353" spans="1:11" ht="15.75" customHeight="1">
      <c r="A1353" s="45" t="s">
        <v>24</v>
      </c>
      <c r="B1353" s="46"/>
      <c r="C1353" s="47">
        <v>0.41</v>
      </c>
      <c r="D1353" s="45">
        <v>6.25E-2</v>
      </c>
      <c r="E1353" s="45">
        <v>0.77500000000000002</v>
      </c>
      <c r="F1353" s="45">
        <v>1260</v>
      </c>
      <c r="G1353" s="46"/>
      <c r="H1353" s="45">
        <v>25</v>
      </c>
      <c r="I1353" s="45" t="s">
        <v>12</v>
      </c>
      <c r="J1353" s="46"/>
      <c r="K1353" s="48">
        <v>3.21</v>
      </c>
    </row>
    <row r="1354" spans="1:11" ht="15.75" customHeight="1">
      <c r="A1354" s="45" t="s">
        <v>24</v>
      </c>
      <c r="B1354" s="46"/>
      <c r="C1354" s="47">
        <v>0.41</v>
      </c>
      <c r="D1354" s="45">
        <v>6.25E-2</v>
      </c>
      <c r="E1354" s="45">
        <v>0.77500000000000002</v>
      </c>
      <c r="F1354" s="45">
        <v>1260</v>
      </c>
      <c r="G1354" s="46"/>
      <c r="H1354" s="45">
        <v>25</v>
      </c>
      <c r="I1354" s="45" t="s">
        <v>12</v>
      </c>
      <c r="J1354" s="46"/>
      <c r="K1354" s="48">
        <v>5.52</v>
      </c>
    </row>
    <row r="1355" spans="1:11" ht="15.75" customHeight="1">
      <c r="A1355" s="45" t="s">
        <v>24</v>
      </c>
      <c r="B1355" s="46"/>
      <c r="C1355" s="47">
        <v>0.41</v>
      </c>
      <c r="D1355" s="45">
        <v>6.25E-2</v>
      </c>
      <c r="E1355" s="45">
        <v>0.77500000000000002</v>
      </c>
      <c r="F1355" s="45">
        <v>1260</v>
      </c>
      <c r="G1355" s="46"/>
      <c r="H1355" s="45">
        <v>25</v>
      </c>
      <c r="I1355" s="45" t="s">
        <v>12</v>
      </c>
      <c r="J1355" s="46"/>
      <c r="K1355" s="48">
        <v>8.17</v>
      </c>
    </row>
    <row r="1356" spans="1:11" ht="15.75" customHeight="1">
      <c r="A1356" s="45" t="s">
        <v>24</v>
      </c>
      <c r="B1356" s="46"/>
      <c r="C1356" s="47">
        <v>0.41</v>
      </c>
      <c r="D1356" s="45">
        <v>6.25E-2</v>
      </c>
      <c r="E1356" s="45">
        <v>0.77500000000000002</v>
      </c>
      <c r="F1356" s="45">
        <v>1260</v>
      </c>
      <c r="G1356" s="46"/>
      <c r="H1356" s="45">
        <v>25</v>
      </c>
      <c r="I1356" s="45" t="s">
        <v>12</v>
      </c>
      <c r="J1356" s="46"/>
      <c r="K1356" s="48">
        <v>8.9</v>
      </c>
    </row>
    <row r="1357" spans="1:11" ht="15.75" customHeight="1">
      <c r="A1357" s="45" t="s">
        <v>24</v>
      </c>
      <c r="B1357" s="46"/>
      <c r="C1357" s="47">
        <v>0.41</v>
      </c>
      <c r="D1357" s="45">
        <v>6.25E-2</v>
      </c>
      <c r="E1357" s="45">
        <v>0.77500000000000002</v>
      </c>
      <c r="F1357" s="45">
        <v>1260</v>
      </c>
      <c r="G1357" s="46"/>
      <c r="H1357" s="45">
        <v>25</v>
      </c>
      <c r="I1357" s="45" t="s">
        <v>12</v>
      </c>
      <c r="J1357" s="46"/>
      <c r="K1357" s="48">
        <v>9.17</v>
      </c>
    </row>
    <row r="1358" spans="1:11" ht="15.75" customHeight="1">
      <c r="A1358" s="45" t="s">
        <v>24</v>
      </c>
      <c r="B1358" s="46"/>
      <c r="C1358" s="47">
        <v>0.41</v>
      </c>
      <c r="D1358" s="45">
        <v>6.25E-2</v>
      </c>
      <c r="E1358" s="45">
        <v>0.77500000000000002</v>
      </c>
      <c r="F1358" s="45">
        <v>1260</v>
      </c>
      <c r="G1358" s="46"/>
      <c r="H1358" s="45">
        <v>25</v>
      </c>
      <c r="I1358" s="45" t="s">
        <v>12</v>
      </c>
      <c r="J1358" s="46"/>
      <c r="K1358" s="48">
        <v>9.5399999999999991</v>
      </c>
    </row>
    <row r="1359" spans="1:11" ht="15.75" customHeight="1">
      <c r="A1359" s="45" t="s">
        <v>24</v>
      </c>
      <c r="B1359" s="46"/>
      <c r="C1359" s="47">
        <v>0.51</v>
      </c>
      <c r="D1359" s="45">
        <v>6.4000000000000001E-2</v>
      </c>
      <c r="E1359" s="45">
        <v>5.6899999999999999E-2</v>
      </c>
      <c r="F1359" s="45">
        <v>1214.5</v>
      </c>
      <c r="G1359" s="46"/>
      <c r="H1359" s="45">
        <v>25</v>
      </c>
      <c r="I1359" s="45" t="s">
        <v>12</v>
      </c>
      <c r="J1359" s="46"/>
      <c r="K1359" s="48">
        <v>1.33</v>
      </c>
    </row>
    <row r="1360" spans="1:11" ht="15.75" customHeight="1">
      <c r="A1360" s="45" t="s">
        <v>24</v>
      </c>
      <c r="B1360" s="46"/>
      <c r="C1360" s="47">
        <v>0.51</v>
      </c>
      <c r="D1360" s="45">
        <v>6.4000000000000001E-2</v>
      </c>
      <c r="E1360" s="45">
        <v>5.6899999999999999E-2</v>
      </c>
      <c r="F1360" s="45">
        <v>1214.5</v>
      </c>
      <c r="G1360" s="46"/>
      <c r="H1360" s="45">
        <v>25</v>
      </c>
      <c r="I1360" s="45" t="s">
        <v>12</v>
      </c>
      <c r="J1360" s="46"/>
      <c r="K1360" s="48">
        <v>1.97</v>
      </c>
    </row>
    <row r="1361" spans="1:11" ht="15.75" customHeight="1">
      <c r="A1361" s="45" t="s">
        <v>24</v>
      </c>
      <c r="B1361" s="46"/>
      <c r="C1361" s="47">
        <v>0.51</v>
      </c>
      <c r="D1361" s="45">
        <v>6.4000000000000001E-2</v>
      </c>
      <c r="E1361" s="45">
        <v>5.6899999999999999E-2</v>
      </c>
      <c r="F1361" s="45">
        <v>1214.5</v>
      </c>
      <c r="G1361" s="46"/>
      <c r="H1361" s="45">
        <v>25</v>
      </c>
      <c r="I1361" s="45" t="s">
        <v>12</v>
      </c>
      <c r="J1361" s="46"/>
      <c r="K1361" s="48">
        <v>2.57</v>
      </c>
    </row>
    <row r="1362" spans="1:11" ht="15.75" customHeight="1">
      <c r="A1362" s="45" t="s">
        <v>24</v>
      </c>
      <c r="B1362" s="46"/>
      <c r="C1362" s="47">
        <v>0.51</v>
      </c>
      <c r="D1362" s="45">
        <v>6.4000000000000001E-2</v>
      </c>
      <c r="E1362" s="45">
        <v>5.6899999999999999E-2</v>
      </c>
      <c r="F1362" s="45">
        <v>1214.5</v>
      </c>
      <c r="G1362" s="46"/>
      <c r="H1362" s="45">
        <v>25</v>
      </c>
      <c r="I1362" s="45" t="s">
        <v>12</v>
      </c>
      <c r="J1362" s="46"/>
      <c r="K1362" s="48">
        <v>2.2599999999999998</v>
      </c>
    </row>
    <row r="1363" spans="1:11" ht="15.75" customHeight="1">
      <c r="A1363" s="45" t="s">
        <v>24</v>
      </c>
      <c r="B1363" s="46"/>
      <c r="C1363" s="47">
        <v>0.51</v>
      </c>
      <c r="D1363" s="45">
        <v>6.4000000000000001E-2</v>
      </c>
      <c r="E1363" s="45">
        <v>5.6899999999999999E-2</v>
      </c>
      <c r="F1363" s="45">
        <v>1214.5</v>
      </c>
      <c r="G1363" s="46"/>
      <c r="H1363" s="45">
        <v>25</v>
      </c>
      <c r="I1363" s="45" t="s">
        <v>12</v>
      </c>
      <c r="J1363" s="46"/>
      <c r="K1363" s="48">
        <v>2.17</v>
      </c>
    </row>
    <row r="1364" spans="1:11" ht="15.75" customHeight="1">
      <c r="A1364" s="45" t="s">
        <v>24</v>
      </c>
      <c r="B1364" s="46"/>
      <c r="C1364" s="47">
        <v>0.51</v>
      </c>
      <c r="D1364" s="45">
        <v>6.4000000000000001E-2</v>
      </c>
      <c r="E1364" s="45">
        <v>5.6899999999999999E-2</v>
      </c>
      <c r="F1364" s="45">
        <v>1214.5</v>
      </c>
      <c r="G1364" s="46"/>
      <c r="H1364" s="45">
        <v>25</v>
      </c>
      <c r="I1364" s="45" t="s">
        <v>12</v>
      </c>
      <c r="J1364" s="46"/>
      <c r="K1364" s="48">
        <v>2.23</v>
      </c>
    </row>
    <row r="1365" spans="1:11" ht="15.75" customHeight="1">
      <c r="A1365" s="45" t="s">
        <v>24</v>
      </c>
      <c r="B1365" s="46"/>
      <c r="C1365" s="47">
        <v>0.51</v>
      </c>
      <c r="D1365" s="45">
        <v>6.3E-2</v>
      </c>
      <c r="E1365" s="45">
        <v>0.32700000000000001</v>
      </c>
      <c r="F1365" s="45">
        <v>1245.5999999999999</v>
      </c>
      <c r="G1365" s="46"/>
      <c r="H1365" s="45">
        <v>25</v>
      </c>
      <c r="I1365" s="45" t="s">
        <v>12</v>
      </c>
      <c r="J1365" s="46"/>
      <c r="K1365" s="48">
        <v>2.3199999999999998</v>
      </c>
    </row>
    <row r="1366" spans="1:11" ht="15.75" customHeight="1">
      <c r="A1366" s="45" t="s">
        <v>24</v>
      </c>
      <c r="B1366" s="46"/>
      <c r="C1366" s="47">
        <v>0.51</v>
      </c>
      <c r="D1366" s="45">
        <v>6.3E-2</v>
      </c>
      <c r="E1366" s="45">
        <v>0.32700000000000001</v>
      </c>
      <c r="F1366" s="45">
        <v>1245.5999999999999</v>
      </c>
      <c r="G1366" s="46"/>
      <c r="H1366" s="45">
        <v>25</v>
      </c>
      <c r="I1366" s="45" t="s">
        <v>12</v>
      </c>
      <c r="J1366" s="46"/>
      <c r="K1366" s="48">
        <v>3.66</v>
      </c>
    </row>
    <row r="1367" spans="1:11" ht="15.75" customHeight="1">
      <c r="A1367" s="45" t="s">
        <v>24</v>
      </c>
      <c r="B1367" s="46"/>
      <c r="C1367" s="47">
        <v>0.51</v>
      </c>
      <c r="D1367" s="45">
        <v>6.3E-2</v>
      </c>
      <c r="E1367" s="45">
        <v>0.32700000000000001</v>
      </c>
      <c r="F1367" s="45">
        <v>1245.5999999999999</v>
      </c>
      <c r="G1367" s="46"/>
      <c r="H1367" s="45">
        <v>25</v>
      </c>
      <c r="I1367" s="45" t="s">
        <v>12</v>
      </c>
      <c r="J1367" s="46"/>
      <c r="K1367" s="48">
        <v>5.68</v>
      </c>
    </row>
    <row r="1368" spans="1:11" ht="15.75" customHeight="1">
      <c r="A1368" s="45" t="s">
        <v>24</v>
      </c>
      <c r="B1368" s="46"/>
      <c r="C1368" s="47">
        <v>0.51</v>
      </c>
      <c r="D1368" s="45">
        <v>6.3E-2</v>
      </c>
      <c r="E1368" s="45">
        <v>0.32700000000000001</v>
      </c>
      <c r="F1368" s="45">
        <v>1245.5999999999999</v>
      </c>
      <c r="G1368" s="46"/>
      <c r="H1368" s="45">
        <v>25</v>
      </c>
      <c r="I1368" s="45" t="s">
        <v>12</v>
      </c>
      <c r="J1368" s="46"/>
      <c r="K1368" s="48">
        <v>6.03</v>
      </c>
    </row>
    <row r="1369" spans="1:11" ht="15.75" customHeight="1">
      <c r="A1369" s="45" t="s">
        <v>24</v>
      </c>
      <c r="B1369" s="46"/>
      <c r="C1369" s="47">
        <v>0.51</v>
      </c>
      <c r="D1369" s="45">
        <v>6.3E-2</v>
      </c>
      <c r="E1369" s="45">
        <v>0.32700000000000001</v>
      </c>
      <c r="F1369" s="45">
        <v>1245.5999999999999</v>
      </c>
      <c r="G1369" s="46"/>
      <c r="H1369" s="45">
        <v>25</v>
      </c>
      <c r="I1369" s="45" t="s">
        <v>12</v>
      </c>
      <c r="J1369" s="46"/>
      <c r="K1369" s="48">
        <v>7.34</v>
      </c>
    </row>
    <row r="1370" spans="1:11" ht="15.75" customHeight="1">
      <c r="A1370" s="45" t="s">
        <v>24</v>
      </c>
      <c r="B1370" s="46"/>
      <c r="C1370" s="47">
        <v>0.51</v>
      </c>
      <c r="D1370" s="45">
        <v>6.3E-2</v>
      </c>
      <c r="E1370" s="45">
        <v>0.32700000000000001</v>
      </c>
      <c r="F1370" s="45">
        <v>1245.5999999999999</v>
      </c>
      <c r="G1370" s="46"/>
      <c r="H1370" s="45">
        <v>25</v>
      </c>
      <c r="I1370" s="45" t="s">
        <v>12</v>
      </c>
      <c r="J1370" s="46"/>
      <c r="K1370" s="48">
        <v>7.32</v>
      </c>
    </row>
    <row r="1371" spans="1:11" ht="15.75" customHeight="1">
      <c r="A1371" s="45" t="s">
        <v>24</v>
      </c>
      <c r="B1371" s="46"/>
      <c r="C1371" s="47">
        <v>0.51</v>
      </c>
      <c r="D1371" s="45">
        <v>6.25E-2</v>
      </c>
      <c r="E1371" s="45">
        <v>0.77500000000000002</v>
      </c>
      <c r="F1371" s="45">
        <v>1260</v>
      </c>
      <c r="G1371" s="46"/>
      <c r="H1371" s="45">
        <v>25</v>
      </c>
      <c r="I1371" s="45" t="s">
        <v>12</v>
      </c>
      <c r="J1371" s="46"/>
      <c r="K1371" s="48">
        <v>4.0599999999999996</v>
      </c>
    </row>
    <row r="1372" spans="1:11" ht="15.75" customHeight="1">
      <c r="A1372" s="45" t="s">
        <v>24</v>
      </c>
      <c r="B1372" s="46"/>
      <c r="C1372" s="47">
        <v>0.51</v>
      </c>
      <c r="D1372" s="45">
        <v>6.25E-2</v>
      </c>
      <c r="E1372" s="45">
        <v>0.77500000000000002</v>
      </c>
      <c r="F1372" s="45">
        <v>1260</v>
      </c>
      <c r="G1372" s="46"/>
      <c r="H1372" s="45">
        <v>25</v>
      </c>
      <c r="I1372" s="45" t="s">
        <v>12</v>
      </c>
      <c r="J1372" s="46"/>
      <c r="K1372" s="48">
        <v>6.18</v>
      </c>
    </row>
    <row r="1373" spans="1:11" ht="15.75" customHeight="1">
      <c r="A1373" s="45" t="s">
        <v>24</v>
      </c>
      <c r="B1373" s="46"/>
      <c r="C1373" s="47">
        <v>0.51</v>
      </c>
      <c r="D1373" s="45">
        <v>6.25E-2</v>
      </c>
      <c r="E1373" s="45">
        <v>0.77500000000000002</v>
      </c>
      <c r="F1373" s="45">
        <v>1260</v>
      </c>
      <c r="G1373" s="46"/>
      <c r="H1373" s="45">
        <v>25</v>
      </c>
      <c r="I1373" s="45" t="s">
        <v>12</v>
      </c>
      <c r="J1373" s="46"/>
      <c r="K1373" s="48">
        <v>8.74</v>
      </c>
    </row>
    <row r="1374" spans="1:11" ht="15.75" customHeight="1">
      <c r="A1374" s="45" t="s">
        <v>24</v>
      </c>
      <c r="B1374" s="46"/>
      <c r="C1374" s="47">
        <v>0.51</v>
      </c>
      <c r="D1374" s="45">
        <v>6.25E-2</v>
      </c>
      <c r="E1374" s="45">
        <v>0.77500000000000002</v>
      </c>
      <c r="F1374" s="45">
        <v>1260</v>
      </c>
      <c r="G1374" s="46"/>
      <c r="H1374" s="45">
        <v>25</v>
      </c>
      <c r="I1374" s="45" t="s">
        <v>12</v>
      </c>
      <c r="J1374" s="46"/>
      <c r="K1374" s="48">
        <v>9.76</v>
      </c>
    </row>
    <row r="1375" spans="1:11" ht="15.75" customHeight="1">
      <c r="A1375" s="45" t="s">
        <v>24</v>
      </c>
      <c r="B1375" s="46"/>
      <c r="C1375" s="47">
        <v>0.51</v>
      </c>
      <c r="D1375" s="45">
        <v>6.25E-2</v>
      </c>
      <c r="E1375" s="45">
        <v>0.77500000000000002</v>
      </c>
      <c r="F1375" s="45">
        <v>1260</v>
      </c>
      <c r="G1375" s="46"/>
      <c r="H1375" s="45">
        <v>25</v>
      </c>
      <c r="I1375" s="45" t="s">
        <v>12</v>
      </c>
      <c r="J1375" s="46"/>
      <c r="K1375" s="48">
        <v>10.45</v>
      </c>
    </row>
    <row r="1376" spans="1:11" ht="15.75" customHeight="1">
      <c r="A1376" s="45" t="s">
        <v>24</v>
      </c>
      <c r="B1376" s="46"/>
      <c r="C1376" s="47">
        <v>0.51</v>
      </c>
      <c r="D1376" s="45">
        <v>6.25E-2</v>
      </c>
      <c r="E1376" s="45">
        <v>0.77500000000000002</v>
      </c>
      <c r="F1376" s="45">
        <v>1260</v>
      </c>
      <c r="G1376" s="46"/>
      <c r="H1376" s="45">
        <v>25</v>
      </c>
      <c r="I1376" s="45" t="s">
        <v>12</v>
      </c>
      <c r="J1376" s="46"/>
      <c r="K1376" s="48">
        <v>10.58</v>
      </c>
    </row>
    <row r="1377" spans="1:11" ht="15.75" customHeight="1">
      <c r="A1377" s="50" t="s">
        <v>25</v>
      </c>
      <c r="B1377" s="50">
        <v>71.599050000000005</v>
      </c>
      <c r="C1377" s="51">
        <v>1.8</v>
      </c>
      <c r="D1377" s="50"/>
      <c r="E1377" s="50"/>
      <c r="F1377" s="50"/>
      <c r="G1377" s="50"/>
      <c r="H1377" s="52">
        <v>25</v>
      </c>
      <c r="I1377" s="53" t="s">
        <v>12</v>
      </c>
      <c r="J1377" s="50"/>
      <c r="K1377" s="50">
        <v>7.192717</v>
      </c>
    </row>
    <row r="1378" spans="1:11" ht="15.75" customHeight="1">
      <c r="A1378" s="50" t="s">
        <v>25</v>
      </c>
      <c r="B1378" s="50">
        <v>214.7971</v>
      </c>
      <c r="C1378" s="51">
        <v>1.8</v>
      </c>
      <c r="D1378" s="50"/>
      <c r="E1378" s="50"/>
      <c r="F1378" s="50"/>
      <c r="G1378" s="50"/>
      <c r="H1378" s="52">
        <v>25</v>
      </c>
      <c r="I1378" s="53" t="s">
        <v>12</v>
      </c>
      <c r="J1378" s="50"/>
      <c r="K1378" s="50">
        <v>7.5265550000000001</v>
      </c>
    </row>
    <row r="1379" spans="1:11" ht="15.75" customHeight="1">
      <c r="A1379" s="50" t="s">
        <v>25</v>
      </c>
      <c r="B1379" s="50">
        <v>372.31509999999997</v>
      </c>
      <c r="C1379" s="51">
        <v>1.8</v>
      </c>
      <c r="D1379" s="50"/>
      <c r="E1379" s="50"/>
      <c r="F1379" s="50"/>
      <c r="G1379" s="50"/>
      <c r="H1379" s="52">
        <v>25</v>
      </c>
      <c r="I1379" s="53" t="s">
        <v>12</v>
      </c>
      <c r="J1379" s="50"/>
      <c r="K1379" s="50">
        <v>8.2549320000000002</v>
      </c>
    </row>
    <row r="1380" spans="1:11" ht="15.75" customHeight="1">
      <c r="A1380" s="50" t="s">
        <v>25</v>
      </c>
      <c r="B1380" s="50">
        <v>558.47249999999997</v>
      </c>
      <c r="C1380" s="51">
        <v>1.8</v>
      </c>
      <c r="D1380" s="50"/>
      <c r="E1380" s="50"/>
      <c r="F1380" s="50"/>
      <c r="G1380" s="50"/>
      <c r="H1380" s="52">
        <v>25</v>
      </c>
      <c r="I1380" s="53" t="s">
        <v>12</v>
      </c>
      <c r="J1380" s="50"/>
      <c r="K1380" s="50">
        <v>8.6494689999999999</v>
      </c>
    </row>
    <row r="1381" spans="1:11" ht="15.75" customHeight="1">
      <c r="A1381" s="50" t="s">
        <v>25</v>
      </c>
      <c r="B1381" s="50">
        <v>766.10979999999995</v>
      </c>
      <c r="C1381" s="51">
        <v>1.8</v>
      </c>
      <c r="D1381" s="50"/>
      <c r="E1381" s="50"/>
      <c r="F1381" s="50"/>
      <c r="G1381" s="50"/>
      <c r="H1381" s="52">
        <v>25</v>
      </c>
      <c r="I1381" s="53" t="s">
        <v>12</v>
      </c>
      <c r="J1381" s="50"/>
      <c r="K1381" s="50">
        <v>9.711684</v>
      </c>
    </row>
    <row r="1382" spans="1:11" ht="15.75" customHeight="1">
      <c r="A1382" s="50" t="s">
        <v>25</v>
      </c>
      <c r="B1382" s="50">
        <v>995.22659999999996</v>
      </c>
      <c r="C1382" s="51">
        <v>1.8</v>
      </c>
      <c r="D1382" s="50"/>
      <c r="E1382" s="50"/>
      <c r="F1382" s="50"/>
      <c r="G1382" s="50"/>
      <c r="H1382" s="52">
        <v>25</v>
      </c>
      <c r="I1382" s="53" t="s">
        <v>12</v>
      </c>
      <c r="J1382" s="50"/>
      <c r="K1382" s="50">
        <v>10.37936</v>
      </c>
    </row>
    <row r="1383" spans="1:11" ht="15.75" customHeight="1">
      <c r="A1383" s="50" t="s">
        <v>25</v>
      </c>
      <c r="B1383" s="50">
        <v>1195.704</v>
      </c>
      <c r="C1383" s="51">
        <v>1.8</v>
      </c>
      <c r="D1383" s="50"/>
      <c r="E1383" s="50"/>
      <c r="F1383" s="50"/>
      <c r="G1383" s="50"/>
      <c r="H1383" s="52">
        <v>25</v>
      </c>
      <c r="I1383" s="53" t="s">
        <v>12</v>
      </c>
      <c r="J1383" s="50"/>
      <c r="K1383" s="50">
        <v>10.68285</v>
      </c>
    </row>
    <row r="1384" spans="1:11" ht="15.75" customHeight="1">
      <c r="A1384" s="50" t="s">
        <v>25</v>
      </c>
      <c r="B1384" s="50">
        <v>70.921989999999994</v>
      </c>
      <c r="C1384" s="51">
        <v>4</v>
      </c>
      <c r="D1384" s="50"/>
      <c r="E1384" s="50"/>
      <c r="F1384" s="50"/>
      <c r="G1384" s="50"/>
      <c r="H1384" s="52">
        <v>25</v>
      </c>
      <c r="I1384" s="53" t="s">
        <v>12</v>
      </c>
      <c r="J1384" s="50"/>
      <c r="K1384" s="50">
        <v>7.8378379999999996</v>
      </c>
    </row>
    <row r="1385" spans="1:11" ht="15.75" customHeight="1">
      <c r="A1385" s="50" t="s">
        <v>25</v>
      </c>
      <c r="B1385" s="50">
        <v>198.58150000000001</v>
      </c>
      <c r="C1385" s="51">
        <v>4</v>
      </c>
      <c r="D1385" s="50"/>
      <c r="E1385" s="50"/>
      <c r="F1385" s="50"/>
      <c r="G1385" s="50"/>
      <c r="H1385" s="52">
        <v>25</v>
      </c>
      <c r="I1385" s="53" t="s">
        <v>12</v>
      </c>
      <c r="J1385" s="50"/>
      <c r="K1385" s="50">
        <v>8.1681670000000004</v>
      </c>
    </row>
    <row r="1386" spans="1:11" ht="15.75" customHeight="1">
      <c r="A1386" s="50" t="s">
        <v>25</v>
      </c>
      <c r="B1386" s="50">
        <v>375.88650000000001</v>
      </c>
      <c r="C1386" s="51">
        <v>4</v>
      </c>
      <c r="D1386" s="50"/>
      <c r="E1386" s="50"/>
      <c r="F1386" s="50"/>
      <c r="G1386" s="50"/>
      <c r="H1386" s="52">
        <v>25</v>
      </c>
      <c r="I1386" s="53" t="s">
        <v>12</v>
      </c>
      <c r="J1386" s="50"/>
      <c r="K1386" s="50">
        <v>8.8288279999999997</v>
      </c>
    </row>
    <row r="1387" spans="1:11" ht="15.75" customHeight="1">
      <c r="A1387" s="50" t="s">
        <v>25</v>
      </c>
      <c r="B1387" s="50">
        <v>560.2835</v>
      </c>
      <c r="C1387" s="51">
        <v>4</v>
      </c>
      <c r="D1387" s="50"/>
      <c r="E1387" s="50"/>
      <c r="F1387" s="50"/>
      <c r="G1387" s="50"/>
      <c r="H1387" s="52">
        <v>25</v>
      </c>
      <c r="I1387" s="53" t="s">
        <v>12</v>
      </c>
      <c r="J1387" s="50"/>
      <c r="K1387" s="50">
        <v>9.5795790000000007</v>
      </c>
    </row>
    <row r="1388" spans="1:11" ht="15.75" customHeight="1">
      <c r="A1388" s="50" t="s">
        <v>25</v>
      </c>
      <c r="B1388" s="50">
        <v>773.0498</v>
      </c>
      <c r="C1388" s="51">
        <v>4</v>
      </c>
      <c r="D1388" s="50"/>
      <c r="E1388" s="50"/>
      <c r="F1388" s="50"/>
      <c r="G1388" s="50"/>
      <c r="H1388" s="52">
        <v>25</v>
      </c>
      <c r="I1388" s="53" t="s">
        <v>12</v>
      </c>
      <c r="J1388" s="50"/>
      <c r="K1388" s="50">
        <v>10.78078</v>
      </c>
    </row>
    <row r="1389" spans="1:11" ht="15.75" customHeight="1">
      <c r="A1389" s="50" t="s">
        <v>25</v>
      </c>
      <c r="B1389" s="50">
        <v>985.81569999999999</v>
      </c>
      <c r="C1389" s="51">
        <v>4</v>
      </c>
      <c r="D1389" s="50"/>
      <c r="E1389" s="50"/>
      <c r="F1389" s="50"/>
      <c r="G1389" s="50"/>
      <c r="H1389" s="52">
        <v>25</v>
      </c>
      <c r="I1389" s="53" t="s">
        <v>12</v>
      </c>
      <c r="J1389" s="50"/>
      <c r="K1389" s="50">
        <v>11.62162</v>
      </c>
    </row>
    <row r="1390" spans="1:11" ht="15.75" customHeight="1">
      <c r="A1390" s="50" t="s">
        <v>25</v>
      </c>
      <c r="B1390" s="50">
        <v>1191.49</v>
      </c>
      <c r="C1390" s="51">
        <v>4</v>
      </c>
      <c r="D1390" s="50"/>
      <c r="E1390" s="50"/>
      <c r="F1390" s="50"/>
      <c r="G1390" s="50"/>
      <c r="H1390" s="52">
        <v>25</v>
      </c>
      <c r="I1390" s="53" t="s">
        <v>12</v>
      </c>
      <c r="J1390" s="50"/>
      <c r="K1390" s="50">
        <v>12.19219</v>
      </c>
    </row>
    <row r="1391" spans="1:11" ht="15.75" customHeight="1">
      <c r="A1391" s="50" t="s">
        <v>25</v>
      </c>
      <c r="B1391" s="50">
        <v>1397.163</v>
      </c>
      <c r="C1391" s="51">
        <v>4</v>
      </c>
      <c r="D1391" s="50"/>
      <c r="E1391" s="50"/>
      <c r="F1391" s="50"/>
      <c r="G1391" s="50"/>
      <c r="H1391" s="52">
        <v>25</v>
      </c>
      <c r="I1391" s="53" t="s">
        <v>12</v>
      </c>
      <c r="J1391" s="50"/>
      <c r="K1391" s="50">
        <v>12.61261</v>
      </c>
    </row>
    <row r="1392" spans="1:11" ht="15.75" customHeight="1">
      <c r="A1392" s="50" t="s">
        <v>25</v>
      </c>
      <c r="B1392" s="50">
        <v>1723.405</v>
      </c>
      <c r="C1392" s="51">
        <v>4</v>
      </c>
      <c r="D1392" s="50"/>
      <c r="E1392" s="50"/>
      <c r="F1392" s="50"/>
      <c r="G1392" s="50"/>
      <c r="H1392" s="52">
        <v>25</v>
      </c>
      <c r="I1392" s="53" t="s">
        <v>12</v>
      </c>
      <c r="J1392" s="50"/>
      <c r="K1392" s="50">
        <v>13.6036</v>
      </c>
    </row>
    <row r="1393" spans="1:11" ht="15.75" customHeight="1">
      <c r="A1393" s="50" t="s">
        <v>25</v>
      </c>
      <c r="B1393" s="50">
        <v>2453.9009999999998</v>
      </c>
      <c r="C1393" s="51">
        <v>4</v>
      </c>
      <c r="D1393" s="50"/>
      <c r="E1393" s="50"/>
      <c r="F1393" s="50"/>
      <c r="G1393" s="50"/>
      <c r="H1393" s="52">
        <v>25</v>
      </c>
      <c r="I1393" s="53" t="s">
        <v>12</v>
      </c>
      <c r="J1393" s="50"/>
      <c r="K1393" s="50">
        <v>14.56456</v>
      </c>
    </row>
    <row r="1394" spans="1:11" ht="15.75" customHeight="1">
      <c r="A1394" s="50" t="s">
        <v>25</v>
      </c>
      <c r="B1394" s="50">
        <v>3496.4540000000002</v>
      </c>
      <c r="C1394" s="51">
        <v>4</v>
      </c>
      <c r="D1394" s="50"/>
      <c r="E1394" s="50"/>
      <c r="F1394" s="50"/>
      <c r="G1394" s="50"/>
      <c r="H1394" s="52">
        <v>25</v>
      </c>
      <c r="I1394" s="53" t="s">
        <v>12</v>
      </c>
      <c r="J1394" s="50"/>
      <c r="K1394" s="50">
        <v>15.58559</v>
      </c>
    </row>
    <row r="1395" spans="1:11" ht="15.75" customHeight="1">
      <c r="A1395" s="50" t="s">
        <v>25</v>
      </c>
      <c r="B1395" s="50">
        <v>4319.1490000000003</v>
      </c>
      <c r="C1395" s="51">
        <v>4</v>
      </c>
      <c r="D1395" s="50"/>
      <c r="E1395" s="50"/>
      <c r="F1395" s="50"/>
      <c r="G1395" s="50"/>
      <c r="H1395" s="52">
        <v>25</v>
      </c>
      <c r="I1395" s="53" t="s">
        <v>12</v>
      </c>
      <c r="J1395" s="50"/>
      <c r="K1395" s="50">
        <v>16.75676</v>
      </c>
    </row>
    <row r="1396" spans="1:11" ht="15.75" customHeight="1">
      <c r="A1396" s="50" t="s">
        <v>25</v>
      </c>
      <c r="B1396" s="50">
        <v>51.429090000000002</v>
      </c>
      <c r="C1396" s="51">
        <v>7</v>
      </c>
      <c r="D1396" s="50"/>
      <c r="E1396" s="50"/>
      <c r="F1396" s="50"/>
      <c r="G1396" s="50"/>
      <c r="H1396" s="52">
        <v>25</v>
      </c>
      <c r="I1396" s="53" t="s">
        <v>12</v>
      </c>
      <c r="J1396" s="50"/>
      <c r="K1396" s="50">
        <v>8.9999979999999997</v>
      </c>
    </row>
    <row r="1397" spans="1:11" ht="15.75" customHeight="1">
      <c r="A1397" s="50" t="s">
        <v>25</v>
      </c>
      <c r="B1397" s="50">
        <v>205.715</v>
      </c>
      <c r="C1397" s="51">
        <v>7</v>
      </c>
      <c r="D1397" s="50"/>
      <c r="E1397" s="50"/>
      <c r="F1397" s="50"/>
      <c r="G1397" s="50"/>
      <c r="H1397" s="52">
        <v>25</v>
      </c>
      <c r="I1397" s="53" t="s">
        <v>12</v>
      </c>
      <c r="J1397" s="50"/>
      <c r="K1397" s="50">
        <v>9.7090910000000008</v>
      </c>
    </row>
    <row r="1398" spans="1:11" ht="15.75" customHeight="1">
      <c r="A1398" s="50" t="s">
        <v>25</v>
      </c>
      <c r="B1398" s="50">
        <v>377.14359999999999</v>
      </c>
      <c r="C1398" s="51">
        <v>7</v>
      </c>
      <c r="D1398" s="50"/>
      <c r="E1398" s="50"/>
      <c r="F1398" s="50"/>
      <c r="G1398" s="50"/>
      <c r="H1398" s="52">
        <v>25</v>
      </c>
      <c r="I1398" s="53" t="s">
        <v>12</v>
      </c>
      <c r="J1398" s="50"/>
      <c r="K1398" s="50">
        <v>9.9272709999999993</v>
      </c>
    </row>
    <row r="1399" spans="1:11" ht="15.75" customHeight="1">
      <c r="A1399" s="50" t="s">
        <v>25</v>
      </c>
      <c r="B1399" s="50">
        <v>548.57219999999995</v>
      </c>
      <c r="C1399" s="51">
        <v>7</v>
      </c>
      <c r="D1399" s="50"/>
      <c r="E1399" s="50"/>
      <c r="F1399" s="50"/>
      <c r="G1399" s="50"/>
      <c r="H1399" s="52">
        <v>25</v>
      </c>
      <c r="I1399" s="53" t="s">
        <v>12</v>
      </c>
      <c r="J1399" s="50"/>
      <c r="K1399" s="50">
        <v>10.47273</v>
      </c>
    </row>
    <row r="1400" spans="1:11" ht="15.75" customHeight="1">
      <c r="A1400" s="50" t="s">
        <v>25</v>
      </c>
      <c r="B1400" s="50">
        <v>754.28589999999997</v>
      </c>
      <c r="C1400" s="51">
        <v>7</v>
      </c>
      <c r="D1400" s="50"/>
      <c r="E1400" s="50"/>
      <c r="F1400" s="50"/>
      <c r="G1400" s="50"/>
      <c r="H1400" s="52">
        <v>25</v>
      </c>
      <c r="I1400" s="53" t="s">
        <v>12</v>
      </c>
      <c r="J1400" s="50"/>
      <c r="K1400" s="50">
        <v>11.29091</v>
      </c>
    </row>
    <row r="1401" spans="1:11" ht="15.75" customHeight="1">
      <c r="A1401" s="50" t="s">
        <v>25</v>
      </c>
      <c r="B1401" s="50">
        <v>994.28610000000003</v>
      </c>
      <c r="C1401" s="51">
        <v>7</v>
      </c>
      <c r="D1401" s="50"/>
      <c r="E1401" s="50"/>
      <c r="F1401" s="50"/>
      <c r="G1401" s="50"/>
      <c r="H1401" s="52">
        <v>25</v>
      </c>
      <c r="I1401" s="53" t="s">
        <v>12</v>
      </c>
      <c r="J1401" s="50"/>
      <c r="K1401" s="50">
        <v>12.49091</v>
      </c>
    </row>
    <row r="1402" spans="1:11" ht="15.75" customHeight="1">
      <c r="A1402" s="50" t="s">
        <v>25</v>
      </c>
      <c r="B1402" s="50">
        <v>1182.857</v>
      </c>
      <c r="C1402" s="51">
        <v>7</v>
      </c>
      <c r="D1402" s="50"/>
      <c r="E1402" s="50"/>
      <c r="F1402" s="50"/>
      <c r="G1402" s="50"/>
      <c r="H1402" s="52">
        <v>25</v>
      </c>
      <c r="I1402" s="53" t="s">
        <v>12</v>
      </c>
      <c r="J1402" s="50"/>
      <c r="K1402" s="50">
        <v>12.872730000000001</v>
      </c>
    </row>
    <row r="1403" spans="1:11" ht="15.75" customHeight="1">
      <c r="A1403" s="50" t="s">
        <v>25</v>
      </c>
      <c r="B1403" s="50">
        <v>1388.5719999999999</v>
      </c>
      <c r="C1403" s="51">
        <v>7</v>
      </c>
      <c r="D1403" s="50"/>
      <c r="E1403" s="50"/>
      <c r="F1403" s="50"/>
      <c r="G1403" s="50"/>
      <c r="H1403" s="52">
        <v>25</v>
      </c>
      <c r="I1403" s="53" t="s">
        <v>12</v>
      </c>
      <c r="J1403" s="50"/>
      <c r="K1403" s="50">
        <v>13.41818</v>
      </c>
    </row>
    <row r="1404" spans="1:11" ht="15.75" customHeight="1">
      <c r="A1404" s="50" t="s">
        <v>25</v>
      </c>
      <c r="B1404" s="50">
        <v>1714.2860000000001</v>
      </c>
      <c r="C1404" s="51">
        <v>7</v>
      </c>
      <c r="D1404" s="50"/>
      <c r="E1404" s="50"/>
      <c r="F1404" s="50"/>
      <c r="G1404" s="50"/>
      <c r="H1404" s="52">
        <v>25</v>
      </c>
      <c r="I1404" s="53" t="s">
        <v>12</v>
      </c>
      <c r="J1404" s="50"/>
      <c r="K1404" s="50">
        <v>13.85455</v>
      </c>
    </row>
    <row r="1405" spans="1:11" ht="15.75" customHeight="1">
      <c r="A1405" s="50" t="s">
        <v>25</v>
      </c>
      <c r="B1405" s="50">
        <v>2468.5709999999999</v>
      </c>
      <c r="C1405" s="51">
        <v>7</v>
      </c>
      <c r="D1405" s="50"/>
      <c r="E1405" s="50"/>
      <c r="F1405" s="50"/>
      <c r="G1405" s="50"/>
      <c r="H1405" s="52">
        <v>25</v>
      </c>
      <c r="I1405" s="53" t="s">
        <v>12</v>
      </c>
      <c r="J1405" s="50"/>
      <c r="K1405" s="50">
        <v>15.272729999999999</v>
      </c>
    </row>
    <row r="1406" spans="1:11" ht="15.75" customHeight="1">
      <c r="A1406" s="50" t="s">
        <v>25</v>
      </c>
      <c r="B1406" s="50">
        <v>3514.2849999999999</v>
      </c>
      <c r="C1406" s="51">
        <v>7</v>
      </c>
      <c r="D1406" s="50"/>
      <c r="E1406" s="50"/>
      <c r="F1406" s="50"/>
      <c r="G1406" s="50"/>
      <c r="H1406" s="52">
        <v>25</v>
      </c>
      <c r="I1406" s="53" t="s">
        <v>12</v>
      </c>
      <c r="J1406" s="50"/>
      <c r="K1406" s="50">
        <v>16.690909999999999</v>
      </c>
    </row>
    <row r="1407" spans="1:11" ht="15.75" customHeight="1">
      <c r="A1407" s="50" t="s">
        <v>25</v>
      </c>
      <c r="B1407" s="50">
        <v>4320</v>
      </c>
      <c r="C1407" s="51">
        <v>7</v>
      </c>
      <c r="D1407" s="50"/>
      <c r="E1407" s="50"/>
      <c r="F1407" s="50"/>
      <c r="G1407" s="50"/>
      <c r="H1407" s="52">
        <v>25</v>
      </c>
      <c r="I1407" s="53" t="s">
        <v>12</v>
      </c>
      <c r="J1407" s="50"/>
      <c r="K1407" s="50">
        <v>17.50909</v>
      </c>
    </row>
    <row r="1408" spans="1:11" ht="15.75" customHeight="1">
      <c r="A1408" s="50" t="s">
        <v>25</v>
      </c>
      <c r="B1408" s="50">
        <v>5022.857</v>
      </c>
      <c r="C1408" s="51">
        <v>7</v>
      </c>
      <c r="D1408" s="50"/>
      <c r="E1408" s="50"/>
      <c r="F1408" s="50"/>
      <c r="G1408" s="50"/>
      <c r="H1408" s="52">
        <v>25</v>
      </c>
      <c r="I1408" s="53" t="s">
        <v>12</v>
      </c>
      <c r="J1408" s="50"/>
      <c r="K1408" s="50">
        <v>18.49091</v>
      </c>
    </row>
    <row r="1409" spans="1:11" ht="15.75" customHeight="1">
      <c r="A1409" s="50" t="s">
        <v>25</v>
      </c>
      <c r="B1409" s="50">
        <v>5622.857</v>
      </c>
      <c r="C1409" s="51">
        <v>7</v>
      </c>
      <c r="D1409" s="50"/>
      <c r="E1409" s="50"/>
      <c r="F1409" s="50"/>
      <c r="G1409" s="50"/>
      <c r="H1409" s="52">
        <v>25</v>
      </c>
      <c r="I1409" s="53" t="s">
        <v>12</v>
      </c>
      <c r="J1409" s="50"/>
      <c r="K1409" s="50">
        <v>18.92727</v>
      </c>
    </row>
    <row r="1410" spans="1:11" ht="15.75" customHeight="1">
      <c r="A1410" s="50" t="s">
        <v>25</v>
      </c>
      <c r="B1410" s="50">
        <v>6171.4279999999999</v>
      </c>
      <c r="C1410" s="51">
        <v>7</v>
      </c>
      <c r="D1410" s="50"/>
      <c r="E1410" s="50"/>
      <c r="F1410" s="50"/>
      <c r="G1410" s="50"/>
      <c r="H1410" s="52">
        <v>25</v>
      </c>
      <c r="I1410" s="53" t="s">
        <v>12</v>
      </c>
      <c r="J1410" s="50"/>
      <c r="K1410" s="50">
        <v>19.690909999999999</v>
      </c>
    </row>
    <row r="1411" spans="1:11" ht="15.75" customHeight="1">
      <c r="A1411" s="50" t="s">
        <v>25</v>
      </c>
      <c r="B1411" s="50">
        <v>7165.7139999999999</v>
      </c>
      <c r="C1411" s="51">
        <v>7</v>
      </c>
      <c r="D1411" s="50"/>
      <c r="E1411" s="50"/>
      <c r="F1411" s="50"/>
      <c r="G1411" s="50"/>
      <c r="H1411" s="52">
        <v>25</v>
      </c>
      <c r="I1411" s="53" t="s">
        <v>12</v>
      </c>
      <c r="J1411" s="50"/>
      <c r="K1411" s="50">
        <v>20.890910000000002</v>
      </c>
    </row>
    <row r="1412" spans="1:11" ht="15.75" customHeight="1">
      <c r="A1412" s="50" t="s">
        <v>25</v>
      </c>
      <c r="B1412" s="50">
        <v>8039.9989999999998</v>
      </c>
      <c r="C1412" s="51">
        <v>7</v>
      </c>
      <c r="D1412" s="50"/>
      <c r="E1412" s="50"/>
      <c r="F1412" s="50"/>
      <c r="G1412" s="50"/>
      <c r="H1412" s="52">
        <v>25</v>
      </c>
      <c r="I1412" s="53" t="s">
        <v>12</v>
      </c>
      <c r="J1412" s="50"/>
      <c r="K1412" s="50">
        <v>21.436360000000001</v>
      </c>
    </row>
    <row r="1413" spans="1:11" ht="15.75" customHeight="1">
      <c r="A1413" s="50" t="s">
        <v>25</v>
      </c>
      <c r="B1413" s="50">
        <v>8828.57</v>
      </c>
      <c r="C1413" s="51">
        <v>7</v>
      </c>
      <c r="D1413" s="50"/>
      <c r="E1413" s="50"/>
      <c r="F1413" s="50"/>
      <c r="G1413" s="50"/>
      <c r="H1413" s="52">
        <v>25</v>
      </c>
      <c r="I1413" s="53" t="s">
        <v>12</v>
      </c>
      <c r="J1413" s="50"/>
      <c r="K1413" s="50">
        <v>21.981819999999999</v>
      </c>
    </row>
    <row r="1414" spans="1:11" ht="15.75" customHeight="1">
      <c r="A1414" s="50" t="s">
        <v>25</v>
      </c>
      <c r="B1414" s="50">
        <v>9548.5709999999999</v>
      </c>
      <c r="C1414" s="51">
        <v>7</v>
      </c>
      <c r="D1414" s="50"/>
      <c r="E1414" s="50"/>
      <c r="F1414" s="50"/>
      <c r="G1414" s="50"/>
      <c r="H1414" s="52">
        <v>25</v>
      </c>
      <c r="I1414" s="53" t="s">
        <v>12</v>
      </c>
      <c r="J1414" s="50"/>
      <c r="K1414" s="50">
        <v>22.63636</v>
      </c>
    </row>
    <row r="1415" spans="1:11" ht="15.75" customHeight="1">
      <c r="A1415" s="50" t="s">
        <v>26</v>
      </c>
      <c r="B1415" s="54">
        <v>0.8096281622</v>
      </c>
      <c r="C1415" s="51">
        <v>1.6</v>
      </c>
      <c r="D1415" s="50">
        <v>7.2499999999999995E-2</v>
      </c>
      <c r="E1415" s="53">
        <v>1E-3</v>
      </c>
      <c r="F1415" s="53">
        <v>997.05</v>
      </c>
      <c r="G1415" s="50"/>
      <c r="H1415" s="53">
        <v>20</v>
      </c>
      <c r="I1415" s="53" t="s">
        <v>12</v>
      </c>
      <c r="J1415" s="53">
        <v>1.1499999999999999</v>
      </c>
      <c r="K1415" s="55">
        <v>3.9622377920852601</v>
      </c>
    </row>
    <row r="1416" spans="1:11" ht="15.75" customHeight="1">
      <c r="A1416" s="50" t="s">
        <v>26</v>
      </c>
      <c r="B1416" s="54">
        <v>1.641137828</v>
      </c>
      <c r="C1416" s="56">
        <v>1.6</v>
      </c>
      <c r="D1416" s="50">
        <v>7.2499999999999995E-2</v>
      </c>
      <c r="E1416" s="53">
        <v>1E-3</v>
      </c>
      <c r="F1416" s="53">
        <v>997.05</v>
      </c>
      <c r="G1416" s="50"/>
      <c r="H1416" s="53">
        <v>20</v>
      </c>
      <c r="I1416" s="53" t="s">
        <v>12</v>
      </c>
      <c r="J1416" s="53">
        <v>1.1499999999999999</v>
      </c>
      <c r="K1416" s="55">
        <v>4.0251748541828603</v>
      </c>
    </row>
    <row r="1417" spans="1:11" ht="15.75" customHeight="1">
      <c r="A1417" s="50" t="s">
        <v>26</v>
      </c>
      <c r="B1417" s="57">
        <v>3.3260386639999999</v>
      </c>
      <c r="C1417" s="51">
        <v>1.6</v>
      </c>
      <c r="D1417" s="50">
        <v>7.2499999999999995E-2</v>
      </c>
      <c r="E1417" s="50">
        <v>1E-3</v>
      </c>
      <c r="F1417" s="50">
        <v>997.05</v>
      </c>
      <c r="G1417" s="50"/>
      <c r="H1417" s="50">
        <v>20</v>
      </c>
      <c r="I1417" s="53" t="s">
        <v>12</v>
      </c>
      <c r="J1417" s="53">
        <v>1.1499999999999999</v>
      </c>
      <c r="K1417" s="58">
        <v>4.0699300556592304</v>
      </c>
    </row>
    <row r="1418" spans="1:11" ht="15.75" customHeight="1">
      <c r="A1418" s="50" t="s">
        <v>26</v>
      </c>
      <c r="B1418" s="57">
        <v>6.6520789970000003</v>
      </c>
      <c r="C1418" s="51">
        <v>1.6</v>
      </c>
      <c r="D1418" s="50">
        <v>7.2499999999999995E-2</v>
      </c>
      <c r="E1418" s="50">
        <v>1E-3</v>
      </c>
      <c r="F1418" s="50">
        <v>997.05</v>
      </c>
      <c r="G1418" s="50"/>
      <c r="H1418" s="50">
        <v>20</v>
      </c>
      <c r="I1418" s="53" t="s">
        <v>12</v>
      </c>
      <c r="J1418" s="53">
        <v>1.1499999999999999</v>
      </c>
      <c r="K1418" s="58">
        <v>4.1300699576788604</v>
      </c>
    </row>
    <row r="1419" spans="1:11" ht="15.75" customHeight="1">
      <c r="A1419" s="50" t="s">
        <v>26</v>
      </c>
      <c r="B1419" s="57">
        <v>9.9999991650000002</v>
      </c>
      <c r="C1419" s="51">
        <v>1.6</v>
      </c>
      <c r="D1419" s="50">
        <v>7.2499999999999995E-2</v>
      </c>
      <c r="E1419" s="50">
        <v>1E-3</v>
      </c>
      <c r="F1419" s="50">
        <v>997.05</v>
      </c>
      <c r="G1419" s="50"/>
      <c r="H1419" s="50">
        <v>20</v>
      </c>
      <c r="I1419" s="53" t="s">
        <v>12</v>
      </c>
      <c r="J1419" s="53">
        <v>1.1499999999999999</v>
      </c>
      <c r="K1419" s="58">
        <v>4.1580419852777997</v>
      </c>
    </row>
    <row r="1420" spans="1:11" ht="15.75" customHeight="1">
      <c r="A1420" s="50" t="s">
        <v>26</v>
      </c>
      <c r="B1420" s="57">
        <v>13.3260395</v>
      </c>
      <c r="C1420" s="51">
        <v>1.6</v>
      </c>
      <c r="D1420" s="50">
        <v>7.2499999999999995E-2</v>
      </c>
      <c r="E1420" s="50">
        <v>1E-3</v>
      </c>
      <c r="F1420" s="50">
        <v>997.05</v>
      </c>
      <c r="G1420" s="50"/>
      <c r="H1420" s="50">
        <v>20</v>
      </c>
      <c r="I1420" s="53" t="s">
        <v>12</v>
      </c>
      <c r="J1420" s="53">
        <v>1.1499999999999999</v>
      </c>
      <c r="K1420" s="58">
        <v>4.1566433518864097</v>
      </c>
    </row>
    <row r="1421" spans="1:11" ht="15.75" customHeight="1">
      <c r="A1421" s="50" t="s">
        <v>26</v>
      </c>
      <c r="B1421" s="57">
        <v>16.673961340000002</v>
      </c>
      <c r="C1421" s="51">
        <v>1.6</v>
      </c>
      <c r="D1421" s="50">
        <v>7.2499999999999995E-2</v>
      </c>
      <c r="E1421" s="50">
        <v>1E-3</v>
      </c>
      <c r="F1421" s="50">
        <v>997.05</v>
      </c>
      <c r="G1421" s="50"/>
      <c r="H1421" s="50">
        <v>20</v>
      </c>
      <c r="I1421" s="53" t="s">
        <v>12</v>
      </c>
      <c r="J1421" s="53">
        <v>1.1499999999999999</v>
      </c>
      <c r="K1421" s="58">
        <v>4.1748251591552297</v>
      </c>
    </row>
    <row r="1422" spans="1:11" ht="15.75" customHeight="1">
      <c r="A1422" s="50" t="s">
        <v>26</v>
      </c>
      <c r="B1422" s="57">
        <v>20</v>
      </c>
      <c r="C1422" s="51">
        <v>1.6</v>
      </c>
      <c r="D1422" s="50">
        <v>7.2499999999999995E-2</v>
      </c>
      <c r="E1422" s="50">
        <v>1E-3</v>
      </c>
      <c r="F1422" s="50">
        <v>997.05</v>
      </c>
      <c r="G1422" s="50"/>
      <c r="H1422" s="50">
        <v>20</v>
      </c>
      <c r="I1422" s="53" t="s">
        <v>12</v>
      </c>
      <c r="J1422" s="53">
        <v>1.1499999999999999</v>
      </c>
      <c r="K1422" s="58">
        <v>4.1734265791162501</v>
      </c>
    </row>
    <row r="1423" spans="1:11" ht="15.75" customHeight="1">
      <c r="A1423" s="59" t="s">
        <v>27</v>
      </c>
      <c r="B1423" s="60">
        <v>6.12</v>
      </c>
      <c r="C1423" s="61">
        <v>0.16</v>
      </c>
      <c r="D1423" s="50"/>
      <c r="E1423" s="50"/>
      <c r="F1423" s="50"/>
      <c r="G1423" s="50"/>
      <c r="H1423" s="62">
        <v>25</v>
      </c>
      <c r="I1423" s="53" t="s">
        <v>12</v>
      </c>
      <c r="J1423" s="63"/>
      <c r="K1423" s="64">
        <v>1.9487427935336501</v>
      </c>
    </row>
    <row r="1424" spans="1:11" ht="15.75" customHeight="1">
      <c r="A1424" s="59" t="s">
        <v>27</v>
      </c>
      <c r="B1424" s="60">
        <v>6.27</v>
      </c>
      <c r="C1424" s="61">
        <v>0.16</v>
      </c>
      <c r="D1424" s="50"/>
      <c r="E1424" s="50"/>
      <c r="F1424" s="50"/>
      <c r="G1424" s="50"/>
      <c r="H1424" s="62">
        <v>25</v>
      </c>
      <c r="I1424" s="53" t="s">
        <v>12</v>
      </c>
      <c r="J1424" s="63"/>
      <c r="K1424" s="64">
        <v>1.9487427935336501</v>
      </c>
    </row>
    <row r="1425" spans="1:11" ht="15.75" customHeight="1">
      <c r="A1425" s="59" t="s">
        <v>27</v>
      </c>
      <c r="B1425" s="60">
        <v>6.282</v>
      </c>
      <c r="C1425" s="61">
        <v>0.16</v>
      </c>
      <c r="D1425" s="50"/>
      <c r="E1425" s="50"/>
      <c r="F1425" s="50"/>
      <c r="G1425" s="50"/>
      <c r="H1425" s="62">
        <v>25</v>
      </c>
      <c r="I1425" s="53" t="s">
        <v>12</v>
      </c>
      <c r="J1425" s="63"/>
      <c r="K1425" s="64">
        <v>1.9680849493930901</v>
      </c>
    </row>
    <row r="1426" spans="1:11" ht="15.75" customHeight="1">
      <c r="A1426" s="59" t="s">
        <v>27</v>
      </c>
      <c r="B1426" s="60">
        <v>6.468</v>
      </c>
      <c r="C1426" s="61">
        <v>0.16</v>
      </c>
      <c r="D1426" s="50"/>
      <c r="E1426" s="50"/>
      <c r="F1426" s="50"/>
      <c r="G1426" s="50"/>
      <c r="H1426" s="62">
        <v>25</v>
      </c>
      <c r="I1426" s="53" t="s">
        <v>12</v>
      </c>
      <c r="J1426" s="63"/>
      <c r="K1426" s="64">
        <v>1.9777562579017001</v>
      </c>
    </row>
    <row r="1427" spans="1:11" ht="15.75" customHeight="1">
      <c r="A1427" s="59" t="s">
        <v>27</v>
      </c>
      <c r="B1427" s="60">
        <v>6.87</v>
      </c>
      <c r="C1427" s="61">
        <v>0.16</v>
      </c>
      <c r="D1427" s="50"/>
      <c r="E1427" s="50"/>
      <c r="F1427" s="50"/>
      <c r="G1427" s="50"/>
      <c r="H1427" s="62">
        <v>25</v>
      </c>
      <c r="I1427" s="53" t="s">
        <v>12</v>
      </c>
      <c r="J1427" s="63"/>
      <c r="K1427" s="64">
        <v>1.9777562579017001</v>
      </c>
    </row>
    <row r="1428" spans="1:11" ht="15.75" customHeight="1">
      <c r="A1428" s="59" t="s">
        <v>27</v>
      </c>
      <c r="B1428" s="60">
        <v>9.3960000000000008</v>
      </c>
      <c r="C1428" s="61">
        <v>0.16</v>
      </c>
      <c r="D1428" s="50"/>
      <c r="E1428" s="50"/>
      <c r="F1428" s="50"/>
      <c r="G1428" s="50"/>
      <c r="H1428" s="62">
        <v>25</v>
      </c>
      <c r="I1428" s="53" t="s">
        <v>12</v>
      </c>
      <c r="J1428" s="63"/>
      <c r="K1428" s="64">
        <v>1.81818183495119</v>
      </c>
    </row>
    <row r="1429" spans="1:11" ht="15.75" customHeight="1">
      <c r="A1429" s="59" t="s">
        <v>27</v>
      </c>
      <c r="B1429" s="60">
        <v>6.12</v>
      </c>
      <c r="C1429" s="61">
        <v>0.33</v>
      </c>
      <c r="D1429" s="50"/>
      <c r="E1429" s="50"/>
      <c r="F1429" s="50"/>
      <c r="G1429" s="50"/>
      <c r="H1429" s="62">
        <v>25</v>
      </c>
      <c r="I1429" s="53" t="s">
        <v>12</v>
      </c>
      <c r="J1429" s="63"/>
      <c r="K1429" s="65">
        <v>2.3006536003729399</v>
      </c>
    </row>
    <row r="1430" spans="1:11" ht="15.75" customHeight="1">
      <c r="A1430" s="59" t="s">
        <v>27</v>
      </c>
      <c r="B1430" s="60">
        <v>6.12</v>
      </c>
      <c r="C1430" s="61">
        <v>0.67</v>
      </c>
      <c r="D1430" s="50"/>
      <c r="E1430" s="50"/>
      <c r="F1430" s="50"/>
      <c r="G1430" s="50"/>
      <c r="H1430" s="62">
        <v>25</v>
      </c>
      <c r="I1430" s="53" t="s">
        <v>12</v>
      </c>
      <c r="J1430" s="63"/>
      <c r="K1430" s="65">
        <v>2.33660127806069</v>
      </c>
    </row>
    <row r="1431" spans="1:11" ht="15.75" customHeight="1">
      <c r="A1431" s="59" t="s">
        <v>27</v>
      </c>
      <c r="B1431" s="60">
        <v>6.12</v>
      </c>
      <c r="C1431" s="61">
        <v>1.4</v>
      </c>
      <c r="D1431" s="50"/>
      <c r="E1431" s="50"/>
      <c r="F1431" s="50"/>
      <c r="G1431" s="50"/>
      <c r="H1431" s="62">
        <v>25</v>
      </c>
      <c r="I1431" s="53" t="s">
        <v>12</v>
      </c>
      <c r="J1431" s="63"/>
      <c r="K1431" s="65">
        <v>2.37254887004242</v>
      </c>
    </row>
    <row r="1432" spans="1:11" ht="15.75" customHeight="1">
      <c r="A1432" s="50" t="s">
        <v>28</v>
      </c>
      <c r="B1432" s="66">
        <v>1.5978264103314399</v>
      </c>
      <c r="C1432" s="67">
        <v>0.15</v>
      </c>
      <c r="D1432" s="68"/>
      <c r="E1432" s="68"/>
      <c r="F1432" s="68"/>
      <c r="G1432" s="68"/>
      <c r="H1432" s="52">
        <v>25</v>
      </c>
      <c r="I1432" s="53" t="s">
        <v>12</v>
      </c>
      <c r="J1432" s="68"/>
      <c r="K1432" s="52">
        <v>1.8553844187875601</v>
      </c>
    </row>
    <row r="1433" spans="1:11" ht="15.75" customHeight="1">
      <c r="A1433" s="50" t="s">
        <v>28</v>
      </c>
      <c r="B1433" s="66">
        <v>2.3967388898753801</v>
      </c>
      <c r="C1433" s="67">
        <v>0.15</v>
      </c>
      <c r="D1433" s="68"/>
      <c r="E1433" s="68"/>
      <c r="F1433" s="68"/>
      <c r="G1433" s="68"/>
      <c r="H1433" s="52">
        <v>25</v>
      </c>
      <c r="I1433" s="53" t="s">
        <v>12</v>
      </c>
      <c r="J1433" s="68"/>
      <c r="K1433" s="52">
        <v>1.8553844187875601</v>
      </c>
    </row>
    <row r="1434" spans="1:11" ht="15.75" customHeight="1">
      <c r="A1434" s="50" t="s">
        <v>28</v>
      </c>
      <c r="B1434" s="66">
        <v>3.2336971704586102</v>
      </c>
      <c r="C1434" s="67">
        <v>0.15</v>
      </c>
      <c r="D1434" s="68"/>
      <c r="E1434" s="68"/>
      <c r="F1434" s="68"/>
      <c r="G1434" s="68"/>
      <c r="H1434" s="52">
        <v>25</v>
      </c>
      <c r="I1434" s="53" t="s">
        <v>12</v>
      </c>
      <c r="J1434" s="68"/>
      <c r="K1434" s="52">
        <v>1.8493011246914199</v>
      </c>
    </row>
    <row r="1435" spans="1:11" ht="15.75" customHeight="1">
      <c r="A1435" s="50" t="s">
        <v>28</v>
      </c>
      <c r="B1435" s="66">
        <v>2.36065733698682</v>
      </c>
      <c r="C1435" s="67">
        <v>0.2</v>
      </c>
      <c r="D1435" s="68"/>
      <c r="E1435" s="68"/>
      <c r="F1435" s="68"/>
      <c r="G1435" s="68"/>
      <c r="H1435" s="52">
        <v>25</v>
      </c>
      <c r="I1435" s="53" t="s">
        <v>12</v>
      </c>
      <c r="J1435" s="68"/>
      <c r="K1435" s="52">
        <v>1.9828518837609199</v>
      </c>
    </row>
    <row r="1436" spans="1:11" ht="15.75" customHeight="1">
      <c r="A1436" s="50" t="s">
        <v>28</v>
      </c>
      <c r="B1436" s="66">
        <v>3.0983622857750301</v>
      </c>
      <c r="C1436" s="67">
        <v>0.2</v>
      </c>
      <c r="D1436" s="68"/>
      <c r="E1436" s="68"/>
      <c r="F1436" s="68"/>
      <c r="G1436" s="68"/>
      <c r="H1436" s="52">
        <v>25</v>
      </c>
      <c r="I1436" s="53" t="s">
        <v>12</v>
      </c>
      <c r="J1436" s="68"/>
      <c r="K1436" s="52">
        <v>1.9907832559131799</v>
      </c>
    </row>
    <row r="1437" spans="1:11" ht="15.75" customHeight="1">
      <c r="A1437" s="50" t="s">
        <v>28</v>
      </c>
      <c r="B1437" s="66">
        <v>3.9344263935371102</v>
      </c>
      <c r="C1437" s="67">
        <v>0.2</v>
      </c>
      <c r="D1437" s="68"/>
      <c r="E1437" s="68"/>
      <c r="F1437" s="68"/>
      <c r="G1437" s="68"/>
      <c r="H1437" s="52">
        <v>25</v>
      </c>
      <c r="I1437" s="53" t="s">
        <v>12</v>
      </c>
      <c r="J1437" s="68"/>
      <c r="K1437" s="52">
        <v>1.9986522277585701</v>
      </c>
    </row>
    <row r="1438" spans="1:11" ht="15.75" customHeight="1">
      <c r="A1438" s="50" t="s">
        <v>28</v>
      </c>
      <c r="B1438" s="66">
        <v>4.5737721833514504</v>
      </c>
      <c r="C1438" s="67">
        <v>0.2</v>
      </c>
      <c r="D1438" s="68"/>
      <c r="E1438" s="68"/>
      <c r="F1438" s="68"/>
      <c r="G1438" s="68"/>
      <c r="H1438" s="52">
        <v>25</v>
      </c>
      <c r="I1438" s="53" t="s">
        <v>12</v>
      </c>
      <c r="J1438" s="68"/>
      <c r="K1438" s="52">
        <v>1.9907832559131799</v>
      </c>
    </row>
    <row r="1439" spans="1:11" ht="15.75" customHeight="1">
      <c r="A1439" s="50" t="s">
        <v>28</v>
      </c>
      <c r="B1439" s="66">
        <v>4.9672125714083197</v>
      </c>
      <c r="C1439" s="67">
        <v>0.2</v>
      </c>
      <c r="D1439" s="68"/>
      <c r="E1439" s="68"/>
      <c r="F1439" s="68"/>
      <c r="G1439" s="68"/>
      <c r="H1439" s="52">
        <v>25</v>
      </c>
      <c r="I1439" s="53" t="s">
        <v>12</v>
      </c>
      <c r="J1439" s="68"/>
      <c r="K1439" s="52">
        <v>2.0218943945896801</v>
      </c>
    </row>
    <row r="1440" spans="1:11" ht="15.75" customHeight="1">
      <c r="A1440" s="50" t="s">
        <v>28</v>
      </c>
      <c r="B1440" s="66">
        <v>1.5978278615749999</v>
      </c>
      <c r="C1440" s="67">
        <v>0.25</v>
      </c>
      <c r="D1440" s="68"/>
      <c r="E1440" s="68"/>
      <c r="F1440" s="68"/>
      <c r="G1440" s="68"/>
      <c r="H1440" s="52">
        <v>25</v>
      </c>
      <c r="I1440" s="53" t="s">
        <v>12</v>
      </c>
      <c r="J1440" s="68"/>
      <c r="K1440" s="66">
        <v>2.366819738917</v>
      </c>
    </row>
    <row r="1441" spans="1:11" ht="15.75" customHeight="1">
      <c r="A1441" s="50" t="s">
        <v>28</v>
      </c>
      <c r="B1441" s="66">
        <v>3.2717386177669998</v>
      </c>
      <c r="C1441" s="67">
        <v>0.25</v>
      </c>
      <c r="D1441" s="68"/>
      <c r="E1441" s="68"/>
      <c r="F1441" s="68"/>
      <c r="G1441" s="68"/>
      <c r="H1441" s="52">
        <v>25</v>
      </c>
      <c r="I1441" s="53" t="s">
        <v>12</v>
      </c>
      <c r="J1441" s="68"/>
      <c r="K1441" s="66">
        <v>2.366819738917</v>
      </c>
    </row>
    <row r="1442" spans="1:11" ht="15.75" customHeight="1">
      <c r="A1442" s="50" t="s">
        <v>28</v>
      </c>
      <c r="B1442" s="66">
        <v>4.0326081987590001</v>
      </c>
      <c r="C1442" s="67">
        <v>0.25</v>
      </c>
      <c r="D1442" s="68"/>
      <c r="E1442" s="68"/>
      <c r="F1442" s="68"/>
      <c r="G1442" s="68"/>
      <c r="H1442" s="52">
        <v>25</v>
      </c>
      <c r="I1442" s="53" t="s">
        <v>12</v>
      </c>
      <c r="J1442" s="68"/>
      <c r="K1442" s="66">
        <v>2.366819738917</v>
      </c>
    </row>
    <row r="1443" spans="1:11" ht="15.75" customHeight="1">
      <c r="A1443" s="50" t="s">
        <v>28</v>
      </c>
      <c r="B1443" s="66">
        <v>6.010873753317</v>
      </c>
      <c r="C1443" s="67">
        <v>0.25</v>
      </c>
      <c r="D1443" s="68"/>
      <c r="E1443" s="68"/>
      <c r="F1443" s="68"/>
      <c r="G1443" s="68"/>
      <c r="H1443" s="52">
        <v>25</v>
      </c>
      <c r="I1443" s="53" t="s">
        <v>12</v>
      </c>
      <c r="J1443" s="68"/>
      <c r="K1443" s="66">
        <v>2.378036879128</v>
      </c>
    </row>
    <row r="1444" spans="1:11" ht="15.75" customHeight="1">
      <c r="A1444" s="50" t="s">
        <v>28</v>
      </c>
      <c r="B1444" s="66">
        <v>7.0000007256219998</v>
      </c>
      <c r="C1444" s="67">
        <v>0.25</v>
      </c>
      <c r="D1444" s="68"/>
      <c r="E1444" s="68"/>
      <c r="F1444" s="68"/>
      <c r="G1444" s="68"/>
      <c r="H1444" s="52">
        <v>25</v>
      </c>
      <c r="I1444" s="53" t="s">
        <v>12</v>
      </c>
      <c r="J1444" s="68"/>
      <c r="K1444" s="66">
        <v>2.378036879128</v>
      </c>
    </row>
    <row r="1445" spans="1:11" ht="15.75" customHeight="1">
      <c r="A1445" s="50" t="s">
        <v>28</v>
      </c>
      <c r="B1445" s="66">
        <v>9.1304378743880008</v>
      </c>
      <c r="C1445" s="67">
        <v>0.25</v>
      </c>
      <c r="D1445" s="68"/>
      <c r="E1445" s="68"/>
      <c r="F1445" s="68"/>
      <c r="G1445" s="68"/>
      <c r="H1445" s="52">
        <v>25</v>
      </c>
      <c r="I1445" s="53" t="s">
        <v>12</v>
      </c>
      <c r="J1445" s="68"/>
      <c r="K1445" s="66">
        <v>2.378036879128</v>
      </c>
    </row>
    <row r="1446" spans="1:11" ht="15.75" customHeight="1">
      <c r="A1446" s="50" t="s">
        <v>28</v>
      </c>
      <c r="B1446" s="66">
        <v>11.032611826867999</v>
      </c>
      <c r="C1446" s="67">
        <v>0.25</v>
      </c>
      <c r="D1446" s="68"/>
      <c r="E1446" s="68"/>
      <c r="F1446" s="68"/>
      <c r="G1446" s="68"/>
      <c r="H1446" s="52">
        <v>25</v>
      </c>
      <c r="I1446" s="53" t="s">
        <v>12</v>
      </c>
      <c r="J1446" s="68"/>
      <c r="K1446" s="66">
        <v>2.4110696917280001</v>
      </c>
    </row>
    <row r="1447" spans="1:11" ht="15.75" customHeight="1">
      <c r="A1447" s="50" t="s">
        <v>28</v>
      </c>
      <c r="B1447" s="66">
        <v>3.4285772414434401</v>
      </c>
      <c r="C1447" s="67">
        <v>0.4</v>
      </c>
      <c r="D1447" s="68"/>
      <c r="E1447" s="68"/>
      <c r="F1447" s="68"/>
      <c r="G1447" s="68"/>
      <c r="H1447" s="52">
        <v>25</v>
      </c>
      <c r="I1447" s="53" t="s">
        <v>12</v>
      </c>
      <c r="J1447" s="68"/>
      <c r="K1447" s="66">
        <v>2.9136192805589798</v>
      </c>
    </row>
    <row r="1448" spans="1:11" ht="15.75" customHeight="1">
      <c r="A1448" s="50" t="s">
        <v>28</v>
      </c>
      <c r="B1448" s="66">
        <v>7.2381010509672397</v>
      </c>
      <c r="C1448" s="67">
        <v>0.4</v>
      </c>
      <c r="D1448" s="68"/>
      <c r="E1448" s="68"/>
      <c r="F1448" s="68"/>
      <c r="G1448" s="68"/>
      <c r="H1448" s="52">
        <v>25</v>
      </c>
      <c r="I1448" s="53" t="s">
        <v>12</v>
      </c>
      <c r="J1448" s="68"/>
      <c r="K1448" s="66">
        <v>2.9136192805589798</v>
      </c>
    </row>
    <row r="1449" spans="1:11" ht="15.75" customHeight="1">
      <c r="A1449" s="50" t="s">
        <v>28</v>
      </c>
      <c r="B1449" s="66">
        <v>11.047624860491</v>
      </c>
      <c r="C1449" s="67">
        <v>0.4</v>
      </c>
      <c r="D1449" s="68"/>
      <c r="E1449" s="68"/>
      <c r="F1449" s="68"/>
      <c r="G1449" s="68"/>
      <c r="H1449" s="52">
        <v>25</v>
      </c>
      <c r="I1449" s="53" t="s">
        <v>12</v>
      </c>
      <c r="J1449" s="68"/>
      <c r="K1449" s="66">
        <v>2.92586134555726</v>
      </c>
    </row>
    <row r="1450" spans="1:11" ht="15.75" customHeight="1">
      <c r="A1450" s="50" t="s">
        <v>28</v>
      </c>
      <c r="B1450" s="66">
        <v>13.714279901413599</v>
      </c>
      <c r="C1450" s="67">
        <v>0.4</v>
      </c>
      <c r="D1450" s="68"/>
      <c r="E1450" s="68"/>
      <c r="F1450" s="68"/>
      <c r="G1450" s="68"/>
      <c r="H1450" s="52">
        <v>25</v>
      </c>
      <c r="I1450" s="53" t="s">
        <v>12</v>
      </c>
      <c r="J1450" s="68"/>
      <c r="K1450" s="66">
        <v>2.96198713614154</v>
      </c>
    </row>
    <row r="1451" spans="1:11" ht="15.75" customHeight="1">
      <c r="A1451" s="50" t="s">
        <v>28</v>
      </c>
      <c r="B1451" s="66">
        <v>19.809541248139801</v>
      </c>
      <c r="C1451" s="67">
        <v>0.4</v>
      </c>
      <c r="D1451" s="68"/>
      <c r="E1451" s="68"/>
      <c r="F1451" s="68"/>
      <c r="G1451" s="68"/>
      <c r="H1451" s="52">
        <v>25</v>
      </c>
      <c r="I1451" s="53" t="s">
        <v>12</v>
      </c>
      <c r="J1451" s="68"/>
      <c r="K1451" s="66">
        <v>2.9855892779782001</v>
      </c>
    </row>
    <row r="1452" spans="1:11" ht="15.75" customHeight="1">
      <c r="A1452" s="50" t="s">
        <v>28</v>
      </c>
      <c r="B1452" s="66">
        <v>26.6666666666666</v>
      </c>
      <c r="C1452" s="67">
        <v>0.4</v>
      </c>
      <c r="D1452" s="68"/>
      <c r="E1452" s="68"/>
      <c r="F1452" s="68"/>
      <c r="G1452" s="68"/>
      <c r="H1452" s="52">
        <v>25</v>
      </c>
      <c r="I1452" s="53" t="s">
        <v>12</v>
      </c>
      <c r="J1452" s="68"/>
      <c r="K1452" s="66">
        <v>3.0764613406182102</v>
      </c>
    </row>
    <row r="1453" spans="1:11" ht="15.75" customHeight="1">
      <c r="A1453" s="69" t="s">
        <v>29</v>
      </c>
      <c r="B1453" s="69"/>
      <c r="C1453" s="70">
        <v>1</v>
      </c>
      <c r="D1453" s="71"/>
      <c r="E1453" s="71"/>
      <c r="F1453" s="71"/>
      <c r="G1453" s="72">
        <v>0</v>
      </c>
      <c r="H1453" s="52">
        <v>25</v>
      </c>
      <c r="I1453" s="69" t="s">
        <v>12</v>
      </c>
      <c r="J1453" s="69"/>
      <c r="K1453" s="73">
        <v>3.17</v>
      </c>
    </row>
    <row r="1454" spans="1:11" ht="15.75" customHeight="1">
      <c r="A1454" s="69" t="s">
        <v>29</v>
      </c>
      <c r="B1454" s="69"/>
      <c r="C1454" s="70">
        <v>1</v>
      </c>
      <c r="D1454" s="71"/>
      <c r="E1454" s="71"/>
      <c r="F1454" s="71"/>
      <c r="G1454" s="72">
        <v>0</v>
      </c>
      <c r="H1454" s="52">
        <v>25</v>
      </c>
      <c r="I1454" s="69" t="s">
        <v>12</v>
      </c>
      <c r="J1454" s="69"/>
      <c r="K1454" s="73">
        <v>3.24</v>
      </c>
    </row>
    <row r="1455" spans="1:11" ht="15.75" customHeight="1">
      <c r="A1455" s="69" t="s">
        <v>29</v>
      </c>
      <c r="B1455" s="69"/>
      <c r="C1455" s="70">
        <v>1</v>
      </c>
      <c r="D1455" s="71"/>
      <c r="E1455" s="71"/>
      <c r="F1455" s="71"/>
      <c r="G1455" s="72">
        <v>0</v>
      </c>
      <c r="H1455" s="52">
        <v>25</v>
      </c>
      <c r="I1455" s="69" t="s">
        <v>12</v>
      </c>
      <c r="J1455" s="69"/>
      <c r="K1455" s="73">
        <v>3.26</v>
      </c>
    </row>
    <row r="1456" spans="1:11" ht="15.75" customHeight="1">
      <c r="A1456" s="69" t="s">
        <v>29</v>
      </c>
      <c r="B1456" s="69"/>
      <c r="C1456" s="70">
        <v>1</v>
      </c>
      <c r="D1456" s="71"/>
      <c r="E1456" s="71"/>
      <c r="F1456" s="71"/>
      <c r="G1456" s="72">
        <v>0</v>
      </c>
      <c r="H1456" s="52">
        <v>25</v>
      </c>
      <c r="I1456" s="69" t="s">
        <v>12</v>
      </c>
      <c r="J1456" s="69"/>
      <c r="K1456" s="73">
        <v>3.27</v>
      </c>
    </row>
    <row r="1457" spans="1:11" ht="15.75" customHeight="1">
      <c r="A1457" s="69" t="s">
        <v>29</v>
      </c>
      <c r="B1457" s="69"/>
      <c r="C1457" s="70">
        <v>1</v>
      </c>
      <c r="D1457" s="71"/>
      <c r="E1457" s="71"/>
      <c r="F1457" s="71"/>
      <c r="G1457" s="72">
        <v>0</v>
      </c>
      <c r="H1457" s="52">
        <v>25</v>
      </c>
      <c r="I1457" s="69" t="s">
        <v>12</v>
      </c>
      <c r="J1457" s="69"/>
      <c r="K1457" s="73">
        <v>3.29</v>
      </c>
    </row>
    <row r="1458" spans="1:11" ht="15.75" customHeight="1">
      <c r="A1458" s="69" t="s">
        <v>29</v>
      </c>
      <c r="B1458" s="69"/>
      <c r="C1458" s="70">
        <v>1</v>
      </c>
      <c r="D1458" s="71"/>
      <c r="E1458" s="71"/>
      <c r="F1458" s="71"/>
      <c r="G1458" s="72">
        <v>0</v>
      </c>
      <c r="H1458" s="52">
        <v>25</v>
      </c>
      <c r="I1458" s="69" t="s">
        <v>12</v>
      </c>
      <c r="J1458" s="69"/>
      <c r="K1458" s="73">
        <v>3.39</v>
      </c>
    </row>
    <row r="1459" spans="1:11" ht="15.75" customHeight="1">
      <c r="A1459" s="69" t="s">
        <v>29</v>
      </c>
      <c r="B1459" s="69"/>
      <c r="C1459" s="70">
        <v>2</v>
      </c>
      <c r="D1459" s="71"/>
      <c r="E1459" s="71"/>
      <c r="F1459" s="71"/>
      <c r="G1459" s="72">
        <v>0</v>
      </c>
      <c r="H1459" s="52">
        <v>25</v>
      </c>
      <c r="I1459" s="69" t="s">
        <v>12</v>
      </c>
      <c r="J1459" s="69"/>
      <c r="K1459" s="73">
        <v>3.96</v>
      </c>
    </row>
    <row r="1460" spans="1:11" ht="15.75" customHeight="1">
      <c r="A1460" s="69" t="s">
        <v>29</v>
      </c>
      <c r="B1460" s="69"/>
      <c r="C1460" s="70">
        <v>2</v>
      </c>
      <c r="D1460" s="71"/>
      <c r="E1460" s="71"/>
      <c r="F1460" s="71"/>
      <c r="G1460" s="72">
        <v>0</v>
      </c>
      <c r="H1460" s="52">
        <v>25</v>
      </c>
      <c r="I1460" s="69" t="s">
        <v>12</v>
      </c>
      <c r="J1460" s="69"/>
      <c r="K1460" s="73">
        <v>4.2</v>
      </c>
    </row>
    <row r="1461" spans="1:11" ht="15.75" customHeight="1">
      <c r="A1461" s="69" t="s">
        <v>29</v>
      </c>
      <c r="B1461" s="69"/>
      <c r="C1461" s="70">
        <v>2</v>
      </c>
      <c r="D1461" s="71"/>
      <c r="E1461" s="71"/>
      <c r="F1461" s="71"/>
      <c r="G1461" s="72">
        <v>0</v>
      </c>
      <c r="H1461" s="52">
        <v>25</v>
      </c>
      <c r="I1461" s="69" t="s">
        <v>12</v>
      </c>
      <c r="J1461" s="69"/>
      <c r="K1461" s="73">
        <v>4.26</v>
      </c>
    </row>
    <row r="1462" spans="1:11" ht="15.75" customHeight="1">
      <c r="A1462" s="69" t="s">
        <v>29</v>
      </c>
      <c r="B1462" s="69"/>
      <c r="C1462" s="70">
        <v>2</v>
      </c>
      <c r="D1462" s="71"/>
      <c r="E1462" s="71"/>
      <c r="F1462" s="71"/>
      <c r="G1462" s="72">
        <v>0</v>
      </c>
      <c r="H1462" s="52">
        <v>25</v>
      </c>
      <c r="I1462" s="69" t="s">
        <v>12</v>
      </c>
      <c r="J1462" s="69"/>
      <c r="K1462" s="73">
        <v>4.5</v>
      </c>
    </row>
    <row r="1463" spans="1:11" ht="15.75" customHeight="1">
      <c r="A1463" s="69" t="s">
        <v>29</v>
      </c>
      <c r="B1463" s="69"/>
      <c r="C1463" s="70">
        <v>2</v>
      </c>
      <c r="D1463" s="71"/>
      <c r="E1463" s="71"/>
      <c r="F1463" s="71"/>
      <c r="G1463" s="72">
        <v>0</v>
      </c>
      <c r="H1463" s="52">
        <v>25</v>
      </c>
      <c r="I1463" s="69" t="s">
        <v>12</v>
      </c>
      <c r="J1463" s="69"/>
      <c r="K1463" s="73">
        <v>4.82</v>
      </c>
    </row>
    <row r="1464" spans="1:11" ht="15.75" customHeight="1">
      <c r="A1464" s="69" t="s">
        <v>29</v>
      </c>
      <c r="B1464" s="69"/>
      <c r="C1464" s="70">
        <v>2</v>
      </c>
      <c r="D1464" s="71"/>
      <c r="E1464" s="71"/>
      <c r="F1464" s="71"/>
      <c r="G1464" s="72">
        <v>0</v>
      </c>
      <c r="H1464" s="52">
        <v>25</v>
      </c>
      <c r="I1464" s="69" t="s">
        <v>12</v>
      </c>
      <c r="J1464" s="69"/>
      <c r="K1464" s="73">
        <v>5.12</v>
      </c>
    </row>
    <row r="1465" spans="1:11" ht="15.75" customHeight="1">
      <c r="A1465" s="69" t="s">
        <v>29</v>
      </c>
      <c r="B1465" s="69"/>
      <c r="C1465" s="70">
        <v>3</v>
      </c>
      <c r="D1465" s="71"/>
      <c r="E1465" s="71"/>
      <c r="F1465" s="71"/>
      <c r="G1465" s="72">
        <v>0</v>
      </c>
      <c r="H1465" s="52">
        <v>25</v>
      </c>
      <c r="I1465" s="69" t="s">
        <v>12</v>
      </c>
      <c r="J1465" s="69"/>
      <c r="K1465" s="73">
        <v>4.0599999999999996</v>
      </c>
    </row>
    <row r="1466" spans="1:11" ht="15.75" customHeight="1">
      <c r="A1466" s="69" t="s">
        <v>29</v>
      </c>
      <c r="B1466" s="69"/>
      <c r="C1466" s="70">
        <v>3</v>
      </c>
      <c r="D1466" s="71"/>
      <c r="E1466" s="71"/>
      <c r="F1466" s="71"/>
      <c r="G1466" s="72">
        <v>0</v>
      </c>
      <c r="H1466" s="52">
        <v>25</v>
      </c>
      <c r="I1466" s="69" t="s">
        <v>12</v>
      </c>
      <c r="J1466" s="69"/>
      <c r="K1466" s="73">
        <v>4.38</v>
      </c>
    </row>
    <row r="1467" spans="1:11" ht="15.75" customHeight="1">
      <c r="A1467" s="69" t="s">
        <v>29</v>
      </c>
      <c r="B1467" s="69"/>
      <c r="C1467" s="70">
        <v>3</v>
      </c>
      <c r="D1467" s="71"/>
      <c r="E1467" s="71"/>
      <c r="F1467" s="71"/>
      <c r="G1467" s="72">
        <v>0</v>
      </c>
      <c r="H1467" s="52">
        <v>25</v>
      </c>
      <c r="I1467" s="69" t="s">
        <v>12</v>
      </c>
      <c r="J1467" s="69"/>
      <c r="K1467" s="73">
        <v>4.45</v>
      </c>
    </row>
    <row r="1468" spans="1:11" ht="15.75" customHeight="1">
      <c r="A1468" s="69" t="s">
        <v>29</v>
      </c>
      <c r="B1468" s="69"/>
      <c r="C1468" s="70">
        <v>3</v>
      </c>
      <c r="D1468" s="71"/>
      <c r="E1468" s="71"/>
      <c r="F1468" s="71"/>
      <c r="G1468" s="72">
        <v>0</v>
      </c>
      <c r="H1468" s="52">
        <v>25</v>
      </c>
      <c r="I1468" s="69" t="s">
        <v>12</v>
      </c>
      <c r="J1468" s="69"/>
      <c r="K1468" s="74">
        <v>5.03</v>
      </c>
    </row>
    <row r="1469" spans="1:11" ht="15.75" customHeight="1">
      <c r="A1469" s="69" t="s">
        <v>29</v>
      </c>
      <c r="B1469" s="69"/>
      <c r="C1469" s="70">
        <v>3</v>
      </c>
      <c r="D1469" s="71"/>
      <c r="E1469" s="71"/>
      <c r="F1469" s="71"/>
      <c r="G1469" s="72">
        <v>0</v>
      </c>
      <c r="H1469" s="52">
        <v>25</v>
      </c>
      <c r="I1469" s="69" t="s">
        <v>12</v>
      </c>
      <c r="J1469" s="69"/>
      <c r="K1469" s="73">
        <v>5.32</v>
      </c>
    </row>
    <row r="1470" spans="1:11" ht="15.75" customHeight="1">
      <c r="A1470" s="69" t="s">
        <v>29</v>
      </c>
      <c r="B1470" s="69"/>
      <c r="C1470" s="70">
        <v>3</v>
      </c>
      <c r="D1470" s="71"/>
      <c r="E1470" s="71"/>
      <c r="F1470" s="71"/>
      <c r="G1470" s="72">
        <v>0</v>
      </c>
      <c r="H1470" s="52">
        <v>25</v>
      </c>
      <c r="I1470" s="69" t="s">
        <v>12</v>
      </c>
      <c r="J1470" s="69"/>
      <c r="K1470" s="73">
        <v>5.42</v>
      </c>
    </row>
    <row r="1471" spans="1:11" ht="15.75" customHeight="1">
      <c r="A1471" s="69" t="s">
        <v>29</v>
      </c>
      <c r="B1471" s="69"/>
      <c r="C1471" s="70">
        <v>4</v>
      </c>
      <c r="D1471" s="71"/>
      <c r="E1471" s="71"/>
      <c r="F1471" s="71"/>
      <c r="G1471" s="72">
        <v>0</v>
      </c>
      <c r="H1471" s="52">
        <v>25</v>
      </c>
      <c r="I1471" s="69" t="s">
        <v>12</v>
      </c>
      <c r="J1471" s="69"/>
      <c r="K1471" s="73">
        <v>5</v>
      </c>
    </row>
    <row r="1472" spans="1:11" ht="15.75" customHeight="1">
      <c r="A1472" s="69" t="s">
        <v>29</v>
      </c>
      <c r="B1472" s="69"/>
      <c r="C1472" s="70">
        <v>4</v>
      </c>
      <c r="D1472" s="71"/>
      <c r="E1472" s="71"/>
      <c r="F1472" s="71"/>
      <c r="G1472" s="72">
        <v>0</v>
      </c>
      <c r="H1472" s="52">
        <v>25</v>
      </c>
      <c r="I1472" s="69" t="s">
        <v>12</v>
      </c>
      <c r="J1472" s="69"/>
      <c r="K1472" s="73">
        <v>5.0940000000000003</v>
      </c>
    </row>
    <row r="1473" spans="1:11" ht="15.75" customHeight="1">
      <c r="A1473" s="69" t="s">
        <v>29</v>
      </c>
      <c r="B1473" s="69"/>
      <c r="C1473" s="70">
        <v>4</v>
      </c>
      <c r="D1473" s="71"/>
      <c r="E1473" s="71"/>
      <c r="F1473" s="71"/>
      <c r="G1473" s="72">
        <v>0</v>
      </c>
      <c r="H1473" s="52">
        <v>25</v>
      </c>
      <c r="I1473" s="69" t="s">
        <v>12</v>
      </c>
      <c r="J1473" s="69"/>
      <c r="K1473" s="73">
        <v>5.67</v>
      </c>
    </row>
    <row r="1474" spans="1:11" ht="15.75" customHeight="1">
      <c r="A1474" s="69" t="s">
        <v>29</v>
      </c>
      <c r="B1474" s="69"/>
      <c r="C1474" s="70">
        <v>4</v>
      </c>
      <c r="D1474" s="71"/>
      <c r="E1474" s="71"/>
      <c r="F1474" s="71"/>
      <c r="G1474" s="72">
        <v>0</v>
      </c>
      <c r="H1474" s="52">
        <v>25</v>
      </c>
      <c r="I1474" s="69" t="s">
        <v>12</v>
      </c>
      <c r="J1474" s="69"/>
      <c r="K1474" s="73">
        <v>5.82</v>
      </c>
    </row>
    <row r="1475" spans="1:11" ht="15.75" customHeight="1">
      <c r="A1475" s="69" t="s">
        <v>29</v>
      </c>
      <c r="B1475" s="69"/>
      <c r="C1475" s="70">
        <v>4</v>
      </c>
      <c r="D1475" s="71"/>
      <c r="E1475" s="71"/>
      <c r="F1475" s="71"/>
      <c r="G1475" s="72">
        <v>0</v>
      </c>
      <c r="H1475" s="52">
        <v>25</v>
      </c>
      <c r="I1475" s="69" t="s">
        <v>12</v>
      </c>
      <c r="J1475" s="69"/>
      <c r="K1475" s="73">
        <v>5.93</v>
      </c>
    </row>
    <row r="1476" spans="1:11" ht="15.75" customHeight="1">
      <c r="A1476" s="69" t="s">
        <v>29</v>
      </c>
      <c r="B1476" s="69"/>
      <c r="C1476" s="70">
        <v>4</v>
      </c>
      <c r="D1476" s="69"/>
      <c r="E1476" s="69"/>
      <c r="F1476" s="69"/>
      <c r="G1476" s="72">
        <v>0</v>
      </c>
      <c r="H1476" s="52">
        <v>25</v>
      </c>
      <c r="I1476" s="69" t="s">
        <v>12</v>
      </c>
      <c r="J1476" s="69"/>
      <c r="K1476" s="73">
        <v>6.08</v>
      </c>
    </row>
    <row r="1477" spans="1:11" ht="15.75" customHeight="1">
      <c r="A1477" s="75" t="s">
        <v>30</v>
      </c>
      <c r="B1477" s="76">
        <v>1440</v>
      </c>
      <c r="C1477" s="76">
        <v>1.92</v>
      </c>
      <c r="D1477" s="76"/>
      <c r="E1477" s="76">
        <v>0.71099999999999997</v>
      </c>
      <c r="F1477" s="76">
        <v>1250</v>
      </c>
      <c r="G1477" s="76"/>
      <c r="H1477" s="77">
        <v>25</v>
      </c>
      <c r="I1477" s="77" t="s">
        <v>12</v>
      </c>
      <c r="J1477" s="14"/>
      <c r="K1477" s="76">
        <v>16.838903009606295</v>
      </c>
    </row>
    <row r="1478" spans="1:11" ht="15.75" customHeight="1">
      <c r="A1478" s="75" t="s">
        <v>30</v>
      </c>
      <c r="B1478" s="26">
        <v>18.907563025210081</v>
      </c>
      <c r="C1478" s="25">
        <v>0.66800000000000004</v>
      </c>
      <c r="D1478" s="26"/>
      <c r="E1478" s="26">
        <v>0.51500000000000001</v>
      </c>
      <c r="F1478" s="26"/>
      <c r="G1478" s="76"/>
      <c r="H1478" s="78">
        <v>25</v>
      </c>
      <c r="I1478" s="77" t="s">
        <v>12</v>
      </c>
      <c r="J1478" s="14"/>
      <c r="K1478" s="79">
        <v>4.4134338790100367</v>
      </c>
    </row>
    <row r="1479" spans="1:11" ht="15.75" customHeight="1">
      <c r="A1479" s="75" t="s">
        <v>30</v>
      </c>
      <c r="B1479" s="80">
        <v>24.2016806722689</v>
      </c>
      <c r="C1479" s="25">
        <v>0.66800000000000004</v>
      </c>
      <c r="D1479" s="76"/>
      <c r="E1479" s="80">
        <v>0.51500000000000001</v>
      </c>
      <c r="F1479" s="76"/>
      <c r="G1479" s="76"/>
      <c r="H1479" s="78">
        <v>25</v>
      </c>
      <c r="I1479" s="77" t="s">
        <v>12</v>
      </c>
      <c r="J1479" s="14"/>
      <c r="K1479" s="79">
        <v>4.6357776105626742</v>
      </c>
    </row>
    <row r="1480" spans="1:11" ht="15.75" customHeight="1">
      <c r="A1480" s="75" t="s">
        <v>30</v>
      </c>
      <c r="B1480" s="80">
        <v>31.51260504201678</v>
      </c>
      <c r="C1480" s="25">
        <v>0.66800000000000004</v>
      </c>
      <c r="D1480" s="76"/>
      <c r="E1480" s="80">
        <v>0.51500000000000001</v>
      </c>
      <c r="F1480" s="76"/>
      <c r="G1480" s="76"/>
      <c r="H1480" s="78">
        <v>25</v>
      </c>
      <c r="I1480" s="77" t="s">
        <v>12</v>
      </c>
      <c r="J1480" s="14"/>
      <c r="K1480" s="79">
        <v>4.9613122517439976</v>
      </c>
    </row>
    <row r="1481" spans="1:11" ht="15.75" customHeight="1">
      <c r="A1481" s="75" t="s">
        <v>30</v>
      </c>
      <c r="B1481" s="80">
        <v>39.327731092436942</v>
      </c>
      <c r="C1481" s="25">
        <v>0.66800000000000004</v>
      </c>
      <c r="D1481" s="80"/>
      <c r="E1481" s="80">
        <v>0.51500000000000001</v>
      </c>
      <c r="F1481" s="80"/>
      <c r="G1481" s="76"/>
      <c r="H1481" s="78">
        <v>25</v>
      </c>
      <c r="I1481" s="77" t="s">
        <v>12</v>
      </c>
      <c r="J1481" s="14"/>
      <c r="K1481" s="79">
        <v>5.2196308266952114</v>
      </c>
    </row>
    <row r="1482" spans="1:11" ht="15.75" customHeight="1">
      <c r="A1482" s="75" t="s">
        <v>30</v>
      </c>
      <c r="B1482" s="80">
        <v>47.394957983193244</v>
      </c>
      <c r="C1482" s="25">
        <v>0.66800000000000004</v>
      </c>
      <c r="D1482" s="76"/>
      <c r="E1482" s="80">
        <v>0.51500000000000001</v>
      </c>
      <c r="F1482" s="76"/>
      <c r="G1482" s="76"/>
      <c r="H1482" s="78">
        <v>25</v>
      </c>
      <c r="I1482" s="77" t="s">
        <v>12</v>
      </c>
      <c r="J1482" s="14"/>
      <c r="K1482" s="79">
        <v>5.4546365937994432</v>
      </c>
    </row>
    <row r="1483" spans="1:11" ht="15.75" customHeight="1">
      <c r="A1483" s="75" t="s">
        <v>30</v>
      </c>
      <c r="B1483" s="80">
        <v>55.96638655462182</v>
      </c>
      <c r="C1483" s="25">
        <v>0.66800000000000004</v>
      </c>
      <c r="D1483" s="76"/>
      <c r="E1483" s="80">
        <v>0.51500000000000001</v>
      </c>
      <c r="F1483" s="76"/>
      <c r="G1483" s="76"/>
      <c r="H1483" s="78">
        <v>25</v>
      </c>
      <c r="I1483" s="77" t="s">
        <v>12</v>
      </c>
      <c r="J1483" s="14"/>
      <c r="K1483" s="79">
        <v>5.6626299065744279</v>
      </c>
    </row>
    <row r="1484" spans="1:11" ht="15.75" customHeight="1">
      <c r="A1484" s="75" t="s">
        <v>30</v>
      </c>
      <c r="B1484" s="80">
        <v>64.537815126050404</v>
      </c>
      <c r="C1484" s="25">
        <v>0.66800000000000004</v>
      </c>
      <c r="D1484" s="76"/>
      <c r="E1484" s="80">
        <v>0.51500000000000001</v>
      </c>
      <c r="F1484" s="76"/>
      <c r="G1484" s="76"/>
      <c r="H1484" s="78">
        <v>25</v>
      </c>
      <c r="I1484" s="77" t="s">
        <v>12</v>
      </c>
      <c r="J1484" s="14"/>
      <c r="K1484" s="79">
        <v>5.8797050274711111</v>
      </c>
    </row>
    <row r="1485" spans="1:11" ht="15.75" customHeight="1">
      <c r="A1485" s="75" t="s">
        <v>30</v>
      </c>
      <c r="B1485" s="80">
        <v>74.369747899159194</v>
      </c>
      <c r="C1485" s="25">
        <v>0.66800000000000004</v>
      </c>
      <c r="D1485" s="76"/>
      <c r="E1485" s="80">
        <v>0.51500000000000001</v>
      </c>
      <c r="F1485" s="76"/>
      <c r="G1485" s="76"/>
      <c r="H1485" s="78">
        <v>25</v>
      </c>
      <c r="I1485" s="77" t="s">
        <v>12</v>
      </c>
      <c r="J1485" s="14"/>
      <c r="K1485" s="79">
        <v>6.1321014440927115</v>
      </c>
    </row>
    <row r="1486" spans="1:11" ht="15.75" customHeight="1">
      <c r="A1486" s="75" t="s">
        <v>30</v>
      </c>
      <c r="B1486" s="80">
        <v>82.436974789915794</v>
      </c>
      <c r="C1486" s="25">
        <v>0.66800000000000004</v>
      </c>
      <c r="D1486" s="76"/>
      <c r="E1486" s="80">
        <v>0.51500000000000001</v>
      </c>
      <c r="F1486" s="76"/>
      <c r="G1486" s="76"/>
      <c r="H1486" s="78">
        <v>25</v>
      </c>
      <c r="I1486" s="77" t="s">
        <v>12</v>
      </c>
      <c r="J1486" s="14"/>
      <c r="K1486" s="79">
        <v>6.4757130873437294</v>
      </c>
    </row>
    <row r="1487" spans="1:11" ht="15.75" customHeight="1">
      <c r="A1487" s="75" t="s">
        <v>30</v>
      </c>
      <c r="B1487" s="80">
        <v>92.52100840336081</v>
      </c>
      <c r="C1487" s="25">
        <v>0.66800000000000004</v>
      </c>
      <c r="D1487" s="76"/>
      <c r="E1487" s="80">
        <v>0.51500000000000001</v>
      </c>
      <c r="F1487" s="76"/>
      <c r="G1487" s="76"/>
      <c r="H1487" s="78">
        <v>25</v>
      </c>
      <c r="I1487" s="77" t="s">
        <v>12</v>
      </c>
      <c r="J1487" s="14"/>
      <c r="K1487" s="79">
        <v>6.613269159897591</v>
      </c>
    </row>
    <row r="1488" spans="1:11" ht="15.75" customHeight="1">
      <c r="A1488" s="75" t="s">
        <v>30</v>
      </c>
      <c r="B1488" s="80">
        <v>100.3361344537812</v>
      </c>
      <c r="C1488" s="25">
        <v>0.66800000000000004</v>
      </c>
      <c r="D1488" s="76"/>
      <c r="E1488" s="80">
        <v>0.51500000000000001</v>
      </c>
      <c r="F1488" s="76"/>
      <c r="G1488" s="76"/>
      <c r="H1488" s="78">
        <v>25</v>
      </c>
      <c r="I1488" s="77" t="s">
        <v>12</v>
      </c>
      <c r="J1488" s="14"/>
      <c r="K1488" s="79">
        <v>6.7687914501564839</v>
      </c>
    </row>
    <row r="1489" spans="1:11" ht="15.75" customHeight="1">
      <c r="A1489" s="75" t="s">
        <v>30</v>
      </c>
      <c r="B1489" s="80">
        <v>108.1512605042016</v>
      </c>
      <c r="C1489" s="25">
        <v>0.66800000000000004</v>
      </c>
      <c r="D1489" s="76"/>
      <c r="E1489" s="80">
        <v>0.51500000000000001</v>
      </c>
      <c r="F1489" s="76"/>
      <c r="G1489" s="76"/>
      <c r="H1489" s="78">
        <v>25</v>
      </c>
      <c r="I1489" s="77" t="s">
        <v>12</v>
      </c>
      <c r="J1489" s="14"/>
      <c r="K1489" s="79">
        <v>6.7978923731133838</v>
      </c>
    </row>
    <row r="1490" spans="1:11" ht="15.75" customHeight="1">
      <c r="A1490" s="75" t="s">
        <v>30</v>
      </c>
      <c r="B1490" s="80">
        <v>114.45378151260479</v>
      </c>
      <c r="C1490" s="25">
        <v>0.66800000000000004</v>
      </c>
      <c r="D1490" s="76"/>
      <c r="E1490" s="80">
        <v>0.51500000000000001</v>
      </c>
      <c r="F1490" s="76"/>
      <c r="G1490" s="76"/>
      <c r="H1490" s="78">
        <v>25</v>
      </c>
      <c r="I1490" s="77" t="s">
        <v>12</v>
      </c>
      <c r="J1490" s="14"/>
      <c r="K1490" s="79">
        <v>6.9006468323467178</v>
      </c>
    </row>
    <row r="1491" spans="1:11" ht="15.75" customHeight="1">
      <c r="A1491" s="75" t="s">
        <v>30</v>
      </c>
      <c r="B1491" s="80">
        <v>132.35294117647021</v>
      </c>
      <c r="C1491" s="25">
        <v>0.66800000000000004</v>
      </c>
      <c r="D1491" s="76"/>
      <c r="E1491" s="80">
        <v>0.51500000000000001</v>
      </c>
      <c r="F1491" s="76"/>
      <c r="G1491" s="76"/>
      <c r="H1491" s="78">
        <v>25</v>
      </c>
      <c r="I1491" s="77" t="s">
        <v>12</v>
      </c>
      <c r="J1491" s="14"/>
      <c r="K1491" s="79">
        <v>7.1763119528932702</v>
      </c>
    </row>
    <row r="1492" spans="1:11" ht="15.75" customHeight="1">
      <c r="A1492" s="75" t="s">
        <v>30</v>
      </c>
      <c r="B1492" s="80">
        <v>149.24369747899141</v>
      </c>
      <c r="C1492" s="25">
        <v>0.66800000000000004</v>
      </c>
      <c r="D1492" s="76"/>
      <c r="E1492" s="80">
        <v>0.51500000000000001</v>
      </c>
      <c r="F1492" s="76"/>
      <c r="G1492" s="76"/>
      <c r="H1492" s="78">
        <v>25</v>
      </c>
      <c r="I1492" s="77" t="s">
        <v>12</v>
      </c>
      <c r="J1492" s="14"/>
      <c r="K1492" s="79">
        <v>7.4128410017713646</v>
      </c>
    </row>
    <row r="1493" spans="1:11" ht="15.75" customHeight="1">
      <c r="A1493" s="75" t="s">
        <v>30</v>
      </c>
      <c r="B1493" s="76">
        <v>19.411764705882302</v>
      </c>
      <c r="C1493" s="25">
        <v>0.66800000000000004</v>
      </c>
      <c r="D1493" s="26"/>
      <c r="E1493" s="76">
        <v>0.626</v>
      </c>
      <c r="F1493" s="76"/>
      <c r="G1493" s="76"/>
      <c r="H1493" s="78">
        <v>25</v>
      </c>
      <c r="I1493" s="77" t="s">
        <v>12</v>
      </c>
      <c r="J1493" s="14"/>
      <c r="K1493" s="81">
        <v>4.6482060282419111</v>
      </c>
    </row>
    <row r="1494" spans="1:11" ht="15.75" customHeight="1">
      <c r="A1494" s="75" t="s">
        <v>30</v>
      </c>
      <c r="B1494" s="76">
        <v>25.462184873949539</v>
      </c>
      <c r="C1494" s="25">
        <v>0.66800000000000004</v>
      </c>
      <c r="D1494" s="26"/>
      <c r="E1494" s="76">
        <v>0.626</v>
      </c>
      <c r="F1494" s="76"/>
      <c r="G1494" s="76"/>
      <c r="H1494" s="78">
        <v>25</v>
      </c>
      <c r="I1494" s="77" t="s">
        <v>12</v>
      </c>
      <c r="J1494" s="14"/>
      <c r="K1494" s="81">
        <v>4.9504082336210358</v>
      </c>
    </row>
    <row r="1495" spans="1:11" ht="15.75" customHeight="1">
      <c r="A1495" s="75" t="s">
        <v>30</v>
      </c>
      <c r="B1495" s="76">
        <v>33.529411764705841</v>
      </c>
      <c r="C1495" s="25">
        <v>0.66800000000000004</v>
      </c>
      <c r="D1495" s="26"/>
      <c r="E1495" s="76">
        <v>0.626</v>
      </c>
      <c r="F1495" s="76"/>
      <c r="G1495" s="76"/>
      <c r="H1495" s="78">
        <v>25</v>
      </c>
      <c r="I1495" s="77" t="s">
        <v>12</v>
      </c>
      <c r="J1495" s="14"/>
      <c r="K1495" s="81">
        <v>5.2586575529323385</v>
      </c>
    </row>
    <row r="1496" spans="1:11" ht="15.75" customHeight="1">
      <c r="A1496" s="75" t="s">
        <v>30</v>
      </c>
      <c r="B1496" s="76">
        <v>37.05882352941174</v>
      </c>
      <c r="C1496" s="25">
        <v>0.66800000000000004</v>
      </c>
      <c r="D1496" s="26"/>
      <c r="E1496" s="76">
        <v>0.626</v>
      </c>
      <c r="F1496" s="76"/>
      <c r="G1496" s="76"/>
      <c r="H1496" s="78">
        <v>25</v>
      </c>
      <c r="I1496" s="77" t="s">
        <v>12</v>
      </c>
      <c r="J1496" s="14"/>
      <c r="K1496" s="81">
        <v>5.400086572703283</v>
      </c>
    </row>
    <row r="1497" spans="1:11" ht="15.75" customHeight="1">
      <c r="A1497" s="75" t="s">
        <v>30</v>
      </c>
      <c r="B1497" s="76">
        <v>46.386554621848681</v>
      </c>
      <c r="C1497" s="25">
        <v>0.66800000000000004</v>
      </c>
      <c r="D1497" s="26"/>
      <c r="E1497" s="76">
        <v>0.626</v>
      </c>
      <c r="F1497" s="76"/>
      <c r="G1497" s="76"/>
      <c r="H1497" s="78">
        <v>25</v>
      </c>
      <c r="I1497" s="77" t="s">
        <v>12</v>
      </c>
      <c r="J1497" s="14"/>
      <c r="K1497" s="81">
        <v>5.7040854812155706</v>
      </c>
    </row>
    <row r="1498" spans="1:11" ht="15.75" customHeight="1">
      <c r="A1498" s="75" t="s">
        <v>30</v>
      </c>
      <c r="B1498" s="76">
        <v>55.71428571428568</v>
      </c>
      <c r="C1498" s="25">
        <v>0.66800000000000004</v>
      </c>
      <c r="D1498" s="26"/>
      <c r="E1498" s="76">
        <v>0.626</v>
      </c>
      <c r="F1498" s="76"/>
      <c r="G1498" s="76"/>
      <c r="H1498" s="78">
        <v>25</v>
      </c>
      <c r="I1498" s="77" t="s">
        <v>12</v>
      </c>
      <c r="J1498" s="14"/>
      <c r="K1498" s="81">
        <v>5.9936810694801235</v>
      </c>
    </row>
    <row r="1499" spans="1:11" ht="15.75" customHeight="1">
      <c r="A1499" s="75" t="s">
        <v>30</v>
      </c>
      <c r="B1499" s="76">
        <v>62.773109243697</v>
      </c>
      <c r="C1499" s="25">
        <v>0.66800000000000004</v>
      </c>
      <c r="D1499" s="26"/>
      <c r="E1499" s="76">
        <v>0.626</v>
      </c>
      <c r="F1499" s="76"/>
      <c r="G1499" s="76"/>
      <c r="H1499" s="78">
        <v>25</v>
      </c>
      <c r="I1499" s="77" t="s">
        <v>12</v>
      </c>
      <c r="J1499" s="14"/>
      <c r="K1499" s="81">
        <v>6.2233245481514121</v>
      </c>
    </row>
    <row r="1500" spans="1:11" ht="15.75" customHeight="1">
      <c r="A1500" s="75" t="s">
        <v>30</v>
      </c>
      <c r="B1500" s="76">
        <v>71.092436974789791</v>
      </c>
      <c r="C1500" s="25">
        <v>0.66800000000000004</v>
      </c>
      <c r="D1500" s="26"/>
      <c r="E1500" s="76">
        <v>0.626</v>
      </c>
      <c r="F1500" s="76"/>
      <c r="G1500" s="76"/>
      <c r="H1500" s="78">
        <v>25</v>
      </c>
      <c r="I1500" s="77" t="s">
        <v>12</v>
      </c>
      <c r="J1500" s="14"/>
      <c r="K1500" s="81">
        <v>6.3916033971817976</v>
      </c>
    </row>
    <row r="1501" spans="1:11" ht="15.75" customHeight="1">
      <c r="A1501" s="75" t="s">
        <v>30</v>
      </c>
      <c r="B1501" s="76">
        <v>80.420168067226811</v>
      </c>
      <c r="C1501" s="25">
        <v>0.66800000000000004</v>
      </c>
      <c r="D1501" s="26"/>
      <c r="E1501" s="76">
        <v>0.626</v>
      </c>
      <c r="F1501" s="76"/>
      <c r="G1501" s="76"/>
      <c r="H1501" s="78">
        <v>25</v>
      </c>
      <c r="I1501" s="77" t="s">
        <v>12</v>
      </c>
      <c r="J1501" s="14"/>
      <c r="K1501" s="81">
        <v>6.6498073000651061</v>
      </c>
    </row>
    <row r="1502" spans="1:11" ht="15.75" customHeight="1">
      <c r="A1502" s="75" t="s">
        <v>30</v>
      </c>
      <c r="B1502" s="76">
        <v>88.739495798318998</v>
      </c>
      <c r="C1502" s="25">
        <v>0.66800000000000004</v>
      </c>
      <c r="D1502" s="26"/>
      <c r="E1502" s="76">
        <v>0.626</v>
      </c>
      <c r="F1502" s="76"/>
      <c r="G1502" s="76"/>
      <c r="H1502" s="78">
        <v>25</v>
      </c>
      <c r="I1502" s="77" t="s">
        <v>12</v>
      </c>
      <c r="J1502" s="14"/>
      <c r="K1502" s="81">
        <v>6.8152340104303066</v>
      </c>
    </row>
    <row r="1503" spans="1:11" ht="15.75" customHeight="1">
      <c r="A1503" s="75" t="s">
        <v>30</v>
      </c>
      <c r="B1503" s="76">
        <v>105.88235294117641</v>
      </c>
      <c r="C1503" s="25">
        <v>0.66800000000000004</v>
      </c>
      <c r="D1503" s="26"/>
      <c r="E1503" s="76">
        <v>0.626</v>
      </c>
      <c r="F1503" s="76"/>
      <c r="G1503" s="76"/>
      <c r="H1503" s="78">
        <v>25</v>
      </c>
      <c r="I1503" s="77" t="s">
        <v>12</v>
      </c>
      <c r="J1503" s="14"/>
      <c r="K1503" s="81">
        <v>7.1344666170573534</v>
      </c>
    </row>
    <row r="1504" spans="1:11" ht="15.75" customHeight="1">
      <c r="A1504" s="75" t="s">
        <v>30</v>
      </c>
      <c r="B1504" s="76">
        <v>114.20168067226859</v>
      </c>
      <c r="C1504" s="25">
        <v>0.66800000000000004</v>
      </c>
      <c r="D1504" s="26"/>
      <c r="E1504" s="76">
        <v>0.626</v>
      </c>
      <c r="F1504" s="76"/>
      <c r="G1504" s="76"/>
      <c r="H1504" s="78">
        <v>25</v>
      </c>
      <c r="I1504" s="77" t="s">
        <v>12</v>
      </c>
      <c r="J1504" s="14"/>
      <c r="K1504" s="81">
        <v>7.2990076550712537</v>
      </c>
    </row>
    <row r="1505" spans="1:11" ht="15.75" customHeight="1">
      <c r="A1505" s="75" t="s">
        <v>30</v>
      </c>
      <c r="B1505" s="76">
        <v>131.84873949579779</v>
      </c>
      <c r="C1505" s="25">
        <v>0.66800000000000004</v>
      </c>
      <c r="D1505" s="26"/>
      <c r="E1505" s="76">
        <v>0.626</v>
      </c>
      <c r="F1505" s="76"/>
      <c r="G1505" s="76"/>
      <c r="H1505" s="78">
        <v>25</v>
      </c>
      <c r="I1505" s="77" t="s">
        <v>12</v>
      </c>
      <c r="J1505" s="14"/>
      <c r="K1505" s="81">
        <v>7.5796379360954651</v>
      </c>
    </row>
    <row r="1506" spans="1:11" ht="15.75" customHeight="1">
      <c r="A1506" s="75" t="s">
        <v>30</v>
      </c>
      <c r="B1506" s="76">
        <v>20.420168067226861</v>
      </c>
      <c r="C1506" s="25">
        <v>0.66800000000000004</v>
      </c>
      <c r="D1506" s="26"/>
      <c r="E1506" s="76">
        <v>0.69500000000000006</v>
      </c>
      <c r="F1506" s="26"/>
      <c r="G1506" s="76"/>
      <c r="H1506" s="78">
        <v>25</v>
      </c>
      <c r="I1506" s="77" t="s">
        <v>12</v>
      </c>
      <c r="J1506" s="14"/>
      <c r="K1506" s="76">
        <v>4.8500343377885056</v>
      </c>
    </row>
    <row r="1507" spans="1:11" ht="15.75" customHeight="1">
      <c r="A1507" s="75" t="s">
        <v>30</v>
      </c>
      <c r="B1507" s="76">
        <v>24.2016806722689</v>
      </c>
      <c r="C1507" s="25">
        <v>0.66800000000000004</v>
      </c>
      <c r="D1507" s="26"/>
      <c r="E1507" s="76">
        <v>0.69500000000000006</v>
      </c>
      <c r="F1507" s="26"/>
      <c r="G1507" s="76"/>
      <c r="H1507" s="78">
        <v>25</v>
      </c>
      <c r="I1507" s="77" t="s">
        <v>12</v>
      </c>
      <c r="J1507" s="14"/>
      <c r="K1507" s="76">
        <v>5.0782167472073256</v>
      </c>
    </row>
    <row r="1508" spans="1:11" ht="15.75" customHeight="1">
      <c r="A1508" s="75" t="s">
        <v>30</v>
      </c>
      <c r="B1508" s="76">
        <v>31.260504201680639</v>
      </c>
      <c r="C1508" s="25">
        <v>0.66800000000000004</v>
      </c>
      <c r="D1508" s="26"/>
      <c r="E1508" s="76">
        <v>0.69500000000000006</v>
      </c>
      <c r="F1508" s="26"/>
      <c r="G1508" s="76"/>
      <c r="H1508" s="78">
        <v>25</v>
      </c>
      <c r="I1508" s="77" t="s">
        <v>12</v>
      </c>
      <c r="J1508" s="14"/>
      <c r="K1508" s="76">
        <v>5.3350189532247283</v>
      </c>
    </row>
    <row r="1509" spans="1:11" ht="15.75" customHeight="1">
      <c r="A1509" s="75" t="s">
        <v>30</v>
      </c>
      <c r="B1509" s="76">
        <v>37.31092436974788</v>
      </c>
      <c r="C1509" s="25">
        <v>0.66800000000000004</v>
      </c>
      <c r="D1509" s="26"/>
      <c r="E1509" s="76">
        <v>0.69500000000000006</v>
      </c>
      <c r="F1509" s="26"/>
      <c r="G1509" s="76"/>
      <c r="H1509" s="78">
        <v>25</v>
      </c>
      <c r="I1509" s="77" t="s">
        <v>12</v>
      </c>
      <c r="J1509" s="14"/>
      <c r="K1509" s="76">
        <v>5.5778472338902931</v>
      </c>
    </row>
    <row r="1510" spans="1:11" ht="15.75" customHeight="1">
      <c r="A1510" s="75" t="s">
        <v>30</v>
      </c>
      <c r="B1510" s="76">
        <v>43.109243697478981</v>
      </c>
      <c r="C1510" s="25">
        <v>0.66800000000000004</v>
      </c>
      <c r="D1510" s="26"/>
      <c r="E1510" s="76">
        <v>0.69500000000000006</v>
      </c>
      <c r="F1510" s="26"/>
      <c r="G1510" s="76"/>
      <c r="H1510" s="78">
        <v>25</v>
      </c>
      <c r="I1510" s="77" t="s">
        <v>12</v>
      </c>
      <c r="J1510" s="14"/>
      <c r="K1510" s="76">
        <v>5.801194899334992</v>
      </c>
    </row>
    <row r="1511" spans="1:11" ht="15.75" customHeight="1">
      <c r="A1511" s="75" t="s">
        <v>30</v>
      </c>
      <c r="B1511" s="76">
        <v>50.924369747899135</v>
      </c>
      <c r="C1511" s="25">
        <v>0.66800000000000004</v>
      </c>
      <c r="D1511" s="26"/>
      <c r="E1511" s="76">
        <v>0.69500000000000006</v>
      </c>
      <c r="F1511" s="26"/>
      <c r="G1511" s="76"/>
      <c r="H1511" s="78">
        <v>25</v>
      </c>
      <c r="I1511" s="77" t="s">
        <v>12</v>
      </c>
      <c r="J1511" s="14"/>
      <c r="K1511" s="76">
        <v>6.0673208796800466</v>
      </c>
    </row>
    <row r="1512" spans="1:11" ht="15.75" customHeight="1">
      <c r="A1512" s="75" t="s">
        <v>30</v>
      </c>
      <c r="B1512" s="76">
        <v>61.0084033613442</v>
      </c>
      <c r="C1512" s="25">
        <v>0.66800000000000004</v>
      </c>
      <c r="D1512" s="26"/>
      <c r="E1512" s="76">
        <v>0.69500000000000006</v>
      </c>
      <c r="F1512" s="26"/>
      <c r="G1512" s="76"/>
      <c r="H1512" s="78">
        <v>25</v>
      </c>
      <c r="I1512" s="77" t="s">
        <v>12</v>
      </c>
      <c r="J1512" s="14"/>
      <c r="K1512" s="76">
        <v>6.3520258907862219</v>
      </c>
    </row>
    <row r="1513" spans="1:11" ht="15.75" customHeight="1">
      <c r="A1513" s="75" t="s">
        <v>30</v>
      </c>
      <c r="B1513" s="76">
        <v>67.310924369747397</v>
      </c>
      <c r="C1513" s="25">
        <v>0.66800000000000004</v>
      </c>
      <c r="D1513" s="26"/>
      <c r="E1513" s="76">
        <v>0.69500000000000006</v>
      </c>
      <c r="F1513" s="26"/>
      <c r="G1513" s="76"/>
      <c r="H1513" s="78">
        <v>25</v>
      </c>
      <c r="I1513" s="77" t="s">
        <v>12</v>
      </c>
      <c r="J1513" s="14"/>
      <c r="K1513" s="76">
        <v>6.5011581938706202</v>
      </c>
    </row>
    <row r="1514" spans="1:11" ht="15.75" customHeight="1">
      <c r="A1514" s="75" t="s">
        <v>30</v>
      </c>
      <c r="B1514" s="76">
        <v>79.411764705882007</v>
      </c>
      <c r="C1514" s="25">
        <v>0.66800000000000004</v>
      </c>
      <c r="D1514" s="26"/>
      <c r="E1514" s="76">
        <v>0.69500000000000006</v>
      </c>
      <c r="F1514" s="26"/>
      <c r="G1514" s="76"/>
      <c r="H1514" s="78">
        <v>25</v>
      </c>
      <c r="I1514" s="77" t="s">
        <v>12</v>
      </c>
      <c r="J1514" s="14"/>
      <c r="K1514" s="76">
        <v>6.8267462519231215</v>
      </c>
    </row>
    <row r="1515" spans="1:11" ht="15.75" customHeight="1">
      <c r="A1515" s="75" t="s">
        <v>30</v>
      </c>
      <c r="B1515" s="76">
        <v>86.722689075630001</v>
      </c>
      <c r="C1515" s="25">
        <v>0.66800000000000004</v>
      </c>
      <c r="D1515" s="26"/>
      <c r="E1515" s="76">
        <v>0.69500000000000006</v>
      </c>
      <c r="F1515" s="26"/>
      <c r="G1515" s="76"/>
      <c r="H1515" s="78">
        <v>25</v>
      </c>
      <c r="I1515" s="77" t="s">
        <v>12</v>
      </c>
      <c r="J1515" s="14"/>
      <c r="K1515" s="76">
        <v>6.9619643550006876</v>
      </c>
    </row>
    <row r="1516" spans="1:11" ht="15.75" customHeight="1">
      <c r="A1516" s="75" t="s">
        <v>30</v>
      </c>
      <c r="B1516" s="76">
        <v>96.806722689075599</v>
      </c>
      <c r="C1516" s="25">
        <v>0.66800000000000004</v>
      </c>
      <c r="D1516" s="26"/>
      <c r="E1516" s="76">
        <v>0.69500000000000006</v>
      </c>
      <c r="F1516" s="26"/>
      <c r="G1516" s="76"/>
      <c r="H1516" s="78">
        <v>25</v>
      </c>
      <c r="I1516" s="77" t="s">
        <v>12</v>
      </c>
      <c r="J1516" s="14"/>
      <c r="K1516" s="76">
        <v>7.2022194409567177</v>
      </c>
    </row>
    <row r="1517" spans="1:11" ht="15.75" customHeight="1">
      <c r="A1517" s="75" t="s">
        <v>30</v>
      </c>
      <c r="B1517" s="76">
        <v>104.62184873949541</v>
      </c>
      <c r="C1517" s="25">
        <v>0.66800000000000004</v>
      </c>
      <c r="D1517" s="26"/>
      <c r="E1517" s="76">
        <v>0.69500000000000006</v>
      </c>
      <c r="F1517" s="26"/>
      <c r="G1517" s="76"/>
      <c r="H1517" s="78">
        <v>25</v>
      </c>
      <c r="I1517" s="77" t="s">
        <v>12</v>
      </c>
      <c r="J1517" s="14"/>
      <c r="K1517" s="76">
        <v>7.3588382556978154</v>
      </c>
    </row>
    <row r="1518" spans="1:11" ht="15.75" customHeight="1">
      <c r="A1518" s="75" t="s">
        <v>30</v>
      </c>
      <c r="B1518" s="76">
        <v>109.15966386554581</v>
      </c>
      <c r="C1518" s="25">
        <v>0.66800000000000004</v>
      </c>
      <c r="D1518" s="26"/>
      <c r="E1518" s="76">
        <v>0.69500000000000006</v>
      </c>
      <c r="F1518" s="26"/>
      <c r="G1518" s="76"/>
      <c r="H1518" s="78">
        <v>25</v>
      </c>
      <c r="I1518" s="77" t="s">
        <v>12</v>
      </c>
      <c r="J1518" s="14"/>
      <c r="K1518" s="76">
        <v>7.4322846082162899</v>
      </c>
    </row>
    <row r="1519" spans="1:11" ht="15.75" customHeight="1">
      <c r="A1519" s="75" t="s">
        <v>30</v>
      </c>
      <c r="B1519" s="76">
        <v>114.70588235294099</v>
      </c>
      <c r="C1519" s="25">
        <v>0.66800000000000004</v>
      </c>
      <c r="D1519" s="26"/>
      <c r="E1519" s="76">
        <v>0.69500000000000006</v>
      </c>
      <c r="F1519" s="26"/>
      <c r="G1519" s="76"/>
      <c r="H1519" s="78">
        <v>25</v>
      </c>
      <c r="I1519" s="77" t="s">
        <v>12</v>
      </c>
      <c r="J1519" s="14"/>
      <c r="K1519" s="76">
        <v>7.5374498382220949</v>
      </c>
    </row>
    <row r="1520" spans="1:11" ht="15.75" customHeight="1">
      <c r="A1520" s="75" t="s">
        <v>30</v>
      </c>
      <c r="B1520" s="76">
        <v>129.07563025210081</v>
      </c>
      <c r="C1520" s="25">
        <v>0.66800000000000004</v>
      </c>
      <c r="D1520" s="26"/>
      <c r="E1520" s="76">
        <v>0.69500000000000006</v>
      </c>
      <c r="F1520" s="26"/>
      <c r="G1520" s="76"/>
      <c r="H1520" s="78">
        <v>25</v>
      </c>
      <c r="I1520" s="77" t="s">
        <v>12</v>
      </c>
      <c r="J1520" s="14"/>
      <c r="K1520" s="76">
        <v>7.7750045874505602</v>
      </c>
    </row>
    <row r="1521" spans="1:11" ht="15.75" customHeight="1">
      <c r="A1521" s="75" t="s">
        <v>30</v>
      </c>
      <c r="B1521" s="76">
        <v>132.85714285714261</v>
      </c>
      <c r="C1521" s="25">
        <v>0.66800000000000004</v>
      </c>
      <c r="D1521" s="26"/>
      <c r="E1521" s="76">
        <v>0.69500000000000006</v>
      </c>
      <c r="F1521" s="26"/>
      <c r="G1521" s="76"/>
      <c r="H1521" s="78">
        <v>25</v>
      </c>
      <c r="I1521" s="77" t="s">
        <v>12</v>
      </c>
      <c r="J1521" s="14"/>
      <c r="K1521" s="76">
        <v>7.8582832377220635</v>
      </c>
    </row>
    <row r="1522" spans="1:11" ht="15.75" customHeight="1">
      <c r="A1522" s="75" t="s">
        <v>30</v>
      </c>
      <c r="B1522" s="76">
        <v>14.36974789915962</v>
      </c>
      <c r="C1522" s="25">
        <v>0.66800000000000004</v>
      </c>
      <c r="D1522" s="26"/>
      <c r="E1522" s="76">
        <v>0.76400000000000001</v>
      </c>
      <c r="F1522" s="26"/>
      <c r="G1522" s="76"/>
      <c r="H1522" s="78">
        <v>25</v>
      </c>
      <c r="I1522" s="77" t="s">
        <v>12</v>
      </c>
      <c r="J1522" s="14"/>
      <c r="K1522" s="76">
        <v>4.5853847323303505</v>
      </c>
    </row>
    <row r="1523" spans="1:11" ht="15.75" customHeight="1">
      <c r="A1523" s="75" t="s">
        <v>30</v>
      </c>
      <c r="B1523" s="76">
        <v>20.924369747899139</v>
      </c>
      <c r="C1523" s="25">
        <v>0.66800000000000004</v>
      </c>
      <c r="D1523" s="26"/>
      <c r="E1523" s="76">
        <v>0.76400000000000001</v>
      </c>
      <c r="F1523" s="26"/>
      <c r="G1523" s="76"/>
      <c r="H1523" s="78">
        <v>25</v>
      </c>
      <c r="I1523" s="77" t="s">
        <v>12</v>
      </c>
      <c r="J1523" s="14"/>
      <c r="K1523" s="76">
        <v>5.0044562629623979</v>
      </c>
    </row>
    <row r="1524" spans="1:11" ht="15.75" customHeight="1">
      <c r="A1524" s="75" t="s">
        <v>30</v>
      </c>
      <c r="B1524" s="76">
        <v>30</v>
      </c>
      <c r="C1524" s="25">
        <v>0.66800000000000004</v>
      </c>
      <c r="D1524" s="26"/>
      <c r="E1524" s="76">
        <v>0.76400000000000001</v>
      </c>
      <c r="F1524" s="26"/>
      <c r="G1524" s="76"/>
      <c r="H1524" s="78">
        <v>25</v>
      </c>
      <c r="I1524" s="77" t="s">
        <v>12</v>
      </c>
      <c r="J1524" s="14"/>
      <c r="K1524" s="76">
        <v>5.4725796065565033</v>
      </c>
    </row>
    <row r="1525" spans="1:11" ht="15.75" customHeight="1">
      <c r="A1525" s="75" t="s">
        <v>30</v>
      </c>
      <c r="B1525" s="76">
        <v>42.85714285714284</v>
      </c>
      <c r="C1525" s="25">
        <v>0.66800000000000004</v>
      </c>
      <c r="D1525" s="26"/>
      <c r="E1525" s="76">
        <v>0.76400000000000001</v>
      </c>
      <c r="F1525" s="26"/>
      <c r="G1525" s="76"/>
      <c r="H1525" s="78">
        <v>25</v>
      </c>
      <c r="I1525" s="77" t="s">
        <v>12</v>
      </c>
      <c r="J1525" s="14"/>
      <c r="K1525" s="76">
        <v>5.9410362327699495</v>
      </c>
    </row>
    <row r="1526" spans="1:11" ht="15.75" customHeight="1">
      <c r="A1526" s="75" t="s">
        <v>30</v>
      </c>
      <c r="B1526" s="76">
        <v>51.428571428571416</v>
      </c>
      <c r="C1526" s="25">
        <v>0.66800000000000004</v>
      </c>
      <c r="D1526" s="26"/>
      <c r="E1526" s="76">
        <v>0.76400000000000001</v>
      </c>
      <c r="F1526" s="26"/>
      <c r="G1526" s="76"/>
      <c r="H1526" s="78">
        <v>25</v>
      </c>
      <c r="I1526" s="77" t="s">
        <v>12</v>
      </c>
      <c r="J1526" s="14"/>
      <c r="K1526" s="76">
        <v>6.2371235391120363</v>
      </c>
    </row>
    <row r="1527" spans="1:11" ht="15.75" customHeight="1">
      <c r="A1527" s="75" t="s">
        <v>30</v>
      </c>
      <c r="B1527" s="76">
        <v>61.260504201680405</v>
      </c>
      <c r="C1527" s="25">
        <v>0.66800000000000004</v>
      </c>
      <c r="D1527" s="26"/>
      <c r="E1527" s="76">
        <v>0.76400000000000001</v>
      </c>
      <c r="F1527" s="26"/>
      <c r="G1527" s="76"/>
      <c r="H1527" s="78">
        <v>25</v>
      </c>
      <c r="I1527" s="77" t="s">
        <v>12</v>
      </c>
      <c r="J1527" s="14"/>
      <c r="K1527" s="76">
        <v>6.5201121150948902</v>
      </c>
    </row>
    <row r="1528" spans="1:11" ht="15.75" customHeight="1">
      <c r="A1528" s="75" t="s">
        <v>30</v>
      </c>
      <c r="B1528" s="76">
        <v>67.0588235294112</v>
      </c>
      <c r="C1528" s="25">
        <v>0.66800000000000004</v>
      </c>
      <c r="D1528" s="26"/>
      <c r="E1528" s="76">
        <v>0.76400000000000001</v>
      </c>
      <c r="F1528" s="26"/>
      <c r="G1528" s="76"/>
      <c r="H1528" s="78">
        <v>25</v>
      </c>
      <c r="I1528" s="77" t="s">
        <v>12</v>
      </c>
      <c r="J1528" s="14"/>
      <c r="K1528" s="76">
        <v>6.6979088438307182</v>
      </c>
    </row>
    <row r="1529" spans="1:11" ht="15.75" customHeight="1">
      <c r="A1529" s="75" t="s">
        <v>30</v>
      </c>
      <c r="B1529" s="76">
        <v>78.907563025209598</v>
      </c>
      <c r="C1529" s="25">
        <v>0.66800000000000004</v>
      </c>
      <c r="D1529" s="26"/>
      <c r="E1529" s="76">
        <v>0.76400000000000001</v>
      </c>
      <c r="F1529" s="26"/>
      <c r="G1529" s="76"/>
      <c r="H1529" s="78">
        <v>25</v>
      </c>
      <c r="I1529" s="77" t="s">
        <v>12</v>
      </c>
      <c r="J1529" s="14"/>
      <c r="K1529" s="76">
        <v>6.9729975974771898</v>
      </c>
    </row>
    <row r="1530" spans="1:11" ht="15.75" customHeight="1">
      <c r="A1530" s="75" t="s">
        <v>30</v>
      </c>
      <c r="B1530" s="76">
        <v>87.731092436974194</v>
      </c>
      <c r="C1530" s="25">
        <v>0.66800000000000004</v>
      </c>
      <c r="D1530" s="26"/>
      <c r="E1530" s="76">
        <v>0.76400000000000001</v>
      </c>
      <c r="F1530" s="26"/>
      <c r="G1530" s="76"/>
      <c r="H1530" s="78">
        <v>25</v>
      </c>
      <c r="I1530" s="77" t="s">
        <v>12</v>
      </c>
      <c r="J1530" s="14"/>
      <c r="K1530" s="76">
        <v>7.1970528542187608</v>
      </c>
    </row>
    <row r="1531" spans="1:11" ht="15.75" customHeight="1">
      <c r="A1531" s="75" t="s">
        <v>30</v>
      </c>
      <c r="B1531" s="76">
        <v>97.0588235294112</v>
      </c>
      <c r="C1531" s="25">
        <v>0.66800000000000004</v>
      </c>
      <c r="D1531" s="26"/>
      <c r="E1531" s="76">
        <v>0.76400000000000001</v>
      </c>
      <c r="F1531" s="26"/>
      <c r="G1531" s="76"/>
      <c r="H1531" s="78">
        <v>25</v>
      </c>
      <c r="I1531" s="77" t="s">
        <v>12</v>
      </c>
      <c r="J1531" s="14"/>
      <c r="K1531" s="76">
        <v>7.3834829080311737</v>
      </c>
    </row>
    <row r="1532" spans="1:11" ht="15.75" customHeight="1">
      <c r="A1532" s="75" t="s">
        <v>30</v>
      </c>
      <c r="B1532" s="76">
        <v>104.62184873949541</v>
      </c>
      <c r="C1532" s="25">
        <v>0.66800000000000004</v>
      </c>
      <c r="D1532" s="26"/>
      <c r="E1532" s="76">
        <v>0.76400000000000001</v>
      </c>
      <c r="F1532" s="26"/>
      <c r="G1532" s="76"/>
      <c r="H1532" s="78">
        <v>25</v>
      </c>
      <c r="I1532" s="77" t="s">
        <v>12</v>
      </c>
      <c r="J1532" s="14"/>
      <c r="K1532" s="76">
        <v>7.5232816660236601</v>
      </c>
    </row>
    <row r="1533" spans="1:11" ht="15.75" customHeight="1">
      <c r="A1533" s="75" t="s">
        <v>30</v>
      </c>
      <c r="B1533" s="76">
        <v>109.41176470588201</v>
      </c>
      <c r="C1533" s="25">
        <v>0.66800000000000004</v>
      </c>
      <c r="D1533" s="26"/>
      <c r="E1533" s="76">
        <v>0.76400000000000001</v>
      </c>
      <c r="F1533" s="26"/>
      <c r="G1533" s="76"/>
      <c r="H1533" s="78">
        <v>25</v>
      </c>
      <c r="I1533" s="77" t="s">
        <v>12</v>
      </c>
      <c r="J1533" s="14"/>
      <c r="K1533" s="76">
        <v>7.6213615542572093</v>
      </c>
    </row>
    <row r="1534" spans="1:11" ht="15.75" customHeight="1">
      <c r="A1534" s="75" t="s">
        <v>30</v>
      </c>
      <c r="B1534" s="76">
        <v>115.2100840336134</v>
      </c>
      <c r="C1534" s="25">
        <v>0.66800000000000004</v>
      </c>
      <c r="D1534" s="26"/>
      <c r="E1534" s="76">
        <v>0.76400000000000001</v>
      </c>
      <c r="F1534" s="26"/>
      <c r="G1534" s="76"/>
      <c r="H1534" s="78">
        <v>25</v>
      </c>
      <c r="I1534" s="77" t="s">
        <v>12</v>
      </c>
      <c r="J1534" s="14"/>
      <c r="K1534" s="76">
        <v>7.7349265324466705</v>
      </c>
    </row>
    <row r="1535" spans="1:11" ht="15.75" customHeight="1">
      <c r="A1535" s="75" t="s">
        <v>30</v>
      </c>
      <c r="B1535" s="76">
        <v>144.20168067226859</v>
      </c>
      <c r="C1535" s="25">
        <v>0.66800000000000004</v>
      </c>
      <c r="D1535" s="26"/>
      <c r="E1535" s="76">
        <v>0.76400000000000001</v>
      </c>
      <c r="F1535" s="26"/>
      <c r="G1535" s="76"/>
      <c r="H1535" s="78">
        <v>25</v>
      </c>
      <c r="I1535" s="77" t="s">
        <v>12</v>
      </c>
      <c r="J1535" s="14"/>
      <c r="K1535" s="76">
        <v>8.1669255495668498</v>
      </c>
    </row>
    <row r="1536" spans="1:11" ht="15.75" customHeight="1">
      <c r="A1536" s="75" t="s">
        <v>30</v>
      </c>
      <c r="B1536" s="76">
        <v>18.907563025210081</v>
      </c>
      <c r="C1536" s="25">
        <v>0.66800000000000004</v>
      </c>
      <c r="D1536" s="26"/>
      <c r="E1536" s="76">
        <v>0.91500000000000004</v>
      </c>
      <c r="F1536" s="26"/>
      <c r="G1536" s="76"/>
      <c r="H1536" s="78">
        <v>25</v>
      </c>
      <c r="I1536" s="77" t="s">
        <v>12</v>
      </c>
      <c r="J1536" s="14"/>
      <c r="K1536" s="76">
        <v>5.0989021761516042</v>
      </c>
    </row>
    <row r="1537" spans="1:11" ht="15.75" customHeight="1">
      <c r="A1537" s="75" t="s">
        <v>30</v>
      </c>
      <c r="B1537" s="76">
        <v>27.983193277310882</v>
      </c>
      <c r="C1537" s="25">
        <v>0.66800000000000004</v>
      </c>
      <c r="D1537" s="26"/>
      <c r="E1537" s="76">
        <v>0.91500000000000004</v>
      </c>
      <c r="F1537" s="26"/>
      <c r="G1537" s="76"/>
      <c r="H1537" s="78">
        <v>25</v>
      </c>
      <c r="I1537" s="77" t="s">
        <v>12</v>
      </c>
      <c r="J1537" s="14"/>
      <c r="K1537" s="76">
        <v>5.5778472338902931</v>
      </c>
    </row>
    <row r="1538" spans="1:11" ht="15.75" customHeight="1">
      <c r="A1538" s="75" t="s">
        <v>30</v>
      </c>
      <c r="B1538" s="76">
        <v>34.537815126050397</v>
      </c>
      <c r="C1538" s="25">
        <v>0.66800000000000004</v>
      </c>
      <c r="D1538" s="26"/>
      <c r="E1538" s="76">
        <v>0.91500000000000004</v>
      </c>
      <c r="F1538" s="26"/>
      <c r="G1538" s="76"/>
      <c r="H1538" s="78">
        <v>25</v>
      </c>
      <c r="I1538" s="77" t="s">
        <v>12</v>
      </c>
      <c r="J1538" s="14"/>
      <c r="K1538" s="76">
        <v>5.9258222449602371</v>
      </c>
    </row>
    <row r="1539" spans="1:11" ht="15.75" customHeight="1">
      <c r="A1539" s="75" t="s">
        <v>30</v>
      </c>
      <c r="B1539" s="76">
        <v>41.344537815125996</v>
      </c>
      <c r="C1539" s="25">
        <v>0.66800000000000004</v>
      </c>
      <c r="D1539" s="26"/>
      <c r="E1539" s="76">
        <v>0.91500000000000004</v>
      </c>
      <c r="F1539" s="26"/>
      <c r="G1539" s="76"/>
      <c r="H1539" s="78">
        <v>25</v>
      </c>
      <c r="I1539" s="77" t="s">
        <v>12</v>
      </c>
      <c r="J1539" s="14"/>
      <c r="K1539" s="76">
        <v>6.1955414793040449</v>
      </c>
    </row>
    <row r="1540" spans="1:11" ht="15.75" customHeight="1">
      <c r="A1540" s="75" t="s">
        <v>30</v>
      </c>
      <c r="B1540" s="76">
        <v>53.193277310924344</v>
      </c>
      <c r="C1540" s="25">
        <v>0.66800000000000004</v>
      </c>
      <c r="D1540" s="26"/>
      <c r="E1540" s="76">
        <v>0.91500000000000004</v>
      </c>
      <c r="F1540" s="26"/>
      <c r="G1540" s="76"/>
      <c r="H1540" s="78">
        <v>25</v>
      </c>
      <c r="I1540" s="77" t="s">
        <v>12</v>
      </c>
      <c r="J1540" s="14"/>
      <c r="K1540" s="76">
        <v>6.613269159897591</v>
      </c>
    </row>
    <row r="1541" spans="1:11" ht="15.75" customHeight="1">
      <c r="A1541" s="75" t="s">
        <v>30</v>
      </c>
      <c r="B1541" s="76">
        <v>60.756302521008003</v>
      </c>
      <c r="C1541" s="25">
        <v>0.66800000000000004</v>
      </c>
      <c r="D1541" s="26"/>
      <c r="E1541" s="76">
        <v>0.91500000000000004</v>
      </c>
      <c r="F1541" s="26"/>
      <c r="G1541" s="76"/>
      <c r="H1541" s="78">
        <v>25</v>
      </c>
      <c r="I1541" s="77" t="s">
        <v>12</v>
      </c>
      <c r="J1541" s="14"/>
      <c r="K1541" s="76">
        <v>6.8324878410483114</v>
      </c>
    </row>
    <row r="1542" spans="1:11" ht="15.75" customHeight="1">
      <c r="A1542" s="75" t="s">
        <v>30</v>
      </c>
      <c r="B1542" s="76">
        <v>69.075630252100794</v>
      </c>
      <c r="C1542" s="25">
        <v>0.66800000000000004</v>
      </c>
      <c r="D1542" s="26"/>
      <c r="E1542" s="76">
        <v>0.91500000000000004</v>
      </c>
      <c r="F1542" s="26"/>
      <c r="G1542" s="76"/>
      <c r="H1542" s="78">
        <v>25</v>
      </c>
      <c r="I1542" s="77" t="s">
        <v>12</v>
      </c>
      <c r="J1542" s="14"/>
      <c r="K1542" s="76">
        <v>7.0600330712399195</v>
      </c>
    </row>
    <row r="1543" spans="1:11" ht="15.75" customHeight="1">
      <c r="A1543" s="75" t="s">
        <v>30</v>
      </c>
      <c r="B1543" s="76">
        <v>80.420168067226811</v>
      </c>
      <c r="C1543" s="25">
        <v>0.66800000000000004</v>
      </c>
      <c r="D1543" s="26"/>
      <c r="E1543" s="76">
        <v>0.91500000000000004</v>
      </c>
      <c r="F1543" s="26"/>
      <c r="G1543" s="76"/>
      <c r="H1543" s="78">
        <v>25</v>
      </c>
      <c r="I1543" s="77" t="s">
        <v>12</v>
      </c>
      <c r="J1543" s="14"/>
      <c r="K1543" s="76">
        <v>7.3538894725941626</v>
      </c>
    </row>
    <row r="1544" spans="1:11" ht="15.75" customHeight="1">
      <c r="A1544" s="75" t="s">
        <v>30</v>
      </c>
      <c r="B1544" s="76">
        <v>91.008403361344207</v>
      </c>
      <c r="C1544" s="25">
        <v>0.66800000000000004</v>
      </c>
      <c r="D1544" s="26"/>
      <c r="E1544" s="76">
        <v>0.91500000000000004</v>
      </c>
      <c r="F1544" s="26"/>
      <c r="G1544" s="76"/>
      <c r="H1544" s="78">
        <v>25</v>
      </c>
      <c r="I1544" s="77" t="s">
        <v>12</v>
      </c>
      <c r="J1544" s="14"/>
      <c r="K1544" s="76">
        <v>7.6167481381454847</v>
      </c>
    </row>
    <row r="1545" spans="1:11" ht="15.75" customHeight="1">
      <c r="A1545" s="75" t="s">
        <v>30</v>
      </c>
      <c r="B1545" s="76">
        <v>98.571428571428399</v>
      </c>
      <c r="C1545" s="25">
        <v>0.66800000000000004</v>
      </c>
      <c r="D1545" s="26"/>
      <c r="E1545" s="76">
        <v>0.91500000000000004</v>
      </c>
      <c r="F1545" s="26"/>
      <c r="G1545" s="76"/>
      <c r="H1545" s="78">
        <v>25</v>
      </c>
      <c r="I1545" s="77" t="s">
        <v>12</v>
      </c>
      <c r="J1545" s="14"/>
      <c r="K1545" s="76">
        <v>7.770571858674769</v>
      </c>
    </row>
    <row r="1546" spans="1:11" ht="15.75" customHeight="1">
      <c r="A1546" s="75" t="s">
        <v>30</v>
      </c>
      <c r="B1546" s="76">
        <v>104.117647058823</v>
      </c>
      <c r="C1546" s="25">
        <v>0.66800000000000004</v>
      </c>
      <c r="D1546" s="26"/>
      <c r="E1546" s="76">
        <v>0.91500000000000004</v>
      </c>
      <c r="F1546" s="26"/>
      <c r="G1546" s="76"/>
      <c r="H1546" s="78">
        <v>25</v>
      </c>
      <c r="I1546" s="77" t="s">
        <v>12</v>
      </c>
      <c r="J1546" s="14"/>
      <c r="K1546" s="76">
        <v>7.8928255860292058</v>
      </c>
    </row>
    <row r="1547" spans="1:11" ht="15.75" customHeight="1">
      <c r="A1547" s="75" t="s">
        <v>30</v>
      </c>
      <c r="B1547" s="76">
        <v>112.94117647058819</v>
      </c>
      <c r="C1547" s="25">
        <v>0.66800000000000004</v>
      </c>
      <c r="D1547" s="26"/>
      <c r="E1547" s="76">
        <v>0.91500000000000004</v>
      </c>
      <c r="F1547" s="26"/>
      <c r="G1547" s="76"/>
      <c r="H1547" s="78">
        <v>25</v>
      </c>
      <c r="I1547" s="77" t="s">
        <v>12</v>
      </c>
      <c r="J1547" s="14"/>
      <c r="K1547" s="76">
        <v>8.0239033630019776</v>
      </c>
    </row>
    <row r="1548" spans="1:11" ht="15.75" customHeight="1">
      <c r="A1548" s="75" t="s">
        <v>30</v>
      </c>
      <c r="B1548" s="76">
        <v>124.789915966386</v>
      </c>
      <c r="C1548" s="25">
        <v>0.66800000000000004</v>
      </c>
      <c r="D1548" s="26"/>
      <c r="E1548" s="76">
        <v>0.91500000000000004</v>
      </c>
      <c r="F1548" s="26"/>
      <c r="G1548" s="76"/>
      <c r="H1548" s="78">
        <v>25</v>
      </c>
      <c r="I1548" s="77" t="s">
        <v>12</v>
      </c>
      <c r="J1548" s="14"/>
      <c r="K1548" s="76">
        <v>8.2464527094407636</v>
      </c>
    </row>
    <row r="1549" spans="1:11" ht="15.75" customHeight="1">
      <c r="A1549" s="75" t="s">
        <v>30</v>
      </c>
      <c r="B1549" s="76">
        <v>142.9411764705882</v>
      </c>
      <c r="C1549" s="25">
        <v>0.66800000000000004</v>
      </c>
      <c r="D1549" s="26"/>
      <c r="E1549" s="76">
        <v>0.91500000000000004</v>
      </c>
      <c r="F1549" s="26"/>
      <c r="G1549" s="76"/>
      <c r="H1549" s="78">
        <v>25</v>
      </c>
      <c r="I1549" s="77" t="s">
        <v>12</v>
      </c>
      <c r="J1549" s="14"/>
      <c r="K1549" s="76">
        <v>8.524458966948556</v>
      </c>
    </row>
    <row r="1550" spans="1:11" ht="15.75" customHeight="1">
      <c r="A1550" s="75" t="s">
        <v>30</v>
      </c>
      <c r="B1550" s="76">
        <v>22.184873949579782</v>
      </c>
      <c r="C1550" s="25">
        <v>0.66800000000000004</v>
      </c>
      <c r="D1550" s="26"/>
      <c r="E1550" s="76">
        <v>1.04</v>
      </c>
      <c r="F1550" s="26"/>
      <c r="G1550" s="76"/>
      <c r="H1550" s="78">
        <v>25</v>
      </c>
      <c r="I1550" s="77" t="s">
        <v>12</v>
      </c>
      <c r="J1550" s="14"/>
      <c r="K1550" s="76">
        <v>5.4636228317817439</v>
      </c>
    </row>
    <row r="1551" spans="1:11" ht="15.75" customHeight="1">
      <c r="A1551" s="75" t="s">
        <v>30</v>
      </c>
      <c r="B1551" s="76">
        <v>26.722689075630239</v>
      </c>
      <c r="C1551" s="25">
        <v>0.66800000000000004</v>
      </c>
      <c r="D1551" s="26"/>
      <c r="E1551" s="76">
        <v>1.04</v>
      </c>
      <c r="F1551" s="26"/>
      <c r="G1551" s="76"/>
      <c r="H1551" s="78">
        <v>25</v>
      </c>
      <c r="I1551" s="77" t="s">
        <v>12</v>
      </c>
      <c r="J1551" s="14"/>
      <c r="K1551" s="76">
        <v>5.7932262149920151</v>
      </c>
    </row>
    <row r="1552" spans="1:11" ht="15.75" customHeight="1">
      <c r="A1552" s="75" t="s">
        <v>30</v>
      </c>
      <c r="B1552" s="76">
        <v>33.529411764705841</v>
      </c>
      <c r="C1552" s="25">
        <v>0.66800000000000004</v>
      </c>
      <c r="D1552" s="26"/>
      <c r="E1552" s="76">
        <v>1.04</v>
      </c>
      <c r="F1552" s="26"/>
      <c r="G1552" s="76"/>
      <c r="H1552" s="78">
        <v>25</v>
      </c>
      <c r="I1552" s="77" t="s">
        <v>12</v>
      </c>
      <c r="J1552" s="14"/>
      <c r="K1552" s="76">
        <v>6.0600371741428551</v>
      </c>
    </row>
    <row r="1553" spans="1:11" ht="15.75" customHeight="1">
      <c r="A1553" s="75" t="s">
        <v>30</v>
      </c>
      <c r="B1553" s="76">
        <v>42.605042016806699</v>
      </c>
      <c r="C1553" s="25">
        <v>0.66800000000000004</v>
      </c>
      <c r="D1553" s="26"/>
      <c r="E1553" s="76">
        <v>1.04</v>
      </c>
      <c r="F1553" s="26"/>
      <c r="G1553" s="76"/>
      <c r="H1553" s="78">
        <v>25</v>
      </c>
      <c r="I1553" s="77" t="s">
        <v>12</v>
      </c>
      <c r="J1553" s="14"/>
      <c r="K1553" s="76">
        <v>6.4306967446843917</v>
      </c>
    </row>
    <row r="1554" spans="1:11" ht="15.75" customHeight="1">
      <c r="A1554" s="75" t="s">
        <v>30</v>
      </c>
      <c r="B1554" s="76">
        <v>53.949579831932759</v>
      </c>
      <c r="C1554" s="25">
        <v>0.66800000000000004</v>
      </c>
      <c r="D1554" s="26"/>
      <c r="E1554" s="76">
        <v>1.04</v>
      </c>
      <c r="F1554" s="26"/>
      <c r="G1554" s="76"/>
      <c r="H1554" s="78">
        <v>25</v>
      </c>
      <c r="I1554" s="77" t="s">
        <v>12</v>
      </c>
      <c r="J1554" s="14"/>
      <c r="K1554" s="76">
        <v>6.8094632760786125</v>
      </c>
    </row>
    <row r="1555" spans="1:11" ht="15.75" customHeight="1">
      <c r="A1555" s="75" t="s">
        <v>30</v>
      </c>
      <c r="B1555" s="76">
        <v>65.798319327730809</v>
      </c>
      <c r="C1555" s="25">
        <v>0.66800000000000004</v>
      </c>
      <c r="D1555" s="26"/>
      <c r="E1555" s="76">
        <v>1.04</v>
      </c>
      <c r="F1555" s="26"/>
      <c r="G1555" s="76"/>
      <c r="H1555" s="78">
        <v>25</v>
      </c>
      <c r="I1555" s="77" t="s">
        <v>12</v>
      </c>
      <c r="J1555" s="14"/>
      <c r="K1555" s="76">
        <v>7.1970528542187608</v>
      </c>
    </row>
    <row r="1556" spans="1:11" ht="15.75" customHeight="1">
      <c r="A1556" s="75" t="s">
        <v>30</v>
      </c>
      <c r="B1556" s="76">
        <v>74.873949579831603</v>
      </c>
      <c r="C1556" s="25">
        <v>0.66800000000000004</v>
      </c>
      <c r="D1556" s="26"/>
      <c r="E1556" s="76">
        <v>1.04</v>
      </c>
      <c r="F1556" s="26"/>
      <c r="G1556" s="76"/>
      <c r="H1556" s="78">
        <v>25</v>
      </c>
      <c r="I1556" s="77" t="s">
        <v>12</v>
      </c>
      <c r="J1556" s="14"/>
      <c r="K1556" s="76">
        <v>7.4371296451870537</v>
      </c>
    </row>
    <row r="1557" spans="1:11" ht="15.75" customHeight="1">
      <c r="A1557" s="75" t="s">
        <v>30</v>
      </c>
      <c r="B1557" s="76">
        <v>95.798319327730809</v>
      </c>
      <c r="C1557" s="25">
        <v>0.66800000000000004</v>
      </c>
      <c r="D1557" s="26"/>
      <c r="E1557" s="76">
        <v>1.04</v>
      </c>
      <c r="F1557" s="26"/>
      <c r="G1557" s="76"/>
      <c r="H1557" s="78">
        <v>25</v>
      </c>
      <c r="I1557" s="77" t="s">
        <v>12</v>
      </c>
      <c r="J1557" s="14"/>
      <c r="K1557" s="76">
        <v>7.9694597533179072</v>
      </c>
    </row>
    <row r="1558" spans="1:11" ht="15.75" customHeight="1">
      <c r="A1558" s="75" t="s">
        <v>30</v>
      </c>
      <c r="B1558" s="76">
        <v>113.19327731092379</v>
      </c>
      <c r="C1558" s="25">
        <v>0.66800000000000004</v>
      </c>
      <c r="D1558" s="26"/>
      <c r="E1558" s="76">
        <v>1.04</v>
      </c>
      <c r="F1558" s="26"/>
      <c r="G1558" s="76"/>
      <c r="H1558" s="78">
        <v>25</v>
      </c>
      <c r="I1558" s="77" t="s">
        <v>12</v>
      </c>
      <c r="J1558" s="14"/>
      <c r="K1558" s="76">
        <v>8.2700141309394262</v>
      </c>
    </row>
    <row r="1559" spans="1:11" ht="15.75" customHeight="1">
      <c r="A1559" s="75" t="s">
        <v>30</v>
      </c>
      <c r="B1559" s="76">
        <v>138.90756302520958</v>
      </c>
      <c r="C1559" s="25">
        <v>0.66800000000000004</v>
      </c>
      <c r="D1559" s="26"/>
      <c r="E1559" s="76">
        <v>1.04</v>
      </c>
      <c r="F1559" s="26"/>
      <c r="G1559" s="76"/>
      <c r="H1559" s="78">
        <v>25</v>
      </c>
      <c r="I1559" s="77" t="s">
        <v>12</v>
      </c>
      <c r="J1559" s="14"/>
      <c r="K1559" s="76">
        <v>8.7084187545094522</v>
      </c>
    </row>
    <row r="1560" spans="1:11" ht="15.75" customHeight="1">
      <c r="A1560" s="75" t="s">
        <v>30</v>
      </c>
      <c r="B1560" s="77">
        <v>1080</v>
      </c>
      <c r="C1560" s="80">
        <v>1.92</v>
      </c>
      <c r="D1560" s="76"/>
      <c r="E1560" s="76"/>
      <c r="F1560" s="76"/>
      <c r="G1560" s="76"/>
      <c r="H1560" s="78">
        <v>25</v>
      </c>
      <c r="I1560" s="77" t="s">
        <v>12</v>
      </c>
      <c r="J1560" s="14"/>
      <c r="K1560" s="79">
        <v>15.888158272710715</v>
      </c>
    </row>
    <row r="1561" spans="1:11" ht="15.75" customHeight="1">
      <c r="A1561" s="75" t="s">
        <v>30</v>
      </c>
      <c r="B1561" s="77">
        <v>1440</v>
      </c>
      <c r="C1561" s="80">
        <v>1.92</v>
      </c>
      <c r="D1561" s="76"/>
      <c r="E1561" s="76"/>
      <c r="F1561" s="76"/>
      <c r="G1561" s="76"/>
      <c r="H1561" s="78">
        <v>25</v>
      </c>
      <c r="I1561" s="77" t="s">
        <v>12</v>
      </c>
      <c r="J1561" s="14"/>
      <c r="K1561" s="79">
        <v>17.060492934198503</v>
      </c>
    </row>
    <row r="1562" spans="1:11" ht="15.75" customHeight="1">
      <c r="A1562" s="75" t="s">
        <v>30</v>
      </c>
      <c r="B1562" s="77">
        <v>1980</v>
      </c>
      <c r="C1562" s="80">
        <v>1.92</v>
      </c>
      <c r="D1562" s="76"/>
      <c r="E1562" s="76"/>
      <c r="F1562" s="76"/>
      <c r="G1562" s="76"/>
      <c r="H1562" s="78">
        <v>25</v>
      </c>
      <c r="I1562" s="77" t="s">
        <v>12</v>
      </c>
      <c r="J1562" s="14"/>
      <c r="K1562" s="79">
        <v>18.283125989363327</v>
      </c>
    </row>
    <row r="1563" spans="1:11" ht="15.75" customHeight="1">
      <c r="A1563" s="75" t="s">
        <v>30</v>
      </c>
      <c r="B1563" s="77">
        <v>900</v>
      </c>
      <c r="C1563" s="80">
        <v>1.92</v>
      </c>
      <c r="D1563" s="76"/>
      <c r="E1563" s="76"/>
      <c r="F1563" s="76"/>
      <c r="G1563" s="76"/>
      <c r="H1563" s="78">
        <v>25</v>
      </c>
      <c r="I1563" s="77" t="s">
        <v>12</v>
      </c>
      <c r="J1563" s="14"/>
      <c r="K1563" s="79">
        <v>14.511326714391238</v>
      </c>
    </row>
    <row r="1564" spans="1:11" ht="15.75" customHeight="1">
      <c r="A1564" s="75" t="s">
        <v>30</v>
      </c>
      <c r="B1564" s="77">
        <v>1560</v>
      </c>
      <c r="C1564" s="80">
        <v>1.92</v>
      </c>
      <c r="D1564" s="76"/>
      <c r="E1564" s="76"/>
      <c r="F1564" s="76"/>
      <c r="G1564" s="76"/>
      <c r="H1564" s="78">
        <v>25</v>
      </c>
      <c r="I1564" s="77" t="s">
        <v>12</v>
      </c>
      <c r="J1564" s="14"/>
      <c r="K1564" s="79">
        <v>16.611322368308294</v>
      </c>
    </row>
    <row r="1565" spans="1:11" ht="15.75" customHeight="1">
      <c r="A1565" s="75" t="s">
        <v>30</v>
      </c>
      <c r="B1565" s="77">
        <v>2100</v>
      </c>
      <c r="C1565" s="80">
        <v>1.92</v>
      </c>
      <c r="D1565" s="76"/>
      <c r="E1565" s="76"/>
      <c r="F1565" s="76"/>
      <c r="G1565" s="76"/>
      <c r="H1565" s="78">
        <v>25</v>
      </c>
      <c r="I1565" s="77" t="s">
        <v>12</v>
      </c>
      <c r="J1565" s="14"/>
      <c r="K1565" s="79">
        <v>17.894004578792988</v>
      </c>
    </row>
    <row r="1566" spans="1:11" ht="15.75" customHeight="1">
      <c r="A1566" s="75" t="s">
        <v>30</v>
      </c>
      <c r="B1566" s="77">
        <v>840</v>
      </c>
      <c r="C1566" s="80">
        <v>1.92</v>
      </c>
      <c r="D1566" s="76"/>
      <c r="E1566" s="76"/>
      <c r="F1566" s="76"/>
      <c r="G1566" s="76"/>
      <c r="H1566" s="78">
        <v>25</v>
      </c>
      <c r="I1566" s="77" t="s">
        <v>12</v>
      </c>
      <c r="J1566" s="14"/>
      <c r="K1566" s="79">
        <v>13.540922215421368</v>
      </c>
    </row>
    <row r="1567" spans="1:11" ht="15.75" customHeight="1">
      <c r="A1567" s="75" t="s">
        <v>30</v>
      </c>
      <c r="B1567" s="77">
        <v>1200</v>
      </c>
      <c r="C1567" s="80">
        <v>1.92</v>
      </c>
      <c r="D1567" s="76"/>
      <c r="E1567" s="76"/>
      <c r="F1567" s="76"/>
      <c r="G1567" s="76"/>
      <c r="H1567" s="78">
        <v>25</v>
      </c>
      <c r="I1567" s="77" t="s">
        <v>12</v>
      </c>
      <c r="J1567" s="14"/>
      <c r="K1567" s="79">
        <v>15.092387974813075</v>
      </c>
    </row>
    <row r="1568" spans="1:11" ht="15.75" customHeight="1">
      <c r="A1568" s="75" t="s">
        <v>30</v>
      </c>
      <c r="B1568" s="77">
        <v>1560</v>
      </c>
      <c r="C1568" s="80">
        <v>1.92</v>
      </c>
      <c r="D1568" s="76"/>
      <c r="E1568" s="76"/>
      <c r="F1568" s="76"/>
      <c r="G1568" s="76"/>
      <c r="H1568" s="78">
        <v>25</v>
      </c>
      <c r="I1568" s="77" t="s">
        <v>12</v>
      </c>
      <c r="J1568" s="14"/>
      <c r="K1568" s="79">
        <v>16.136450850276375</v>
      </c>
    </row>
    <row r="1569" spans="1:11" ht="15.75" customHeight="1">
      <c r="A1569" s="75" t="s">
        <v>30</v>
      </c>
      <c r="B1569" s="80">
        <v>102</v>
      </c>
      <c r="C1569" s="80">
        <v>0.52</v>
      </c>
      <c r="D1569" s="80">
        <v>6.3899999999999998E-2</v>
      </c>
      <c r="E1569" s="76"/>
      <c r="F1569" s="76"/>
      <c r="G1569" s="76"/>
      <c r="H1569" s="78">
        <v>25</v>
      </c>
      <c r="I1569" s="77" t="s">
        <v>12</v>
      </c>
      <c r="J1569" s="14"/>
      <c r="K1569" s="79">
        <v>9.5775200491884984</v>
      </c>
    </row>
    <row r="1570" spans="1:11" ht="15.75" customHeight="1">
      <c r="A1570" s="75" t="s">
        <v>30</v>
      </c>
      <c r="B1570" s="80">
        <v>186</v>
      </c>
      <c r="C1570" s="80">
        <v>0.52</v>
      </c>
      <c r="D1570" s="80">
        <v>6.3899999999999998E-2</v>
      </c>
      <c r="E1570" s="76"/>
      <c r="F1570" s="76"/>
      <c r="G1570" s="76"/>
      <c r="H1570" s="78">
        <v>25</v>
      </c>
      <c r="I1570" s="77" t="s">
        <v>12</v>
      </c>
      <c r="J1570" s="14"/>
      <c r="K1570" s="79">
        <v>9.9126670211312771</v>
      </c>
    </row>
    <row r="1571" spans="1:11" ht="15.75" customHeight="1">
      <c r="A1571" s="75" t="s">
        <v>30</v>
      </c>
      <c r="B1571" s="80">
        <v>216</v>
      </c>
      <c r="C1571" s="80">
        <v>0.52</v>
      </c>
      <c r="D1571" s="80">
        <v>6.3899999999999998E-2</v>
      </c>
      <c r="E1571" s="76"/>
      <c r="F1571" s="76"/>
      <c r="G1571" s="76"/>
      <c r="H1571" s="78">
        <v>25</v>
      </c>
      <c r="I1571" s="77" t="s">
        <v>12</v>
      </c>
      <c r="J1571" s="14"/>
      <c r="K1571" s="79">
        <v>10.165327048428615</v>
      </c>
    </row>
    <row r="1572" spans="1:11" ht="15.75" customHeight="1">
      <c r="A1572" s="75" t="s">
        <v>30</v>
      </c>
      <c r="B1572" s="80">
        <v>162</v>
      </c>
      <c r="C1572" s="80">
        <v>0.52</v>
      </c>
      <c r="D1572" s="80">
        <v>6.4700000000000008E-2</v>
      </c>
      <c r="E1572" s="76"/>
      <c r="F1572" s="76"/>
      <c r="G1572" s="76"/>
      <c r="H1572" s="78">
        <v>25</v>
      </c>
      <c r="I1572" s="77" t="s">
        <v>12</v>
      </c>
      <c r="J1572" s="14"/>
      <c r="K1572" s="79">
        <v>7.9187793499305483</v>
      </c>
    </row>
    <row r="1573" spans="1:11" ht="15.75" customHeight="1">
      <c r="A1573" s="75" t="s">
        <v>30</v>
      </c>
      <c r="B1573" s="80">
        <v>204</v>
      </c>
      <c r="C1573" s="80">
        <v>0.52</v>
      </c>
      <c r="D1573" s="80">
        <v>6.4700000000000008E-2</v>
      </c>
      <c r="E1573" s="76"/>
      <c r="F1573" s="76"/>
      <c r="G1573" s="76"/>
      <c r="H1573" s="78">
        <v>25</v>
      </c>
      <c r="I1573" s="77" t="s">
        <v>12</v>
      </c>
      <c r="J1573" s="14"/>
      <c r="K1573" s="79">
        <v>8.3056611841541468</v>
      </c>
    </row>
    <row r="1574" spans="1:11" ht="15.75" customHeight="1">
      <c r="A1574" s="75" t="s">
        <v>30</v>
      </c>
      <c r="B1574" s="80">
        <v>306</v>
      </c>
      <c r="C1574" s="80">
        <v>0.64600000000000002</v>
      </c>
      <c r="D1574" s="80">
        <v>6.4500000000000002E-2</v>
      </c>
      <c r="E1574" s="76"/>
      <c r="F1574" s="76"/>
      <c r="G1574" s="76"/>
      <c r="H1574" s="78">
        <v>25</v>
      </c>
      <c r="I1574" s="77" t="s">
        <v>12</v>
      </c>
      <c r="J1574" s="14"/>
      <c r="K1574" s="79">
        <v>10.226565435490876</v>
      </c>
    </row>
    <row r="1575" spans="1:11" ht="15.75" customHeight="1">
      <c r="A1575" s="75" t="s">
        <v>30</v>
      </c>
      <c r="B1575" s="80">
        <v>426</v>
      </c>
      <c r="C1575" s="80">
        <v>0.64600000000000002</v>
      </c>
      <c r="D1575" s="80">
        <v>6.4500000000000002E-2</v>
      </c>
      <c r="E1575" s="76"/>
      <c r="F1575" s="76"/>
      <c r="G1575" s="76"/>
      <c r="H1575" s="78">
        <v>25</v>
      </c>
      <c r="I1575" s="77" t="s">
        <v>12</v>
      </c>
      <c r="J1575" s="14"/>
      <c r="K1575" s="79">
        <v>10.856555581472675</v>
      </c>
    </row>
    <row r="1576" spans="1:11" ht="15.75" customHeight="1">
      <c r="A1576" s="75" t="s">
        <v>30</v>
      </c>
      <c r="B1576" s="80">
        <v>1920</v>
      </c>
      <c r="C1576" s="80">
        <v>1.9500000000000002</v>
      </c>
      <c r="D1576" s="80">
        <v>6.3899999999999998E-2</v>
      </c>
      <c r="E1576" s="76"/>
      <c r="F1576" s="76"/>
      <c r="G1576" s="76"/>
      <c r="H1576" s="78">
        <v>25</v>
      </c>
      <c r="I1576" s="77" t="s">
        <v>12</v>
      </c>
      <c r="J1576" s="14"/>
      <c r="K1576" s="79">
        <v>20.483521897658868</v>
      </c>
    </row>
    <row r="1577" spans="1:11" ht="15.75" customHeight="1">
      <c r="A1577" s="75" t="s">
        <v>30</v>
      </c>
      <c r="B1577" s="80">
        <v>2520</v>
      </c>
      <c r="C1577" s="80">
        <v>1.9500000000000002</v>
      </c>
      <c r="D1577" s="80">
        <v>6.3899999999999998E-2</v>
      </c>
      <c r="E1577" s="76"/>
      <c r="F1577" s="76"/>
      <c r="G1577" s="76"/>
      <c r="H1577" s="78">
        <v>25</v>
      </c>
      <c r="I1577" s="77" t="s">
        <v>12</v>
      </c>
      <c r="J1577" s="14"/>
      <c r="K1577" s="79">
        <v>21.215688358941101</v>
      </c>
    </row>
    <row r="1578" spans="1:11" ht="15.75" customHeight="1">
      <c r="A1578" s="75" t="s">
        <v>30</v>
      </c>
      <c r="B1578" s="80">
        <v>3420</v>
      </c>
      <c r="C1578" s="80">
        <v>1.9500000000000002</v>
      </c>
      <c r="D1578" s="80">
        <v>6.3899999999999998E-2</v>
      </c>
      <c r="E1578" s="76"/>
      <c r="F1578" s="76"/>
      <c r="G1578" s="76"/>
      <c r="H1578" s="78">
        <v>25</v>
      </c>
      <c r="I1578" s="77" t="s">
        <v>12</v>
      </c>
      <c r="J1578" s="14"/>
      <c r="K1578" s="79">
        <v>22.29169661382436</v>
      </c>
    </row>
    <row r="1579" spans="1:11" ht="15.75" customHeight="1">
      <c r="A1579" s="75" t="s">
        <v>30</v>
      </c>
      <c r="B1579" s="80">
        <v>1740</v>
      </c>
      <c r="C1579" s="80">
        <v>1.9500000000000002</v>
      </c>
      <c r="D1579" s="77">
        <v>6.4000000000000001E-2</v>
      </c>
      <c r="E1579" s="76"/>
      <c r="F1579" s="76"/>
      <c r="G1579" s="76"/>
      <c r="H1579" s="78">
        <v>25</v>
      </c>
      <c r="I1579" s="77" t="s">
        <v>12</v>
      </c>
      <c r="J1579" s="14"/>
      <c r="K1579" s="79">
        <v>19.529389246757511</v>
      </c>
    </row>
    <row r="1580" spans="1:11" ht="15.75" customHeight="1">
      <c r="A1580" s="75" t="s">
        <v>30</v>
      </c>
      <c r="B1580" s="80">
        <v>2100</v>
      </c>
      <c r="C1580" s="80">
        <v>1.9500000000000002</v>
      </c>
      <c r="D1580" s="77">
        <v>6.4000000000000001E-2</v>
      </c>
      <c r="E1580" s="76"/>
      <c r="F1580" s="76"/>
      <c r="G1580" s="76"/>
      <c r="H1580" s="78">
        <v>25</v>
      </c>
      <c r="I1580" s="77" t="s">
        <v>12</v>
      </c>
      <c r="J1580" s="14"/>
      <c r="K1580" s="79">
        <v>19.857675590690977</v>
      </c>
    </row>
    <row r="1581" spans="1:11" ht="15.75" customHeight="1">
      <c r="A1581" s="75" t="s">
        <v>30</v>
      </c>
      <c r="B1581" s="80">
        <v>2760</v>
      </c>
      <c r="C1581" s="80">
        <v>1.9500000000000002</v>
      </c>
      <c r="D1581" s="77">
        <v>6.4000000000000001E-2</v>
      </c>
      <c r="E1581" s="76"/>
      <c r="F1581" s="76"/>
      <c r="G1581" s="76"/>
      <c r="H1581" s="78">
        <v>25</v>
      </c>
      <c r="I1581" s="77" t="s">
        <v>12</v>
      </c>
      <c r="J1581" s="14"/>
      <c r="K1581" s="79">
        <v>20.634141438447575</v>
      </c>
    </row>
    <row r="1582" spans="1:11" ht="15.75" customHeight="1">
      <c r="A1582" s="75" t="s">
        <v>30</v>
      </c>
      <c r="B1582" s="80">
        <v>2280</v>
      </c>
      <c r="C1582" s="80">
        <v>1.9500000000000002</v>
      </c>
      <c r="D1582" s="77">
        <v>6.4100000000000004E-2</v>
      </c>
      <c r="E1582" s="76"/>
      <c r="F1582" s="76"/>
      <c r="G1582" s="76"/>
      <c r="H1582" s="78">
        <v>25</v>
      </c>
      <c r="I1582" s="77" t="s">
        <v>12</v>
      </c>
      <c r="J1582" s="14"/>
      <c r="K1582" s="79">
        <v>19.529389246757511</v>
      </c>
    </row>
    <row r="1583" spans="1:11" ht="15.75" customHeight="1">
      <c r="A1583" s="75" t="s">
        <v>30</v>
      </c>
      <c r="B1583" s="80">
        <v>2820</v>
      </c>
      <c r="C1583" s="80">
        <v>1.9500000000000002</v>
      </c>
      <c r="D1583" s="77">
        <v>6.4100000000000004E-2</v>
      </c>
      <c r="E1583" s="76"/>
      <c r="F1583" s="76"/>
      <c r="G1583" s="76"/>
      <c r="H1583" s="78">
        <v>25</v>
      </c>
      <c r="I1583" s="77" t="s">
        <v>12</v>
      </c>
      <c r="J1583" s="14"/>
      <c r="K1583" s="79">
        <v>20.175452211500982</v>
      </c>
    </row>
    <row r="1584" spans="1:11" ht="15.75" customHeight="1">
      <c r="A1584" s="75" t="s">
        <v>30</v>
      </c>
      <c r="B1584" s="80">
        <v>3360</v>
      </c>
      <c r="C1584" s="80">
        <v>1.9500000000000002</v>
      </c>
      <c r="D1584" s="77">
        <v>6.4100000000000004E-2</v>
      </c>
      <c r="E1584" s="76"/>
      <c r="F1584" s="76"/>
      <c r="G1584" s="76"/>
      <c r="H1584" s="78">
        <v>25</v>
      </c>
      <c r="I1584" s="77" t="s">
        <v>12</v>
      </c>
      <c r="J1584" s="14"/>
      <c r="K1584" s="79">
        <v>20.782593603257151</v>
      </c>
    </row>
    <row r="1585" spans="1:11" ht="15.75" customHeight="1">
      <c r="A1585" s="75" t="s">
        <v>30</v>
      </c>
      <c r="B1585" s="77">
        <v>750</v>
      </c>
      <c r="C1585" s="77">
        <v>1.95</v>
      </c>
      <c r="D1585" s="76"/>
      <c r="E1585" s="77">
        <v>0.48</v>
      </c>
      <c r="F1585" s="76"/>
      <c r="G1585" s="76"/>
      <c r="H1585" s="78">
        <v>25</v>
      </c>
      <c r="I1585" s="77" t="s">
        <v>12</v>
      </c>
      <c r="J1585" s="14"/>
      <c r="K1585" s="14">
        <v>12.5</v>
      </c>
    </row>
    <row r="1586" spans="1:11" ht="15.75" customHeight="1">
      <c r="A1586" s="75" t="s">
        <v>30</v>
      </c>
      <c r="B1586" s="80">
        <v>607.800650054166</v>
      </c>
      <c r="C1586" s="77">
        <v>1.49</v>
      </c>
      <c r="D1586" s="26"/>
      <c r="E1586" s="77">
        <v>0.73499999999999999</v>
      </c>
      <c r="F1586" s="76"/>
      <c r="G1586" s="76"/>
      <c r="H1586" s="78">
        <v>25</v>
      </c>
      <c r="I1586" s="77" t="s">
        <v>31</v>
      </c>
      <c r="J1586" s="14"/>
      <c r="K1586" s="79">
        <v>12.78682771026039</v>
      </c>
    </row>
    <row r="1587" spans="1:11" ht="15.75" customHeight="1">
      <c r="A1587" s="75" t="s">
        <v>30</v>
      </c>
      <c r="B1587" s="80">
        <v>731.31094257854409</v>
      </c>
      <c r="C1587" s="77">
        <v>1.49</v>
      </c>
      <c r="D1587" s="76"/>
      <c r="E1587" s="77">
        <v>0.73499999999999999</v>
      </c>
      <c r="F1587" s="76"/>
      <c r="G1587" s="76"/>
      <c r="H1587" s="78">
        <v>25</v>
      </c>
      <c r="I1587" s="77" t="s">
        <v>31</v>
      </c>
      <c r="J1587" s="14"/>
      <c r="K1587" s="79">
        <v>13.362530384048663</v>
      </c>
    </row>
    <row r="1588" spans="1:11" ht="15.75" customHeight="1">
      <c r="A1588" s="75" t="s">
        <v>30</v>
      </c>
      <c r="B1588" s="80">
        <v>782.66522210183996</v>
      </c>
      <c r="C1588" s="77">
        <v>1.49</v>
      </c>
      <c r="D1588" s="76"/>
      <c r="E1588" s="77">
        <v>0.73499999999999999</v>
      </c>
      <c r="F1588" s="76"/>
      <c r="G1588" s="76"/>
      <c r="H1588" s="78">
        <v>25</v>
      </c>
      <c r="I1588" s="77" t="s">
        <v>31</v>
      </c>
      <c r="J1588" s="14"/>
      <c r="K1588" s="79">
        <v>13.58488655705343</v>
      </c>
    </row>
    <row r="1589" spans="1:11" ht="15.75" customHeight="1">
      <c r="A1589" s="75" t="s">
        <v>30</v>
      </c>
      <c r="B1589" s="80">
        <v>847.67063921993406</v>
      </c>
      <c r="C1589" s="77">
        <v>1.49</v>
      </c>
      <c r="D1589" s="76"/>
      <c r="E1589" s="77">
        <v>0.73499999999999999</v>
      </c>
      <c r="F1589" s="76"/>
      <c r="G1589" s="76"/>
      <c r="H1589" s="78">
        <v>25</v>
      </c>
      <c r="I1589" s="77" t="s">
        <v>31</v>
      </c>
      <c r="J1589" s="14"/>
      <c r="K1589" s="79">
        <v>13.823382670152309</v>
      </c>
    </row>
    <row r="1590" spans="1:11" ht="15.75" customHeight="1">
      <c r="A1590" s="75" t="s">
        <v>30</v>
      </c>
      <c r="B1590" s="80">
        <v>881.47345612133995</v>
      </c>
      <c r="C1590" s="77">
        <v>1.49</v>
      </c>
      <c r="D1590" s="76"/>
      <c r="E1590" s="77">
        <v>0.73499999999999999</v>
      </c>
      <c r="F1590" s="76"/>
      <c r="G1590" s="76"/>
      <c r="H1590" s="78">
        <v>25</v>
      </c>
      <c r="I1590" s="77" t="s">
        <v>31</v>
      </c>
      <c r="J1590" s="14"/>
      <c r="K1590" s="79">
        <v>13.952399764893507</v>
      </c>
    </row>
    <row r="1591" spans="1:11" ht="15.75" customHeight="1">
      <c r="A1591" s="75" t="s">
        <v>30</v>
      </c>
      <c r="B1591" s="80">
        <v>926.97724810400393</v>
      </c>
      <c r="C1591" s="77">
        <v>1.49</v>
      </c>
      <c r="D1591" s="76"/>
      <c r="E1591" s="77">
        <v>0.73499999999999999</v>
      </c>
      <c r="F1591" s="76"/>
      <c r="G1591" s="76"/>
      <c r="H1591" s="78">
        <v>25</v>
      </c>
      <c r="I1591" s="77" t="s">
        <v>31</v>
      </c>
      <c r="J1591" s="14"/>
      <c r="K1591" s="79">
        <v>14.112471447525515</v>
      </c>
    </row>
    <row r="1592" spans="1:11" ht="15.75" customHeight="1">
      <c r="A1592" s="75" t="s">
        <v>30</v>
      </c>
      <c r="B1592" s="80">
        <v>980.93174431202397</v>
      </c>
      <c r="C1592" s="77">
        <v>1.49</v>
      </c>
      <c r="D1592" s="76"/>
      <c r="E1592" s="77">
        <v>0.73499999999999999</v>
      </c>
      <c r="F1592" s="76"/>
      <c r="G1592" s="76"/>
      <c r="H1592" s="78">
        <v>25</v>
      </c>
      <c r="I1592" s="77" t="s">
        <v>31</v>
      </c>
      <c r="J1592" s="14"/>
      <c r="K1592" s="79">
        <v>14.285269197643052</v>
      </c>
    </row>
    <row r="1593" spans="1:11" ht="15.75" customHeight="1">
      <c r="A1593" s="75" t="s">
        <v>30</v>
      </c>
      <c r="B1593" s="80">
        <v>1053.0877573131061</v>
      </c>
      <c r="C1593" s="77">
        <v>1.49</v>
      </c>
      <c r="D1593" s="76"/>
      <c r="E1593" s="77">
        <v>0.73499999999999999</v>
      </c>
      <c r="F1593" s="76"/>
      <c r="G1593" s="76"/>
      <c r="H1593" s="78">
        <v>25</v>
      </c>
      <c r="I1593" s="77" t="s">
        <v>31</v>
      </c>
      <c r="J1593" s="14"/>
      <c r="K1593" s="79">
        <v>14.527720743781119</v>
      </c>
    </row>
    <row r="1594" spans="1:11" ht="15.75" customHeight="1">
      <c r="A1594" s="75" t="s">
        <v>30</v>
      </c>
      <c r="B1594" s="80">
        <v>631.20260021668207</v>
      </c>
      <c r="C1594" s="77">
        <v>1.49</v>
      </c>
      <c r="D1594" s="76"/>
      <c r="E1594" s="77">
        <v>0.73499999999999999</v>
      </c>
      <c r="F1594" s="76"/>
      <c r="G1594" s="76"/>
      <c r="H1594" s="78">
        <v>25</v>
      </c>
      <c r="I1594" s="77" t="s">
        <v>12</v>
      </c>
      <c r="J1594" s="14"/>
      <c r="K1594" s="79">
        <v>12.993169481951371</v>
      </c>
    </row>
    <row r="1595" spans="1:11" ht="15.75" customHeight="1">
      <c r="A1595" s="75" t="s">
        <v>30</v>
      </c>
      <c r="B1595" s="80">
        <v>866.52221018418004</v>
      </c>
      <c r="C1595" s="77">
        <v>1.49</v>
      </c>
      <c r="D1595" s="76"/>
      <c r="E1595" s="77">
        <v>0.73499999999999999</v>
      </c>
      <c r="F1595" s="76"/>
      <c r="G1595" s="76"/>
      <c r="H1595" s="78">
        <v>25</v>
      </c>
      <c r="I1595" s="77" t="s">
        <v>12</v>
      </c>
      <c r="J1595" s="14"/>
      <c r="K1595" s="79">
        <v>13.989230474764293</v>
      </c>
    </row>
    <row r="1596" spans="1:11" ht="15.75" customHeight="1">
      <c r="A1596" s="75" t="s">
        <v>30</v>
      </c>
      <c r="B1596" s="80">
        <v>911.37594799566591</v>
      </c>
      <c r="C1596" s="77">
        <v>1.49</v>
      </c>
      <c r="D1596" s="76"/>
      <c r="E1596" s="77">
        <v>0.73499999999999999</v>
      </c>
      <c r="F1596" s="76"/>
      <c r="G1596" s="76"/>
      <c r="H1596" s="78">
        <v>25</v>
      </c>
      <c r="I1596" s="77" t="s">
        <v>12</v>
      </c>
      <c r="J1596" s="14"/>
      <c r="K1596" s="79">
        <v>14.153997275942151</v>
      </c>
    </row>
    <row r="1597" spans="1:11" ht="15.75" customHeight="1">
      <c r="A1597" s="75" t="s">
        <v>30</v>
      </c>
      <c r="B1597" s="80">
        <v>952.32936078006003</v>
      </c>
      <c r="C1597" s="77">
        <v>1.49</v>
      </c>
      <c r="D1597" s="76"/>
      <c r="E1597" s="77">
        <v>0.73499999999999999</v>
      </c>
      <c r="F1597" s="76"/>
      <c r="G1597" s="76"/>
      <c r="H1597" s="78">
        <v>25</v>
      </c>
      <c r="I1597" s="77" t="s">
        <v>12</v>
      </c>
      <c r="J1597" s="14"/>
      <c r="K1597" s="79">
        <v>14.293393908166221</v>
      </c>
    </row>
    <row r="1598" spans="1:11" ht="15.75" customHeight="1">
      <c r="A1598" s="75" t="s">
        <v>30</v>
      </c>
      <c r="B1598" s="80">
        <v>1004.983748645718</v>
      </c>
      <c r="C1598" s="77">
        <v>1.49</v>
      </c>
      <c r="D1598" s="76"/>
      <c r="E1598" s="77">
        <v>0.73499999999999999</v>
      </c>
      <c r="F1598" s="76"/>
      <c r="G1598" s="76"/>
      <c r="H1598" s="78">
        <v>25</v>
      </c>
      <c r="I1598" s="77" t="s">
        <v>12</v>
      </c>
      <c r="J1598" s="14"/>
      <c r="K1598" s="79">
        <v>14.461921025149065</v>
      </c>
    </row>
    <row r="1599" spans="1:11" ht="15.75" customHeight="1">
      <c r="A1599" s="75" t="s">
        <v>30</v>
      </c>
      <c r="B1599" s="80">
        <v>1077.7898158179839</v>
      </c>
      <c r="C1599" s="77">
        <v>1.49</v>
      </c>
      <c r="D1599" s="76"/>
      <c r="E1599" s="77">
        <v>0.73499999999999999</v>
      </c>
      <c r="F1599" s="76"/>
      <c r="G1599" s="76"/>
      <c r="H1599" s="78">
        <v>25</v>
      </c>
      <c r="I1599" s="77" t="s">
        <v>12</v>
      </c>
      <c r="J1599" s="14"/>
      <c r="K1599" s="79">
        <v>14.693507129378458</v>
      </c>
    </row>
    <row r="1600" spans="1:11" ht="15.75" customHeight="1">
      <c r="A1600" s="75" t="s">
        <v>30</v>
      </c>
      <c r="B1600" s="80">
        <v>1175.9479956662999</v>
      </c>
      <c r="C1600" s="77">
        <v>1.49</v>
      </c>
      <c r="D1600" s="76"/>
      <c r="E1600" s="77">
        <v>0.73499999999999999</v>
      </c>
      <c r="F1600" s="76"/>
      <c r="G1600" s="76"/>
      <c r="H1600" s="78">
        <v>25</v>
      </c>
      <c r="I1600" s="77" t="s">
        <v>12</v>
      </c>
      <c r="J1600" s="14"/>
      <c r="K1600" s="79">
        <v>14.974947005330623</v>
      </c>
    </row>
    <row r="1601" spans="1:11" ht="15.75" customHeight="1">
      <c r="A1601" s="77" t="s">
        <v>32</v>
      </c>
      <c r="B1601" s="78">
        <v>328.74728457639299</v>
      </c>
      <c r="C1601" s="77">
        <v>2</v>
      </c>
      <c r="D1601" s="77">
        <v>7.1999999999999995E-2</v>
      </c>
      <c r="E1601" s="76"/>
      <c r="F1601" s="76"/>
      <c r="G1601" s="76"/>
      <c r="H1601" s="78">
        <v>25</v>
      </c>
      <c r="I1601" s="77" t="s">
        <v>12</v>
      </c>
      <c r="J1601" s="14"/>
      <c r="K1601" s="26">
        <v>6.5618357489800374</v>
      </c>
    </row>
    <row r="1602" spans="1:11" ht="15.75" customHeight="1">
      <c r="A1602" s="77" t="s">
        <v>32</v>
      </c>
      <c r="B1602" s="78">
        <v>330.19551049963701</v>
      </c>
      <c r="C1602" s="77">
        <v>2</v>
      </c>
      <c r="D1602" s="77">
        <v>7.1999999999999995E-2</v>
      </c>
      <c r="E1602" s="76"/>
      <c r="F1602" s="76"/>
      <c r="G1602" s="76"/>
      <c r="H1602" s="78">
        <v>25</v>
      </c>
      <c r="I1602" s="77" t="s">
        <v>12</v>
      </c>
      <c r="J1602" s="14"/>
      <c r="K1602" s="26">
        <v>6.6516048439720805</v>
      </c>
    </row>
    <row r="1603" spans="1:11" ht="15.75" customHeight="1">
      <c r="A1603" s="77" t="s">
        <v>32</v>
      </c>
      <c r="B1603" s="78">
        <v>330.19551049963701</v>
      </c>
      <c r="C1603" s="77">
        <v>2</v>
      </c>
      <c r="D1603" s="77">
        <v>7.1999999999999995E-2</v>
      </c>
      <c r="E1603" s="76"/>
      <c r="F1603" s="76"/>
      <c r="G1603" s="76"/>
      <c r="H1603" s="78">
        <v>25</v>
      </c>
      <c r="I1603" s="77" t="s">
        <v>12</v>
      </c>
      <c r="J1603" s="14"/>
      <c r="K1603" s="26">
        <v>6.7298661982974775</v>
      </c>
    </row>
    <row r="1604" spans="1:11" ht="15.75" customHeight="1">
      <c r="A1604" s="77" t="s">
        <v>32</v>
      </c>
      <c r="B1604" s="78">
        <v>283.85228095582897</v>
      </c>
      <c r="C1604" s="77">
        <v>2</v>
      </c>
      <c r="D1604" s="77">
        <v>7.1999999999999995E-2</v>
      </c>
      <c r="E1604" s="76"/>
      <c r="F1604" s="76"/>
      <c r="G1604" s="76"/>
      <c r="H1604" s="78">
        <v>25</v>
      </c>
      <c r="I1604" s="77" t="s">
        <v>12</v>
      </c>
      <c r="J1604" s="14"/>
      <c r="K1604" s="26">
        <v>6.3246065821704001</v>
      </c>
    </row>
    <row r="1605" spans="1:11" ht="15.75" customHeight="1">
      <c r="A1605" s="77" t="s">
        <v>32</v>
      </c>
      <c r="B1605" s="78">
        <v>283.85228095582897</v>
      </c>
      <c r="C1605" s="77">
        <v>2</v>
      </c>
      <c r="D1605" s="77">
        <v>7.1999999999999995E-2</v>
      </c>
      <c r="E1605" s="76"/>
      <c r="F1605" s="76"/>
      <c r="G1605" s="76"/>
      <c r="H1605" s="78">
        <v>25</v>
      </c>
      <c r="I1605" s="77" t="s">
        <v>12</v>
      </c>
      <c r="J1605" s="14"/>
      <c r="K1605" s="26">
        <v>6.3990205451622835</v>
      </c>
    </row>
    <row r="1606" spans="1:11" ht="15.75" customHeight="1">
      <c r="A1606" s="77" t="s">
        <v>32</v>
      </c>
      <c r="B1606" s="78">
        <v>282.40405503258501</v>
      </c>
      <c r="C1606" s="77">
        <v>2</v>
      </c>
      <c r="D1606" s="77">
        <v>7.1999999999999995E-2</v>
      </c>
      <c r="E1606" s="76"/>
      <c r="F1606" s="76"/>
      <c r="G1606" s="76"/>
      <c r="H1606" s="78">
        <v>25</v>
      </c>
      <c r="I1606" s="77" t="s">
        <v>12</v>
      </c>
      <c r="J1606" s="14"/>
      <c r="K1606" s="26">
        <v>6.460717776303718</v>
      </c>
    </row>
    <row r="1607" spans="1:11" ht="15.75" customHeight="1">
      <c r="A1607" s="77" t="s">
        <v>32</v>
      </c>
      <c r="B1607" s="78">
        <v>236.060825488776</v>
      </c>
      <c r="C1607" s="77">
        <v>2</v>
      </c>
      <c r="D1607" s="77">
        <v>7.1999999999999995E-2</v>
      </c>
      <c r="E1607" s="76"/>
      <c r="F1607" s="76"/>
      <c r="G1607" s="76"/>
      <c r="H1607" s="78">
        <v>25</v>
      </c>
      <c r="I1607" s="77" t="s">
        <v>12</v>
      </c>
      <c r="J1607" s="14"/>
      <c r="K1607" s="26">
        <v>6.1528819236399599</v>
      </c>
    </row>
    <row r="1608" spans="1:11" ht="15.75" customHeight="1">
      <c r="A1608" s="77" t="s">
        <v>32</v>
      </c>
      <c r="B1608" s="78">
        <v>237.50905141202</v>
      </c>
      <c r="C1608" s="77">
        <v>2</v>
      </c>
      <c r="D1608" s="77">
        <v>7.1999999999999995E-2</v>
      </c>
      <c r="E1608" s="76"/>
      <c r="F1608" s="76"/>
      <c r="G1608" s="76"/>
      <c r="H1608" s="78">
        <v>25</v>
      </c>
      <c r="I1608" s="77" t="s">
        <v>12</v>
      </c>
      <c r="J1608" s="14"/>
      <c r="K1608" s="26">
        <v>6.2310335586508749</v>
      </c>
    </row>
    <row r="1609" spans="1:11" ht="15.75" customHeight="1">
      <c r="A1609" s="77" t="s">
        <v>32</v>
      </c>
      <c r="B1609" s="78">
        <v>238.957277335264</v>
      </c>
      <c r="C1609" s="77">
        <v>2</v>
      </c>
      <c r="D1609" s="77">
        <v>7.1999999999999995E-2</v>
      </c>
      <c r="E1609" s="76"/>
      <c r="F1609" s="76"/>
      <c r="G1609" s="76"/>
      <c r="H1609" s="78">
        <v>25</v>
      </c>
      <c r="I1609" s="77" t="s">
        <v>12</v>
      </c>
      <c r="J1609" s="14"/>
      <c r="K1609" s="26">
        <v>6.3080449033508907</v>
      </c>
    </row>
    <row r="1610" spans="1:11" ht="15.75" customHeight="1">
      <c r="A1610" s="77" t="s">
        <v>32</v>
      </c>
      <c r="B1610" s="78">
        <v>188.26937002172301</v>
      </c>
      <c r="C1610" s="77">
        <v>2</v>
      </c>
      <c r="D1610" s="77">
        <v>7.1999999999999995E-2</v>
      </c>
      <c r="E1610" s="76"/>
      <c r="F1610" s="76"/>
      <c r="G1610" s="76"/>
      <c r="H1610" s="78">
        <v>25</v>
      </c>
      <c r="I1610" s="77" t="s">
        <v>12</v>
      </c>
      <c r="J1610" s="14"/>
      <c r="K1610" s="26">
        <v>5.8844097253115137</v>
      </c>
    </row>
    <row r="1611" spans="1:11" ht="15.75" customHeight="1">
      <c r="A1611" s="77" t="s">
        <v>32</v>
      </c>
      <c r="B1611" s="78">
        <v>186.82114409847901</v>
      </c>
      <c r="C1611" s="77">
        <v>2</v>
      </c>
      <c r="D1611" s="77">
        <v>7.1999999999999995E-2</v>
      </c>
      <c r="E1611" s="76"/>
      <c r="F1611" s="76"/>
      <c r="G1611" s="76"/>
      <c r="H1611" s="78">
        <v>25</v>
      </c>
      <c r="I1611" s="77" t="s">
        <v>12</v>
      </c>
      <c r="J1611" s="14"/>
      <c r="K1611" s="26">
        <v>5.8111671148282751</v>
      </c>
    </row>
    <row r="1612" spans="1:11" ht="15.75" customHeight="1">
      <c r="A1612" s="77" t="s">
        <v>32</v>
      </c>
      <c r="B1612" s="78">
        <v>141.926140477914</v>
      </c>
      <c r="C1612" s="77">
        <v>2</v>
      </c>
      <c r="D1612" s="77">
        <v>7.1999999999999995E-2</v>
      </c>
      <c r="E1612" s="76"/>
      <c r="F1612" s="76"/>
      <c r="G1612" s="76"/>
      <c r="H1612" s="78">
        <v>25</v>
      </c>
      <c r="I1612" s="77" t="s">
        <v>12</v>
      </c>
      <c r="J1612" s="14"/>
      <c r="K1612" s="26">
        <v>5.4074625638522429</v>
      </c>
    </row>
    <row r="1613" spans="1:11" ht="15.75" customHeight="1">
      <c r="A1613" s="77" t="s">
        <v>32</v>
      </c>
      <c r="B1613" s="78">
        <v>143.374366401158</v>
      </c>
      <c r="C1613" s="77">
        <v>2</v>
      </c>
      <c r="D1613" s="77">
        <v>7.1999999999999995E-2</v>
      </c>
      <c r="E1613" s="76"/>
      <c r="F1613" s="76"/>
      <c r="G1613" s="76"/>
      <c r="H1613" s="78">
        <v>25</v>
      </c>
      <c r="I1613" s="77" t="s">
        <v>12</v>
      </c>
      <c r="J1613" s="14"/>
      <c r="K1613" s="26">
        <v>5.4769828359766102</v>
      </c>
    </row>
    <row r="1614" spans="1:11" ht="15.75" customHeight="1">
      <c r="A1614" s="77" t="s">
        <v>32</v>
      </c>
      <c r="B1614" s="78">
        <v>94.5</v>
      </c>
      <c r="C1614" s="77">
        <v>2</v>
      </c>
      <c r="D1614" s="77">
        <v>7.1999999999999995E-2</v>
      </c>
      <c r="E1614" s="76"/>
      <c r="F1614" s="76"/>
      <c r="G1614" s="76"/>
      <c r="H1614" s="78">
        <v>25</v>
      </c>
      <c r="I1614" s="77" t="s">
        <v>12</v>
      </c>
      <c r="J1614" s="14"/>
      <c r="K1614" s="26">
        <v>4.8953323390944492</v>
      </c>
    </row>
    <row r="1615" spans="1:11" ht="15.75" customHeight="1">
      <c r="A1615" s="77" t="s">
        <v>32</v>
      </c>
      <c r="B1615" s="78">
        <v>94.5</v>
      </c>
      <c r="C1615" s="77">
        <v>2</v>
      </c>
      <c r="D1615" s="77">
        <v>7.1999999999999995E-2</v>
      </c>
      <c r="E1615" s="76"/>
      <c r="F1615" s="76"/>
      <c r="G1615" s="76"/>
      <c r="H1615" s="78">
        <v>25</v>
      </c>
      <c r="I1615" s="77" t="s">
        <v>12</v>
      </c>
      <c r="J1615" s="14"/>
      <c r="K1615" s="26">
        <v>4.936820184470645</v>
      </c>
    </row>
    <row r="1616" spans="1:11" ht="15.75" customHeight="1">
      <c r="A1616" s="77" t="s">
        <v>32</v>
      </c>
      <c r="B1616" s="78">
        <v>94.5</v>
      </c>
      <c r="C1616" s="77">
        <v>2</v>
      </c>
      <c r="D1616" s="77">
        <v>7.1999999999999995E-2</v>
      </c>
      <c r="E1616" s="76"/>
      <c r="F1616" s="76"/>
      <c r="G1616" s="76"/>
      <c r="H1616" s="78">
        <v>25</v>
      </c>
      <c r="I1616" s="77" t="s">
        <v>12</v>
      </c>
      <c r="J1616" s="14"/>
      <c r="K1616" s="26">
        <v>4.9776222016003864</v>
      </c>
    </row>
    <row r="1617" spans="1:11" ht="15.75" customHeight="1">
      <c r="A1617" s="77" t="s">
        <v>32</v>
      </c>
      <c r="B1617" s="77">
        <v>94.5</v>
      </c>
      <c r="C1617" s="77">
        <v>2</v>
      </c>
      <c r="D1617" s="77">
        <v>7.1999999999999995E-2</v>
      </c>
      <c r="E1617" s="76"/>
      <c r="F1617" s="76"/>
      <c r="G1617" s="76"/>
      <c r="H1617" s="78">
        <v>25</v>
      </c>
      <c r="I1617" s="77" t="s">
        <v>12</v>
      </c>
      <c r="J1617" s="14"/>
      <c r="K1617" s="26">
        <v>5.0177660497459966</v>
      </c>
    </row>
    <row r="1618" spans="1:11" ht="15.75" customHeight="1">
      <c r="A1618" s="77" t="s">
        <v>32</v>
      </c>
      <c r="B1618" s="78">
        <v>140.47791455467001</v>
      </c>
      <c r="C1618" s="77">
        <v>2</v>
      </c>
      <c r="D1618" s="77">
        <v>7.1999999999999995E-2</v>
      </c>
      <c r="E1618" s="76"/>
      <c r="F1618" s="76"/>
      <c r="G1618" s="76"/>
      <c r="H1618" s="78">
        <v>25</v>
      </c>
      <c r="I1618" s="77" t="s">
        <v>12</v>
      </c>
      <c r="J1618" s="14"/>
      <c r="K1618" s="26">
        <v>5.5387775736728502</v>
      </c>
    </row>
    <row r="1619" spans="1:11" ht="15.75" customHeight="1">
      <c r="A1619" s="77" t="s">
        <v>32</v>
      </c>
      <c r="B1619" s="78">
        <v>140.47791455467001</v>
      </c>
      <c r="C1619" s="77">
        <v>2</v>
      </c>
      <c r="D1619" s="77">
        <v>7.1999999999999995E-2</v>
      </c>
      <c r="E1619" s="76"/>
      <c r="F1619" s="76"/>
      <c r="G1619" s="76"/>
      <c r="H1619" s="78">
        <v>25</v>
      </c>
      <c r="I1619" s="77" t="s">
        <v>12</v>
      </c>
      <c r="J1619" s="14"/>
      <c r="K1619" s="26">
        <v>5.4897592722048332</v>
      </c>
    </row>
    <row r="1620" spans="1:11" ht="15.75" customHeight="1">
      <c r="A1620" s="77" t="s">
        <v>32</v>
      </c>
      <c r="B1620" s="78">
        <v>189.717595944967</v>
      </c>
      <c r="C1620" s="77">
        <v>2</v>
      </c>
      <c r="D1620" s="77">
        <v>7.1999999999999995E-2</v>
      </c>
      <c r="E1620" s="76"/>
      <c r="F1620" s="76"/>
      <c r="G1620" s="76"/>
      <c r="H1620" s="78">
        <v>25</v>
      </c>
      <c r="I1620" s="77" t="s">
        <v>12</v>
      </c>
      <c r="J1620" s="14"/>
      <c r="K1620" s="26">
        <v>6.1222883298223225</v>
      </c>
    </row>
    <row r="1621" spans="1:11" ht="15.75" customHeight="1">
      <c r="A1621" s="77" t="s">
        <v>32</v>
      </c>
      <c r="B1621" s="78">
        <v>188.26937002172301</v>
      </c>
      <c r="C1621" s="77">
        <v>2</v>
      </c>
      <c r="D1621" s="77">
        <v>7.1999999999999995E-2</v>
      </c>
      <c r="E1621" s="76"/>
      <c r="F1621" s="76"/>
      <c r="G1621" s="76"/>
      <c r="H1621" s="78">
        <v>25</v>
      </c>
      <c r="I1621" s="77" t="s">
        <v>12</v>
      </c>
      <c r="J1621" s="14"/>
      <c r="K1621" s="26">
        <v>6.0526260161754131</v>
      </c>
    </row>
    <row r="1622" spans="1:11" ht="15.75" customHeight="1">
      <c r="A1622" s="77" t="s">
        <v>32</v>
      </c>
      <c r="B1622" s="78">
        <v>94.5</v>
      </c>
      <c r="C1622" s="77">
        <v>2</v>
      </c>
      <c r="D1622" s="77">
        <v>7.1999999999999995E-2</v>
      </c>
      <c r="E1622" s="76"/>
      <c r="F1622" s="76"/>
      <c r="G1622" s="76"/>
      <c r="H1622" s="78">
        <v>25</v>
      </c>
      <c r="I1622" s="77" t="s">
        <v>12</v>
      </c>
      <c r="J1622" s="14"/>
      <c r="K1622" s="26">
        <v>5.1344999015167527</v>
      </c>
    </row>
    <row r="1623" spans="1:11" ht="15.75" customHeight="1">
      <c r="A1623" s="77" t="s">
        <v>32</v>
      </c>
      <c r="B1623" s="78">
        <v>94.5</v>
      </c>
      <c r="C1623" s="77">
        <v>2</v>
      </c>
      <c r="D1623" s="77">
        <v>7.1999999999999995E-2</v>
      </c>
      <c r="E1623" s="76"/>
      <c r="F1623" s="76"/>
      <c r="G1623" s="76"/>
      <c r="H1623" s="78">
        <v>25</v>
      </c>
      <c r="I1623" s="77" t="s">
        <v>12</v>
      </c>
      <c r="J1623" s="14"/>
      <c r="K1623" s="26">
        <v>5.0961813100126818</v>
      </c>
    </row>
    <row r="1624" spans="1:11" ht="15.75" customHeight="1">
      <c r="A1624" s="77" t="s">
        <v>32</v>
      </c>
      <c r="B1624" s="78">
        <v>140.47791455467001</v>
      </c>
      <c r="C1624" s="77">
        <v>2</v>
      </c>
      <c r="D1624" s="77">
        <v>7.1999999999999995E-2</v>
      </c>
      <c r="E1624" s="76"/>
      <c r="F1624" s="76"/>
      <c r="G1624" s="76"/>
      <c r="H1624" s="78">
        <v>25</v>
      </c>
      <c r="I1624" s="77" t="s">
        <v>12</v>
      </c>
      <c r="J1624" s="14"/>
      <c r="K1624" s="26">
        <v>5.7266743793696104</v>
      </c>
    </row>
    <row r="1625" spans="1:11" ht="15.75" customHeight="1">
      <c r="A1625" s="77" t="s">
        <v>32</v>
      </c>
      <c r="B1625" s="78">
        <v>140.47791455467001</v>
      </c>
      <c r="C1625" s="77">
        <v>2</v>
      </c>
      <c r="D1625" s="77">
        <v>7.1999999999999995E-2</v>
      </c>
      <c r="E1625" s="76"/>
      <c r="F1625" s="76"/>
      <c r="G1625" s="76"/>
      <c r="H1625" s="78">
        <v>25</v>
      </c>
      <c r="I1625" s="77" t="s">
        <v>12</v>
      </c>
      <c r="J1625" s="14"/>
      <c r="K1625" s="26">
        <v>5.6808590216216333</v>
      </c>
    </row>
    <row r="1626" spans="1:11" ht="15.75" customHeight="1">
      <c r="A1626" s="77" t="s">
        <v>32</v>
      </c>
      <c r="B1626" s="78">
        <v>188.26937002172301</v>
      </c>
      <c r="C1626" s="77">
        <v>2</v>
      </c>
      <c r="D1626" s="77">
        <v>7.1999999999999995E-2</v>
      </c>
      <c r="E1626" s="76"/>
      <c r="F1626" s="76"/>
      <c r="G1626" s="76"/>
      <c r="H1626" s="78">
        <v>25</v>
      </c>
      <c r="I1626" s="77" t="s">
        <v>12</v>
      </c>
      <c r="J1626" s="14"/>
      <c r="K1626" s="26">
        <v>6.313832103755753</v>
      </c>
    </row>
    <row r="1627" spans="1:11" ht="15.75" customHeight="1">
      <c r="A1627" s="77" t="s">
        <v>32</v>
      </c>
      <c r="B1627" s="78">
        <v>188.26937002172301</v>
      </c>
      <c r="C1627" s="77">
        <v>2</v>
      </c>
      <c r="D1627" s="77">
        <v>7.1999999999999995E-2</v>
      </c>
      <c r="E1627" s="76"/>
      <c r="F1627" s="76"/>
      <c r="G1627" s="76"/>
      <c r="H1627" s="78">
        <v>25</v>
      </c>
      <c r="I1627" s="77" t="s">
        <v>12</v>
      </c>
      <c r="J1627" s="14"/>
      <c r="K1627" s="26">
        <v>6.263319282975103</v>
      </c>
    </row>
    <row r="1628" spans="1:11" ht="15.75" customHeight="1">
      <c r="A1628" s="77" t="s">
        <v>32</v>
      </c>
      <c r="B1628" s="78">
        <v>234.61259956553201</v>
      </c>
      <c r="C1628" s="77">
        <v>2</v>
      </c>
      <c r="D1628" s="77">
        <v>7.1999999999999995E-2</v>
      </c>
      <c r="E1628" s="76"/>
      <c r="F1628" s="76"/>
      <c r="G1628" s="76"/>
      <c r="H1628" s="78">
        <v>25</v>
      </c>
      <c r="I1628" s="77" t="s">
        <v>12</v>
      </c>
      <c r="J1628" s="14"/>
      <c r="K1628" s="26">
        <v>6.6847804792879737</v>
      </c>
    </row>
    <row r="1629" spans="1:11" ht="15.75" customHeight="1">
      <c r="A1629" s="77" t="s">
        <v>32</v>
      </c>
      <c r="B1629" s="78">
        <v>236.060825488776</v>
      </c>
      <c r="C1629" s="77">
        <v>2</v>
      </c>
      <c r="D1629" s="77">
        <v>7.1999999999999995E-2</v>
      </c>
      <c r="E1629" s="76"/>
      <c r="F1629" s="76"/>
      <c r="G1629" s="76"/>
      <c r="H1629" s="78">
        <v>25</v>
      </c>
      <c r="I1629" s="77" t="s">
        <v>12</v>
      </c>
      <c r="J1629" s="14"/>
      <c r="K1629" s="26">
        <v>6.6422143305297006</v>
      </c>
    </row>
    <row r="1630" spans="1:11" ht="15.75" customHeight="1">
      <c r="A1630" s="77" t="s">
        <v>32</v>
      </c>
      <c r="B1630" s="78">
        <v>282.40405503258501</v>
      </c>
      <c r="C1630" s="77">
        <v>2</v>
      </c>
      <c r="D1630" s="77">
        <v>7.1999999999999995E-2</v>
      </c>
      <c r="E1630" s="76"/>
      <c r="F1630" s="76"/>
      <c r="G1630" s="76"/>
      <c r="H1630" s="78">
        <v>25</v>
      </c>
      <c r="I1630" s="77" t="s">
        <v>12</v>
      </c>
      <c r="J1630" s="14"/>
      <c r="K1630" s="26">
        <v>7.1697107888805265</v>
      </c>
    </row>
    <row r="1631" spans="1:11" ht="15.75" customHeight="1">
      <c r="A1631" s="77" t="s">
        <v>32</v>
      </c>
      <c r="B1631" s="78">
        <v>282.40405503258501</v>
      </c>
      <c r="C1631" s="77">
        <v>2</v>
      </c>
      <c r="D1631" s="77">
        <v>7.1999999999999995E-2</v>
      </c>
      <c r="E1631" s="76"/>
      <c r="F1631" s="76"/>
      <c r="G1631" s="76"/>
      <c r="H1631" s="78">
        <v>25</v>
      </c>
      <c r="I1631" s="77" t="s">
        <v>12</v>
      </c>
      <c r="J1631" s="14"/>
      <c r="K1631" s="26">
        <v>7.1109400243317156</v>
      </c>
    </row>
    <row r="1632" spans="1:11" ht="15.75" customHeight="1">
      <c r="A1632" s="77" t="s">
        <v>32</v>
      </c>
      <c r="B1632" s="78">
        <v>283.85228095582897</v>
      </c>
      <c r="C1632" s="77">
        <v>2</v>
      </c>
      <c r="D1632" s="77">
        <v>7.1999999999999995E-2</v>
      </c>
      <c r="E1632" s="76"/>
      <c r="F1632" s="76"/>
      <c r="G1632" s="76"/>
      <c r="H1632" s="78">
        <v>25</v>
      </c>
      <c r="I1632" s="77" t="s">
        <v>12</v>
      </c>
      <c r="J1632" s="14"/>
      <c r="K1632" s="26">
        <v>7.0632141566300861</v>
      </c>
    </row>
    <row r="1633" spans="1:11" ht="15.75" customHeight="1">
      <c r="A1633" s="77" t="s">
        <v>32</v>
      </c>
      <c r="B1633" s="76">
        <v>74.243201177252502</v>
      </c>
      <c r="C1633" s="25">
        <v>4</v>
      </c>
      <c r="D1633" s="77">
        <v>7.1999999999999995E-2</v>
      </c>
      <c r="E1633" s="76"/>
      <c r="F1633" s="76"/>
      <c r="G1633" s="76"/>
      <c r="H1633" s="78">
        <v>25</v>
      </c>
      <c r="I1633" s="77" t="s">
        <v>12</v>
      </c>
      <c r="J1633" s="14"/>
      <c r="K1633" s="26">
        <v>5.515544443655152</v>
      </c>
    </row>
    <row r="1634" spans="1:11" ht="15.75" customHeight="1">
      <c r="A1634" s="77" t="s">
        <v>32</v>
      </c>
      <c r="B1634" s="76">
        <v>74.243201177252502</v>
      </c>
      <c r="C1634" s="25">
        <v>4</v>
      </c>
      <c r="D1634" s="77">
        <v>7.1999999999999995E-2</v>
      </c>
      <c r="E1634" s="76"/>
      <c r="F1634" s="76"/>
      <c r="G1634" s="76"/>
      <c r="H1634" s="78">
        <v>25</v>
      </c>
      <c r="I1634" s="77" t="s">
        <v>12</v>
      </c>
      <c r="J1634" s="14"/>
      <c r="K1634" s="26">
        <v>5.4895273377450637</v>
      </c>
    </row>
    <row r="1635" spans="1:11" ht="15.75" customHeight="1">
      <c r="A1635" s="77" t="s">
        <v>32</v>
      </c>
      <c r="B1635" s="76">
        <v>74.243201177252502</v>
      </c>
      <c r="C1635" s="25">
        <v>4</v>
      </c>
      <c r="D1635" s="77">
        <v>7.1999999999999995E-2</v>
      </c>
      <c r="E1635" s="76"/>
      <c r="F1635" s="76"/>
      <c r="G1635" s="76"/>
      <c r="H1635" s="78">
        <v>25</v>
      </c>
      <c r="I1635" s="77" t="s">
        <v>12</v>
      </c>
      <c r="J1635" s="14"/>
      <c r="K1635" s="26">
        <v>5.4099577459485255</v>
      </c>
    </row>
    <row r="1636" spans="1:11" ht="15.75" customHeight="1">
      <c r="A1636" s="77" t="s">
        <v>32</v>
      </c>
      <c r="B1636" s="76">
        <v>74.243201177252502</v>
      </c>
      <c r="C1636" s="25">
        <v>4</v>
      </c>
      <c r="D1636" s="77">
        <v>7.1999999999999995E-2</v>
      </c>
      <c r="E1636" s="76"/>
      <c r="F1636" s="76"/>
      <c r="G1636" s="76"/>
      <c r="H1636" s="78">
        <v>25</v>
      </c>
      <c r="I1636" s="77" t="s">
        <v>12</v>
      </c>
      <c r="J1636" s="14"/>
      <c r="K1636" s="26">
        <v>5.3555826310728074</v>
      </c>
    </row>
    <row r="1637" spans="1:11" ht="15.75" customHeight="1">
      <c r="A1637" s="77" t="s">
        <v>32</v>
      </c>
      <c r="B1637" s="76">
        <v>74.243201177252502</v>
      </c>
      <c r="C1637" s="25">
        <v>4</v>
      </c>
      <c r="D1637" s="77">
        <v>7.1999999999999995E-2</v>
      </c>
      <c r="E1637" s="76"/>
      <c r="F1637" s="76"/>
      <c r="G1637" s="76"/>
      <c r="H1637" s="78">
        <v>25</v>
      </c>
      <c r="I1637" s="77" t="s">
        <v>12</v>
      </c>
      <c r="J1637" s="14"/>
      <c r="K1637" s="26">
        <v>5.3279760447548394</v>
      </c>
    </row>
    <row r="1638" spans="1:11" ht="15.75" customHeight="1">
      <c r="A1638" s="77" t="s">
        <v>32</v>
      </c>
      <c r="B1638" s="76">
        <v>110.19350659603801</v>
      </c>
      <c r="C1638" s="25">
        <v>4</v>
      </c>
      <c r="D1638" s="77">
        <v>7.1999999999999995E-2</v>
      </c>
      <c r="E1638" s="76"/>
      <c r="F1638" s="76"/>
      <c r="G1638" s="76"/>
      <c r="H1638" s="78">
        <v>25</v>
      </c>
      <c r="I1638" s="77" t="s">
        <v>12</v>
      </c>
      <c r="J1638" s="14"/>
      <c r="K1638" s="26">
        <v>5.8473666819003185</v>
      </c>
    </row>
    <row r="1639" spans="1:11" ht="15.75" customHeight="1">
      <c r="A1639" s="77" t="s">
        <v>32</v>
      </c>
      <c r="B1639" s="76">
        <v>110.19350659603801</v>
      </c>
      <c r="C1639" s="25">
        <v>4</v>
      </c>
      <c r="D1639" s="77">
        <v>7.1999999999999995E-2</v>
      </c>
      <c r="E1639" s="76"/>
      <c r="F1639" s="76"/>
      <c r="G1639" s="76"/>
      <c r="H1639" s="78">
        <v>25</v>
      </c>
      <c r="I1639" s="77" t="s">
        <v>12</v>
      </c>
      <c r="J1639" s="14"/>
      <c r="K1639" s="26">
        <v>5.8473666819003185</v>
      </c>
    </row>
    <row r="1640" spans="1:11" ht="15.75" customHeight="1">
      <c r="A1640" s="77" t="s">
        <v>32</v>
      </c>
      <c r="B1640" s="76">
        <v>108.95384089194199</v>
      </c>
      <c r="C1640" s="25">
        <v>4</v>
      </c>
      <c r="D1640" s="77">
        <v>7.1999999999999995E-2</v>
      </c>
      <c r="E1640" s="76"/>
      <c r="F1640" s="76"/>
      <c r="G1640" s="76"/>
      <c r="H1640" s="78">
        <v>25</v>
      </c>
      <c r="I1640" s="77" t="s">
        <v>12</v>
      </c>
      <c r="J1640" s="14"/>
      <c r="K1640" s="26">
        <v>5.7910889150058358</v>
      </c>
    </row>
    <row r="1641" spans="1:11" ht="15.75" customHeight="1">
      <c r="A1641" s="77" t="s">
        <v>32</v>
      </c>
      <c r="B1641" s="76">
        <v>108.95384089194199</v>
      </c>
      <c r="C1641" s="25">
        <v>4</v>
      </c>
      <c r="D1641" s="77">
        <v>7.1999999999999995E-2</v>
      </c>
      <c r="E1641" s="76"/>
      <c r="F1641" s="76"/>
      <c r="G1641" s="76"/>
      <c r="H1641" s="78">
        <v>25</v>
      </c>
      <c r="I1641" s="77" t="s">
        <v>12</v>
      </c>
      <c r="J1641" s="14"/>
      <c r="K1641" s="26">
        <v>5.7910889150058358</v>
      </c>
    </row>
    <row r="1642" spans="1:11" ht="15.75" customHeight="1">
      <c r="A1642" s="77" t="s">
        <v>32</v>
      </c>
      <c r="B1642" s="76">
        <v>148.62314342301701</v>
      </c>
      <c r="C1642" s="25">
        <v>4</v>
      </c>
      <c r="D1642" s="77">
        <v>7.1999999999999995E-2</v>
      </c>
      <c r="E1642" s="76"/>
      <c r="F1642" s="76"/>
      <c r="G1642" s="76"/>
      <c r="H1642" s="78">
        <v>25</v>
      </c>
      <c r="I1642" s="77" t="s">
        <v>12</v>
      </c>
      <c r="J1642" s="14"/>
      <c r="K1642" s="26">
        <v>6.3451726444428918</v>
      </c>
    </row>
    <row r="1643" spans="1:11" ht="15.75" customHeight="1">
      <c r="A1643" s="77" t="s">
        <v>32</v>
      </c>
      <c r="B1643" s="76">
        <v>149.862809127113</v>
      </c>
      <c r="C1643" s="25">
        <v>4</v>
      </c>
      <c r="D1643" s="77">
        <v>7.1999999999999995E-2</v>
      </c>
      <c r="E1643" s="76"/>
      <c r="F1643" s="76"/>
      <c r="G1643" s="76"/>
      <c r="H1643" s="78">
        <v>25</v>
      </c>
      <c r="I1643" s="77" t="s">
        <v>12</v>
      </c>
      <c r="J1643" s="14"/>
      <c r="K1643" s="26">
        <v>6.3232442142548448</v>
      </c>
    </row>
    <row r="1644" spans="1:11" ht="15.75" customHeight="1">
      <c r="A1644" s="77" t="s">
        <v>32</v>
      </c>
      <c r="B1644" s="76">
        <v>156.061137647593</v>
      </c>
      <c r="C1644" s="25">
        <v>4</v>
      </c>
      <c r="D1644" s="77">
        <v>7.1999999999999995E-2</v>
      </c>
      <c r="E1644" s="76"/>
      <c r="F1644" s="76"/>
      <c r="G1644" s="76"/>
      <c r="H1644" s="78">
        <v>25</v>
      </c>
      <c r="I1644" s="77" t="s">
        <v>12</v>
      </c>
      <c r="J1644" s="14"/>
      <c r="K1644" s="26">
        <v>6.3686797833098705</v>
      </c>
    </row>
    <row r="1645" spans="1:11" ht="15.75" customHeight="1">
      <c r="A1645" s="77" t="s">
        <v>32</v>
      </c>
      <c r="B1645" s="76">
        <v>157.30080335168901</v>
      </c>
      <c r="C1645" s="25">
        <v>4</v>
      </c>
      <c r="D1645" s="77">
        <v>7.1999999999999995E-2</v>
      </c>
      <c r="E1645" s="76"/>
      <c r="F1645" s="76"/>
      <c r="G1645" s="76"/>
      <c r="H1645" s="78">
        <v>25</v>
      </c>
      <c r="I1645" s="77" t="s">
        <v>12</v>
      </c>
      <c r="J1645" s="14"/>
      <c r="K1645" s="26">
        <v>6.3443005394540881</v>
      </c>
    </row>
    <row r="1646" spans="1:11" ht="15.75" customHeight="1">
      <c r="A1646" s="77" t="s">
        <v>32</v>
      </c>
      <c r="B1646" s="76">
        <v>143.664480606632</v>
      </c>
      <c r="C1646" s="25">
        <v>4</v>
      </c>
      <c r="D1646" s="77">
        <v>7.1999999999999995E-2</v>
      </c>
      <c r="E1646" s="76"/>
      <c r="F1646" s="76"/>
      <c r="G1646" s="76"/>
      <c r="H1646" s="78">
        <v>25</v>
      </c>
      <c r="I1646" s="77" t="s">
        <v>12</v>
      </c>
      <c r="J1646" s="14"/>
      <c r="K1646" s="26">
        <v>6.1149068576246171</v>
      </c>
    </row>
    <row r="1647" spans="1:11" ht="15.75" customHeight="1">
      <c r="A1647" s="77" t="s">
        <v>32</v>
      </c>
      <c r="B1647" s="76">
        <v>139.94548349434399</v>
      </c>
      <c r="C1647" s="25">
        <v>4</v>
      </c>
      <c r="D1647" s="77">
        <v>7.1999999999999995E-2</v>
      </c>
      <c r="E1647" s="76"/>
      <c r="F1647" s="76"/>
      <c r="G1647" s="76"/>
      <c r="H1647" s="78">
        <v>25</v>
      </c>
      <c r="I1647" s="77" t="s">
        <v>12</v>
      </c>
      <c r="J1647" s="14"/>
      <c r="K1647" s="26">
        <v>6.0209963612708615</v>
      </c>
    </row>
    <row r="1648" spans="1:11" ht="15.75" customHeight="1">
      <c r="A1648" s="77" t="s">
        <v>32</v>
      </c>
      <c r="B1648" s="76">
        <v>226.72208278106999</v>
      </c>
      <c r="C1648" s="25">
        <v>4</v>
      </c>
      <c r="D1648" s="77">
        <v>7.1999999999999995E-2</v>
      </c>
      <c r="E1648" s="76"/>
      <c r="F1648" s="76"/>
      <c r="G1648" s="76"/>
      <c r="H1648" s="78">
        <v>25</v>
      </c>
      <c r="I1648" s="77" t="s">
        <v>12</v>
      </c>
      <c r="J1648" s="14"/>
      <c r="K1648" s="26">
        <v>6.8736195074158726</v>
      </c>
    </row>
    <row r="1649" spans="1:11" ht="15.75" customHeight="1">
      <c r="A1649" s="77" t="s">
        <v>32</v>
      </c>
      <c r="B1649" s="76">
        <v>226.72208278106999</v>
      </c>
      <c r="C1649" s="25">
        <v>4</v>
      </c>
      <c r="D1649" s="77">
        <v>7.1999999999999995E-2</v>
      </c>
      <c r="E1649" s="76"/>
      <c r="F1649" s="76"/>
      <c r="G1649" s="76"/>
      <c r="H1649" s="78">
        <v>25</v>
      </c>
      <c r="I1649" s="77" t="s">
        <v>12</v>
      </c>
      <c r="J1649" s="14"/>
      <c r="K1649" s="26">
        <v>6.8223219276883356</v>
      </c>
    </row>
    <row r="1650" spans="1:11" ht="15.75" customHeight="1">
      <c r="A1650" s="77" t="s">
        <v>32</v>
      </c>
      <c r="B1650" s="76">
        <v>214.32542574010901</v>
      </c>
      <c r="C1650" s="25">
        <v>4</v>
      </c>
      <c r="D1650" s="77">
        <v>7.1999999999999995E-2</v>
      </c>
      <c r="E1650" s="76"/>
      <c r="F1650" s="76"/>
      <c r="G1650" s="76"/>
      <c r="H1650" s="78">
        <v>25</v>
      </c>
      <c r="I1650" s="77" t="s">
        <v>12</v>
      </c>
      <c r="J1650" s="14"/>
      <c r="K1650" s="26">
        <v>6.6956410962049917</v>
      </c>
    </row>
    <row r="1651" spans="1:11" ht="15.75" customHeight="1">
      <c r="A1651" s="77" t="s">
        <v>32</v>
      </c>
      <c r="B1651" s="76">
        <v>219.284088556493</v>
      </c>
      <c r="C1651" s="25">
        <v>4</v>
      </c>
      <c r="D1651" s="77">
        <v>7.1999999999999995E-2</v>
      </c>
      <c r="E1651" s="76"/>
      <c r="F1651" s="76"/>
      <c r="G1651" s="76"/>
      <c r="H1651" s="78">
        <v>25</v>
      </c>
      <c r="I1651" s="77" t="s">
        <v>12</v>
      </c>
      <c r="J1651" s="14"/>
      <c r="K1651" s="26">
        <v>6.6953800560556367</v>
      </c>
    </row>
    <row r="1652" spans="1:11" ht="15.75" customHeight="1">
      <c r="A1652" s="77" t="s">
        <v>32</v>
      </c>
      <c r="B1652" s="76">
        <v>219.284088556493</v>
      </c>
      <c r="C1652" s="25">
        <v>4</v>
      </c>
      <c r="D1652" s="77">
        <v>7.1999999999999995E-2</v>
      </c>
      <c r="E1652" s="76"/>
      <c r="F1652" s="76"/>
      <c r="G1652" s="76"/>
      <c r="H1652" s="78">
        <v>25</v>
      </c>
      <c r="I1652" s="77" t="s">
        <v>12</v>
      </c>
      <c r="J1652" s="14"/>
      <c r="K1652" s="26">
        <v>6.6953800560556367</v>
      </c>
    </row>
    <row r="1653" spans="1:11" ht="15.75" customHeight="1">
      <c r="A1653" s="77" t="s">
        <v>32</v>
      </c>
      <c r="B1653" s="76">
        <v>221.76341996468599</v>
      </c>
      <c r="C1653" s="25">
        <v>4</v>
      </c>
      <c r="D1653" s="77">
        <v>7.1999999999999995E-2</v>
      </c>
      <c r="E1653" s="76"/>
      <c r="F1653" s="76"/>
      <c r="G1653" s="76"/>
      <c r="H1653" s="78">
        <v>25</v>
      </c>
      <c r="I1653" s="77" t="s">
        <v>12</v>
      </c>
      <c r="J1653" s="14"/>
      <c r="K1653" s="26">
        <v>6.6680130750174733</v>
      </c>
    </row>
    <row r="1654" spans="1:11" ht="15.75" customHeight="1">
      <c r="A1654" s="77" t="s">
        <v>32</v>
      </c>
      <c r="B1654" s="76">
        <v>221.76341996468599</v>
      </c>
      <c r="C1654" s="25">
        <v>4</v>
      </c>
      <c r="D1654" s="77">
        <v>7.1999999999999995E-2</v>
      </c>
      <c r="E1654" s="76"/>
      <c r="F1654" s="76"/>
      <c r="G1654" s="76"/>
      <c r="H1654" s="78">
        <v>25</v>
      </c>
      <c r="I1654" s="77" t="s">
        <v>12</v>
      </c>
      <c r="J1654" s="14"/>
      <c r="K1654" s="26">
        <v>6.6680130750174733</v>
      </c>
    </row>
    <row r="1655" spans="1:11" ht="15.75" customHeight="1">
      <c r="A1655" s="77" t="s">
        <v>32</v>
      </c>
      <c r="B1655" s="76">
        <v>223.00308566878201</v>
      </c>
      <c r="C1655" s="25">
        <v>4</v>
      </c>
      <c r="D1655" s="77">
        <v>7.1999999999999995E-2</v>
      </c>
      <c r="E1655" s="76"/>
      <c r="F1655" s="76"/>
      <c r="G1655" s="76"/>
      <c r="H1655" s="78">
        <v>25</v>
      </c>
      <c r="I1655" s="77" t="s">
        <v>12</v>
      </c>
      <c r="J1655" s="14"/>
      <c r="K1655" s="26">
        <v>6.626969199955238</v>
      </c>
    </row>
    <row r="1656" spans="1:11" ht="15.75" customHeight="1">
      <c r="A1656" s="77" t="s">
        <v>32</v>
      </c>
      <c r="B1656" s="76">
        <v>223.00308566878201</v>
      </c>
      <c r="C1656" s="25">
        <v>4</v>
      </c>
      <c r="D1656" s="77">
        <v>7.1999999999999995E-2</v>
      </c>
      <c r="E1656" s="76"/>
      <c r="F1656" s="76"/>
      <c r="G1656" s="76"/>
      <c r="H1656" s="78">
        <v>25</v>
      </c>
      <c r="I1656" s="77" t="s">
        <v>12</v>
      </c>
      <c r="J1656" s="14"/>
      <c r="K1656" s="26">
        <v>6.626969199955238</v>
      </c>
    </row>
    <row r="1657" spans="1:11" ht="15.75" customHeight="1">
      <c r="A1657" s="77" t="s">
        <v>32</v>
      </c>
      <c r="B1657" s="76">
        <v>262.67238819985698</v>
      </c>
      <c r="C1657" s="25">
        <v>4</v>
      </c>
      <c r="D1657" s="77">
        <v>7.1999999999999995E-2</v>
      </c>
      <c r="E1657" s="76"/>
      <c r="F1657" s="76"/>
      <c r="G1657" s="76"/>
      <c r="H1657" s="78">
        <v>25</v>
      </c>
      <c r="I1657" s="77" t="s">
        <v>12</v>
      </c>
      <c r="J1657" s="14"/>
      <c r="K1657" s="26">
        <v>7.1653774971898203</v>
      </c>
    </row>
    <row r="1658" spans="1:11" ht="15.75" customHeight="1">
      <c r="A1658" s="77" t="s">
        <v>32</v>
      </c>
      <c r="B1658" s="76">
        <v>262.67238819985698</v>
      </c>
      <c r="C1658" s="25">
        <v>4</v>
      </c>
      <c r="D1658" s="77">
        <v>7.1999999999999995E-2</v>
      </c>
      <c r="E1658" s="76"/>
      <c r="F1658" s="76"/>
      <c r="G1658" s="76"/>
      <c r="H1658" s="78">
        <v>25</v>
      </c>
      <c r="I1658" s="77" t="s">
        <v>12</v>
      </c>
      <c r="J1658" s="14"/>
      <c r="K1658" s="26">
        <v>7.1653774971898203</v>
      </c>
    </row>
    <row r="1659" spans="1:11" ht="15.75" customHeight="1">
      <c r="A1659" s="77" t="s">
        <v>32</v>
      </c>
      <c r="B1659" s="76">
        <v>251.515396862991</v>
      </c>
      <c r="C1659" s="25">
        <v>4</v>
      </c>
      <c r="D1659" s="77">
        <v>7.1999999999999995E-2</v>
      </c>
      <c r="E1659" s="76"/>
      <c r="F1659" s="76"/>
      <c r="G1659" s="76"/>
      <c r="H1659" s="78">
        <v>25</v>
      </c>
      <c r="I1659" s="77" t="s">
        <v>12</v>
      </c>
      <c r="J1659" s="14"/>
      <c r="K1659" s="26">
        <v>7.0085426358354912</v>
      </c>
    </row>
    <row r="1660" spans="1:11" ht="15.75" customHeight="1">
      <c r="A1660" s="77" t="s">
        <v>32</v>
      </c>
      <c r="B1660" s="76">
        <v>261.43272249576103</v>
      </c>
      <c r="C1660" s="25">
        <v>4</v>
      </c>
      <c r="D1660" s="77">
        <v>7.1999999999999995E-2</v>
      </c>
      <c r="E1660" s="76"/>
      <c r="F1660" s="76"/>
      <c r="G1660" s="76"/>
      <c r="H1660" s="78">
        <v>25</v>
      </c>
      <c r="I1660" s="77" t="s">
        <v>12</v>
      </c>
      <c r="J1660" s="14"/>
      <c r="K1660" s="26">
        <v>7.0440071440078125</v>
      </c>
    </row>
    <row r="1661" spans="1:11" ht="15.75" customHeight="1">
      <c r="A1661" s="77" t="s">
        <v>32</v>
      </c>
      <c r="B1661" s="76">
        <v>261.43272249576103</v>
      </c>
      <c r="C1661" s="25">
        <v>4</v>
      </c>
      <c r="D1661" s="77">
        <v>7.1999999999999995E-2</v>
      </c>
      <c r="E1661" s="76"/>
      <c r="F1661" s="76"/>
      <c r="G1661" s="76"/>
      <c r="H1661" s="78">
        <v>25</v>
      </c>
      <c r="I1661" s="77" t="s">
        <v>12</v>
      </c>
      <c r="J1661" s="14"/>
      <c r="K1661" s="26">
        <v>6.9303742548645779</v>
      </c>
    </row>
    <row r="1662" spans="1:11" ht="15.75" customHeight="1">
      <c r="A1662" s="77" t="s">
        <v>32</v>
      </c>
      <c r="B1662" s="76">
        <v>84.779483350347803</v>
      </c>
      <c r="C1662" s="25">
        <v>6</v>
      </c>
      <c r="D1662" s="77">
        <v>7.1999999999999995E-2</v>
      </c>
      <c r="E1662" s="76"/>
      <c r="F1662" s="76"/>
      <c r="G1662" s="76"/>
      <c r="H1662" s="78">
        <v>25</v>
      </c>
      <c r="I1662" s="77" t="s">
        <v>12</v>
      </c>
      <c r="J1662" s="14"/>
      <c r="K1662" s="26">
        <v>6.1690749764882868</v>
      </c>
    </row>
    <row r="1663" spans="1:11" ht="15.75" customHeight="1">
      <c r="A1663" s="77" t="s">
        <v>32</v>
      </c>
      <c r="B1663" s="76">
        <v>84.779483350347803</v>
      </c>
      <c r="C1663" s="25">
        <v>6</v>
      </c>
      <c r="D1663" s="77">
        <v>7.1999999999999995E-2</v>
      </c>
      <c r="E1663" s="76"/>
      <c r="F1663" s="76"/>
      <c r="G1663" s="76"/>
      <c r="H1663" s="78">
        <v>25</v>
      </c>
      <c r="I1663" s="77" t="s">
        <v>12</v>
      </c>
      <c r="J1663" s="14"/>
      <c r="K1663" s="26">
        <v>6.1453475305888787</v>
      </c>
    </row>
    <row r="1664" spans="1:11" ht="15.75" customHeight="1">
      <c r="A1664" s="77" t="s">
        <v>32</v>
      </c>
      <c r="B1664" s="76">
        <v>84.779483350347803</v>
      </c>
      <c r="C1664" s="25">
        <v>6</v>
      </c>
      <c r="D1664" s="77">
        <v>7.1999999999999995E-2</v>
      </c>
      <c r="E1664" s="76"/>
      <c r="F1664" s="76"/>
      <c r="G1664" s="76"/>
      <c r="H1664" s="78">
        <v>25</v>
      </c>
      <c r="I1664" s="77" t="s">
        <v>12</v>
      </c>
      <c r="J1664" s="14"/>
      <c r="K1664" s="26">
        <v>6.097335041641287</v>
      </c>
    </row>
    <row r="1665" spans="1:11" ht="15.75" customHeight="1">
      <c r="A1665" s="77" t="s">
        <v>32</v>
      </c>
      <c r="B1665" s="76">
        <v>82.533649430700095</v>
      </c>
      <c r="C1665" s="25">
        <v>6</v>
      </c>
      <c r="D1665" s="77">
        <v>7.1999999999999995E-2</v>
      </c>
      <c r="E1665" s="76"/>
      <c r="F1665" s="76"/>
      <c r="G1665" s="76"/>
      <c r="H1665" s="78">
        <v>25</v>
      </c>
      <c r="I1665" s="77" t="s">
        <v>12</v>
      </c>
      <c r="J1665" s="14"/>
      <c r="K1665" s="26">
        <v>6.0189364263075431</v>
      </c>
    </row>
    <row r="1666" spans="1:11" ht="15.75" customHeight="1">
      <c r="A1666" s="77" t="s">
        <v>32</v>
      </c>
      <c r="B1666" s="76">
        <v>170.11913335563</v>
      </c>
      <c r="C1666" s="25">
        <v>6</v>
      </c>
      <c r="D1666" s="77">
        <v>7.1999999999999995E-2</v>
      </c>
      <c r="E1666" s="76"/>
      <c r="F1666" s="76"/>
      <c r="G1666" s="76"/>
      <c r="H1666" s="78">
        <v>25</v>
      </c>
      <c r="I1666" s="77" t="s">
        <v>12</v>
      </c>
      <c r="J1666" s="14"/>
      <c r="K1666" s="26">
        <v>7.0965795403166343</v>
      </c>
    </row>
    <row r="1667" spans="1:11" ht="15.75" customHeight="1">
      <c r="A1667" s="77" t="s">
        <v>32</v>
      </c>
      <c r="B1667" s="76">
        <v>170.11913335563</v>
      </c>
      <c r="C1667" s="25">
        <v>6</v>
      </c>
      <c r="D1667" s="77">
        <v>7.1999999999999995E-2</v>
      </c>
      <c r="E1667" s="76"/>
      <c r="F1667" s="76"/>
      <c r="G1667" s="76"/>
      <c r="H1667" s="78">
        <v>25</v>
      </c>
      <c r="I1667" s="77" t="s">
        <v>12</v>
      </c>
      <c r="J1667" s="14"/>
      <c r="K1667" s="26">
        <v>7.0965795403166343</v>
      </c>
    </row>
    <row r="1668" spans="1:11" ht="15.75" customHeight="1">
      <c r="A1668" s="77" t="s">
        <v>32</v>
      </c>
      <c r="B1668" s="76">
        <v>168.99627636466801</v>
      </c>
      <c r="C1668" s="25">
        <v>6</v>
      </c>
      <c r="D1668" s="77">
        <v>7.1999999999999995E-2</v>
      </c>
      <c r="E1668" s="76"/>
      <c r="F1668" s="76"/>
      <c r="G1668" s="76"/>
      <c r="H1668" s="78">
        <v>25</v>
      </c>
      <c r="I1668" s="77" t="s">
        <v>12</v>
      </c>
      <c r="J1668" s="14"/>
      <c r="K1668" s="26">
        <v>7.0449871695060668</v>
      </c>
    </row>
    <row r="1669" spans="1:11" ht="15.75" customHeight="1">
      <c r="A1669" s="77" t="s">
        <v>32</v>
      </c>
      <c r="B1669" s="76">
        <v>168.99627636466801</v>
      </c>
      <c r="C1669" s="25">
        <v>6</v>
      </c>
      <c r="D1669" s="77">
        <v>7.1999999999999995E-2</v>
      </c>
      <c r="E1669" s="76"/>
      <c r="F1669" s="76"/>
      <c r="G1669" s="76"/>
      <c r="H1669" s="78">
        <v>25</v>
      </c>
      <c r="I1669" s="77" t="s">
        <v>12</v>
      </c>
      <c r="J1669" s="14"/>
      <c r="K1669" s="26">
        <v>6.8595059594483487</v>
      </c>
    </row>
    <row r="1670" spans="1:11" ht="15.75" customHeight="1">
      <c r="A1670" s="77" t="s">
        <v>32</v>
      </c>
      <c r="B1670" s="76">
        <v>254.33604630767601</v>
      </c>
      <c r="C1670" s="25">
        <v>6</v>
      </c>
      <c r="D1670" s="77">
        <v>7.1999999999999995E-2</v>
      </c>
      <c r="E1670" s="76"/>
      <c r="F1670" s="76"/>
      <c r="G1670" s="76"/>
      <c r="H1670" s="78">
        <v>25</v>
      </c>
      <c r="I1670" s="77" t="s">
        <v>12</v>
      </c>
      <c r="J1670" s="14"/>
      <c r="K1670" s="26">
        <v>7.7725229351599268</v>
      </c>
    </row>
    <row r="1671" spans="1:11" ht="15.75" customHeight="1">
      <c r="A1671" s="77" t="s">
        <v>32</v>
      </c>
      <c r="B1671" s="76">
        <v>254.33604630767601</v>
      </c>
      <c r="C1671" s="25">
        <v>6</v>
      </c>
      <c r="D1671" s="77">
        <v>7.1999999999999995E-2</v>
      </c>
      <c r="E1671" s="76"/>
      <c r="F1671" s="76"/>
      <c r="G1671" s="76"/>
      <c r="H1671" s="78">
        <v>25</v>
      </c>
      <c r="I1671" s="77" t="s">
        <v>12</v>
      </c>
      <c r="J1671" s="14"/>
      <c r="K1671" s="26">
        <v>7.7275940532133651</v>
      </c>
    </row>
    <row r="1672" spans="1:11" ht="15.75" customHeight="1">
      <c r="A1672" s="77" t="s">
        <v>32</v>
      </c>
      <c r="B1672" s="76">
        <v>254.33604630767601</v>
      </c>
      <c r="C1672" s="25">
        <v>6</v>
      </c>
      <c r="D1672" s="77">
        <v>7.1999999999999995E-2</v>
      </c>
      <c r="E1672" s="76"/>
      <c r="F1672" s="76"/>
      <c r="G1672" s="76"/>
      <c r="H1672" s="78">
        <v>25</v>
      </c>
      <c r="I1672" s="77" t="s">
        <v>12</v>
      </c>
      <c r="J1672" s="14"/>
      <c r="K1672" s="26">
        <v>7.4946920983245873</v>
      </c>
    </row>
    <row r="1673" spans="1:11" ht="15.75" customHeight="1">
      <c r="A1673" s="77" t="s">
        <v>32</v>
      </c>
      <c r="B1673" s="76">
        <v>254.33604630767601</v>
      </c>
      <c r="C1673" s="25">
        <v>6</v>
      </c>
      <c r="D1673" s="77">
        <v>7.1999999999999995E-2</v>
      </c>
      <c r="E1673" s="76"/>
      <c r="F1673" s="76"/>
      <c r="G1673" s="76"/>
      <c r="H1673" s="78">
        <v>25</v>
      </c>
      <c r="I1673" s="77" t="s">
        <v>12</v>
      </c>
      <c r="J1673" s="14"/>
      <c r="K1673" s="26">
        <v>7.4463378999276255</v>
      </c>
    </row>
    <row r="1674" spans="1:11" ht="15.75" customHeight="1">
      <c r="A1674" s="77" t="s">
        <v>32</v>
      </c>
      <c r="B1674" s="76">
        <v>254.33604630767601</v>
      </c>
      <c r="C1674" s="25">
        <v>6</v>
      </c>
      <c r="D1674" s="77">
        <v>7.1999999999999995E-2</v>
      </c>
      <c r="E1674" s="76"/>
      <c r="F1674" s="76"/>
      <c r="G1674" s="76"/>
      <c r="H1674" s="78">
        <v>25</v>
      </c>
      <c r="I1674" s="77" t="s">
        <v>12</v>
      </c>
      <c r="J1674" s="14"/>
      <c r="K1674" s="26">
        <v>7.4463378999276255</v>
      </c>
    </row>
    <row r="1675" spans="1:11" ht="15.75" customHeight="1">
      <c r="A1675" s="77" t="s">
        <v>32</v>
      </c>
      <c r="B1675" s="76">
        <v>254.33604630767601</v>
      </c>
      <c r="C1675" s="25">
        <v>6</v>
      </c>
      <c r="D1675" s="77">
        <v>7.1999999999999995E-2</v>
      </c>
      <c r="E1675" s="76"/>
      <c r="F1675" s="76"/>
      <c r="G1675" s="76"/>
      <c r="H1675" s="78">
        <v>25</v>
      </c>
      <c r="I1675" s="77" t="s">
        <v>12</v>
      </c>
      <c r="J1675" s="14"/>
      <c r="K1675" s="26">
        <v>7.3973474164730728</v>
      </c>
    </row>
    <row r="1676" spans="1:11" ht="15.75" customHeight="1">
      <c r="A1676" s="77" t="s">
        <v>32</v>
      </c>
      <c r="B1676" s="76">
        <v>339.67581625068402</v>
      </c>
      <c r="C1676" s="25">
        <v>6</v>
      </c>
      <c r="D1676" s="77">
        <v>7.1999999999999995E-2</v>
      </c>
      <c r="E1676" s="76"/>
      <c r="F1676" s="76"/>
      <c r="G1676" s="76"/>
      <c r="H1676" s="78">
        <v>25</v>
      </c>
      <c r="I1676" s="77" t="s">
        <v>12</v>
      </c>
      <c r="J1676" s="14"/>
      <c r="K1676" s="26">
        <v>8.2535230065627037</v>
      </c>
    </row>
    <row r="1677" spans="1:11" ht="15.75" customHeight="1">
      <c r="A1677" s="77" t="s">
        <v>32</v>
      </c>
      <c r="B1677" s="76">
        <v>338.552839321997</v>
      </c>
      <c r="C1677" s="25">
        <v>6</v>
      </c>
      <c r="D1677" s="77">
        <v>7.1999999999999995E-2</v>
      </c>
      <c r="E1677" s="76"/>
      <c r="F1677" s="76"/>
      <c r="G1677" s="76"/>
      <c r="H1677" s="78">
        <v>25</v>
      </c>
      <c r="I1677" s="77" t="s">
        <v>12</v>
      </c>
      <c r="J1677" s="14"/>
      <c r="K1677" s="26">
        <v>8.1912262409768317</v>
      </c>
    </row>
    <row r="1678" spans="1:11" ht="15.75" customHeight="1">
      <c r="A1678" s="77" t="s">
        <v>32</v>
      </c>
      <c r="B1678" s="76">
        <v>337.429982331036</v>
      </c>
      <c r="C1678" s="25">
        <v>6</v>
      </c>
      <c r="D1678" s="77">
        <v>7.1999999999999995E-2</v>
      </c>
      <c r="E1678" s="76"/>
      <c r="F1678" s="76"/>
      <c r="G1678" s="76"/>
      <c r="H1678" s="78">
        <v>25</v>
      </c>
      <c r="I1678" s="77" t="s">
        <v>12</v>
      </c>
      <c r="J1678" s="14"/>
      <c r="K1678" s="26">
        <v>8.0737746874216167</v>
      </c>
    </row>
    <row r="1679" spans="1:11" ht="15.75" customHeight="1">
      <c r="A1679" s="77" t="s">
        <v>32</v>
      </c>
      <c r="B1679" s="76">
        <v>337.429982331036</v>
      </c>
      <c r="C1679" s="25">
        <v>6</v>
      </c>
      <c r="D1679" s="77">
        <v>7.1999999999999995E-2</v>
      </c>
      <c r="E1679" s="76"/>
      <c r="F1679" s="76"/>
      <c r="G1679" s="76"/>
      <c r="H1679" s="78">
        <v>25</v>
      </c>
      <c r="I1679" s="77" t="s">
        <v>12</v>
      </c>
      <c r="J1679" s="14"/>
      <c r="K1679" s="26">
        <v>8.0737746874216167</v>
      </c>
    </row>
    <row r="1680" spans="1:11" ht="15.75" customHeight="1">
      <c r="A1680" s="77" t="s">
        <v>32</v>
      </c>
      <c r="B1680" s="76">
        <v>337.429982331036</v>
      </c>
      <c r="C1680" s="25">
        <v>6</v>
      </c>
      <c r="D1680" s="77">
        <v>7.1999999999999995E-2</v>
      </c>
      <c r="E1680" s="76"/>
      <c r="F1680" s="76"/>
      <c r="G1680" s="76"/>
      <c r="H1680" s="78">
        <v>25</v>
      </c>
      <c r="I1680" s="77" t="s">
        <v>12</v>
      </c>
      <c r="J1680" s="14"/>
      <c r="K1680" s="26">
        <v>8.0184731252249453</v>
      </c>
    </row>
    <row r="1681" spans="1:11" ht="15.75" customHeight="1">
      <c r="A1681" s="77" t="s">
        <v>32</v>
      </c>
      <c r="B1681" s="76">
        <v>337.429982331036</v>
      </c>
      <c r="C1681" s="25">
        <v>6</v>
      </c>
      <c r="D1681" s="77">
        <v>7.1999999999999995E-2</v>
      </c>
      <c r="E1681" s="76"/>
      <c r="F1681" s="76"/>
      <c r="G1681" s="76"/>
      <c r="H1681" s="78">
        <v>25</v>
      </c>
      <c r="I1681" s="77" t="s">
        <v>12</v>
      </c>
      <c r="J1681" s="14"/>
      <c r="K1681" s="26">
        <v>8.0184731252249453</v>
      </c>
    </row>
    <row r="1682" spans="1:11" ht="15.75" customHeight="1">
      <c r="A1682" s="77" t="s">
        <v>32</v>
      </c>
      <c r="B1682" s="76">
        <v>337.429982331036</v>
      </c>
      <c r="C1682" s="25">
        <v>6</v>
      </c>
      <c r="D1682" s="77">
        <v>7.1999999999999995E-2</v>
      </c>
      <c r="E1682" s="76"/>
      <c r="F1682" s="76"/>
      <c r="G1682" s="76"/>
      <c r="H1682" s="78">
        <v>25</v>
      </c>
      <c r="I1682" s="77" t="s">
        <v>12</v>
      </c>
      <c r="J1682" s="14"/>
      <c r="K1682" s="26">
        <v>7.9623980519921798</v>
      </c>
    </row>
    <row r="1683" spans="1:11" ht="15.75" customHeight="1">
      <c r="A1683" s="77" t="s">
        <v>32</v>
      </c>
      <c r="B1683" s="76">
        <v>381.22272429350102</v>
      </c>
      <c r="C1683" s="25">
        <v>6</v>
      </c>
      <c r="D1683" s="77">
        <v>7.1999999999999995E-2</v>
      </c>
      <c r="E1683" s="76"/>
      <c r="F1683" s="76"/>
      <c r="G1683" s="76"/>
      <c r="H1683" s="78">
        <v>25</v>
      </c>
      <c r="I1683" s="77" t="s">
        <v>12</v>
      </c>
      <c r="J1683" s="14"/>
      <c r="K1683" s="26">
        <v>8.4657668575116567</v>
      </c>
    </row>
    <row r="1684" spans="1:11" ht="15.75" customHeight="1">
      <c r="A1684" s="77" t="s">
        <v>32</v>
      </c>
      <c r="B1684" s="76">
        <v>378.97701031157902</v>
      </c>
      <c r="C1684" s="25">
        <v>6</v>
      </c>
      <c r="D1684" s="77">
        <v>7.1999999999999995E-2</v>
      </c>
      <c r="E1684" s="76"/>
      <c r="F1684" s="76"/>
      <c r="G1684" s="76"/>
      <c r="H1684" s="78">
        <v>25</v>
      </c>
      <c r="I1684" s="77" t="s">
        <v>12</v>
      </c>
      <c r="J1684" s="14"/>
      <c r="K1684" s="26">
        <v>8.392403526207648</v>
      </c>
    </row>
    <row r="1685" spans="1:11" ht="15.75" customHeight="1">
      <c r="A1685" s="77" t="s">
        <v>32</v>
      </c>
      <c r="B1685" s="76">
        <v>92.840683114082395</v>
      </c>
      <c r="C1685" s="25">
        <v>2</v>
      </c>
      <c r="D1685" s="77">
        <v>3.6999999999999998E-2</v>
      </c>
      <c r="E1685" s="76"/>
      <c r="F1685" s="76"/>
      <c r="G1685" s="76"/>
      <c r="H1685" s="78">
        <v>25</v>
      </c>
      <c r="I1685" s="77" t="s">
        <v>12</v>
      </c>
      <c r="J1685" s="14"/>
      <c r="K1685" s="26">
        <v>4.6029274687505914</v>
      </c>
    </row>
    <row r="1686" spans="1:11" ht="15.75" customHeight="1">
      <c r="A1686" s="77" t="s">
        <v>32</v>
      </c>
      <c r="B1686" s="76">
        <v>91.359160915503494</v>
      </c>
      <c r="C1686" s="25">
        <v>2</v>
      </c>
      <c r="D1686" s="77">
        <v>3.6999999999999998E-2</v>
      </c>
      <c r="E1686" s="76"/>
      <c r="F1686" s="76"/>
      <c r="G1686" s="76"/>
      <c r="H1686" s="78">
        <v>25</v>
      </c>
      <c r="I1686" s="77" t="s">
        <v>12</v>
      </c>
      <c r="J1686" s="14"/>
      <c r="K1686" s="26">
        <v>4.5315913165492292</v>
      </c>
    </row>
    <row r="1687" spans="1:11" ht="15.75" customHeight="1">
      <c r="A1687" s="77" t="s">
        <v>32</v>
      </c>
      <c r="B1687" s="76">
        <v>140.247901502644</v>
      </c>
      <c r="C1687" s="25">
        <v>2</v>
      </c>
      <c r="D1687" s="77">
        <v>3.6999999999999998E-2</v>
      </c>
      <c r="E1687" s="76"/>
      <c r="F1687" s="76"/>
      <c r="G1687" s="76"/>
      <c r="H1687" s="78">
        <v>25</v>
      </c>
      <c r="I1687" s="77" t="s">
        <v>12</v>
      </c>
      <c r="J1687" s="14"/>
      <c r="K1687" s="26">
        <v>5.058807638481551</v>
      </c>
    </row>
    <row r="1688" spans="1:11" ht="15.75" customHeight="1">
      <c r="A1688" s="77" t="s">
        <v>32</v>
      </c>
      <c r="B1688" s="76">
        <v>139.507208219989</v>
      </c>
      <c r="C1688" s="25">
        <v>2</v>
      </c>
      <c r="D1688" s="77">
        <v>3.6999999999999998E-2</v>
      </c>
      <c r="E1688" s="76"/>
      <c r="F1688" s="76"/>
      <c r="G1688" s="76"/>
      <c r="H1688" s="78">
        <v>25</v>
      </c>
      <c r="I1688" s="77" t="s">
        <v>12</v>
      </c>
      <c r="J1688" s="14"/>
      <c r="K1688" s="26">
        <v>4.9911612645165482</v>
      </c>
    </row>
    <row r="1689" spans="1:11" ht="15.75" customHeight="1">
      <c r="A1689" s="77" t="s">
        <v>32</v>
      </c>
      <c r="B1689" s="76">
        <v>92.205715964705107</v>
      </c>
      <c r="C1689" s="25">
        <v>2</v>
      </c>
      <c r="D1689" s="77">
        <v>5.1999999999999998E-2</v>
      </c>
      <c r="E1689" s="76"/>
      <c r="F1689" s="76"/>
      <c r="G1689" s="76"/>
      <c r="H1689" s="78">
        <v>25</v>
      </c>
      <c r="I1689" s="77" t="s">
        <v>12</v>
      </c>
      <c r="J1689" s="14"/>
      <c r="K1689" s="76">
        <v>4.6383369678758601</v>
      </c>
    </row>
    <row r="1690" spans="1:11" ht="15.75" customHeight="1">
      <c r="A1690" s="77" t="s">
        <v>32</v>
      </c>
      <c r="B1690" s="76">
        <v>139.82462397804301</v>
      </c>
      <c r="C1690" s="25">
        <v>2</v>
      </c>
      <c r="D1690" s="77">
        <v>5.1999999999999998E-2</v>
      </c>
      <c r="E1690" s="76"/>
      <c r="F1690" s="76"/>
      <c r="G1690" s="76"/>
      <c r="H1690" s="78">
        <v>25</v>
      </c>
      <c r="I1690" s="77" t="s">
        <v>12</v>
      </c>
      <c r="J1690" s="14"/>
      <c r="K1690" s="76">
        <v>5.3806400995383665</v>
      </c>
    </row>
    <row r="1691" spans="1:11" ht="15.75" customHeight="1">
      <c r="A1691" s="77" t="s">
        <v>32</v>
      </c>
      <c r="B1691" s="76">
        <v>139.189724645301</v>
      </c>
      <c r="C1691" s="25">
        <v>2</v>
      </c>
      <c r="D1691" s="77">
        <v>5.1999999999999998E-2</v>
      </c>
      <c r="E1691" s="76"/>
      <c r="F1691" s="76"/>
      <c r="G1691" s="76"/>
      <c r="H1691" s="78">
        <v>25</v>
      </c>
      <c r="I1691" s="77" t="s">
        <v>12</v>
      </c>
      <c r="J1691" s="14"/>
      <c r="K1691" s="76">
        <v>5.268137248908153</v>
      </c>
    </row>
    <row r="1692" spans="1:11" ht="15.75" customHeight="1">
      <c r="A1692" s="77" t="s">
        <v>32</v>
      </c>
      <c r="B1692" s="76">
        <v>139.82462397804301</v>
      </c>
      <c r="C1692" s="25">
        <v>2</v>
      </c>
      <c r="D1692" s="77">
        <v>5.1999999999999998E-2</v>
      </c>
      <c r="E1692" s="76"/>
      <c r="F1692" s="76"/>
      <c r="G1692" s="76"/>
      <c r="H1692" s="78">
        <v>25</v>
      </c>
      <c r="I1692" s="77" t="s">
        <v>12</v>
      </c>
      <c r="J1692" s="14"/>
      <c r="K1692" s="76">
        <v>5.2222932489418383</v>
      </c>
    </row>
    <row r="1693" spans="1:11" ht="15.75" customHeight="1">
      <c r="A1693" s="77" t="s">
        <v>32</v>
      </c>
      <c r="B1693" s="76">
        <v>139.189724645301</v>
      </c>
      <c r="C1693" s="25">
        <v>2</v>
      </c>
      <c r="D1693" s="77">
        <v>5.1999999999999998E-2</v>
      </c>
      <c r="E1693" s="76"/>
      <c r="F1693" s="76"/>
      <c r="G1693" s="76"/>
      <c r="H1693" s="78">
        <v>25</v>
      </c>
      <c r="I1693" s="77" t="s">
        <v>12</v>
      </c>
      <c r="J1693" s="14"/>
      <c r="K1693" s="76">
        <v>5.1594847397577261</v>
      </c>
    </row>
    <row r="1694" spans="1:11" ht="15.75" customHeight="1">
      <c r="A1694" s="77" t="s">
        <v>32</v>
      </c>
      <c r="B1694" s="76">
        <v>188.078465232442</v>
      </c>
      <c r="C1694" s="25">
        <v>2</v>
      </c>
      <c r="D1694" s="77">
        <v>5.1999999999999998E-2</v>
      </c>
      <c r="E1694" s="76"/>
      <c r="F1694" s="76"/>
      <c r="G1694" s="76"/>
      <c r="H1694" s="78">
        <v>25</v>
      </c>
      <c r="I1694" s="77" t="s">
        <v>12</v>
      </c>
      <c r="J1694" s="14"/>
      <c r="K1694" s="76">
        <v>5.7040540367566352</v>
      </c>
    </row>
    <row r="1695" spans="1:11" ht="15.75" customHeight="1">
      <c r="A1695" s="77" t="s">
        <v>32</v>
      </c>
      <c r="B1695" s="76">
        <v>188.078465232442</v>
      </c>
      <c r="C1695" s="25">
        <v>2</v>
      </c>
      <c r="D1695" s="77">
        <v>5.1999999999999998E-2</v>
      </c>
      <c r="E1695" s="76"/>
      <c r="F1695" s="76"/>
      <c r="G1695" s="76"/>
      <c r="H1695" s="78">
        <v>25</v>
      </c>
      <c r="I1695" s="77" t="s">
        <v>12</v>
      </c>
      <c r="J1695" s="14"/>
      <c r="K1695" s="76">
        <v>5.6420485385097114</v>
      </c>
    </row>
    <row r="1696" spans="1:11" ht="15.75" customHeight="1">
      <c r="A1696" s="77" t="s">
        <v>32</v>
      </c>
      <c r="B1696" s="76">
        <v>188.078465232442</v>
      </c>
      <c r="C1696" s="25">
        <v>2</v>
      </c>
      <c r="D1696" s="77">
        <v>5.1999999999999998E-2</v>
      </c>
      <c r="E1696" s="76"/>
      <c r="F1696" s="76"/>
      <c r="G1696" s="76"/>
      <c r="H1696" s="78">
        <v>25</v>
      </c>
      <c r="I1696" s="77" t="s">
        <v>12</v>
      </c>
      <c r="J1696" s="14"/>
      <c r="K1696" s="76">
        <v>5.5786493682031004</v>
      </c>
    </row>
    <row r="1697" spans="1:11" ht="15.75" customHeight="1">
      <c r="A1697" s="77" t="s">
        <v>32</v>
      </c>
      <c r="B1697" s="76">
        <v>235.06244000472</v>
      </c>
      <c r="C1697" s="25">
        <v>2</v>
      </c>
      <c r="D1697" s="77">
        <v>5.1999999999999998E-2</v>
      </c>
      <c r="E1697" s="76"/>
      <c r="F1697" s="76"/>
      <c r="G1697" s="76"/>
      <c r="H1697" s="78">
        <v>25</v>
      </c>
      <c r="I1697" s="77" t="s">
        <v>12</v>
      </c>
      <c r="J1697" s="14"/>
      <c r="K1697" s="76">
        <v>6.0091141642467329</v>
      </c>
    </row>
    <row r="1698" spans="1:11" ht="15.75" customHeight="1">
      <c r="A1698" s="77" t="s">
        <v>32</v>
      </c>
      <c r="B1698" s="76">
        <v>235.69733933746301</v>
      </c>
      <c r="C1698" s="25">
        <v>2</v>
      </c>
      <c r="D1698" s="77">
        <v>5.1999999999999998E-2</v>
      </c>
      <c r="E1698" s="76"/>
      <c r="F1698" s="76"/>
      <c r="G1698" s="76"/>
      <c r="H1698" s="78">
        <v>25</v>
      </c>
      <c r="I1698" s="77" t="s">
        <v>12</v>
      </c>
      <c r="J1698" s="14"/>
      <c r="K1698" s="76">
        <v>5.9445768547920466</v>
      </c>
    </row>
    <row r="1699" spans="1:11" ht="15.75" customHeight="1">
      <c r="A1699" s="77" t="s">
        <v>32</v>
      </c>
      <c r="B1699" s="76">
        <v>235.06244000472</v>
      </c>
      <c r="C1699" s="25">
        <v>2</v>
      </c>
      <c r="D1699" s="77">
        <v>5.1999999999999998E-2</v>
      </c>
      <c r="E1699" s="76"/>
      <c r="F1699" s="76"/>
      <c r="G1699" s="76"/>
      <c r="H1699" s="78">
        <v>25</v>
      </c>
      <c r="I1699" s="77" t="s">
        <v>12</v>
      </c>
      <c r="J1699" s="14"/>
      <c r="K1699" s="76">
        <v>5.8676703984511338</v>
      </c>
    </row>
    <row r="1700" spans="1:11" ht="15.75" customHeight="1">
      <c r="A1700" s="77" t="s">
        <v>32</v>
      </c>
      <c r="B1700" s="76">
        <v>92.840683114082395</v>
      </c>
      <c r="C1700" s="25">
        <v>2</v>
      </c>
      <c r="D1700" s="77">
        <v>7.1999999999999995E-2</v>
      </c>
      <c r="E1700" s="76"/>
      <c r="F1700" s="76"/>
      <c r="G1700" s="76"/>
      <c r="H1700" s="78">
        <v>25</v>
      </c>
      <c r="I1700" s="77" t="s">
        <v>12</v>
      </c>
      <c r="J1700" s="14"/>
      <c r="K1700" s="76">
        <v>4.9077543346955892</v>
      </c>
    </row>
    <row r="1701" spans="1:11" ht="15.75" customHeight="1">
      <c r="A1701" s="77" t="s">
        <v>32</v>
      </c>
      <c r="B1701" s="76">
        <v>92.099922014792895</v>
      </c>
      <c r="C1701" s="25">
        <v>2</v>
      </c>
      <c r="D1701" s="77">
        <v>7.1999999999999995E-2</v>
      </c>
      <c r="E1701" s="76"/>
      <c r="F1701" s="76"/>
      <c r="G1701" s="76"/>
      <c r="H1701" s="78">
        <v>25</v>
      </c>
      <c r="I1701" s="77" t="s">
        <v>12</v>
      </c>
      <c r="J1701" s="14"/>
      <c r="K1701" s="76">
        <v>4.8535331354296147</v>
      </c>
    </row>
    <row r="1702" spans="1:11" ht="15.75" customHeight="1">
      <c r="A1702" s="77" t="s">
        <v>32</v>
      </c>
      <c r="B1702" s="76">
        <v>140.98866260193299</v>
      </c>
      <c r="C1702" s="25">
        <v>2</v>
      </c>
      <c r="D1702" s="77">
        <v>7.1999999999999995E-2</v>
      </c>
      <c r="E1702" s="76"/>
      <c r="F1702" s="76"/>
      <c r="G1702" s="76"/>
      <c r="H1702" s="78">
        <v>25</v>
      </c>
      <c r="I1702" s="77" t="s">
        <v>12</v>
      </c>
      <c r="J1702" s="14"/>
      <c r="K1702" s="76">
        <v>5.4464343483907642</v>
      </c>
    </row>
    <row r="1703" spans="1:11" ht="15.75" customHeight="1">
      <c r="A1703" s="77" t="s">
        <v>32</v>
      </c>
      <c r="B1703" s="76">
        <v>140.98866260193299</v>
      </c>
      <c r="C1703" s="25">
        <v>2</v>
      </c>
      <c r="D1703" s="77">
        <v>7.1999999999999995E-2</v>
      </c>
      <c r="E1703" s="76"/>
      <c r="F1703" s="76"/>
      <c r="G1703" s="76"/>
      <c r="H1703" s="78">
        <v>25</v>
      </c>
      <c r="I1703" s="77" t="s">
        <v>12</v>
      </c>
      <c r="J1703" s="14"/>
      <c r="K1703" s="76">
        <v>5.3955301146138357</v>
      </c>
    </row>
    <row r="1704" spans="1:11" ht="15.75" customHeight="1">
      <c r="A1704" s="77" t="s">
        <v>32</v>
      </c>
      <c r="B1704" s="76">
        <v>188.39594880713</v>
      </c>
      <c r="C1704" s="25">
        <v>2</v>
      </c>
      <c r="D1704" s="77">
        <v>7.1999999999999995E-2</v>
      </c>
      <c r="E1704" s="76"/>
      <c r="F1704" s="76"/>
      <c r="G1704" s="76"/>
      <c r="H1704" s="78">
        <v>25</v>
      </c>
      <c r="I1704" s="77" t="s">
        <v>12</v>
      </c>
      <c r="J1704" s="14"/>
      <c r="K1704" s="76">
        <v>5.8857281811887914</v>
      </c>
    </row>
    <row r="1705" spans="1:11" ht="15.75" customHeight="1">
      <c r="A1705" s="77" t="s">
        <v>32</v>
      </c>
      <c r="B1705" s="76">
        <v>186.17373332589699</v>
      </c>
      <c r="C1705" s="25">
        <v>2</v>
      </c>
      <c r="D1705" s="77">
        <v>7.1999999999999995E-2</v>
      </c>
      <c r="E1705" s="76"/>
      <c r="F1705" s="76"/>
      <c r="G1705" s="76"/>
      <c r="H1705" s="78">
        <v>25</v>
      </c>
      <c r="I1705" s="77" t="s">
        <v>12</v>
      </c>
      <c r="J1705" s="14"/>
      <c r="K1705" s="76">
        <v>5.8044466648890687</v>
      </c>
    </row>
    <row r="1706" spans="1:11" ht="15.75" customHeight="1">
      <c r="A1706" s="77" t="s">
        <v>32</v>
      </c>
      <c r="B1706" s="76">
        <v>234.32171281374801</v>
      </c>
      <c r="C1706" s="25">
        <v>2</v>
      </c>
      <c r="D1706" s="77">
        <v>7.1999999999999995E-2</v>
      </c>
      <c r="E1706" s="76"/>
      <c r="F1706" s="76"/>
      <c r="G1706" s="76"/>
      <c r="H1706" s="78">
        <v>25</v>
      </c>
      <c r="I1706" s="77" t="s">
        <v>12</v>
      </c>
      <c r="J1706" s="14"/>
      <c r="K1706" s="76">
        <v>6.2669880532477826</v>
      </c>
    </row>
    <row r="1707" spans="1:11" ht="15.75" customHeight="1">
      <c r="A1707" s="77" t="s">
        <v>32</v>
      </c>
      <c r="B1707" s="76">
        <v>237.284689394271</v>
      </c>
      <c r="C1707" s="25">
        <v>2</v>
      </c>
      <c r="D1707" s="77">
        <v>7.1999999999999995E-2</v>
      </c>
      <c r="E1707" s="76"/>
      <c r="F1707" s="76"/>
      <c r="G1707" s="76"/>
      <c r="H1707" s="78">
        <v>25</v>
      </c>
      <c r="I1707" s="77" t="s">
        <v>12</v>
      </c>
      <c r="J1707" s="14"/>
      <c r="K1707" s="76">
        <v>6.2290708998355022</v>
      </c>
    </row>
    <row r="1708" spans="1:11" ht="15.75" customHeight="1">
      <c r="A1708" s="77" t="s">
        <v>32</v>
      </c>
      <c r="B1708" s="76">
        <v>235.06247391303799</v>
      </c>
      <c r="C1708" s="25">
        <v>2</v>
      </c>
      <c r="D1708" s="77">
        <v>7.1999999999999995E-2</v>
      </c>
      <c r="E1708" s="76"/>
      <c r="F1708" s="76"/>
      <c r="G1708" s="76"/>
      <c r="H1708" s="78">
        <v>25</v>
      </c>
      <c r="I1708" s="77" t="s">
        <v>12</v>
      </c>
      <c r="J1708" s="14"/>
      <c r="K1708" s="76">
        <v>6.1441957168729662</v>
      </c>
    </row>
    <row r="1709" spans="1:11" ht="15.75" customHeight="1">
      <c r="A1709" s="77" t="s">
        <v>32</v>
      </c>
      <c r="B1709" s="76">
        <v>281.72899901894499</v>
      </c>
      <c r="C1709" s="25">
        <v>2</v>
      </c>
      <c r="D1709" s="77">
        <v>7.1999999999999995E-2</v>
      </c>
      <c r="E1709" s="76"/>
      <c r="F1709" s="76"/>
      <c r="G1709" s="76"/>
      <c r="H1709" s="78">
        <v>25</v>
      </c>
      <c r="I1709" s="77" t="s">
        <v>12</v>
      </c>
      <c r="J1709" s="14"/>
      <c r="K1709" s="76">
        <v>6.4555657892376139</v>
      </c>
    </row>
    <row r="1710" spans="1:11" ht="15.75" customHeight="1">
      <c r="A1710" s="77" t="s">
        <v>32</v>
      </c>
      <c r="B1710" s="76">
        <v>283.95121450017899</v>
      </c>
      <c r="C1710" s="25">
        <v>2</v>
      </c>
      <c r="D1710" s="77">
        <v>7.1999999999999995E-2</v>
      </c>
      <c r="E1710" s="76"/>
      <c r="F1710" s="76"/>
      <c r="G1710" s="76"/>
      <c r="H1710" s="78">
        <v>25</v>
      </c>
      <c r="I1710" s="77" t="s">
        <v>12</v>
      </c>
      <c r="J1710" s="14"/>
      <c r="K1710" s="76">
        <v>6.3997638945366795</v>
      </c>
    </row>
    <row r="1711" spans="1:11" ht="15.75" customHeight="1">
      <c r="A1711" s="77" t="s">
        <v>32</v>
      </c>
      <c r="B1711" s="76">
        <v>279.50678353771099</v>
      </c>
      <c r="C1711" s="25">
        <v>2</v>
      </c>
      <c r="D1711" s="77">
        <v>7.1999999999999995E-2</v>
      </c>
      <c r="E1711" s="76"/>
      <c r="F1711" s="76"/>
      <c r="G1711" s="76"/>
      <c r="H1711" s="78">
        <v>25</v>
      </c>
      <c r="I1711" s="77" t="s">
        <v>12</v>
      </c>
      <c r="J1711" s="14"/>
      <c r="K1711" s="76">
        <v>6.2921659815930999</v>
      </c>
    </row>
    <row r="1712" spans="1:11" ht="15.75" customHeight="1">
      <c r="A1712" s="77" t="s">
        <v>32</v>
      </c>
      <c r="B1712" s="76">
        <v>329.876978506797</v>
      </c>
      <c r="C1712" s="25">
        <v>2</v>
      </c>
      <c r="D1712" s="77">
        <v>7.1999999999999995E-2</v>
      </c>
      <c r="E1712" s="76"/>
      <c r="F1712" s="76"/>
      <c r="G1712" s="76"/>
      <c r="H1712" s="78">
        <v>25</v>
      </c>
      <c r="I1712" s="77" t="s">
        <v>12</v>
      </c>
      <c r="J1712" s="14"/>
      <c r="K1712" s="76">
        <v>6.7277014531571222</v>
      </c>
    </row>
    <row r="1713" spans="1:11" ht="15.75" customHeight="1">
      <c r="A1713" s="77" t="s">
        <v>32</v>
      </c>
      <c r="B1713" s="76">
        <v>329.876978506797</v>
      </c>
      <c r="C1713" s="25">
        <v>2</v>
      </c>
      <c r="D1713" s="77">
        <v>7.1999999999999995E-2</v>
      </c>
      <c r="E1713" s="76"/>
      <c r="F1713" s="76"/>
      <c r="G1713" s="76"/>
      <c r="H1713" s="78">
        <v>25</v>
      </c>
      <c r="I1713" s="77" t="s">
        <v>12</v>
      </c>
      <c r="J1713" s="14"/>
      <c r="K1713" s="76">
        <v>6.6494652725694294</v>
      </c>
    </row>
    <row r="1714" spans="1:11" ht="15.75" customHeight="1">
      <c r="A1714" s="77" t="s">
        <v>32</v>
      </c>
      <c r="B1714" s="76">
        <v>329.876978506797</v>
      </c>
      <c r="C1714" s="25">
        <v>2</v>
      </c>
      <c r="D1714" s="77">
        <v>7.1999999999999995E-2</v>
      </c>
      <c r="E1714" s="76"/>
      <c r="F1714" s="76"/>
      <c r="G1714" s="76"/>
      <c r="H1714" s="78">
        <v>25</v>
      </c>
      <c r="I1714" s="77" t="s">
        <v>12</v>
      </c>
      <c r="J1714" s="14"/>
      <c r="K1714" s="76">
        <v>6.5693434318792301</v>
      </c>
    </row>
    <row r="1715" spans="1:11" ht="15.75" customHeight="1">
      <c r="A1715" s="77" t="s">
        <v>33</v>
      </c>
      <c r="B1715" s="76">
        <v>15.42</v>
      </c>
      <c r="C1715" s="76">
        <v>1.1100000000000001</v>
      </c>
      <c r="D1715" s="26">
        <v>4.8899999999999999E-2</v>
      </c>
      <c r="E1715" s="78">
        <v>1.33</v>
      </c>
      <c r="F1715" s="80">
        <v>966</v>
      </c>
      <c r="G1715" s="76"/>
      <c r="H1715" s="80">
        <v>25</v>
      </c>
      <c r="I1715" s="77" t="s">
        <v>14</v>
      </c>
      <c r="J1715" s="14">
        <v>1.1639999999999999</v>
      </c>
      <c r="K1715" s="76">
        <v>5.5196743664943728</v>
      </c>
    </row>
    <row r="1716" spans="1:11" ht="15.75" customHeight="1">
      <c r="A1716" s="77" t="s">
        <v>33</v>
      </c>
      <c r="B1716" s="76">
        <v>15.42</v>
      </c>
      <c r="C1716" s="76">
        <v>1.1100000000000001</v>
      </c>
      <c r="D1716" s="26">
        <v>4.8899999999999999E-2</v>
      </c>
      <c r="E1716" s="78">
        <v>1.33</v>
      </c>
      <c r="F1716" s="80">
        <v>966</v>
      </c>
      <c r="G1716" s="76"/>
      <c r="H1716" s="80">
        <v>25</v>
      </c>
      <c r="I1716" s="77" t="s">
        <v>14</v>
      </c>
      <c r="J1716" s="14">
        <v>1.1639999999999999</v>
      </c>
      <c r="K1716" s="76">
        <v>5.594635318762573</v>
      </c>
    </row>
    <row r="1717" spans="1:11" ht="15.75" customHeight="1">
      <c r="A1717" s="77" t="s">
        <v>33</v>
      </c>
      <c r="B1717" s="76">
        <v>41.879999999999995</v>
      </c>
      <c r="C1717" s="76">
        <v>1.45</v>
      </c>
      <c r="D1717" s="26">
        <v>4.8899999999999999E-2</v>
      </c>
      <c r="E1717" s="78">
        <v>1.33</v>
      </c>
      <c r="F1717" s="80">
        <v>966</v>
      </c>
      <c r="G1717" s="76"/>
      <c r="H1717" s="80">
        <v>25</v>
      </c>
      <c r="I1717" s="77" t="s">
        <v>14</v>
      </c>
      <c r="J1717" s="14">
        <v>1.1639999999999999</v>
      </c>
      <c r="K1717" s="76">
        <v>8.3964668268495881</v>
      </c>
    </row>
    <row r="1718" spans="1:11" ht="15.75" customHeight="1">
      <c r="A1718" s="77" t="s">
        <v>33</v>
      </c>
      <c r="B1718" s="76">
        <v>41.879999999999995</v>
      </c>
      <c r="C1718" s="76">
        <v>1.45</v>
      </c>
      <c r="D1718" s="26">
        <v>4.8899999999999999E-2</v>
      </c>
      <c r="E1718" s="78">
        <v>1.33</v>
      </c>
      <c r="F1718" s="80">
        <v>966</v>
      </c>
      <c r="G1718" s="76"/>
      <c r="H1718" s="80">
        <v>25</v>
      </c>
      <c r="I1718" s="77" t="s">
        <v>14</v>
      </c>
      <c r="J1718" s="14">
        <v>1.1639999999999999</v>
      </c>
      <c r="K1718" s="76">
        <v>8.6175273161791672</v>
      </c>
    </row>
    <row r="1719" spans="1:11" ht="15.75" customHeight="1">
      <c r="A1719" s="77" t="s">
        <v>33</v>
      </c>
      <c r="B1719" s="76">
        <v>48.18</v>
      </c>
      <c r="C1719" s="76">
        <v>1.99</v>
      </c>
      <c r="D1719" s="26">
        <v>4.8899999999999999E-2</v>
      </c>
      <c r="E1719" s="78">
        <v>1.33</v>
      </c>
      <c r="F1719" s="80">
        <v>966</v>
      </c>
      <c r="G1719" s="76"/>
      <c r="H1719" s="80">
        <v>25</v>
      </c>
      <c r="I1719" s="77" t="s">
        <v>14</v>
      </c>
      <c r="J1719" s="14">
        <v>1.1639999999999999</v>
      </c>
      <c r="K1719" s="76">
        <v>8.3870005510767278</v>
      </c>
    </row>
    <row r="1720" spans="1:11" ht="15.75" customHeight="1">
      <c r="A1720" s="77" t="s">
        <v>33</v>
      </c>
      <c r="B1720" s="76">
        <v>48.18</v>
      </c>
      <c r="C1720" s="76">
        <v>1.99</v>
      </c>
      <c r="D1720" s="26">
        <v>4.8899999999999999E-2</v>
      </c>
      <c r="E1720" s="78">
        <v>1.33</v>
      </c>
      <c r="F1720" s="80">
        <v>966</v>
      </c>
      <c r="G1720" s="76"/>
      <c r="H1720" s="80">
        <v>25</v>
      </c>
      <c r="I1720" s="77" t="s">
        <v>14</v>
      </c>
      <c r="J1720" s="14">
        <v>1.1639999999999999</v>
      </c>
      <c r="K1720" s="76">
        <v>8.5950271417932118</v>
      </c>
    </row>
    <row r="1721" spans="1:11" ht="15.75" customHeight="1">
      <c r="A1721" s="77" t="s">
        <v>33</v>
      </c>
      <c r="B1721" s="80">
        <v>300</v>
      </c>
      <c r="C1721" s="78">
        <v>1.64</v>
      </c>
      <c r="D1721" s="26">
        <v>6.5099999999999991E-2</v>
      </c>
      <c r="E1721" s="82">
        <v>19.5</v>
      </c>
      <c r="F1721" s="80">
        <v>1190</v>
      </c>
      <c r="G1721" s="26"/>
      <c r="H1721" s="80">
        <v>21.600000000000023</v>
      </c>
      <c r="I1721" s="77" t="s">
        <v>14</v>
      </c>
      <c r="J1721" s="14">
        <v>1.1639999999999999</v>
      </c>
      <c r="K1721" s="80">
        <v>8.1262871034962707</v>
      </c>
    </row>
    <row r="1722" spans="1:11" ht="15.75" customHeight="1">
      <c r="A1722" s="77" t="s">
        <v>33</v>
      </c>
      <c r="B1722" s="80">
        <v>300</v>
      </c>
      <c r="C1722" s="78">
        <v>1.64</v>
      </c>
      <c r="D1722" s="26">
        <v>6.5099999999999991E-2</v>
      </c>
      <c r="E1722" s="82">
        <v>19.5</v>
      </c>
      <c r="F1722" s="80">
        <v>1190</v>
      </c>
      <c r="G1722" s="26"/>
      <c r="H1722" s="80">
        <v>21.600000000000023</v>
      </c>
      <c r="I1722" s="77" t="s">
        <v>14</v>
      </c>
      <c r="J1722" s="14">
        <v>1.1639999999999999</v>
      </c>
      <c r="K1722" s="80">
        <v>9.6232902731247929</v>
      </c>
    </row>
    <row r="1723" spans="1:11" ht="15.75" customHeight="1">
      <c r="A1723" s="77" t="s">
        <v>33</v>
      </c>
      <c r="B1723" s="80">
        <v>300</v>
      </c>
      <c r="C1723" s="78">
        <v>1.64</v>
      </c>
      <c r="D1723" s="26">
        <v>6.5099999999999991E-2</v>
      </c>
      <c r="E1723" s="82">
        <v>19.5</v>
      </c>
      <c r="F1723" s="80">
        <v>1190</v>
      </c>
      <c r="G1723" s="26"/>
      <c r="H1723" s="80">
        <v>21.600000000000023</v>
      </c>
      <c r="I1723" s="77" t="s">
        <v>14</v>
      </c>
      <c r="J1723" s="14">
        <v>1.1639999999999999</v>
      </c>
      <c r="K1723" s="80">
        <v>10.335511429120942</v>
      </c>
    </row>
    <row r="1724" spans="1:11" ht="15.75" customHeight="1">
      <c r="A1724" s="77" t="s">
        <v>33</v>
      </c>
      <c r="B1724" s="80">
        <v>300</v>
      </c>
      <c r="C1724" s="78">
        <v>1.64</v>
      </c>
      <c r="D1724" s="26">
        <v>6.5099999999999991E-2</v>
      </c>
      <c r="E1724" s="82">
        <v>19.5</v>
      </c>
      <c r="F1724" s="80">
        <v>1190</v>
      </c>
      <c r="G1724" s="26"/>
      <c r="H1724" s="80">
        <v>21.600000000000023</v>
      </c>
      <c r="I1724" s="77" t="s">
        <v>14</v>
      </c>
      <c r="J1724" s="14">
        <v>1.1639999999999999</v>
      </c>
      <c r="K1724" s="80">
        <v>9.8916864878592605</v>
      </c>
    </row>
    <row r="1725" spans="1:11" ht="15.75" customHeight="1">
      <c r="A1725" s="77" t="s">
        <v>33</v>
      </c>
      <c r="B1725" s="80">
        <v>60</v>
      </c>
      <c r="C1725" s="78">
        <v>1.64</v>
      </c>
      <c r="D1725" s="26">
        <v>6.5099999999999991E-2</v>
      </c>
      <c r="E1725" s="82">
        <v>19.5</v>
      </c>
      <c r="F1725" s="80">
        <v>1190</v>
      </c>
      <c r="G1725" s="26"/>
      <c r="H1725" s="80">
        <v>21.600000000000023</v>
      </c>
      <c r="I1725" s="77" t="s">
        <v>14</v>
      </c>
      <c r="J1725" s="14">
        <v>1.1639999999999999</v>
      </c>
      <c r="K1725" s="80">
        <v>5.5600983664080124</v>
      </c>
    </row>
    <row r="1726" spans="1:11" ht="15.75" customHeight="1">
      <c r="A1726" s="77" t="s">
        <v>33</v>
      </c>
      <c r="B1726" s="80">
        <v>60</v>
      </c>
      <c r="C1726" s="78">
        <v>1.64</v>
      </c>
      <c r="D1726" s="26">
        <v>6.5099999999999991E-2</v>
      </c>
      <c r="E1726" s="82">
        <v>19.5</v>
      </c>
      <c r="F1726" s="80">
        <v>1190</v>
      </c>
      <c r="G1726" s="26"/>
      <c r="H1726" s="80">
        <v>21.600000000000023</v>
      </c>
      <c r="I1726" s="77" t="s">
        <v>14</v>
      </c>
      <c r="J1726" s="14">
        <v>1.1639999999999999</v>
      </c>
      <c r="K1726" s="80">
        <v>8.9810255570333872</v>
      </c>
    </row>
    <row r="1727" spans="1:11" ht="15.75" customHeight="1">
      <c r="A1727" s="77" t="s">
        <v>33</v>
      </c>
      <c r="B1727" s="80">
        <v>60</v>
      </c>
      <c r="C1727" s="78">
        <v>1.64</v>
      </c>
      <c r="D1727" s="26">
        <v>6.5099999999999991E-2</v>
      </c>
      <c r="E1727" s="82">
        <v>19.5</v>
      </c>
      <c r="F1727" s="80">
        <v>1190</v>
      </c>
      <c r="G1727" s="26"/>
      <c r="H1727" s="80">
        <v>21.600000000000023</v>
      </c>
      <c r="I1727" s="77" t="s">
        <v>14</v>
      </c>
      <c r="J1727" s="14">
        <v>1.1639999999999999</v>
      </c>
      <c r="K1727" s="80">
        <v>10.19447931962517</v>
      </c>
    </row>
    <row r="1728" spans="1:11" ht="15.75" customHeight="1">
      <c r="A1728" s="77" t="s">
        <v>33</v>
      </c>
      <c r="B1728" s="80">
        <v>60</v>
      </c>
      <c r="C1728" s="78">
        <v>1.64</v>
      </c>
      <c r="D1728" s="26">
        <v>6.5099999999999991E-2</v>
      </c>
      <c r="E1728" s="82">
        <v>19.5</v>
      </c>
      <c r="F1728" s="80">
        <v>1190</v>
      </c>
      <c r="G1728" s="26"/>
      <c r="H1728" s="80">
        <v>21.600000000000023</v>
      </c>
      <c r="I1728" s="77" t="s">
        <v>14</v>
      </c>
      <c r="J1728" s="14">
        <v>1.1639999999999999</v>
      </c>
      <c r="K1728" s="80">
        <v>10.467431653007436</v>
      </c>
    </row>
    <row r="1729" spans="1:11" ht="15.75" customHeight="1">
      <c r="A1729" s="77" t="s">
        <v>33</v>
      </c>
      <c r="B1729" s="80">
        <v>30</v>
      </c>
      <c r="C1729" s="78">
        <v>1.64</v>
      </c>
      <c r="D1729" s="26">
        <v>6.5099999999999991E-2</v>
      </c>
      <c r="E1729" s="82">
        <v>19.5</v>
      </c>
      <c r="F1729" s="80">
        <v>1190</v>
      </c>
      <c r="G1729" s="26"/>
      <c r="H1729" s="80">
        <v>21.600000000000023</v>
      </c>
      <c r="I1729" s="77" t="s">
        <v>14</v>
      </c>
      <c r="J1729" s="14">
        <v>1.1639999999999999</v>
      </c>
      <c r="K1729" s="80">
        <v>5.0008798434635491</v>
      </c>
    </row>
    <row r="1730" spans="1:11" ht="15.75" customHeight="1">
      <c r="A1730" s="77" t="s">
        <v>33</v>
      </c>
      <c r="B1730" s="80">
        <v>30</v>
      </c>
      <c r="C1730" s="78">
        <v>1.64</v>
      </c>
      <c r="D1730" s="26">
        <v>6.5099999999999991E-2</v>
      </c>
      <c r="E1730" s="82">
        <v>19.5</v>
      </c>
      <c r="F1730" s="80">
        <v>1190</v>
      </c>
      <c r="G1730" s="26"/>
      <c r="H1730" s="80">
        <v>21.600000000000023</v>
      </c>
      <c r="I1730" s="77" t="s">
        <v>14</v>
      </c>
      <c r="J1730" s="14">
        <v>1.1639999999999999</v>
      </c>
      <c r="K1730" s="80">
        <v>9.0300966742170825</v>
      </c>
    </row>
    <row r="1731" spans="1:11" ht="15.75" customHeight="1">
      <c r="A1731" s="77" t="s">
        <v>33</v>
      </c>
      <c r="B1731" s="80">
        <v>30</v>
      </c>
      <c r="C1731" s="78">
        <v>1.64</v>
      </c>
      <c r="D1731" s="26">
        <v>6.5099999999999991E-2</v>
      </c>
      <c r="E1731" s="82">
        <v>19.5</v>
      </c>
      <c r="F1731" s="80">
        <v>1190</v>
      </c>
      <c r="G1731" s="26"/>
      <c r="H1731" s="80">
        <v>21.600000000000023</v>
      </c>
      <c r="I1731" s="77" t="s">
        <v>14</v>
      </c>
      <c r="J1731" s="14">
        <v>1.1639999999999999</v>
      </c>
      <c r="K1731" s="80">
        <v>10.108183125304814</v>
      </c>
    </row>
    <row r="1732" spans="1:11" ht="15.75" customHeight="1">
      <c r="A1732" s="77" t="s">
        <v>33</v>
      </c>
      <c r="B1732" s="80">
        <v>30</v>
      </c>
      <c r="C1732" s="78">
        <v>1.64</v>
      </c>
      <c r="D1732" s="26">
        <v>6.5099999999999991E-2</v>
      </c>
      <c r="E1732" s="82">
        <v>19.5</v>
      </c>
      <c r="F1732" s="80">
        <v>1190</v>
      </c>
      <c r="G1732" s="26"/>
      <c r="H1732" s="80">
        <v>21.600000000000023</v>
      </c>
      <c r="I1732" s="77" t="s">
        <v>14</v>
      </c>
      <c r="J1732" s="14">
        <v>1.1639999999999999</v>
      </c>
      <c r="K1732" s="80">
        <v>10.351565262983774</v>
      </c>
    </row>
    <row r="1733" spans="1:11" ht="15.75" customHeight="1">
      <c r="A1733" s="77" t="s">
        <v>33</v>
      </c>
      <c r="B1733" s="76">
        <v>8.3890338079211393</v>
      </c>
      <c r="C1733" s="76">
        <v>1.08</v>
      </c>
      <c r="D1733" s="26">
        <v>6.6700000000000009E-2</v>
      </c>
      <c r="E1733" s="78">
        <v>48.5</v>
      </c>
      <c r="F1733" s="80">
        <v>1220</v>
      </c>
      <c r="G1733" s="26"/>
      <c r="H1733" s="77">
        <v>21.7</v>
      </c>
      <c r="I1733" s="77" t="s">
        <v>14</v>
      </c>
      <c r="J1733" s="14">
        <v>1.1639999999999999</v>
      </c>
      <c r="K1733" s="76">
        <v>7.4514057751820131</v>
      </c>
    </row>
    <row r="1734" spans="1:11" ht="15.75" customHeight="1">
      <c r="A1734" s="77" t="s">
        <v>33</v>
      </c>
      <c r="B1734" s="76">
        <v>11.33993273327088</v>
      </c>
      <c r="C1734" s="76">
        <v>1.08</v>
      </c>
      <c r="D1734" s="26">
        <v>6.6700000000000009E-2</v>
      </c>
      <c r="E1734" s="78">
        <v>48.5</v>
      </c>
      <c r="F1734" s="80">
        <v>1220</v>
      </c>
      <c r="G1734" s="26"/>
      <c r="H1734" s="77">
        <v>21.7</v>
      </c>
      <c r="I1734" s="77" t="s">
        <v>14</v>
      </c>
      <c r="J1734" s="14">
        <v>1.1639999999999999</v>
      </c>
      <c r="K1734" s="76">
        <v>7.5234585907034033</v>
      </c>
    </row>
    <row r="1735" spans="1:11" ht="15.75" customHeight="1">
      <c r="A1735" s="77" t="s">
        <v>33</v>
      </c>
      <c r="B1735" s="76">
        <v>13.64417963523486</v>
      </c>
      <c r="C1735" s="76">
        <v>1.08</v>
      </c>
      <c r="D1735" s="26">
        <v>6.6700000000000009E-2</v>
      </c>
      <c r="E1735" s="78">
        <v>48.5</v>
      </c>
      <c r="F1735" s="80">
        <v>1220</v>
      </c>
      <c r="G1735" s="26"/>
      <c r="H1735" s="77">
        <v>21.7</v>
      </c>
      <c r="I1735" s="77" t="s">
        <v>14</v>
      </c>
      <c r="J1735" s="14">
        <v>1.1639999999999999</v>
      </c>
      <c r="K1735" s="76">
        <v>7.5060417247756508</v>
      </c>
    </row>
    <row r="1736" spans="1:11" ht="15.75" customHeight="1">
      <c r="A1736" s="77" t="s">
        <v>33</v>
      </c>
      <c r="B1736" s="76">
        <v>17.04579707372946</v>
      </c>
      <c r="C1736" s="76">
        <v>1.08</v>
      </c>
      <c r="D1736" s="26">
        <v>6.6700000000000009E-2</v>
      </c>
      <c r="E1736" s="78">
        <v>48.5</v>
      </c>
      <c r="F1736" s="80">
        <v>1220</v>
      </c>
      <c r="G1736" s="26"/>
      <c r="H1736" s="77">
        <v>21.7</v>
      </c>
      <c r="I1736" s="77" t="s">
        <v>14</v>
      </c>
      <c r="J1736" s="14">
        <v>1.1639999999999999</v>
      </c>
      <c r="K1736" s="76">
        <v>7.5810425097816863</v>
      </c>
    </row>
    <row r="1737" spans="1:11" ht="15.75" customHeight="1">
      <c r="A1737" s="77" t="s">
        <v>33</v>
      </c>
      <c r="B1737" s="76">
        <v>22.001578728766322</v>
      </c>
      <c r="C1737" s="76">
        <v>1.08</v>
      </c>
      <c r="D1737" s="26">
        <v>6.6700000000000009E-2</v>
      </c>
      <c r="E1737" s="78">
        <v>48.5</v>
      </c>
      <c r="F1737" s="80">
        <v>1220</v>
      </c>
      <c r="G1737" s="26"/>
      <c r="H1737" s="77">
        <v>21.7</v>
      </c>
      <c r="I1737" s="77" t="s">
        <v>14</v>
      </c>
      <c r="J1737" s="14">
        <v>1.1639999999999999</v>
      </c>
      <c r="K1737" s="76">
        <v>7.5969406872815783</v>
      </c>
    </row>
    <row r="1738" spans="1:11" ht="15.75" customHeight="1">
      <c r="A1738" s="77" t="s">
        <v>33</v>
      </c>
      <c r="B1738" s="76">
        <v>29.553436487241001</v>
      </c>
      <c r="C1738" s="76">
        <v>1.08</v>
      </c>
      <c r="D1738" s="26">
        <v>6.6700000000000009E-2</v>
      </c>
      <c r="E1738" s="78">
        <v>48.5</v>
      </c>
      <c r="F1738" s="80">
        <v>1220</v>
      </c>
      <c r="G1738" s="26"/>
      <c r="H1738" s="77">
        <v>21.7</v>
      </c>
      <c r="I1738" s="77" t="s">
        <v>14</v>
      </c>
      <c r="J1738" s="14">
        <v>1.1639999999999999</v>
      </c>
      <c r="K1738" s="76">
        <v>7.5675426384177715</v>
      </c>
    </row>
    <row r="1739" spans="1:11" ht="15.75" customHeight="1">
      <c r="A1739" s="77" t="s">
        <v>33</v>
      </c>
      <c r="B1739" s="76">
        <v>33.947911011132057</v>
      </c>
      <c r="C1739" s="76">
        <v>1.08</v>
      </c>
      <c r="D1739" s="26">
        <v>6.6700000000000009E-2</v>
      </c>
      <c r="E1739" s="78">
        <v>48.5</v>
      </c>
      <c r="F1739" s="80">
        <v>1220</v>
      </c>
      <c r="G1739" s="26"/>
      <c r="H1739" s="77">
        <v>21.7</v>
      </c>
      <c r="I1739" s="77" t="s">
        <v>14</v>
      </c>
      <c r="J1739" s="14">
        <v>1.1639999999999999</v>
      </c>
      <c r="K1739" s="76">
        <v>7.5746673707294789</v>
      </c>
    </row>
    <row r="1740" spans="1:11" ht="15.75" customHeight="1">
      <c r="A1740" s="77" t="s">
        <v>33</v>
      </c>
      <c r="B1740" s="76">
        <v>39.400053803897222</v>
      </c>
      <c r="C1740" s="76">
        <v>1.08</v>
      </c>
      <c r="D1740" s="26">
        <v>6.6700000000000009E-2</v>
      </c>
      <c r="E1740" s="78">
        <v>48.5</v>
      </c>
      <c r="F1740" s="80">
        <v>1220</v>
      </c>
      <c r="G1740" s="26"/>
      <c r="H1740" s="77">
        <v>21.7</v>
      </c>
      <c r="I1740" s="77" t="s">
        <v>14</v>
      </c>
      <c r="J1740" s="14">
        <v>1.1639999999999999</v>
      </c>
      <c r="K1740" s="76">
        <v>7.638965565108145</v>
      </c>
    </row>
    <row r="1741" spans="1:11" ht="15.75" customHeight="1">
      <c r="A1741" s="77" t="s">
        <v>33</v>
      </c>
      <c r="B1741" s="76">
        <v>49.61900034711072</v>
      </c>
      <c r="C1741" s="76">
        <v>1.08</v>
      </c>
      <c r="D1741" s="26">
        <v>6.6700000000000009E-2</v>
      </c>
      <c r="E1741" s="78">
        <v>48.5</v>
      </c>
      <c r="F1741" s="80">
        <v>1220</v>
      </c>
      <c r="G1741" s="26"/>
      <c r="H1741" s="77">
        <v>21.7</v>
      </c>
      <c r="I1741" s="77" t="s">
        <v>14</v>
      </c>
      <c r="J1741" s="14">
        <v>1.1639999999999999</v>
      </c>
      <c r="K1741" s="76">
        <v>7.5805383509665845</v>
      </c>
    </row>
    <row r="1742" spans="1:11" ht="15.75" customHeight="1">
      <c r="A1742" s="77" t="s">
        <v>33</v>
      </c>
      <c r="B1742" s="76">
        <v>57.878480147561639</v>
      </c>
      <c r="C1742" s="76">
        <v>1.08</v>
      </c>
      <c r="D1742" s="26">
        <v>6.6700000000000009E-2</v>
      </c>
      <c r="E1742" s="78">
        <v>48.5</v>
      </c>
      <c r="F1742" s="80">
        <v>1220</v>
      </c>
      <c r="G1742" s="26"/>
      <c r="H1742" s="77">
        <v>21.7</v>
      </c>
      <c r="I1742" s="77" t="s">
        <v>14</v>
      </c>
      <c r="J1742" s="14">
        <v>1.1639999999999999</v>
      </c>
      <c r="K1742" s="76">
        <v>7.5872464064881564</v>
      </c>
    </row>
    <row r="1743" spans="1:11" ht="15.75" customHeight="1">
      <c r="A1743" s="77" t="s">
        <v>33</v>
      </c>
      <c r="B1743" s="76">
        <v>77.383984043104192</v>
      </c>
      <c r="C1743" s="76">
        <v>1.08</v>
      </c>
      <c r="D1743" s="26">
        <v>6.6700000000000009E-2</v>
      </c>
      <c r="E1743" s="78">
        <v>48.5</v>
      </c>
      <c r="F1743" s="80">
        <v>1220</v>
      </c>
      <c r="G1743" s="26"/>
      <c r="H1743" s="77">
        <v>21.7</v>
      </c>
      <c r="I1743" s="77" t="s">
        <v>14</v>
      </c>
      <c r="J1743" s="14">
        <v>1.1639999999999999</v>
      </c>
      <c r="K1743" s="76">
        <v>7.6254132602750033</v>
      </c>
    </row>
    <row r="1744" spans="1:11" ht="15.75" customHeight="1">
      <c r="A1744" s="77" t="s">
        <v>33</v>
      </c>
      <c r="B1744" s="76">
        <v>102.1830489145284</v>
      </c>
      <c r="C1744" s="76">
        <v>1.08</v>
      </c>
      <c r="D1744" s="26">
        <v>6.6700000000000009E-2</v>
      </c>
      <c r="E1744" s="78">
        <v>48.5</v>
      </c>
      <c r="F1744" s="80">
        <v>1220</v>
      </c>
      <c r="G1744" s="26"/>
      <c r="H1744" s="77">
        <v>21.7</v>
      </c>
      <c r="I1744" s="77" t="s">
        <v>14</v>
      </c>
      <c r="J1744" s="14">
        <v>1.1639999999999999</v>
      </c>
      <c r="K1744" s="76">
        <v>7.6380765682964578</v>
      </c>
    </row>
    <row r="1745" spans="1:11" ht="15.75" customHeight="1">
      <c r="A1745" s="77" t="s">
        <v>33</v>
      </c>
      <c r="B1745" s="76">
        <v>115.1039663934306</v>
      </c>
      <c r="C1745" s="76">
        <v>1.08</v>
      </c>
      <c r="D1745" s="26">
        <v>6.6700000000000009E-2</v>
      </c>
      <c r="E1745" s="78">
        <v>48.5</v>
      </c>
      <c r="F1745" s="80">
        <v>1220</v>
      </c>
      <c r="G1745" s="26"/>
      <c r="H1745" s="77">
        <v>21.7</v>
      </c>
      <c r="I1745" s="77" t="s">
        <v>14</v>
      </c>
      <c r="J1745" s="14">
        <v>1.1639999999999999</v>
      </c>
      <c r="K1745" s="76">
        <v>7.7883709281786553</v>
      </c>
    </row>
    <row r="1746" spans="1:11" ht="15.75" customHeight="1">
      <c r="A1746" s="77" t="s">
        <v>33</v>
      </c>
      <c r="B1746" s="76">
        <v>144.2449462544418</v>
      </c>
      <c r="C1746" s="76">
        <v>1.08</v>
      </c>
      <c r="D1746" s="26">
        <v>6.6700000000000009E-2</v>
      </c>
      <c r="E1746" s="78">
        <v>48.5</v>
      </c>
      <c r="F1746" s="80">
        <v>1220</v>
      </c>
      <c r="G1746" s="26"/>
      <c r="H1746" s="77">
        <v>21.7</v>
      </c>
      <c r="I1746" s="77" t="s">
        <v>14</v>
      </c>
      <c r="J1746" s="14">
        <v>1.1639999999999999</v>
      </c>
      <c r="K1746" s="76">
        <v>7.7217623521690175</v>
      </c>
    </row>
    <row r="1747" spans="1:11" ht="15.75" customHeight="1">
      <c r="A1747" s="77" t="s">
        <v>33</v>
      </c>
      <c r="B1747" s="76">
        <v>169.4040330507774</v>
      </c>
      <c r="C1747" s="76">
        <v>1.08</v>
      </c>
      <c r="D1747" s="26">
        <v>6.6700000000000009E-2</v>
      </c>
      <c r="E1747" s="78">
        <v>48.5</v>
      </c>
      <c r="F1747" s="80">
        <v>1220</v>
      </c>
      <c r="G1747" s="26"/>
      <c r="H1747" s="77">
        <v>21.7</v>
      </c>
      <c r="I1747" s="77" t="s">
        <v>14</v>
      </c>
      <c r="J1747" s="14">
        <v>1.1639999999999999</v>
      </c>
      <c r="K1747" s="76">
        <v>7.7107805384784491</v>
      </c>
    </row>
    <row r="1748" spans="1:11" ht="15.75" customHeight="1">
      <c r="A1748" s="77" t="s">
        <v>33</v>
      </c>
      <c r="B1748" s="76">
        <v>196.77198178568761</v>
      </c>
      <c r="C1748" s="76">
        <v>1.08</v>
      </c>
      <c r="D1748" s="26">
        <v>6.6700000000000009E-2</v>
      </c>
      <c r="E1748" s="78">
        <v>48.5</v>
      </c>
      <c r="F1748" s="80">
        <v>1220</v>
      </c>
      <c r="G1748" s="26"/>
      <c r="H1748" s="77">
        <v>21.7</v>
      </c>
      <c r="I1748" s="77" t="s">
        <v>14</v>
      </c>
      <c r="J1748" s="14">
        <v>1.1639999999999999</v>
      </c>
      <c r="K1748" s="76">
        <v>7.7235085656007749</v>
      </c>
    </row>
    <row r="1749" spans="1:11" ht="15.75" customHeight="1">
      <c r="A1749" s="77" t="s">
        <v>33</v>
      </c>
      <c r="B1749" s="76">
        <v>252.20681663016057</v>
      </c>
      <c r="C1749" s="76">
        <v>1.08</v>
      </c>
      <c r="D1749" s="26">
        <v>6.6700000000000009E-2</v>
      </c>
      <c r="E1749" s="78">
        <v>48.5</v>
      </c>
      <c r="F1749" s="80">
        <v>1220</v>
      </c>
      <c r="G1749" s="26"/>
      <c r="H1749" s="77">
        <v>21.7</v>
      </c>
      <c r="I1749" s="77" t="s">
        <v>14</v>
      </c>
      <c r="J1749" s="14">
        <v>1.1639999999999999</v>
      </c>
      <c r="K1749" s="76">
        <v>7.5291646975866602</v>
      </c>
    </row>
    <row r="1750" spans="1:11" ht="15.75" customHeight="1">
      <c r="A1750" s="77" t="s">
        <v>33</v>
      </c>
      <c r="B1750" s="76">
        <v>326.78651446281179</v>
      </c>
      <c r="C1750" s="76">
        <v>1.08</v>
      </c>
      <c r="D1750" s="26">
        <v>6.6700000000000009E-2</v>
      </c>
      <c r="E1750" s="78">
        <v>48.5</v>
      </c>
      <c r="F1750" s="80">
        <v>1220</v>
      </c>
      <c r="G1750" s="26"/>
      <c r="H1750" s="77">
        <v>21.7</v>
      </c>
      <c r="I1750" s="77" t="s">
        <v>14</v>
      </c>
      <c r="J1750" s="14">
        <v>1.1639999999999999</v>
      </c>
      <c r="K1750" s="76">
        <v>7.7146275261534853</v>
      </c>
    </row>
    <row r="1751" spans="1:11" ht="15.75" customHeight="1">
      <c r="A1751" s="77" t="s">
        <v>33</v>
      </c>
      <c r="B1751" s="76">
        <v>459.51113775269818</v>
      </c>
      <c r="C1751" s="76">
        <v>1.08</v>
      </c>
      <c r="D1751" s="26">
        <v>6.6700000000000009E-2</v>
      </c>
      <c r="E1751" s="78">
        <v>48.5</v>
      </c>
      <c r="F1751" s="80">
        <v>1220</v>
      </c>
      <c r="G1751" s="26"/>
      <c r="H1751" s="77">
        <v>21.7</v>
      </c>
      <c r="I1751" s="77" t="s">
        <v>14</v>
      </c>
      <c r="J1751" s="14">
        <v>1.1639999999999999</v>
      </c>
      <c r="K1751" s="76">
        <v>7.9559750144141885</v>
      </c>
    </row>
    <row r="1752" spans="1:11" ht="15.75" customHeight="1">
      <c r="A1752" s="77" t="s">
        <v>33</v>
      </c>
      <c r="B1752" s="76">
        <v>7.7572116796017001</v>
      </c>
      <c r="C1752" s="76">
        <v>1.45</v>
      </c>
      <c r="D1752" s="26">
        <v>6.6700000000000009E-2</v>
      </c>
      <c r="E1752" s="78">
        <v>48.5</v>
      </c>
      <c r="F1752" s="80">
        <v>1220</v>
      </c>
      <c r="G1752" s="26"/>
      <c r="H1752" s="77">
        <v>21.7</v>
      </c>
      <c r="I1752" s="77" t="s">
        <v>14</v>
      </c>
      <c r="J1752" s="14">
        <v>1.1639999999999999</v>
      </c>
      <c r="K1752" s="76">
        <v>9.0676052513432328</v>
      </c>
    </row>
    <row r="1753" spans="1:11" ht="15.75" customHeight="1">
      <c r="A1753" s="77" t="s">
        <v>33</v>
      </c>
      <c r="B1753" s="76">
        <v>9.4299324163992591</v>
      </c>
      <c r="C1753" s="76">
        <v>1.45</v>
      </c>
      <c r="D1753" s="26">
        <v>6.6700000000000009E-2</v>
      </c>
      <c r="E1753" s="78">
        <v>48.5</v>
      </c>
      <c r="F1753" s="80">
        <v>1220</v>
      </c>
      <c r="G1753" s="26"/>
      <c r="H1753" s="77">
        <v>21.7</v>
      </c>
      <c r="I1753" s="77" t="s">
        <v>14</v>
      </c>
      <c r="J1753" s="14">
        <v>1.1639999999999999</v>
      </c>
      <c r="K1753" s="76">
        <v>9.0494719297469999</v>
      </c>
    </row>
    <row r="1754" spans="1:11" ht="15.75" customHeight="1">
      <c r="A1754" s="77" t="s">
        <v>33</v>
      </c>
      <c r="B1754" s="76">
        <v>11.7757311804276</v>
      </c>
      <c r="C1754" s="76">
        <v>1.45</v>
      </c>
      <c r="D1754" s="26">
        <v>6.6700000000000009E-2</v>
      </c>
      <c r="E1754" s="78">
        <v>48.5</v>
      </c>
      <c r="F1754" s="80">
        <v>1220</v>
      </c>
      <c r="G1754" s="26"/>
      <c r="H1754" s="77">
        <v>21.7</v>
      </c>
      <c r="I1754" s="77" t="s">
        <v>14</v>
      </c>
      <c r="J1754" s="14">
        <v>1.1639999999999999</v>
      </c>
      <c r="K1754" s="76">
        <v>9.0323058949087152</v>
      </c>
    </row>
    <row r="1755" spans="1:11" ht="15.75" customHeight="1">
      <c r="A1755" s="77" t="s">
        <v>33</v>
      </c>
      <c r="B1755" s="76">
        <v>13.688359026004681</v>
      </c>
      <c r="C1755" s="76">
        <v>1.45</v>
      </c>
      <c r="D1755" s="26">
        <v>6.6700000000000009E-2</v>
      </c>
      <c r="E1755" s="78">
        <v>48.5</v>
      </c>
      <c r="F1755" s="80">
        <v>1220</v>
      </c>
      <c r="G1755" s="26"/>
      <c r="H1755" s="77">
        <v>21.7</v>
      </c>
      <c r="I1755" s="77" t="s">
        <v>14</v>
      </c>
      <c r="J1755" s="14">
        <v>1.1639999999999999</v>
      </c>
      <c r="K1755" s="76">
        <v>9.0423430162731027</v>
      </c>
    </row>
    <row r="1756" spans="1:11" ht="15.75" customHeight="1">
      <c r="A1756" s="77" t="s">
        <v>33</v>
      </c>
      <c r="B1756" s="76">
        <v>17.246694533231459</v>
      </c>
      <c r="C1756" s="76">
        <v>1.45</v>
      </c>
      <c r="D1756" s="26">
        <v>6.6700000000000009E-2</v>
      </c>
      <c r="E1756" s="78">
        <v>48.5</v>
      </c>
      <c r="F1756" s="80">
        <v>1220</v>
      </c>
      <c r="G1756" s="26"/>
      <c r="H1756" s="77">
        <v>21.7</v>
      </c>
      <c r="I1756" s="77" t="s">
        <v>14</v>
      </c>
      <c r="J1756" s="14">
        <v>1.1639999999999999</v>
      </c>
      <c r="K1756" s="76">
        <v>9.059739004947799</v>
      </c>
    </row>
    <row r="1757" spans="1:11" ht="15.75" customHeight="1">
      <c r="A1757" s="77" t="s">
        <v>33</v>
      </c>
      <c r="B1757" s="76">
        <v>21.331633774920242</v>
      </c>
      <c r="C1757" s="76">
        <v>1.45</v>
      </c>
      <c r="D1757" s="26">
        <v>6.6700000000000009E-2</v>
      </c>
      <c r="E1757" s="78">
        <v>48.5</v>
      </c>
      <c r="F1757" s="80">
        <v>1220</v>
      </c>
      <c r="G1757" s="26"/>
      <c r="H1757" s="77">
        <v>21.7</v>
      </c>
      <c r="I1757" s="77" t="s">
        <v>14</v>
      </c>
      <c r="J1757" s="14">
        <v>1.1639999999999999</v>
      </c>
      <c r="K1757" s="76">
        <v>9.0415011527932165</v>
      </c>
    </row>
    <row r="1758" spans="1:11" ht="15.75" customHeight="1">
      <c r="A1758" s="77" t="s">
        <v>33</v>
      </c>
      <c r="B1758" s="76">
        <v>25.31567308315098</v>
      </c>
      <c r="C1758" s="76">
        <v>1.45</v>
      </c>
      <c r="D1758" s="26">
        <v>6.6700000000000009E-2</v>
      </c>
      <c r="E1758" s="78">
        <v>48.5</v>
      </c>
      <c r="F1758" s="80">
        <v>1220</v>
      </c>
      <c r="G1758" s="26"/>
      <c r="H1758" s="77">
        <v>21.7</v>
      </c>
      <c r="I1758" s="77" t="s">
        <v>14</v>
      </c>
      <c r="J1758" s="14">
        <v>1.1639999999999999</v>
      </c>
      <c r="K1758" s="76">
        <v>9.0662786623485765</v>
      </c>
    </row>
    <row r="1759" spans="1:11" ht="15.75" customHeight="1">
      <c r="A1759" s="77" t="s">
        <v>33</v>
      </c>
      <c r="B1759" s="76">
        <v>30.294016036151639</v>
      </c>
      <c r="C1759" s="76">
        <v>1.45</v>
      </c>
      <c r="D1759" s="26">
        <v>6.6700000000000009E-2</v>
      </c>
      <c r="E1759" s="78">
        <v>48.5</v>
      </c>
      <c r="F1759" s="80">
        <v>1220</v>
      </c>
      <c r="G1759" s="26"/>
      <c r="H1759" s="77">
        <v>21.7</v>
      </c>
      <c r="I1759" s="77" t="s">
        <v>14</v>
      </c>
      <c r="J1759" s="14">
        <v>1.1639999999999999</v>
      </c>
      <c r="K1759" s="76">
        <v>9.0853821560957559</v>
      </c>
    </row>
    <row r="1760" spans="1:11" ht="15.75" customHeight="1">
      <c r="A1760" s="77" t="s">
        <v>33</v>
      </c>
      <c r="B1760" s="76">
        <v>37.414489427186403</v>
      </c>
      <c r="C1760" s="76">
        <v>1.45</v>
      </c>
      <c r="D1760" s="26">
        <v>6.6700000000000009E-2</v>
      </c>
      <c r="E1760" s="78">
        <v>48.5</v>
      </c>
      <c r="F1760" s="80">
        <v>1220</v>
      </c>
      <c r="G1760" s="26"/>
      <c r="H1760" s="77">
        <v>21.7</v>
      </c>
      <c r="I1760" s="77" t="s">
        <v>14</v>
      </c>
      <c r="J1760" s="14">
        <v>1.1639999999999999</v>
      </c>
      <c r="K1760" s="76">
        <v>8.9671865327704676</v>
      </c>
    </row>
    <row r="1761" spans="1:11" ht="15.75" customHeight="1">
      <c r="A1761" s="77" t="s">
        <v>33</v>
      </c>
      <c r="B1761" s="76">
        <v>43.142897781708299</v>
      </c>
      <c r="C1761" s="76">
        <v>1.45</v>
      </c>
      <c r="D1761" s="26">
        <v>6.6700000000000009E-2</v>
      </c>
      <c r="E1761" s="78">
        <v>48.5</v>
      </c>
      <c r="F1761" s="80">
        <v>1220</v>
      </c>
      <c r="G1761" s="26"/>
      <c r="H1761" s="77">
        <v>21.7</v>
      </c>
      <c r="I1761" s="77" t="s">
        <v>14</v>
      </c>
      <c r="J1761" s="14">
        <v>1.1639999999999999</v>
      </c>
      <c r="K1761" s="76">
        <v>9.1048589307555101</v>
      </c>
    </row>
    <row r="1762" spans="1:11" ht="15.75" customHeight="1">
      <c r="A1762" s="77" t="s">
        <v>33</v>
      </c>
      <c r="B1762" s="76">
        <v>48.06168611384718</v>
      </c>
      <c r="C1762" s="76">
        <v>1.45</v>
      </c>
      <c r="D1762" s="26">
        <v>6.6700000000000009E-2</v>
      </c>
      <c r="E1762" s="78">
        <v>48.5</v>
      </c>
      <c r="F1762" s="80">
        <v>1220</v>
      </c>
      <c r="G1762" s="26"/>
      <c r="H1762" s="77">
        <v>21.7</v>
      </c>
      <c r="I1762" s="77" t="s">
        <v>14</v>
      </c>
      <c r="J1762" s="14">
        <v>1.1639999999999999</v>
      </c>
      <c r="K1762" s="76">
        <v>8.9848860749073207</v>
      </c>
    </row>
    <row r="1763" spans="1:11" ht="15.75" customHeight="1">
      <c r="A1763" s="77" t="s">
        <v>33</v>
      </c>
      <c r="B1763" s="76">
        <v>56.751718176309303</v>
      </c>
      <c r="C1763" s="76">
        <v>1.45</v>
      </c>
      <c r="D1763" s="26">
        <v>6.6700000000000009E-2</v>
      </c>
      <c r="E1763" s="78">
        <v>48.5</v>
      </c>
      <c r="F1763" s="80">
        <v>1220</v>
      </c>
      <c r="G1763" s="26"/>
      <c r="H1763" s="77">
        <v>21.7</v>
      </c>
      <c r="I1763" s="77" t="s">
        <v>14</v>
      </c>
      <c r="J1763" s="14">
        <v>1.1639999999999999</v>
      </c>
      <c r="K1763" s="76">
        <v>9.1332108862245249</v>
      </c>
    </row>
    <row r="1764" spans="1:11" ht="15.75" customHeight="1">
      <c r="A1764" s="77" t="s">
        <v>33</v>
      </c>
      <c r="B1764" s="76">
        <v>63.561452608970995</v>
      </c>
      <c r="C1764" s="76">
        <v>1.45</v>
      </c>
      <c r="D1764" s="26">
        <v>6.6700000000000009E-2</v>
      </c>
      <c r="E1764" s="78">
        <v>48.5</v>
      </c>
      <c r="F1764" s="80">
        <v>1220</v>
      </c>
      <c r="G1764" s="26"/>
      <c r="H1764" s="77">
        <v>21.7</v>
      </c>
      <c r="I1764" s="77" t="s">
        <v>14</v>
      </c>
      <c r="J1764" s="14">
        <v>1.1639999999999999</v>
      </c>
      <c r="K1764" s="76">
        <v>9.0473055897170163</v>
      </c>
    </row>
    <row r="1765" spans="1:11" ht="15.75" customHeight="1">
      <c r="A1765" s="77" t="s">
        <v>33</v>
      </c>
      <c r="B1765" s="76">
        <v>74.708962868971796</v>
      </c>
      <c r="C1765" s="76">
        <v>1.45</v>
      </c>
      <c r="D1765" s="26">
        <v>6.6700000000000009E-2</v>
      </c>
      <c r="E1765" s="78">
        <v>48.5</v>
      </c>
      <c r="F1765" s="80">
        <v>1220</v>
      </c>
      <c r="G1765" s="26"/>
      <c r="H1765" s="77">
        <v>21.7</v>
      </c>
      <c r="I1765" s="77" t="s">
        <v>14</v>
      </c>
      <c r="J1765" s="14">
        <v>1.1639999999999999</v>
      </c>
      <c r="K1765" s="76">
        <v>9.052030082177664</v>
      </c>
    </row>
    <row r="1766" spans="1:11" ht="15.75" customHeight="1">
      <c r="A1766" s="77" t="s">
        <v>33</v>
      </c>
      <c r="B1766" s="76">
        <v>85.307231918633988</v>
      </c>
      <c r="C1766" s="76">
        <v>1.45</v>
      </c>
      <c r="D1766" s="26">
        <v>6.6700000000000009E-2</v>
      </c>
      <c r="E1766" s="78">
        <v>48.5</v>
      </c>
      <c r="F1766" s="80">
        <v>1220</v>
      </c>
      <c r="G1766" s="26"/>
      <c r="H1766" s="77">
        <v>21.7</v>
      </c>
      <c r="I1766" s="77" t="s">
        <v>14</v>
      </c>
      <c r="J1766" s="14">
        <v>1.1639999999999999</v>
      </c>
      <c r="K1766" s="76">
        <v>9.0205100154662272</v>
      </c>
    </row>
    <row r="1767" spans="1:11" ht="15.75" customHeight="1">
      <c r="A1767" s="77" t="s">
        <v>33</v>
      </c>
      <c r="B1767" s="76">
        <v>98.046551155741199</v>
      </c>
      <c r="C1767" s="76">
        <v>1.45</v>
      </c>
      <c r="D1767" s="26">
        <v>6.6700000000000009E-2</v>
      </c>
      <c r="E1767" s="78">
        <v>48.5</v>
      </c>
      <c r="F1767" s="80">
        <v>1220</v>
      </c>
      <c r="G1767" s="26"/>
      <c r="H1767" s="77">
        <v>21.7</v>
      </c>
      <c r="I1767" s="77" t="s">
        <v>14</v>
      </c>
      <c r="J1767" s="14">
        <v>1.1639999999999999</v>
      </c>
      <c r="K1767" s="76">
        <v>9.0995622012691229</v>
      </c>
    </row>
    <row r="1768" spans="1:11" ht="15.75" customHeight="1">
      <c r="A1768" s="77" t="s">
        <v>33</v>
      </c>
      <c r="B1768" s="76">
        <v>105.80310565117981</v>
      </c>
      <c r="C1768" s="76">
        <v>1.45</v>
      </c>
      <c r="D1768" s="26">
        <v>6.6700000000000009E-2</v>
      </c>
      <c r="E1768" s="78">
        <v>48.5</v>
      </c>
      <c r="F1768" s="80">
        <v>1220</v>
      </c>
      <c r="G1768" s="26"/>
      <c r="H1768" s="77">
        <v>21.7</v>
      </c>
      <c r="I1768" s="77" t="s">
        <v>14</v>
      </c>
      <c r="J1768" s="14">
        <v>1.1639999999999999</v>
      </c>
      <c r="K1768" s="76">
        <v>8.9968447840597623</v>
      </c>
    </row>
    <row r="1769" spans="1:11" ht="15.75" customHeight="1">
      <c r="A1769" s="77" t="s">
        <v>33</v>
      </c>
      <c r="B1769" s="76">
        <v>117.0942904221402</v>
      </c>
      <c r="C1769" s="76">
        <v>1.45</v>
      </c>
      <c r="D1769" s="26">
        <v>6.6700000000000009E-2</v>
      </c>
      <c r="E1769" s="78">
        <v>48.5</v>
      </c>
      <c r="F1769" s="80">
        <v>1220</v>
      </c>
      <c r="G1769" s="26"/>
      <c r="H1769" s="77">
        <v>21.7</v>
      </c>
      <c r="I1769" s="77" t="s">
        <v>14</v>
      </c>
      <c r="J1769" s="14">
        <v>1.1639999999999999</v>
      </c>
      <c r="K1769" s="76">
        <v>9.1801313377526323</v>
      </c>
    </row>
    <row r="1770" spans="1:11" ht="15.75" customHeight="1">
      <c r="A1770" s="77" t="s">
        <v>33</v>
      </c>
      <c r="B1770" s="76">
        <v>136.79351638972921</v>
      </c>
      <c r="C1770" s="76">
        <v>1.45</v>
      </c>
      <c r="D1770" s="26">
        <v>6.6700000000000009E-2</v>
      </c>
      <c r="E1770" s="78">
        <v>48.5</v>
      </c>
      <c r="F1770" s="80">
        <v>1220</v>
      </c>
      <c r="G1770" s="26"/>
      <c r="H1770" s="77">
        <v>21.7</v>
      </c>
      <c r="I1770" s="77" t="s">
        <v>14</v>
      </c>
      <c r="J1770" s="14">
        <v>1.1639999999999999</v>
      </c>
      <c r="K1770" s="76">
        <v>9.2461514153446096</v>
      </c>
    </row>
    <row r="1771" spans="1:11" ht="15.75" customHeight="1">
      <c r="A1771" s="77" t="s">
        <v>33</v>
      </c>
      <c r="B1771" s="76">
        <v>163.40218125355921</v>
      </c>
      <c r="C1771" s="76">
        <v>1.45</v>
      </c>
      <c r="D1771" s="26">
        <v>6.6700000000000009E-2</v>
      </c>
      <c r="E1771" s="78">
        <v>48.5</v>
      </c>
      <c r="F1771" s="80">
        <v>1220</v>
      </c>
      <c r="G1771" s="26"/>
      <c r="H1771" s="77">
        <v>21.7</v>
      </c>
      <c r="I1771" s="77" t="s">
        <v>14</v>
      </c>
      <c r="J1771" s="14">
        <v>1.1639999999999899</v>
      </c>
      <c r="K1771" s="76">
        <v>8.9771811416737126</v>
      </c>
    </row>
    <row r="1772" spans="1:11" ht="15.75" customHeight="1">
      <c r="A1772" s="77" t="s">
        <v>33</v>
      </c>
      <c r="B1772" s="76">
        <v>190.10615010433619</v>
      </c>
      <c r="C1772" s="76">
        <v>1.45</v>
      </c>
      <c r="D1772" s="26">
        <v>6.6700000000000009E-2</v>
      </c>
      <c r="E1772" s="78">
        <v>48.5</v>
      </c>
      <c r="F1772" s="80">
        <v>1220</v>
      </c>
      <c r="G1772" s="26"/>
      <c r="H1772" s="77">
        <v>21.7</v>
      </c>
      <c r="I1772" s="77" t="s">
        <v>14</v>
      </c>
      <c r="J1772" s="14">
        <v>1.1639999999999899</v>
      </c>
      <c r="K1772" s="76">
        <v>9.3264056877768287</v>
      </c>
    </row>
    <row r="1773" spans="1:11" ht="15.75" customHeight="1">
      <c r="A1773" s="77" t="s">
        <v>33</v>
      </c>
      <c r="B1773" s="76">
        <v>253.47910702081683</v>
      </c>
      <c r="C1773" s="76">
        <v>1.45</v>
      </c>
      <c r="D1773" s="26">
        <v>6.6700000000000009E-2</v>
      </c>
      <c r="E1773" s="78">
        <v>48.5</v>
      </c>
      <c r="F1773" s="80">
        <v>1220</v>
      </c>
      <c r="G1773" s="26"/>
      <c r="H1773" s="77">
        <v>21.7</v>
      </c>
      <c r="I1773" s="77" t="s">
        <v>14</v>
      </c>
      <c r="J1773" s="14">
        <v>1.1639999999999899</v>
      </c>
      <c r="K1773" s="76">
        <v>9.0153522899129648</v>
      </c>
    </row>
    <row r="1774" spans="1:11" ht="15.75" customHeight="1">
      <c r="A1774" s="77" t="s">
        <v>33</v>
      </c>
      <c r="B1774" s="76">
        <v>301.62690824502363</v>
      </c>
      <c r="C1774" s="76">
        <v>1.45</v>
      </c>
      <c r="D1774" s="26">
        <v>6.6700000000000009E-2</v>
      </c>
      <c r="E1774" s="78">
        <v>48.5</v>
      </c>
      <c r="F1774" s="80">
        <v>1220</v>
      </c>
      <c r="G1774" s="26"/>
      <c r="H1774" s="77">
        <v>21.7</v>
      </c>
      <c r="I1774" s="77" t="s">
        <v>14</v>
      </c>
      <c r="J1774" s="14">
        <v>1.1639999999999899</v>
      </c>
      <c r="K1774" s="76">
        <v>9.3854848151869792</v>
      </c>
    </row>
    <row r="1775" spans="1:11" ht="15.75" customHeight="1">
      <c r="A1775" s="77" t="s">
        <v>33</v>
      </c>
      <c r="B1775" s="76">
        <v>336.79335070825562</v>
      </c>
      <c r="C1775" s="76">
        <v>1.45</v>
      </c>
      <c r="D1775" s="26">
        <v>6.6700000000000009E-2</v>
      </c>
      <c r="E1775" s="78">
        <v>48.5</v>
      </c>
      <c r="F1775" s="80">
        <v>1220</v>
      </c>
      <c r="G1775" s="26"/>
      <c r="H1775" s="77">
        <v>21.7</v>
      </c>
      <c r="I1775" s="77" t="s">
        <v>14</v>
      </c>
      <c r="J1775" s="14">
        <v>1.1639999999999899</v>
      </c>
      <c r="K1775" s="76">
        <v>9.1211012474790145</v>
      </c>
    </row>
    <row r="1776" spans="1:11" ht="15.75" customHeight="1">
      <c r="A1776" s="77" t="s">
        <v>33</v>
      </c>
      <c r="B1776" s="76">
        <v>397.59006482809616</v>
      </c>
      <c r="C1776" s="76">
        <v>1.45</v>
      </c>
      <c r="D1776" s="26">
        <v>6.6700000000000009E-2</v>
      </c>
      <c r="E1776" s="78">
        <v>48.5</v>
      </c>
      <c r="F1776" s="80">
        <v>1220</v>
      </c>
      <c r="G1776" s="26"/>
      <c r="H1776" s="77">
        <v>21.7</v>
      </c>
      <c r="I1776" s="77" t="s">
        <v>14</v>
      </c>
      <c r="J1776" s="14">
        <v>1.1639999999999899</v>
      </c>
      <c r="K1776" s="76">
        <v>8.9691845639667047</v>
      </c>
    </row>
    <row r="1777" spans="1:11" ht="15.75" customHeight="1">
      <c r="A1777" s="77" t="s">
        <v>33</v>
      </c>
      <c r="B1777" s="76">
        <v>457.80701427155577</v>
      </c>
      <c r="C1777" s="76">
        <v>1.45</v>
      </c>
      <c r="D1777" s="26">
        <v>6.6700000000000009E-2</v>
      </c>
      <c r="E1777" s="78">
        <v>48.5</v>
      </c>
      <c r="F1777" s="80">
        <v>1220</v>
      </c>
      <c r="G1777" s="26"/>
      <c r="H1777" s="77">
        <v>21.7</v>
      </c>
      <c r="I1777" s="77" t="s">
        <v>14</v>
      </c>
      <c r="J1777" s="14">
        <v>1.1639999999999899</v>
      </c>
      <c r="K1777" s="76">
        <v>8.9379232527866872</v>
      </c>
    </row>
    <row r="1778" spans="1:11" ht="15.75" customHeight="1">
      <c r="A1778" s="77" t="s">
        <v>33</v>
      </c>
      <c r="B1778" s="76">
        <v>539.09062985592482</v>
      </c>
      <c r="C1778" s="76">
        <v>1.45</v>
      </c>
      <c r="D1778" s="26">
        <v>6.6700000000000009E-2</v>
      </c>
      <c r="E1778" s="78">
        <v>48.5</v>
      </c>
      <c r="F1778" s="80">
        <v>1220</v>
      </c>
      <c r="G1778" s="26"/>
      <c r="H1778" s="77">
        <v>21.7</v>
      </c>
      <c r="I1778" s="77" t="s">
        <v>14</v>
      </c>
      <c r="J1778" s="14">
        <v>1.1639999999999899</v>
      </c>
      <c r="K1778" s="76">
        <v>9.2419094870295275</v>
      </c>
    </row>
    <row r="1779" spans="1:11" ht="15.75" customHeight="1">
      <c r="A1779" s="77" t="s">
        <v>33</v>
      </c>
      <c r="B1779" s="76">
        <v>7.3088647684813806</v>
      </c>
      <c r="C1779" s="76">
        <v>1.64</v>
      </c>
      <c r="D1779" s="26">
        <v>6.6700000000000009E-2</v>
      </c>
      <c r="E1779" s="78">
        <v>48.5</v>
      </c>
      <c r="F1779" s="80">
        <v>1220</v>
      </c>
      <c r="G1779" s="26"/>
      <c r="H1779" s="77">
        <v>21.7</v>
      </c>
      <c r="I1779" s="77" t="s">
        <v>14</v>
      </c>
      <c r="J1779" s="14">
        <v>1.1639999999999899</v>
      </c>
      <c r="K1779" s="76">
        <v>9.6788787753869006</v>
      </c>
    </row>
    <row r="1780" spans="1:11" ht="15.75" customHeight="1">
      <c r="A1780" s="77" t="s">
        <v>33</v>
      </c>
      <c r="B1780" s="76">
        <v>9.6849193117284607</v>
      </c>
      <c r="C1780" s="76">
        <v>1.64</v>
      </c>
      <c r="D1780" s="26">
        <v>6.6700000000000009E-2</v>
      </c>
      <c r="E1780" s="78">
        <v>48.5</v>
      </c>
      <c r="F1780" s="80">
        <v>1220</v>
      </c>
      <c r="G1780" s="26"/>
      <c r="H1780" s="77">
        <v>21.7</v>
      </c>
      <c r="I1780" s="77" t="s">
        <v>14</v>
      </c>
      <c r="J1780" s="14">
        <v>1.1639999999999899</v>
      </c>
      <c r="K1780" s="76">
        <v>9.7115367339281047</v>
      </c>
    </row>
    <row r="1781" spans="1:11" ht="15.75" customHeight="1">
      <c r="A1781" s="77" t="s">
        <v>33</v>
      </c>
      <c r="B1781" s="76">
        <v>12.592595941325159</v>
      </c>
      <c r="C1781" s="76">
        <v>1.64</v>
      </c>
      <c r="D1781" s="26">
        <v>6.6700000000000009E-2</v>
      </c>
      <c r="E1781" s="78">
        <v>48.5</v>
      </c>
      <c r="F1781" s="80">
        <v>1220</v>
      </c>
      <c r="G1781" s="26"/>
      <c r="H1781" s="77">
        <v>21.7</v>
      </c>
      <c r="I1781" s="77" t="s">
        <v>14</v>
      </c>
      <c r="J1781" s="14">
        <v>1.1639999999999899</v>
      </c>
      <c r="K1781" s="76">
        <v>9.7373409139979969</v>
      </c>
    </row>
    <row r="1782" spans="1:11" ht="15.75" customHeight="1">
      <c r="A1782" s="77" t="s">
        <v>33</v>
      </c>
      <c r="B1782" s="76">
        <v>14.54909657372334</v>
      </c>
      <c r="C1782" s="76">
        <v>1.64</v>
      </c>
      <c r="D1782" s="26">
        <v>6.6700000000000009E-2</v>
      </c>
      <c r="E1782" s="78">
        <v>48.5</v>
      </c>
      <c r="F1782" s="80">
        <v>1220</v>
      </c>
      <c r="G1782" s="26"/>
      <c r="H1782" s="77">
        <v>21.7</v>
      </c>
      <c r="I1782" s="77" t="s">
        <v>14</v>
      </c>
      <c r="J1782" s="14">
        <v>1.1639999999999899</v>
      </c>
      <c r="K1782" s="76">
        <v>9.7395105477893136</v>
      </c>
    </row>
    <row r="1783" spans="1:11" ht="15.75" customHeight="1">
      <c r="A1783" s="77" t="s">
        <v>33</v>
      </c>
      <c r="B1783" s="76">
        <v>20.07110319141324</v>
      </c>
      <c r="C1783" s="76">
        <v>1.64</v>
      </c>
      <c r="D1783" s="26">
        <v>6.6700000000000009E-2</v>
      </c>
      <c r="E1783" s="78">
        <v>48.5</v>
      </c>
      <c r="F1783" s="80">
        <v>1220</v>
      </c>
      <c r="G1783" s="26"/>
      <c r="H1783" s="77">
        <v>21.7</v>
      </c>
      <c r="I1783" s="77" t="s">
        <v>14</v>
      </c>
      <c r="J1783" s="14">
        <v>1.1639999999999899</v>
      </c>
      <c r="K1783" s="76">
        <v>9.7471566910860865</v>
      </c>
    </row>
    <row r="1784" spans="1:11" ht="15.75" customHeight="1">
      <c r="A1784" s="77" t="s">
        <v>33</v>
      </c>
      <c r="B1784" s="76">
        <v>21.898832561465579</v>
      </c>
      <c r="C1784" s="76">
        <v>1.64</v>
      </c>
      <c r="D1784" s="26">
        <v>6.6700000000000009E-2</v>
      </c>
      <c r="E1784" s="78">
        <v>48.5</v>
      </c>
      <c r="F1784" s="80">
        <v>1220</v>
      </c>
      <c r="G1784" s="26"/>
      <c r="H1784" s="77">
        <v>21.7</v>
      </c>
      <c r="I1784" s="77" t="s">
        <v>14</v>
      </c>
      <c r="J1784" s="14">
        <v>1.1639999999999899</v>
      </c>
      <c r="K1784" s="76">
        <v>9.8456638904910516</v>
      </c>
    </row>
    <row r="1785" spans="1:11" ht="15.75" customHeight="1">
      <c r="A1785" s="77" t="s">
        <v>33</v>
      </c>
      <c r="B1785" s="76">
        <v>29.906120101939742</v>
      </c>
      <c r="C1785" s="76">
        <v>1.64</v>
      </c>
      <c r="D1785" s="26">
        <v>6.6700000000000009E-2</v>
      </c>
      <c r="E1785" s="78">
        <v>48.5</v>
      </c>
      <c r="F1785" s="80">
        <v>1220</v>
      </c>
      <c r="G1785" s="26"/>
      <c r="H1785" s="77">
        <v>21.7</v>
      </c>
      <c r="I1785" s="77" t="s">
        <v>14</v>
      </c>
      <c r="J1785" s="14">
        <v>1.1639999999999899</v>
      </c>
      <c r="K1785" s="76">
        <v>9.8377441942928119</v>
      </c>
    </row>
    <row r="1786" spans="1:11" ht="15.75" customHeight="1">
      <c r="A1786" s="77" t="s">
        <v>33</v>
      </c>
      <c r="B1786" s="76">
        <v>38.656201288773062</v>
      </c>
      <c r="C1786" s="76">
        <v>1.64</v>
      </c>
      <c r="D1786" s="26">
        <v>6.6700000000000009E-2</v>
      </c>
      <c r="E1786" s="78">
        <v>48.5</v>
      </c>
      <c r="F1786" s="80">
        <v>1220</v>
      </c>
      <c r="G1786" s="26"/>
      <c r="H1786" s="77">
        <v>21.7</v>
      </c>
      <c r="I1786" s="77" t="s">
        <v>14</v>
      </c>
      <c r="J1786" s="14">
        <v>1.1639999999999899</v>
      </c>
      <c r="K1786" s="76">
        <v>9.9037831183096259</v>
      </c>
    </row>
    <row r="1787" spans="1:11" ht="15.75" customHeight="1">
      <c r="A1787" s="77" t="s">
        <v>33</v>
      </c>
      <c r="B1787" s="76">
        <v>41.697247835083317</v>
      </c>
      <c r="C1787" s="76">
        <v>1.64</v>
      </c>
      <c r="D1787" s="26">
        <v>6.6700000000000009E-2</v>
      </c>
      <c r="E1787" s="78">
        <v>48.5</v>
      </c>
      <c r="F1787" s="80">
        <v>1220</v>
      </c>
      <c r="G1787" s="26"/>
      <c r="H1787" s="77">
        <v>21.7</v>
      </c>
      <c r="I1787" s="77" t="s">
        <v>14</v>
      </c>
      <c r="J1787" s="14">
        <v>1.1639999999999899</v>
      </c>
      <c r="K1787" s="76">
        <v>9.8776692440984633</v>
      </c>
    </row>
    <row r="1788" spans="1:11" ht="15.75" customHeight="1">
      <c r="A1788" s="77" t="s">
        <v>33</v>
      </c>
      <c r="B1788" s="76">
        <v>46.419969945526319</v>
      </c>
      <c r="C1788" s="76">
        <v>1.64</v>
      </c>
      <c r="D1788" s="26">
        <v>6.6700000000000009E-2</v>
      </c>
      <c r="E1788" s="78">
        <v>48.5</v>
      </c>
      <c r="F1788" s="80">
        <v>1220</v>
      </c>
      <c r="G1788" s="26"/>
      <c r="H1788" s="77">
        <v>21.7</v>
      </c>
      <c r="I1788" s="77" t="s">
        <v>14</v>
      </c>
      <c r="J1788" s="14">
        <v>1.1639999999999899</v>
      </c>
      <c r="K1788" s="76">
        <v>9.8836489547426645</v>
      </c>
    </row>
    <row r="1789" spans="1:11" ht="15.75" customHeight="1">
      <c r="A1789" s="77" t="s">
        <v>33</v>
      </c>
      <c r="B1789" s="76">
        <v>54.854872496406657</v>
      </c>
      <c r="C1789" s="76">
        <v>1.64</v>
      </c>
      <c r="D1789" s="26">
        <v>6.6700000000000009E-2</v>
      </c>
      <c r="E1789" s="78">
        <v>48.5</v>
      </c>
      <c r="F1789" s="80">
        <v>1220</v>
      </c>
      <c r="G1789" s="26"/>
      <c r="H1789" s="77">
        <v>21.7</v>
      </c>
      <c r="I1789" s="77" t="s">
        <v>14</v>
      </c>
      <c r="J1789" s="14">
        <v>1.1639999999999899</v>
      </c>
      <c r="K1789" s="76">
        <v>9.870084821009609</v>
      </c>
    </row>
    <row r="1790" spans="1:11" ht="15.75" customHeight="1">
      <c r="A1790" s="77" t="s">
        <v>33</v>
      </c>
      <c r="B1790" s="76">
        <v>63.147204893976607</v>
      </c>
      <c r="C1790" s="76">
        <v>1.64</v>
      </c>
      <c r="D1790" s="26">
        <v>6.6700000000000009E-2</v>
      </c>
      <c r="E1790" s="78">
        <v>48.5</v>
      </c>
      <c r="F1790" s="80">
        <v>1220</v>
      </c>
      <c r="G1790" s="26"/>
      <c r="H1790" s="77">
        <v>21.7</v>
      </c>
      <c r="I1790" s="77" t="s">
        <v>14</v>
      </c>
      <c r="J1790" s="14">
        <v>1.1639999999999899</v>
      </c>
      <c r="K1790" s="76">
        <v>9.9611854228067855</v>
      </c>
    </row>
    <row r="1791" spans="1:11" ht="15.75" customHeight="1">
      <c r="A1791" s="77" t="s">
        <v>33</v>
      </c>
      <c r="B1791" s="76">
        <v>71.362412490040811</v>
      </c>
      <c r="C1791" s="76">
        <v>1.64</v>
      </c>
      <c r="D1791" s="26">
        <v>6.6700000000000009E-2</v>
      </c>
      <c r="E1791" s="78">
        <v>48.5</v>
      </c>
      <c r="F1791" s="80">
        <v>1220</v>
      </c>
      <c r="G1791" s="26"/>
      <c r="H1791" s="77">
        <v>21.7</v>
      </c>
      <c r="I1791" s="77" t="s">
        <v>14</v>
      </c>
      <c r="J1791" s="14">
        <v>1.1639999999999899</v>
      </c>
      <c r="K1791" s="76">
        <v>9.8839118822076539</v>
      </c>
    </row>
    <row r="1792" spans="1:11" ht="15.75" customHeight="1">
      <c r="A1792" s="77" t="s">
        <v>33</v>
      </c>
      <c r="B1792" s="76">
        <v>80.803436518138199</v>
      </c>
      <c r="C1792" s="76">
        <v>1.64</v>
      </c>
      <c r="D1792" s="26">
        <v>6.6700000000000009E-2</v>
      </c>
      <c r="E1792" s="78">
        <v>48.5</v>
      </c>
      <c r="F1792" s="80">
        <v>1220</v>
      </c>
      <c r="G1792" s="26"/>
      <c r="H1792" s="77">
        <v>21.7</v>
      </c>
      <c r="I1792" s="77" t="s">
        <v>14</v>
      </c>
      <c r="J1792" s="14">
        <v>1.1639999999999899</v>
      </c>
      <c r="K1792" s="76">
        <v>9.9951947544311466</v>
      </c>
    </row>
    <row r="1793" spans="1:11" ht="15.75" customHeight="1">
      <c r="A1793" s="77" t="s">
        <v>33</v>
      </c>
      <c r="B1793" s="76">
        <v>88.048205305030208</v>
      </c>
      <c r="C1793" s="76">
        <v>1.64</v>
      </c>
      <c r="D1793" s="26">
        <v>6.6700000000000009E-2</v>
      </c>
      <c r="E1793" s="78">
        <v>48.5</v>
      </c>
      <c r="F1793" s="80">
        <v>1220</v>
      </c>
      <c r="G1793" s="26"/>
      <c r="H1793" s="77">
        <v>21.7</v>
      </c>
      <c r="I1793" s="77" t="s">
        <v>14</v>
      </c>
      <c r="J1793" s="14">
        <v>1.1639999999999899</v>
      </c>
      <c r="K1793" s="76">
        <v>9.9451996983625772</v>
      </c>
    </row>
    <row r="1794" spans="1:11" ht="15.75" customHeight="1">
      <c r="A1794" s="77" t="s">
        <v>33</v>
      </c>
      <c r="B1794" s="76">
        <v>99.218066481934201</v>
      </c>
      <c r="C1794" s="76">
        <v>1.64</v>
      </c>
      <c r="D1794" s="26">
        <v>6.6700000000000009E-2</v>
      </c>
      <c r="E1794" s="78">
        <v>48.5</v>
      </c>
      <c r="F1794" s="80">
        <v>1220</v>
      </c>
      <c r="G1794" s="26"/>
      <c r="H1794" s="77">
        <v>21.7</v>
      </c>
      <c r="I1794" s="77" t="s">
        <v>14</v>
      </c>
      <c r="J1794" s="14">
        <v>1.1639999999999899</v>
      </c>
      <c r="K1794" s="76">
        <v>10.018887115680059</v>
      </c>
    </row>
    <row r="1795" spans="1:11" ht="15.75" customHeight="1">
      <c r="A1795" s="77" t="s">
        <v>33</v>
      </c>
      <c r="B1795" s="76">
        <v>104.60891009383741</v>
      </c>
      <c r="C1795" s="76">
        <v>1.64</v>
      </c>
      <c r="D1795" s="26">
        <v>6.6700000000000009E-2</v>
      </c>
      <c r="E1795" s="78">
        <v>48.5</v>
      </c>
      <c r="F1795" s="80">
        <v>1220</v>
      </c>
      <c r="G1795" s="26"/>
      <c r="H1795" s="77">
        <v>21.7</v>
      </c>
      <c r="I1795" s="77" t="s">
        <v>14</v>
      </c>
      <c r="J1795" s="14">
        <v>1.1639999999999899</v>
      </c>
      <c r="K1795" s="76">
        <v>10.139778569839356</v>
      </c>
    </row>
    <row r="1796" spans="1:11" ht="15.75" customHeight="1">
      <c r="A1796" s="77" t="s">
        <v>33</v>
      </c>
      <c r="B1796" s="76">
        <v>112.9523404746012</v>
      </c>
      <c r="C1796" s="76">
        <v>1.64</v>
      </c>
      <c r="D1796" s="26">
        <v>6.6700000000000009E-2</v>
      </c>
      <c r="E1796" s="78">
        <v>48.5</v>
      </c>
      <c r="F1796" s="80">
        <v>1220</v>
      </c>
      <c r="G1796" s="26"/>
      <c r="H1796" s="77">
        <v>21.7</v>
      </c>
      <c r="I1796" s="77" t="s">
        <v>14</v>
      </c>
      <c r="J1796" s="14">
        <v>1.1639999999999899</v>
      </c>
      <c r="K1796" s="76">
        <v>10.008498164846557</v>
      </c>
    </row>
    <row r="1797" spans="1:11" ht="15.75" customHeight="1">
      <c r="A1797" s="77" t="s">
        <v>33</v>
      </c>
      <c r="B1797" s="76">
        <v>123.10836262496521</v>
      </c>
      <c r="C1797" s="76">
        <v>1.64</v>
      </c>
      <c r="D1797" s="26">
        <v>6.6700000000000009E-2</v>
      </c>
      <c r="E1797" s="78">
        <v>48.5</v>
      </c>
      <c r="F1797" s="80">
        <v>1220</v>
      </c>
      <c r="G1797" s="26"/>
      <c r="H1797" s="77">
        <v>21.7</v>
      </c>
      <c r="I1797" s="77" t="s">
        <v>14</v>
      </c>
      <c r="J1797" s="14">
        <v>1.1639999999999899</v>
      </c>
      <c r="K1797" s="76">
        <v>10.17077823884633</v>
      </c>
    </row>
    <row r="1798" spans="1:11" ht="15.75" customHeight="1">
      <c r="A1798" s="77" t="s">
        <v>33</v>
      </c>
      <c r="B1798" s="76">
        <v>160.59654089426999</v>
      </c>
      <c r="C1798" s="76">
        <v>1.64</v>
      </c>
      <c r="D1798" s="26">
        <v>6.6700000000000009E-2</v>
      </c>
      <c r="E1798" s="78">
        <v>48.5</v>
      </c>
      <c r="F1798" s="80">
        <v>1220</v>
      </c>
      <c r="G1798" s="26"/>
      <c r="H1798" s="77">
        <v>21.7</v>
      </c>
      <c r="I1798" s="77" t="s">
        <v>14</v>
      </c>
      <c r="J1798" s="14">
        <v>1.1639999999999899</v>
      </c>
      <c r="K1798" s="76">
        <v>10.164793812436558</v>
      </c>
    </row>
    <row r="1799" spans="1:11" ht="15.75" customHeight="1">
      <c r="A1799" s="77" t="s">
        <v>33</v>
      </c>
      <c r="B1799" s="76">
        <v>189.67006116141059</v>
      </c>
      <c r="C1799" s="76">
        <v>1.64</v>
      </c>
      <c r="D1799" s="26">
        <v>6.6700000000000009E-2</v>
      </c>
      <c r="E1799" s="78">
        <v>48.5</v>
      </c>
      <c r="F1799" s="80">
        <v>1220</v>
      </c>
      <c r="G1799" s="26"/>
      <c r="H1799" s="77">
        <v>21.7</v>
      </c>
      <c r="I1799" s="77" t="s">
        <v>14</v>
      </c>
      <c r="J1799" s="14">
        <v>1.1639999999999899</v>
      </c>
      <c r="K1799" s="76">
        <v>10.264551835548236</v>
      </c>
    </row>
    <row r="1800" spans="1:11" ht="15.75" customHeight="1">
      <c r="A1800" s="77" t="s">
        <v>33</v>
      </c>
      <c r="B1800" s="76">
        <v>216.5482867104144</v>
      </c>
      <c r="C1800" s="76">
        <v>1.64</v>
      </c>
      <c r="D1800" s="26">
        <v>6.6700000000000009E-2</v>
      </c>
      <c r="E1800" s="78">
        <v>48.5</v>
      </c>
      <c r="F1800" s="80">
        <v>1220</v>
      </c>
      <c r="G1800" s="26"/>
      <c r="H1800" s="77">
        <v>21.7</v>
      </c>
      <c r="I1800" s="77" t="s">
        <v>14</v>
      </c>
      <c r="J1800" s="14">
        <v>1.1639999999999899</v>
      </c>
      <c r="K1800" s="76">
        <v>10.077593240307147</v>
      </c>
    </row>
    <row r="1801" spans="1:11" ht="15.75" customHeight="1">
      <c r="A1801" s="77" t="s">
        <v>33</v>
      </c>
      <c r="B1801" s="76">
        <v>272.84873292132721</v>
      </c>
      <c r="C1801" s="76">
        <v>1.64</v>
      </c>
      <c r="D1801" s="26">
        <v>6.6700000000000009E-2</v>
      </c>
      <c r="E1801" s="78">
        <v>48.5</v>
      </c>
      <c r="F1801" s="80">
        <v>1220</v>
      </c>
      <c r="G1801" s="26"/>
      <c r="H1801" s="77">
        <v>21.7</v>
      </c>
      <c r="I1801" s="77" t="s">
        <v>14</v>
      </c>
      <c r="J1801" s="14">
        <v>1.1639999999999899</v>
      </c>
      <c r="K1801" s="76">
        <v>10.061889108149401</v>
      </c>
    </row>
    <row r="1802" spans="1:11" ht="15.75" customHeight="1">
      <c r="A1802" s="77" t="s">
        <v>33</v>
      </c>
      <c r="B1802" s="76">
        <v>342.94795726689358</v>
      </c>
      <c r="C1802" s="76">
        <v>1.64</v>
      </c>
      <c r="D1802" s="26">
        <v>6.6700000000000009E-2</v>
      </c>
      <c r="E1802" s="78">
        <v>48.5</v>
      </c>
      <c r="F1802" s="80">
        <v>1220</v>
      </c>
      <c r="G1802" s="26"/>
      <c r="H1802" s="77">
        <v>21.7</v>
      </c>
      <c r="I1802" s="77" t="s">
        <v>14</v>
      </c>
      <c r="J1802" s="14">
        <v>1.1639999999999799</v>
      </c>
      <c r="K1802" s="76">
        <v>9.9147556969946411</v>
      </c>
    </row>
    <row r="1803" spans="1:11" ht="15.75" customHeight="1">
      <c r="A1803" s="77" t="s">
        <v>33</v>
      </c>
      <c r="B1803" s="76">
        <v>396.97986905150458</v>
      </c>
      <c r="C1803" s="76">
        <v>1.64</v>
      </c>
      <c r="D1803" s="26">
        <v>6.6700000000000009E-2</v>
      </c>
      <c r="E1803" s="78">
        <v>48.5</v>
      </c>
      <c r="F1803" s="80">
        <v>1220</v>
      </c>
      <c r="G1803" s="26"/>
      <c r="H1803" s="77">
        <v>21.7</v>
      </c>
      <c r="I1803" s="77" t="s">
        <v>14</v>
      </c>
      <c r="J1803" s="14">
        <v>1.1639999999999799</v>
      </c>
      <c r="K1803" s="76">
        <v>10.02821971429826</v>
      </c>
    </row>
    <row r="1804" spans="1:11" ht="15.75" customHeight="1">
      <c r="A1804" s="77" t="s">
        <v>33</v>
      </c>
      <c r="B1804" s="76">
        <v>387.92716108650484</v>
      </c>
      <c r="C1804" s="76">
        <v>1.64</v>
      </c>
      <c r="D1804" s="26">
        <v>6.6700000000000009E-2</v>
      </c>
      <c r="E1804" s="78">
        <v>48.5</v>
      </c>
      <c r="F1804" s="80">
        <v>1220</v>
      </c>
      <c r="G1804" s="26"/>
      <c r="H1804" s="77">
        <v>21.7</v>
      </c>
      <c r="I1804" s="77" t="s">
        <v>14</v>
      </c>
      <c r="J1804" s="14">
        <v>1.1639999999999799</v>
      </c>
      <c r="K1804" s="76">
        <v>10.278487178798903</v>
      </c>
    </row>
    <row r="1805" spans="1:11" ht="15.75" customHeight="1">
      <c r="A1805" s="77" t="s">
        <v>33</v>
      </c>
      <c r="B1805" s="76">
        <v>434.05594183518775</v>
      </c>
      <c r="C1805" s="76">
        <v>1.64</v>
      </c>
      <c r="D1805" s="26">
        <v>6.6700000000000009E-2</v>
      </c>
      <c r="E1805" s="78">
        <v>48.5</v>
      </c>
      <c r="F1805" s="80">
        <v>1220</v>
      </c>
      <c r="G1805" s="26"/>
      <c r="H1805" s="77">
        <v>21.7</v>
      </c>
      <c r="I1805" s="77" t="s">
        <v>14</v>
      </c>
      <c r="J1805" s="14">
        <v>1.1639999999999799</v>
      </c>
      <c r="K1805" s="76">
        <v>10.100607618808104</v>
      </c>
    </row>
    <row r="1806" spans="1:11" ht="15.75" customHeight="1">
      <c r="A1806" s="77" t="s">
        <v>33</v>
      </c>
      <c r="B1806" s="76">
        <v>518.26730460406259</v>
      </c>
      <c r="C1806" s="76">
        <v>1.64</v>
      </c>
      <c r="D1806" s="26">
        <v>6.6700000000000009E-2</v>
      </c>
      <c r="E1806" s="78">
        <v>48.5</v>
      </c>
      <c r="F1806" s="80">
        <v>1220</v>
      </c>
      <c r="G1806" s="26"/>
      <c r="H1806" s="77">
        <v>21.7</v>
      </c>
      <c r="I1806" s="77" t="s">
        <v>14</v>
      </c>
      <c r="J1806" s="14">
        <v>1.1639999999999799</v>
      </c>
      <c r="K1806" s="76">
        <v>10.058142488907679</v>
      </c>
    </row>
    <row r="1807" spans="1:11" ht="15.75" customHeight="1">
      <c r="A1807" s="77" t="s">
        <v>33</v>
      </c>
      <c r="B1807" s="76">
        <v>532.06337049800106</v>
      </c>
      <c r="C1807" s="76">
        <v>1.64</v>
      </c>
      <c r="D1807" s="26">
        <v>6.6700000000000009E-2</v>
      </c>
      <c r="E1807" s="78">
        <v>48.5</v>
      </c>
      <c r="F1807" s="80">
        <v>1220</v>
      </c>
      <c r="G1807" s="26"/>
      <c r="H1807" s="77">
        <v>21.7</v>
      </c>
      <c r="I1807" s="77" t="s">
        <v>14</v>
      </c>
      <c r="J1807" s="14">
        <v>1.1639999999999799</v>
      </c>
      <c r="K1807" s="76">
        <v>10.241095799400604</v>
      </c>
    </row>
    <row r="1808" spans="1:11" ht="15.75" customHeight="1">
      <c r="A1808" s="77" t="s">
        <v>33</v>
      </c>
      <c r="B1808" s="76">
        <v>577.13622030576482</v>
      </c>
      <c r="C1808" s="76">
        <v>1.64</v>
      </c>
      <c r="D1808" s="26">
        <v>6.6700000000000009E-2</v>
      </c>
      <c r="E1808" s="78">
        <v>48.5</v>
      </c>
      <c r="F1808" s="80">
        <v>1220</v>
      </c>
      <c r="G1808" s="26"/>
      <c r="H1808" s="77">
        <v>21.7</v>
      </c>
      <c r="I1808" s="77" t="s">
        <v>14</v>
      </c>
      <c r="J1808" s="14">
        <v>1.1639999999999799</v>
      </c>
      <c r="K1808" s="76">
        <v>10.053795483808454</v>
      </c>
    </row>
    <row r="1809" spans="1:11" ht="15.75" customHeight="1">
      <c r="A1809" s="77" t="s">
        <v>33</v>
      </c>
      <c r="B1809" s="76">
        <v>7.9371897672881406</v>
      </c>
      <c r="C1809" s="76">
        <v>2.02</v>
      </c>
      <c r="D1809" s="26">
        <v>6.6700000000000009E-2</v>
      </c>
      <c r="E1809" s="78">
        <v>48.5</v>
      </c>
      <c r="F1809" s="80">
        <v>1220</v>
      </c>
      <c r="G1809" s="26"/>
      <c r="H1809" s="77">
        <v>21.7</v>
      </c>
      <c r="I1809" s="77" t="s">
        <v>14</v>
      </c>
      <c r="J1809" s="14">
        <v>1.1639999999999799</v>
      </c>
      <c r="K1809" s="76">
        <v>9.9840003568653337</v>
      </c>
    </row>
    <row r="1810" spans="1:11" ht="15.75" customHeight="1">
      <c r="A1810" s="77" t="s">
        <v>33</v>
      </c>
      <c r="B1810" s="76">
        <v>10.092926974387741</v>
      </c>
      <c r="C1810" s="76">
        <v>2.02</v>
      </c>
      <c r="D1810" s="26">
        <v>6.6700000000000009E-2</v>
      </c>
      <c r="E1810" s="78">
        <v>48.5</v>
      </c>
      <c r="F1810" s="80">
        <v>1220</v>
      </c>
      <c r="G1810" s="26"/>
      <c r="H1810" s="77">
        <v>21.7</v>
      </c>
      <c r="I1810" s="77" t="s">
        <v>14</v>
      </c>
      <c r="J1810" s="14">
        <v>1.1639999999999799</v>
      </c>
      <c r="K1810" s="76">
        <v>10.122597376532987</v>
      </c>
    </row>
    <row r="1811" spans="1:11" ht="15.75" customHeight="1">
      <c r="A1811" s="77" t="s">
        <v>33</v>
      </c>
      <c r="B1811" s="76">
        <v>12.518581116626279</v>
      </c>
      <c r="C1811" s="76">
        <v>2.02</v>
      </c>
      <c r="D1811" s="26">
        <v>6.6700000000000009E-2</v>
      </c>
      <c r="E1811" s="78">
        <v>48.5</v>
      </c>
      <c r="F1811" s="80">
        <v>1220</v>
      </c>
      <c r="G1811" s="26"/>
      <c r="H1811" s="77">
        <v>21.7</v>
      </c>
      <c r="I1811" s="77" t="s">
        <v>14</v>
      </c>
      <c r="J1811" s="14">
        <v>1.1639999999999799</v>
      </c>
      <c r="K1811" s="76">
        <v>10.335586453608542</v>
      </c>
    </row>
    <row r="1812" spans="1:11" ht="15.75" customHeight="1">
      <c r="A1812" s="77" t="s">
        <v>33</v>
      </c>
      <c r="B1812" s="76">
        <v>16.236811679302619</v>
      </c>
      <c r="C1812" s="76">
        <v>2.02</v>
      </c>
      <c r="D1812" s="26">
        <v>6.6700000000000009E-2</v>
      </c>
      <c r="E1812" s="78">
        <v>48.5</v>
      </c>
      <c r="F1812" s="80">
        <v>1220</v>
      </c>
      <c r="G1812" s="26"/>
      <c r="H1812" s="77">
        <v>21.7</v>
      </c>
      <c r="I1812" s="77" t="s">
        <v>14</v>
      </c>
      <c r="J1812" s="14">
        <v>1.1639999999999799</v>
      </c>
      <c r="K1812" s="76">
        <v>10.30363904669608</v>
      </c>
    </row>
    <row r="1813" spans="1:11" ht="15.75" customHeight="1">
      <c r="A1813" s="77" t="s">
        <v>33</v>
      </c>
      <c r="B1813" s="76">
        <v>19.818163383793859</v>
      </c>
      <c r="C1813" s="76">
        <v>2.02</v>
      </c>
      <c r="D1813" s="26">
        <v>6.6700000000000009E-2</v>
      </c>
      <c r="E1813" s="78">
        <v>48.5</v>
      </c>
      <c r="F1813" s="80">
        <v>1220</v>
      </c>
      <c r="G1813" s="26"/>
      <c r="H1813" s="77">
        <v>21.7</v>
      </c>
      <c r="I1813" s="77" t="s">
        <v>14</v>
      </c>
      <c r="J1813" s="14">
        <v>1.1639999999999799</v>
      </c>
      <c r="K1813" s="76">
        <v>10.1771045959657</v>
      </c>
    </row>
    <row r="1814" spans="1:11" ht="15.75" customHeight="1">
      <c r="A1814" s="77" t="s">
        <v>33</v>
      </c>
      <c r="B1814" s="76">
        <v>23.65617125186154</v>
      </c>
      <c r="C1814" s="76">
        <v>2.02</v>
      </c>
      <c r="D1814" s="26">
        <v>6.6700000000000009E-2</v>
      </c>
      <c r="E1814" s="78">
        <v>48.5</v>
      </c>
      <c r="F1814" s="80">
        <v>1220</v>
      </c>
      <c r="G1814" s="26"/>
      <c r="H1814" s="77">
        <v>21.7</v>
      </c>
      <c r="I1814" s="77" t="s">
        <v>14</v>
      </c>
      <c r="J1814" s="14">
        <v>1.1639999999999799</v>
      </c>
      <c r="K1814" s="76">
        <v>10.193937630796473</v>
      </c>
    </row>
    <row r="1815" spans="1:11" ht="15.75" customHeight="1">
      <c r="A1815" s="77" t="s">
        <v>33</v>
      </c>
      <c r="B1815" s="76">
        <v>29.156251581111359</v>
      </c>
      <c r="C1815" s="76">
        <v>2.02</v>
      </c>
      <c r="D1815" s="26">
        <v>6.6700000000000009E-2</v>
      </c>
      <c r="E1815" s="78">
        <v>48.5</v>
      </c>
      <c r="F1815" s="80">
        <v>1220</v>
      </c>
      <c r="G1815" s="26"/>
      <c r="H1815" s="77">
        <v>21.7</v>
      </c>
      <c r="I1815" s="77" t="s">
        <v>14</v>
      </c>
      <c r="J1815" s="14">
        <v>1.1639999999999799</v>
      </c>
      <c r="K1815" s="76">
        <v>10.261241556793525</v>
      </c>
    </row>
    <row r="1816" spans="1:11" ht="15.75" customHeight="1">
      <c r="A1816" s="77" t="s">
        <v>33</v>
      </c>
      <c r="B1816" s="76">
        <v>35.395672894138862</v>
      </c>
      <c r="C1816" s="76">
        <v>2.02</v>
      </c>
      <c r="D1816" s="26">
        <v>6.6700000000000009E-2</v>
      </c>
      <c r="E1816" s="78">
        <v>48.5</v>
      </c>
      <c r="F1816" s="80">
        <v>1220</v>
      </c>
      <c r="G1816" s="26"/>
      <c r="H1816" s="77">
        <v>21.7</v>
      </c>
      <c r="I1816" s="77" t="s">
        <v>14</v>
      </c>
      <c r="J1816" s="14">
        <v>1.1639999999999799</v>
      </c>
      <c r="K1816" s="76">
        <v>10.524426227262973</v>
      </c>
    </row>
    <row r="1817" spans="1:11" ht="15.75" customHeight="1">
      <c r="A1817" s="77" t="s">
        <v>33</v>
      </c>
      <c r="B1817" s="76">
        <v>43.7709361106511</v>
      </c>
      <c r="C1817" s="76">
        <v>2.02</v>
      </c>
      <c r="D1817" s="26">
        <v>6.6700000000000009E-2</v>
      </c>
      <c r="E1817" s="78">
        <v>48.5</v>
      </c>
      <c r="F1817" s="80">
        <v>1220</v>
      </c>
      <c r="G1817" s="26"/>
      <c r="H1817" s="77">
        <v>21.7</v>
      </c>
      <c r="I1817" s="77" t="s">
        <v>14</v>
      </c>
      <c r="J1817" s="14">
        <v>1.1639999999999799</v>
      </c>
      <c r="K1817" s="76">
        <v>10.582962129531454</v>
      </c>
    </row>
    <row r="1818" spans="1:11" ht="15.75" customHeight="1">
      <c r="A1818" s="77" t="s">
        <v>33</v>
      </c>
      <c r="B1818" s="76">
        <v>53.365345250321823</v>
      </c>
      <c r="C1818" s="76">
        <v>2.02</v>
      </c>
      <c r="D1818" s="26">
        <v>6.6700000000000009E-2</v>
      </c>
      <c r="E1818" s="78">
        <v>48.5</v>
      </c>
      <c r="F1818" s="80">
        <v>1220</v>
      </c>
      <c r="G1818" s="26"/>
      <c r="H1818" s="77">
        <v>21.7</v>
      </c>
      <c r="I1818" s="77" t="s">
        <v>14</v>
      </c>
      <c r="J1818" s="14">
        <v>1.1639999999999799</v>
      </c>
      <c r="K1818" s="76">
        <v>10.427134240544866</v>
      </c>
    </row>
    <row r="1819" spans="1:11" ht="15.75" customHeight="1">
      <c r="A1819" s="77" t="s">
        <v>33</v>
      </c>
      <c r="B1819" s="76">
        <v>67.467403935545391</v>
      </c>
      <c r="C1819" s="76">
        <v>2.02</v>
      </c>
      <c r="D1819" s="26">
        <v>6.6700000000000009E-2</v>
      </c>
      <c r="E1819" s="78">
        <v>48.5</v>
      </c>
      <c r="F1819" s="80">
        <v>1220</v>
      </c>
      <c r="G1819" s="26"/>
      <c r="H1819" s="77">
        <v>21.7</v>
      </c>
      <c r="I1819" s="77" t="s">
        <v>14</v>
      </c>
      <c r="J1819" s="14">
        <v>1.1639999999999799</v>
      </c>
      <c r="K1819" s="76">
        <v>10.497234345861333</v>
      </c>
    </row>
    <row r="1820" spans="1:11" ht="15.75" customHeight="1">
      <c r="A1820" s="77" t="s">
        <v>33</v>
      </c>
      <c r="B1820" s="76">
        <v>78.627703095057598</v>
      </c>
      <c r="C1820" s="76">
        <v>2.02</v>
      </c>
      <c r="D1820" s="26">
        <v>6.6700000000000009E-2</v>
      </c>
      <c r="E1820" s="78">
        <v>48.5</v>
      </c>
      <c r="F1820" s="80">
        <v>1220</v>
      </c>
      <c r="G1820" s="26"/>
      <c r="H1820" s="77">
        <v>21.7</v>
      </c>
      <c r="I1820" s="77" t="s">
        <v>14</v>
      </c>
      <c r="J1820" s="14">
        <v>1.1639999999999799</v>
      </c>
      <c r="K1820" s="76">
        <v>10.571214900400951</v>
      </c>
    </row>
    <row r="1821" spans="1:11" ht="15.75" customHeight="1">
      <c r="A1821" s="77" t="s">
        <v>33</v>
      </c>
      <c r="B1821" s="76">
        <v>96.348982197742203</v>
      </c>
      <c r="C1821" s="76">
        <v>2.02</v>
      </c>
      <c r="D1821" s="26">
        <v>6.6700000000000009E-2</v>
      </c>
      <c r="E1821" s="78">
        <v>48.5</v>
      </c>
      <c r="F1821" s="80">
        <v>1220</v>
      </c>
      <c r="G1821" s="26"/>
      <c r="H1821" s="77">
        <v>21.7</v>
      </c>
      <c r="I1821" s="77" t="s">
        <v>14</v>
      </c>
      <c r="J1821" s="14">
        <v>1.1639999999999799</v>
      </c>
      <c r="K1821" s="76">
        <v>10.711122924939597</v>
      </c>
    </row>
    <row r="1822" spans="1:11" ht="15.75" customHeight="1">
      <c r="A1822" s="77" t="s">
        <v>33</v>
      </c>
      <c r="B1822" s="76">
        <v>115.8319391881092</v>
      </c>
      <c r="C1822" s="76">
        <v>2.02</v>
      </c>
      <c r="D1822" s="26">
        <v>6.6700000000000009E-2</v>
      </c>
      <c r="E1822" s="78">
        <v>48.5</v>
      </c>
      <c r="F1822" s="80">
        <v>1220</v>
      </c>
      <c r="G1822" s="26"/>
      <c r="H1822" s="77">
        <v>21.7</v>
      </c>
      <c r="I1822" s="77" t="s">
        <v>14</v>
      </c>
      <c r="J1822" s="14">
        <v>1.1639999999999799</v>
      </c>
      <c r="K1822" s="76">
        <v>10.761460872790359</v>
      </c>
    </row>
    <row r="1823" spans="1:11" ht="15.75" customHeight="1">
      <c r="A1823" s="77" t="s">
        <v>33</v>
      </c>
      <c r="B1823" s="76">
        <v>141.9903037321734</v>
      </c>
      <c r="C1823" s="76">
        <v>2.02</v>
      </c>
      <c r="D1823" s="26">
        <v>6.6700000000000009E-2</v>
      </c>
      <c r="E1823" s="78">
        <v>48.5</v>
      </c>
      <c r="F1823" s="80">
        <v>1220</v>
      </c>
      <c r="G1823" s="26"/>
      <c r="H1823" s="77">
        <v>21.7</v>
      </c>
      <c r="I1823" s="77" t="s">
        <v>14</v>
      </c>
      <c r="J1823" s="14">
        <v>1.1639999999999799</v>
      </c>
      <c r="K1823" s="76">
        <v>10.676594547193536</v>
      </c>
    </row>
    <row r="1824" spans="1:11" ht="15.75" customHeight="1">
      <c r="A1824" s="77" t="s">
        <v>33</v>
      </c>
      <c r="B1824" s="76">
        <v>162.41324962226281</v>
      </c>
      <c r="C1824" s="76">
        <v>2.02</v>
      </c>
      <c r="D1824" s="26">
        <v>6.6700000000000009E-2</v>
      </c>
      <c r="E1824" s="78">
        <v>48.5</v>
      </c>
      <c r="F1824" s="80">
        <v>1220</v>
      </c>
      <c r="G1824" s="26"/>
      <c r="H1824" s="77">
        <v>21.7</v>
      </c>
      <c r="I1824" s="77" t="s">
        <v>14</v>
      </c>
      <c r="J1824" s="14">
        <v>1.1639999999999799</v>
      </c>
      <c r="K1824" s="76">
        <v>10.934095216255036</v>
      </c>
    </row>
    <row r="1825" spans="1:11" ht="15.75" customHeight="1">
      <c r="A1825" s="77" t="s">
        <v>33</v>
      </c>
      <c r="B1825" s="76">
        <v>189.63122286220201</v>
      </c>
      <c r="C1825" s="76">
        <v>2.02</v>
      </c>
      <c r="D1825" s="26">
        <v>6.6700000000000009E-2</v>
      </c>
      <c r="E1825" s="78">
        <v>48.5</v>
      </c>
      <c r="F1825" s="80">
        <v>1220</v>
      </c>
      <c r="G1825" s="26"/>
      <c r="H1825" s="77">
        <v>21.7</v>
      </c>
      <c r="I1825" s="77" t="s">
        <v>14</v>
      </c>
      <c r="J1825" s="14">
        <v>1.1639999999999799</v>
      </c>
      <c r="K1825" s="76">
        <v>11.126542145625526</v>
      </c>
    </row>
    <row r="1826" spans="1:11" ht="15.75" customHeight="1">
      <c r="A1826" s="77" t="s">
        <v>33</v>
      </c>
      <c r="B1826" s="76">
        <v>220.266960939792</v>
      </c>
      <c r="C1826" s="76">
        <v>2.02</v>
      </c>
      <c r="D1826" s="26">
        <v>6.6700000000000009E-2</v>
      </c>
      <c r="E1826" s="78">
        <v>48.5</v>
      </c>
      <c r="F1826" s="80">
        <v>1220</v>
      </c>
      <c r="G1826" s="26"/>
      <c r="H1826" s="77">
        <v>21.7</v>
      </c>
      <c r="I1826" s="77" t="s">
        <v>14</v>
      </c>
      <c r="J1826" s="14">
        <v>1.1639999999999799</v>
      </c>
      <c r="K1826" s="76">
        <v>11.439617597315216</v>
      </c>
    </row>
    <row r="1827" spans="1:11" ht="15.75" customHeight="1">
      <c r="A1827" s="77" t="s">
        <v>33</v>
      </c>
      <c r="B1827" s="76">
        <v>270.74555388244323</v>
      </c>
      <c r="C1827" s="76">
        <v>2.02</v>
      </c>
      <c r="D1827" s="26">
        <v>6.6700000000000009E-2</v>
      </c>
      <c r="E1827" s="78">
        <v>48.5</v>
      </c>
      <c r="F1827" s="80">
        <v>1220</v>
      </c>
      <c r="G1827" s="26"/>
      <c r="H1827" s="77">
        <v>21.7</v>
      </c>
      <c r="I1827" s="77" t="s">
        <v>14</v>
      </c>
      <c r="J1827" s="14">
        <v>1.1639999999999799</v>
      </c>
      <c r="K1827" s="76">
        <v>11.987829771274711</v>
      </c>
    </row>
    <row r="1828" spans="1:11" ht="15.75" customHeight="1">
      <c r="A1828" s="77" t="s">
        <v>33</v>
      </c>
      <c r="B1828" s="76">
        <v>311.14081367157661</v>
      </c>
      <c r="C1828" s="76">
        <v>2.02</v>
      </c>
      <c r="D1828" s="26">
        <v>6.6700000000000009E-2</v>
      </c>
      <c r="E1828" s="78">
        <v>48.5</v>
      </c>
      <c r="F1828" s="80">
        <v>1220</v>
      </c>
      <c r="G1828" s="26"/>
      <c r="H1828" s="77">
        <v>21.7</v>
      </c>
      <c r="I1828" s="77" t="s">
        <v>14</v>
      </c>
      <c r="J1828" s="14">
        <v>1.1639999999999799</v>
      </c>
      <c r="K1828" s="76">
        <v>11.949583146719055</v>
      </c>
    </row>
    <row r="1829" spans="1:11" ht="15.75" customHeight="1">
      <c r="A1829" s="77" t="s">
        <v>33</v>
      </c>
      <c r="B1829" s="76">
        <v>361.95187531579739</v>
      </c>
      <c r="C1829" s="76">
        <v>2.02</v>
      </c>
      <c r="D1829" s="26">
        <v>6.6700000000000009E-2</v>
      </c>
      <c r="E1829" s="78">
        <v>48.5</v>
      </c>
      <c r="F1829" s="80">
        <v>1220</v>
      </c>
      <c r="G1829" s="26"/>
      <c r="H1829" s="77">
        <v>21.7</v>
      </c>
      <c r="I1829" s="77" t="s">
        <v>14</v>
      </c>
      <c r="J1829" s="14">
        <v>1.1639999999999799</v>
      </c>
      <c r="K1829" s="76">
        <v>12.163866535323233</v>
      </c>
    </row>
    <row r="1830" spans="1:11" ht="15.75" customHeight="1">
      <c r="A1830" s="77" t="s">
        <v>33</v>
      </c>
      <c r="B1830" s="76">
        <v>412.11539043630364</v>
      </c>
      <c r="C1830" s="76">
        <v>2.02</v>
      </c>
      <c r="D1830" s="80">
        <v>6.6700000000000009E-2</v>
      </c>
      <c r="E1830" s="78">
        <v>48.5</v>
      </c>
      <c r="F1830" s="80">
        <v>1220</v>
      </c>
      <c r="G1830" s="26"/>
      <c r="H1830" s="77">
        <v>21.7</v>
      </c>
      <c r="I1830" s="77" t="s">
        <v>14</v>
      </c>
      <c r="J1830" s="14">
        <v>1.1639999999999799</v>
      </c>
      <c r="K1830" s="76">
        <v>12.315020986054936</v>
      </c>
    </row>
    <row r="1831" spans="1:11" ht="15.75" customHeight="1">
      <c r="A1831" s="77" t="s">
        <v>33</v>
      </c>
      <c r="B1831" s="76">
        <v>469.67063988232439</v>
      </c>
      <c r="C1831" s="76">
        <v>2.02</v>
      </c>
      <c r="D1831" s="80">
        <v>6.6700000000000009E-2</v>
      </c>
      <c r="E1831" s="78">
        <v>48.5</v>
      </c>
      <c r="F1831" s="80">
        <v>1220</v>
      </c>
      <c r="G1831" s="26"/>
      <c r="H1831" s="77">
        <v>21.7</v>
      </c>
      <c r="I1831" s="77" t="s">
        <v>14</v>
      </c>
      <c r="J1831" s="14">
        <v>1.1639999999999799</v>
      </c>
      <c r="K1831" s="76">
        <v>12.317027718612742</v>
      </c>
    </row>
    <row r="1832" spans="1:11" ht="15.75" customHeight="1">
      <c r="A1832" s="77" t="s">
        <v>33</v>
      </c>
      <c r="B1832" s="76">
        <v>541.18439285673833</v>
      </c>
      <c r="C1832" s="76">
        <v>2.02</v>
      </c>
      <c r="D1832" s="80">
        <v>6.6700000000000009E-2</v>
      </c>
      <c r="E1832" s="78">
        <v>48.5</v>
      </c>
      <c r="F1832" s="80">
        <v>1220</v>
      </c>
      <c r="G1832" s="26"/>
      <c r="H1832" s="77">
        <v>21.7</v>
      </c>
      <c r="I1832" s="77" t="s">
        <v>14</v>
      </c>
      <c r="J1832" s="14">
        <v>1.1639999999999799</v>
      </c>
      <c r="K1832" s="76">
        <v>12.635964968887999</v>
      </c>
    </row>
    <row r="1833" spans="1:11" ht="15.75" customHeight="1">
      <c r="A1833" s="77" t="s">
        <v>33</v>
      </c>
      <c r="B1833" s="76">
        <v>6.5633586705391798</v>
      </c>
      <c r="C1833" s="25">
        <v>1.08</v>
      </c>
      <c r="D1833" s="77">
        <v>7.1800000000000003E-2</v>
      </c>
      <c r="E1833" s="77">
        <v>0.874</v>
      </c>
      <c r="F1833" s="77">
        <v>997</v>
      </c>
      <c r="G1833" s="76"/>
      <c r="H1833" s="77">
        <v>26</v>
      </c>
      <c r="I1833" s="77" t="s">
        <v>34</v>
      </c>
      <c r="J1833" s="14">
        <v>0.1661</v>
      </c>
      <c r="K1833" s="76">
        <v>10.18972423525657</v>
      </c>
    </row>
    <row r="1834" spans="1:11" ht="15.75" customHeight="1">
      <c r="A1834" s="77" t="s">
        <v>33</v>
      </c>
      <c r="B1834" s="76">
        <v>7.680298567140901</v>
      </c>
      <c r="C1834" s="25">
        <v>1.08</v>
      </c>
      <c r="D1834" s="77">
        <v>7.1800000000000003E-2</v>
      </c>
      <c r="E1834" s="77">
        <v>0.874</v>
      </c>
      <c r="F1834" s="77">
        <v>997</v>
      </c>
      <c r="G1834" s="76"/>
      <c r="H1834" s="77">
        <v>26</v>
      </c>
      <c r="I1834" s="77" t="s">
        <v>34</v>
      </c>
      <c r="J1834" s="14">
        <v>0.1661</v>
      </c>
      <c r="K1834" s="76">
        <v>10.076862799846996</v>
      </c>
    </row>
    <row r="1835" spans="1:11" ht="15.75" customHeight="1">
      <c r="A1835" s="77" t="s">
        <v>33</v>
      </c>
      <c r="B1835" s="76">
        <v>9.3073377954690599</v>
      </c>
      <c r="C1835" s="25">
        <v>1.08</v>
      </c>
      <c r="D1835" s="77">
        <v>7.1800000000000003E-2</v>
      </c>
      <c r="E1835" s="77">
        <v>0.874</v>
      </c>
      <c r="F1835" s="77">
        <v>997</v>
      </c>
      <c r="G1835" s="76"/>
      <c r="H1835" s="77">
        <v>26</v>
      </c>
      <c r="I1835" s="77" t="s">
        <v>34</v>
      </c>
      <c r="J1835" s="14">
        <v>0.1661</v>
      </c>
      <c r="K1835" s="76">
        <v>10.326458850896238</v>
      </c>
    </row>
    <row r="1836" spans="1:11" ht="15.75" customHeight="1">
      <c r="A1836" s="77" t="s">
        <v>33</v>
      </c>
      <c r="B1836" s="76">
        <v>12.73722055669308</v>
      </c>
      <c r="C1836" s="25">
        <v>1.08</v>
      </c>
      <c r="D1836" s="77">
        <v>7.1800000000000003E-2</v>
      </c>
      <c r="E1836" s="77">
        <v>0.874</v>
      </c>
      <c r="F1836" s="77">
        <v>997</v>
      </c>
      <c r="G1836" s="76"/>
      <c r="H1836" s="77">
        <v>26</v>
      </c>
      <c r="I1836" s="77" t="s">
        <v>34</v>
      </c>
      <c r="J1836" s="14">
        <v>0.1661</v>
      </c>
      <c r="K1836" s="76">
        <v>10.424333125912392</v>
      </c>
    </row>
    <row r="1837" spans="1:11" ht="15.75" customHeight="1">
      <c r="A1837" s="77" t="s">
        <v>33</v>
      </c>
      <c r="B1837" s="76">
        <v>15.374817410920979</v>
      </c>
      <c r="C1837" s="25">
        <v>1.08</v>
      </c>
      <c r="D1837" s="77">
        <v>7.1800000000000003E-2</v>
      </c>
      <c r="E1837" s="77">
        <v>0.874</v>
      </c>
      <c r="F1837" s="77">
        <v>997</v>
      </c>
      <c r="G1837" s="76"/>
      <c r="H1837" s="77">
        <v>26</v>
      </c>
      <c r="I1837" s="77" t="s">
        <v>34</v>
      </c>
      <c r="J1837" s="14">
        <v>0.1661</v>
      </c>
      <c r="K1837" s="76">
        <v>10.432352096764765</v>
      </c>
    </row>
    <row r="1838" spans="1:11" ht="15.75" customHeight="1">
      <c r="A1838" s="77" t="s">
        <v>33</v>
      </c>
      <c r="B1838" s="76">
        <v>19.054718742034737</v>
      </c>
      <c r="C1838" s="25">
        <v>1.08</v>
      </c>
      <c r="D1838" s="77">
        <v>7.1800000000000003E-2</v>
      </c>
      <c r="E1838" s="77">
        <v>0.874</v>
      </c>
      <c r="F1838" s="77">
        <v>997</v>
      </c>
      <c r="G1838" s="76"/>
      <c r="H1838" s="77">
        <v>26</v>
      </c>
      <c r="I1838" s="77" t="s">
        <v>34</v>
      </c>
      <c r="J1838" s="14">
        <v>0.1661</v>
      </c>
      <c r="K1838" s="76">
        <v>10.402454439129308</v>
      </c>
    </row>
    <row r="1839" spans="1:11" ht="15.75" customHeight="1">
      <c r="A1839" s="77" t="s">
        <v>33</v>
      </c>
      <c r="B1839" s="76">
        <v>25.8422282387805</v>
      </c>
      <c r="C1839" s="25">
        <v>1.08</v>
      </c>
      <c r="D1839" s="77">
        <v>7.1800000000000003E-2</v>
      </c>
      <c r="E1839" s="77">
        <v>0.874</v>
      </c>
      <c r="F1839" s="77">
        <v>997</v>
      </c>
      <c r="G1839" s="76"/>
      <c r="H1839" s="77">
        <v>26</v>
      </c>
      <c r="I1839" s="77" t="s">
        <v>34</v>
      </c>
      <c r="J1839" s="14">
        <v>0.1661</v>
      </c>
      <c r="K1839" s="76">
        <v>10.500921838365352</v>
      </c>
    </row>
    <row r="1840" spans="1:11" ht="15.75" customHeight="1">
      <c r="A1840" s="77" t="s">
        <v>33</v>
      </c>
      <c r="B1840" s="76">
        <v>34.047588498932939</v>
      </c>
      <c r="C1840" s="25">
        <v>1.08</v>
      </c>
      <c r="D1840" s="77">
        <v>7.1800000000000003E-2</v>
      </c>
      <c r="E1840" s="77">
        <v>0.874</v>
      </c>
      <c r="F1840" s="77">
        <v>997</v>
      </c>
      <c r="G1840" s="76"/>
      <c r="H1840" s="77">
        <v>26</v>
      </c>
      <c r="I1840" s="77" t="s">
        <v>34</v>
      </c>
      <c r="J1840" s="14">
        <v>0.1661</v>
      </c>
      <c r="K1840" s="76">
        <v>10.457395758233224</v>
      </c>
    </row>
    <row r="1841" spans="1:11" ht="15.75" customHeight="1">
      <c r="A1841" s="77" t="s">
        <v>33</v>
      </c>
      <c r="B1841" s="76">
        <v>41.504853094681742</v>
      </c>
      <c r="C1841" s="25">
        <v>1.08</v>
      </c>
      <c r="D1841" s="77">
        <v>7.1800000000000003E-2</v>
      </c>
      <c r="E1841" s="77">
        <v>0.874</v>
      </c>
      <c r="F1841" s="77">
        <v>997</v>
      </c>
      <c r="G1841" s="76"/>
      <c r="H1841" s="77">
        <v>26</v>
      </c>
      <c r="I1841" s="77" t="s">
        <v>34</v>
      </c>
      <c r="J1841" s="14">
        <v>0.1661</v>
      </c>
      <c r="K1841" s="76">
        <v>10.507695394119606</v>
      </c>
    </row>
    <row r="1842" spans="1:11" ht="15.75" customHeight="1">
      <c r="A1842" s="77" t="s">
        <v>33</v>
      </c>
      <c r="B1842" s="76">
        <v>49.937205395813336</v>
      </c>
      <c r="C1842" s="25">
        <v>1.08</v>
      </c>
      <c r="D1842" s="77">
        <v>7.1800000000000003E-2</v>
      </c>
      <c r="E1842" s="77">
        <v>0.874</v>
      </c>
      <c r="F1842" s="77">
        <v>997</v>
      </c>
      <c r="G1842" s="76"/>
      <c r="H1842" s="77">
        <v>26</v>
      </c>
      <c r="I1842" s="77" t="s">
        <v>34</v>
      </c>
      <c r="J1842" s="14">
        <v>0.1661</v>
      </c>
      <c r="K1842" s="76">
        <v>10.574167044077399</v>
      </c>
    </row>
    <row r="1843" spans="1:11" ht="15.75" customHeight="1">
      <c r="A1843" s="77" t="s">
        <v>33</v>
      </c>
      <c r="B1843" s="76">
        <v>59.658047776776719</v>
      </c>
      <c r="C1843" s="25">
        <v>1.08</v>
      </c>
      <c r="D1843" s="77">
        <v>7.1800000000000003E-2</v>
      </c>
      <c r="E1843" s="77">
        <v>0.874</v>
      </c>
      <c r="F1843" s="77">
        <v>997</v>
      </c>
      <c r="G1843" s="76"/>
      <c r="H1843" s="77">
        <v>26</v>
      </c>
      <c r="I1843" s="77" t="s">
        <v>34</v>
      </c>
      <c r="J1843" s="14">
        <v>0.1661</v>
      </c>
      <c r="K1843" s="76">
        <v>10.559515606365716</v>
      </c>
    </row>
    <row r="1844" spans="1:11" ht="15.75" customHeight="1">
      <c r="A1844" s="77" t="s">
        <v>33</v>
      </c>
      <c r="B1844" s="76">
        <v>68.041171093521001</v>
      </c>
      <c r="C1844" s="25">
        <v>1.08</v>
      </c>
      <c r="D1844" s="77">
        <v>7.1800000000000003E-2</v>
      </c>
      <c r="E1844" s="77">
        <v>0.874</v>
      </c>
      <c r="F1844" s="77">
        <v>997</v>
      </c>
      <c r="G1844" s="76"/>
      <c r="H1844" s="77">
        <v>26</v>
      </c>
      <c r="I1844" s="77" t="s">
        <v>34</v>
      </c>
      <c r="J1844" s="14">
        <v>0.1661</v>
      </c>
      <c r="K1844" s="76">
        <v>10.542713890066121</v>
      </c>
    </row>
    <row r="1845" spans="1:11" ht="15.75" customHeight="1">
      <c r="A1845" s="77" t="s">
        <v>33</v>
      </c>
      <c r="B1845" s="76">
        <v>79.938057889975795</v>
      </c>
      <c r="C1845" s="25">
        <v>1.08</v>
      </c>
      <c r="D1845" s="77">
        <v>7.1800000000000003E-2</v>
      </c>
      <c r="E1845" s="77">
        <v>0.874</v>
      </c>
      <c r="F1845" s="77">
        <v>997</v>
      </c>
      <c r="G1845" s="76"/>
      <c r="H1845" s="77">
        <v>26</v>
      </c>
      <c r="I1845" s="77" t="s">
        <v>34</v>
      </c>
      <c r="J1845" s="14">
        <v>0.1661</v>
      </c>
      <c r="K1845" s="76">
        <v>10.606548869249542</v>
      </c>
    </row>
    <row r="1846" spans="1:11" ht="15.75" customHeight="1">
      <c r="A1846" s="77" t="s">
        <v>33</v>
      </c>
      <c r="B1846" s="76">
        <v>90.060937060663207</v>
      </c>
      <c r="C1846" s="25">
        <v>1.08</v>
      </c>
      <c r="D1846" s="77">
        <v>7.1800000000000003E-2</v>
      </c>
      <c r="E1846" s="77">
        <v>0.874</v>
      </c>
      <c r="F1846" s="77">
        <v>997</v>
      </c>
      <c r="G1846" s="76"/>
      <c r="H1846" s="77">
        <v>26</v>
      </c>
      <c r="I1846" s="77" t="s">
        <v>34</v>
      </c>
      <c r="J1846" s="14">
        <v>0.1661</v>
      </c>
      <c r="K1846" s="76">
        <v>10.607993929126431</v>
      </c>
    </row>
    <row r="1847" spans="1:11" ht="15.75" customHeight="1">
      <c r="A1847" s="77" t="s">
        <v>33</v>
      </c>
      <c r="B1847" s="76">
        <v>100.0487221861152</v>
      </c>
      <c r="C1847" s="25">
        <v>1.08</v>
      </c>
      <c r="D1847" s="77">
        <v>7.1800000000000003E-2</v>
      </c>
      <c r="E1847" s="77">
        <v>0.874</v>
      </c>
      <c r="F1847" s="77">
        <v>997</v>
      </c>
      <c r="G1847" s="76"/>
      <c r="H1847" s="77">
        <v>26</v>
      </c>
      <c r="I1847" s="77" t="s">
        <v>34</v>
      </c>
      <c r="J1847" s="14">
        <v>0.1661</v>
      </c>
      <c r="K1847" s="76">
        <v>10.620976176775869</v>
      </c>
    </row>
    <row r="1848" spans="1:11" ht="15.75" customHeight="1">
      <c r="A1848" s="77" t="s">
        <v>33</v>
      </c>
      <c r="B1848" s="76">
        <v>110.4188058495138</v>
      </c>
      <c r="C1848" s="25">
        <v>1.08</v>
      </c>
      <c r="D1848" s="77">
        <v>7.1800000000000003E-2</v>
      </c>
      <c r="E1848" s="77">
        <v>0.874</v>
      </c>
      <c r="F1848" s="77">
        <v>997</v>
      </c>
      <c r="G1848" s="76"/>
      <c r="H1848" s="77">
        <v>26</v>
      </c>
      <c r="I1848" s="77" t="s">
        <v>34</v>
      </c>
      <c r="J1848" s="14">
        <v>0.1661</v>
      </c>
      <c r="K1848" s="76">
        <v>10.633748961738892</v>
      </c>
    </row>
    <row r="1849" spans="1:11" ht="15.75" customHeight="1">
      <c r="A1849" s="77" t="s">
        <v>33</v>
      </c>
      <c r="B1849" s="76">
        <v>119.6352579986646</v>
      </c>
      <c r="C1849" s="25">
        <v>1.08</v>
      </c>
      <c r="D1849" s="77">
        <v>7.1800000000000003E-2</v>
      </c>
      <c r="E1849" s="77">
        <v>0.874</v>
      </c>
      <c r="F1849" s="77">
        <v>997</v>
      </c>
      <c r="G1849" s="76"/>
      <c r="H1849" s="77">
        <v>26</v>
      </c>
      <c r="I1849" s="77" t="s">
        <v>34</v>
      </c>
      <c r="J1849" s="14">
        <v>0.1661</v>
      </c>
      <c r="K1849" s="76">
        <v>10.644925663481098</v>
      </c>
    </row>
    <row r="1850" spans="1:11" ht="15.75" customHeight="1">
      <c r="A1850" s="77" t="s">
        <v>33</v>
      </c>
      <c r="B1850" s="76">
        <v>131.09688346655759</v>
      </c>
      <c r="C1850" s="25">
        <v>1.08</v>
      </c>
      <c r="D1850" s="77">
        <v>7.1800000000000003E-2</v>
      </c>
      <c r="E1850" s="77">
        <v>0.874</v>
      </c>
      <c r="F1850" s="77">
        <v>997</v>
      </c>
      <c r="G1850" s="76"/>
      <c r="H1850" s="77">
        <v>26</v>
      </c>
      <c r="I1850" s="77" t="s">
        <v>34</v>
      </c>
      <c r="J1850" s="14">
        <v>0.1661</v>
      </c>
      <c r="K1850" s="76">
        <v>10.629725648060115</v>
      </c>
    </row>
    <row r="1851" spans="1:11" ht="15.75" customHeight="1">
      <c r="A1851" s="77" t="s">
        <v>33</v>
      </c>
      <c r="B1851" s="76">
        <v>142.71516075829319</v>
      </c>
      <c r="C1851" s="25">
        <v>1.08</v>
      </c>
      <c r="D1851" s="77">
        <v>7.1800000000000003E-2</v>
      </c>
      <c r="E1851" s="77">
        <v>0.874</v>
      </c>
      <c r="F1851" s="77">
        <v>997</v>
      </c>
      <c r="G1851" s="76"/>
      <c r="H1851" s="77">
        <v>26</v>
      </c>
      <c r="I1851" s="77" t="s">
        <v>34</v>
      </c>
      <c r="J1851" s="14">
        <v>0.1661</v>
      </c>
      <c r="K1851" s="76">
        <v>10.571734395095955</v>
      </c>
    </row>
    <row r="1852" spans="1:11" ht="15.75" customHeight="1">
      <c r="A1852" s="77" t="s">
        <v>33</v>
      </c>
      <c r="B1852" s="76">
        <v>158.0004187248168</v>
      </c>
      <c r="C1852" s="25">
        <v>1.08</v>
      </c>
      <c r="D1852" s="77">
        <v>7.1800000000000003E-2</v>
      </c>
      <c r="E1852" s="77">
        <v>0.874</v>
      </c>
      <c r="F1852" s="77">
        <v>997</v>
      </c>
      <c r="G1852" s="76"/>
      <c r="H1852" s="77">
        <v>26</v>
      </c>
      <c r="I1852" s="77" t="s">
        <v>34</v>
      </c>
      <c r="J1852" s="14">
        <v>0.1661</v>
      </c>
      <c r="K1852" s="76">
        <v>10.779117437127658</v>
      </c>
    </row>
    <row r="1853" spans="1:11" ht="15.75" customHeight="1">
      <c r="A1853" s="77" t="s">
        <v>33</v>
      </c>
      <c r="B1853" s="76">
        <v>179.59153830085859</v>
      </c>
      <c r="C1853" s="25">
        <v>1.08</v>
      </c>
      <c r="D1853" s="77">
        <v>7.1800000000000003E-2</v>
      </c>
      <c r="E1853" s="77">
        <v>0.874</v>
      </c>
      <c r="F1853" s="77">
        <v>997</v>
      </c>
      <c r="G1853" s="76"/>
      <c r="H1853" s="77">
        <v>26</v>
      </c>
      <c r="I1853" s="77" t="s">
        <v>34</v>
      </c>
      <c r="J1853" s="14">
        <v>0.1661</v>
      </c>
      <c r="K1853" s="76">
        <v>10.663827116273962</v>
      </c>
    </row>
    <row r="1854" spans="1:11" ht="15.75" customHeight="1">
      <c r="A1854" s="77" t="s">
        <v>33</v>
      </c>
      <c r="B1854" s="76">
        <v>228.9441540551112</v>
      </c>
      <c r="C1854" s="25">
        <v>1.08</v>
      </c>
      <c r="D1854" s="77">
        <v>7.1800000000000003E-2</v>
      </c>
      <c r="E1854" s="77">
        <v>0.874</v>
      </c>
      <c r="F1854" s="77">
        <v>997</v>
      </c>
      <c r="G1854" s="76"/>
      <c r="H1854" s="77">
        <v>26</v>
      </c>
      <c r="I1854" s="77" t="s">
        <v>34</v>
      </c>
      <c r="J1854" s="14">
        <v>0.1661</v>
      </c>
      <c r="K1854" s="76">
        <v>10.779639572785491</v>
      </c>
    </row>
    <row r="1855" spans="1:11" ht="15.75" customHeight="1">
      <c r="A1855" s="77" t="s">
        <v>33</v>
      </c>
      <c r="B1855" s="76">
        <v>271.1703216435684</v>
      </c>
      <c r="C1855" s="25">
        <v>1.08</v>
      </c>
      <c r="D1855" s="77">
        <v>7.1800000000000003E-2</v>
      </c>
      <c r="E1855" s="77">
        <v>0.874</v>
      </c>
      <c r="F1855" s="77">
        <v>997</v>
      </c>
      <c r="G1855" s="76"/>
      <c r="H1855" s="77">
        <v>26</v>
      </c>
      <c r="I1855" s="77" t="s">
        <v>34</v>
      </c>
      <c r="J1855" s="14">
        <v>0.1661</v>
      </c>
      <c r="K1855" s="76">
        <v>10.810784938437628</v>
      </c>
    </row>
    <row r="1856" spans="1:11" ht="15.75" customHeight="1">
      <c r="A1856" s="77" t="s">
        <v>33</v>
      </c>
      <c r="B1856" s="76">
        <v>316.05185950914057</v>
      </c>
      <c r="C1856" s="25">
        <v>1.08</v>
      </c>
      <c r="D1856" s="77">
        <v>7.1800000000000003E-2</v>
      </c>
      <c r="E1856" s="77">
        <v>0.874</v>
      </c>
      <c r="F1856" s="77">
        <v>997</v>
      </c>
      <c r="G1856" s="76"/>
      <c r="H1856" s="77">
        <v>26</v>
      </c>
      <c r="I1856" s="77" t="s">
        <v>34</v>
      </c>
      <c r="J1856" s="14">
        <v>0.1661</v>
      </c>
      <c r="K1856" s="76">
        <v>10.834178403264971</v>
      </c>
    </row>
    <row r="1857" spans="1:11" ht="15.75" customHeight="1">
      <c r="A1857" s="77" t="s">
        <v>33</v>
      </c>
      <c r="B1857" s="76">
        <v>353.28320547877502</v>
      </c>
      <c r="C1857" s="25">
        <v>1.08</v>
      </c>
      <c r="D1857" s="77">
        <v>7.1800000000000003E-2</v>
      </c>
      <c r="E1857" s="77">
        <v>0.874</v>
      </c>
      <c r="F1857" s="77">
        <v>997</v>
      </c>
      <c r="G1857" s="76"/>
      <c r="H1857" s="77">
        <v>26</v>
      </c>
      <c r="I1857" s="77" t="s">
        <v>34</v>
      </c>
      <c r="J1857" s="14">
        <v>0.1661</v>
      </c>
      <c r="K1857" s="76">
        <v>10.937791975385519</v>
      </c>
    </row>
    <row r="1858" spans="1:11" ht="15.75" customHeight="1">
      <c r="A1858" s="77" t="s">
        <v>33</v>
      </c>
      <c r="B1858" s="76">
        <v>400.90338992116801</v>
      </c>
      <c r="C1858" s="25">
        <v>1.08</v>
      </c>
      <c r="D1858" s="77">
        <v>7.1800000000000003E-2</v>
      </c>
      <c r="E1858" s="77">
        <v>0.874</v>
      </c>
      <c r="F1858" s="77">
        <v>997</v>
      </c>
      <c r="G1858" s="76"/>
      <c r="H1858" s="77">
        <v>26</v>
      </c>
      <c r="I1858" s="77" t="s">
        <v>34</v>
      </c>
      <c r="J1858" s="14">
        <v>0.1661</v>
      </c>
      <c r="K1858" s="76">
        <v>10.934448067642291</v>
      </c>
    </row>
    <row r="1859" spans="1:11" ht="15.75" customHeight="1">
      <c r="A1859" s="77" t="s">
        <v>33</v>
      </c>
      <c r="B1859" s="76">
        <v>458.00597054494017</v>
      </c>
      <c r="C1859" s="25">
        <v>1.08</v>
      </c>
      <c r="D1859" s="77">
        <v>7.1800000000000003E-2</v>
      </c>
      <c r="E1859" s="77">
        <v>0.874</v>
      </c>
      <c r="F1859" s="77">
        <v>997</v>
      </c>
      <c r="G1859" s="76"/>
      <c r="H1859" s="77">
        <v>26</v>
      </c>
      <c r="I1859" s="77" t="s">
        <v>34</v>
      </c>
      <c r="J1859" s="14">
        <v>0.1661</v>
      </c>
      <c r="K1859" s="76">
        <v>11.01641873260847</v>
      </c>
    </row>
    <row r="1860" spans="1:11" ht="15.75" customHeight="1">
      <c r="A1860" s="77" t="s">
        <v>33</v>
      </c>
      <c r="B1860" s="76">
        <v>513.87678103813982</v>
      </c>
      <c r="C1860" s="25">
        <v>1.08</v>
      </c>
      <c r="D1860" s="77">
        <v>7.1800000000000003E-2</v>
      </c>
      <c r="E1860" s="77">
        <v>0.874</v>
      </c>
      <c r="F1860" s="77">
        <v>997</v>
      </c>
      <c r="G1860" s="76"/>
      <c r="H1860" s="77">
        <v>26</v>
      </c>
      <c r="I1860" s="77" t="s">
        <v>34</v>
      </c>
      <c r="J1860" s="14">
        <v>0.1661</v>
      </c>
      <c r="K1860" s="76">
        <v>11.052061886730323</v>
      </c>
    </row>
    <row r="1861" spans="1:11" ht="15.75" customHeight="1">
      <c r="A1861" s="77" t="s">
        <v>33</v>
      </c>
      <c r="B1861" s="76">
        <v>554.45752003072869</v>
      </c>
      <c r="C1861" s="25">
        <v>1.08</v>
      </c>
      <c r="D1861" s="77">
        <v>7.1800000000000003E-2</v>
      </c>
      <c r="E1861" s="77">
        <v>0.874</v>
      </c>
      <c r="F1861" s="77">
        <v>997</v>
      </c>
      <c r="G1861" s="76"/>
      <c r="H1861" s="77">
        <v>26</v>
      </c>
      <c r="I1861" s="77" t="s">
        <v>34</v>
      </c>
      <c r="J1861" s="14">
        <v>0.1661</v>
      </c>
      <c r="K1861" s="76">
        <v>10.813272595049703</v>
      </c>
    </row>
    <row r="1862" spans="1:11" ht="15.75" customHeight="1">
      <c r="A1862" s="77" t="s">
        <v>33</v>
      </c>
      <c r="B1862" s="76">
        <v>7.0723981859656799</v>
      </c>
      <c r="C1862" s="25">
        <v>1.08</v>
      </c>
      <c r="D1862" s="77">
        <v>7.1800000000000003E-2</v>
      </c>
      <c r="E1862" s="77">
        <v>0.874</v>
      </c>
      <c r="F1862" s="77">
        <v>997</v>
      </c>
      <c r="G1862" s="76"/>
      <c r="H1862" s="77">
        <v>26</v>
      </c>
      <c r="I1862" s="77" t="s">
        <v>14</v>
      </c>
      <c r="J1862" s="14">
        <v>1.1639999999999799</v>
      </c>
      <c r="K1862" s="76">
        <v>7.6261184792890102</v>
      </c>
    </row>
    <row r="1863" spans="1:11" ht="15.75" customHeight="1">
      <c r="A1863" s="77" t="s">
        <v>33</v>
      </c>
      <c r="B1863" s="76">
        <v>8.5033474856066391</v>
      </c>
      <c r="C1863" s="25">
        <v>1.08</v>
      </c>
      <c r="D1863" s="77">
        <v>7.1800000000000003E-2</v>
      </c>
      <c r="E1863" s="77">
        <v>0.874</v>
      </c>
      <c r="F1863" s="77">
        <v>997</v>
      </c>
      <c r="G1863" s="76"/>
      <c r="H1863" s="77">
        <v>26</v>
      </c>
      <c r="I1863" s="77" t="s">
        <v>14</v>
      </c>
      <c r="J1863" s="14">
        <v>1.1639999999999799</v>
      </c>
      <c r="K1863" s="76">
        <v>7.5757245270369085</v>
      </c>
    </row>
    <row r="1864" spans="1:11" ht="15.75" customHeight="1">
      <c r="A1864" s="77" t="s">
        <v>33</v>
      </c>
      <c r="B1864" s="76">
        <v>9.8125413842829001</v>
      </c>
      <c r="C1864" s="25">
        <v>1.08</v>
      </c>
      <c r="D1864" s="77">
        <v>7.1800000000000003E-2</v>
      </c>
      <c r="E1864" s="77">
        <v>0.874</v>
      </c>
      <c r="F1864" s="77">
        <v>997</v>
      </c>
      <c r="G1864" s="76"/>
      <c r="H1864" s="77">
        <v>26</v>
      </c>
      <c r="I1864" s="77" t="s">
        <v>14</v>
      </c>
      <c r="J1864" s="14">
        <v>1.1639999999999799</v>
      </c>
      <c r="K1864" s="76">
        <v>7.6447727104591197</v>
      </c>
    </row>
    <row r="1865" spans="1:11" ht="15.75" customHeight="1">
      <c r="A1865" s="77" t="s">
        <v>33</v>
      </c>
      <c r="B1865" s="76">
        <v>10.56795672519408</v>
      </c>
      <c r="C1865" s="25">
        <v>1.08</v>
      </c>
      <c r="D1865" s="77">
        <v>7.1800000000000003E-2</v>
      </c>
      <c r="E1865" s="77">
        <v>0.874</v>
      </c>
      <c r="F1865" s="77">
        <v>997</v>
      </c>
      <c r="G1865" s="76"/>
      <c r="H1865" s="77">
        <v>26</v>
      </c>
      <c r="I1865" s="77" t="s">
        <v>14</v>
      </c>
      <c r="J1865" s="14">
        <v>1.1639999999999799</v>
      </c>
      <c r="K1865" s="76">
        <v>7.5737982538064488</v>
      </c>
    </row>
    <row r="1866" spans="1:11" ht="15.75" customHeight="1">
      <c r="A1866" s="77" t="s">
        <v>33</v>
      </c>
      <c r="B1866" s="76">
        <v>12.479589903716398</v>
      </c>
      <c r="C1866" s="25">
        <v>1.08</v>
      </c>
      <c r="D1866" s="77">
        <v>7.1800000000000003E-2</v>
      </c>
      <c r="E1866" s="77">
        <v>0.874</v>
      </c>
      <c r="F1866" s="77">
        <v>997</v>
      </c>
      <c r="G1866" s="76"/>
      <c r="H1866" s="77">
        <v>26</v>
      </c>
      <c r="I1866" s="77" t="s">
        <v>14</v>
      </c>
      <c r="J1866" s="14">
        <v>1.1639999999999799</v>
      </c>
      <c r="K1866" s="76">
        <v>7.5863277904031081</v>
      </c>
    </row>
    <row r="1867" spans="1:11" ht="15.75" customHeight="1">
      <c r="A1867" s="77" t="s">
        <v>33</v>
      </c>
      <c r="B1867" s="76">
        <v>15.382998870201659</v>
      </c>
      <c r="C1867" s="25">
        <v>1.08</v>
      </c>
      <c r="D1867" s="77">
        <v>7.1800000000000003E-2</v>
      </c>
      <c r="E1867" s="77">
        <v>0.874</v>
      </c>
      <c r="F1867" s="77">
        <v>997</v>
      </c>
      <c r="G1867" s="76"/>
      <c r="H1867" s="77">
        <v>26</v>
      </c>
      <c r="I1867" s="77" t="s">
        <v>14</v>
      </c>
      <c r="J1867" s="14">
        <v>1.1639999999999799</v>
      </c>
      <c r="K1867" s="76">
        <v>7.7048807324285349</v>
      </c>
    </row>
    <row r="1868" spans="1:11" ht="15.75" customHeight="1">
      <c r="A1868" s="77" t="s">
        <v>33</v>
      </c>
      <c r="B1868" s="76">
        <v>18.741516002224319</v>
      </c>
      <c r="C1868" s="25">
        <v>1.08</v>
      </c>
      <c r="D1868" s="77">
        <v>7.1800000000000003E-2</v>
      </c>
      <c r="E1868" s="77">
        <v>0.874</v>
      </c>
      <c r="F1868" s="77">
        <v>997</v>
      </c>
      <c r="G1868" s="76"/>
      <c r="H1868" s="77">
        <v>26</v>
      </c>
      <c r="I1868" s="77" t="s">
        <v>14</v>
      </c>
      <c r="J1868" s="14">
        <v>1.1639999999999799</v>
      </c>
      <c r="K1868" s="76">
        <v>7.7818174211211097</v>
      </c>
    </row>
    <row r="1869" spans="1:11" ht="15.75" customHeight="1">
      <c r="A1869" s="77" t="s">
        <v>33</v>
      </c>
      <c r="B1869" s="76">
        <v>23.040095855610002</v>
      </c>
      <c r="C1869" s="25">
        <v>1.08</v>
      </c>
      <c r="D1869" s="77">
        <v>7.1800000000000003E-2</v>
      </c>
      <c r="E1869" s="77">
        <v>0.874</v>
      </c>
      <c r="F1869" s="77">
        <v>997</v>
      </c>
      <c r="G1869" s="76"/>
      <c r="H1869" s="77">
        <v>26</v>
      </c>
      <c r="I1869" s="77" t="s">
        <v>14</v>
      </c>
      <c r="J1869" s="14">
        <v>1.1639999999999799</v>
      </c>
      <c r="K1869" s="76">
        <v>7.782477091713786</v>
      </c>
    </row>
    <row r="1870" spans="1:11" ht="15.75" customHeight="1">
      <c r="A1870" s="77" t="s">
        <v>33</v>
      </c>
      <c r="B1870" s="76">
        <v>27.900865487944081</v>
      </c>
      <c r="C1870" s="25">
        <v>1.08</v>
      </c>
      <c r="D1870" s="77">
        <v>7.1800000000000003E-2</v>
      </c>
      <c r="E1870" s="77">
        <v>0.874</v>
      </c>
      <c r="F1870" s="77">
        <v>997</v>
      </c>
      <c r="G1870" s="76"/>
      <c r="H1870" s="77">
        <v>26</v>
      </c>
      <c r="I1870" s="77" t="s">
        <v>14</v>
      </c>
      <c r="J1870" s="14">
        <v>1.1639999999999799</v>
      </c>
      <c r="K1870" s="76">
        <v>7.7995773315723591</v>
      </c>
    </row>
    <row r="1871" spans="1:11" ht="15.75" customHeight="1">
      <c r="A1871" s="77" t="s">
        <v>33</v>
      </c>
      <c r="B1871" s="76">
        <v>32.898889031831636</v>
      </c>
      <c r="C1871" s="25">
        <v>1.08</v>
      </c>
      <c r="D1871" s="77">
        <v>7.1800000000000003E-2</v>
      </c>
      <c r="E1871" s="77">
        <v>0.874</v>
      </c>
      <c r="F1871" s="77">
        <v>997</v>
      </c>
      <c r="G1871" s="76"/>
      <c r="H1871" s="77">
        <v>26</v>
      </c>
      <c r="I1871" s="77" t="s">
        <v>14</v>
      </c>
      <c r="J1871" s="14">
        <v>1.1639999999999799</v>
      </c>
      <c r="K1871" s="76">
        <v>7.8165968246763669</v>
      </c>
    </row>
    <row r="1872" spans="1:11" ht="15.75" customHeight="1">
      <c r="A1872" s="77" t="s">
        <v>33</v>
      </c>
      <c r="B1872" s="76">
        <v>38.409437142585361</v>
      </c>
      <c r="C1872" s="25">
        <v>1.08</v>
      </c>
      <c r="D1872" s="77">
        <v>7.1800000000000003E-2</v>
      </c>
      <c r="E1872" s="77">
        <v>0.874</v>
      </c>
      <c r="F1872" s="77">
        <v>997</v>
      </c>
      <c r="G1872" s="76"/>
      <c r="H1872" s="77">
        <v>26</v>
      </c>
      <c r="I1872" s="77" t="s">
        <v>14</v>
      </c>
      <c r="J1872" s="14">
        <v>1.1639999999999799</v>
      </c>
      <c r="K1872" s="76">
        <v>7.8570957530743524</v>
      </c>
    </row>
    <row r="1873" spans="1:11" ht="15.75" customHeight="1">
      <c r="A1873" s="77" t="s">
        <v>33</v>
      </c>
      <c r="B1873" s="76">
        <v>43.302903617645462</v>
      </c>
      <c r="C1873" s="25">
        <v>1.08</v>
      </c>
      <c r="D1873" s="77">
        <v>7.1800000000000003E-2</v>
      </c>
      <c r="E1873" s="77">
        <v>0.874</v>
      </c>
      <c r="F1873" s="77">
        <v>997</v>
      </c>
      <c r="G1873" s="76"/>
      <c r="H1873" s="77">
        <v>26</v>
      </c>
      <c r="I1873" s="77" t="s">
        <v>14</v>
      </c>
      <c r="J1873" s="14">
        <v>1.1639999999999799</v>
      </c>
      <c r="K1873" s="76">
        <v>7.8100683005218681</v>
      </c>
    </row>
    <row r="1874" spans="1:11" ht="15.75" customHeight="1">
      <c r="A1874" s="77" t="s">
        <v>33</v>
      </c>
      <c r="B1874" s="76">
        <v>47.673413539115764</v>
      </c>
      <c r="C1874" s="25">
        <v>1.08</v>
      </c>
      <c r="D1874" s="77">
        <v>7.1800000000000003E-2</v>
      </c>
      <c r="E1874" s="77">
        <v>0.874</v>
      </c>
      <c r="F1874" s="77">
        <v>997</v>
      </c>
      <c r="G1874" s="76"/>
      <c r="H1874" s="77">
        <v>26</v>
      </c>
      <c r="I1874" s="77" t="s">
        <v>14</v>
      </c>
      <c r="J1874" s="14">
        <v>1.1639999999999799</v>
      </c>
      <c r="K1874" s="76">
        <v>7.7143334539356054</v>
      </c>
    </row>
    <row r="1875" spans="1:11" ht="15.75" customHeight="1">
      <c r="A1875" s="77" t="s">
        <v>33</v>
      </c>
      <c r="B1875" s="76">
        <v>56.632083082259584</v>
      </c>
      <c r="C1875" s="25">
        <v>1.08</v>
      </c>
      <c r="D1875" s="77">
        <v>7.1800000000000003E-2</v>
      </c>
      <c r="E1875" s="77">
        <v>0.874</v>
      </c>
      <c r="F1875" s="77">
        <v>997</v>
      </c>
      <c r="G1875" s="76"/>
      <c r="H1875" s="77">
        <v>26</v>
      </c>
      <c r="I1875" s="77" t="s">
        <v>14</v>
      </c>
      <c r="J1875" s="14">
        <v>1.1639999999999799</v>
      </c>
      <c r="K1875" s="76">
        <v>7.7353810428123637</v>
      </c>
    </row>
    <row r="1876" spans="1:11" ht="15.75" customHeight="1">
      <c r="A1876" s="77" t="s">
        <v>33</v>
      </c>
      <c r="B1876" s="76">
        <v>66.164845399681198</v>
      </c>
      <c r="C1876" s="25">
        <v>1.08</v>
      </c>
      <c r="D1876" s="77">
        <v>7.1800000000000003E-2</v>
      </c>
      <c r="E1876" s="77">
        <v>0.874</v>
      </c>
      <c r="F1876" s="77">
        <v>997</v>
      </c>
      <c r="G1876" s="76"/>
      <c r="H1876" s="77">
        <v>26</v>
      </c>
      <c r="I1876" s="77" t="s">
        <v>14</v>
      </c>
      <c r="J1876" s="14">
        <v>1.1639999999999799</v>
      </c>
      <c r="K1876" s="76">
        <v>7.6312686860712127</v>
      </c>
    </row>
    <row r="1877" spans="1:11" ht="15.75" customHeight="1">
      <c r="A1877" s="77" t="s">
        <v>33</v>
      </c>
      <c r="B1877" s="76">
        <v>78.120587426637002</v>
      </c>
      <c r="C1877" s="25">
        <v>1.08</v>
      </c>
      <c r="D1877" s="77">
        <v>7.1800000000000003E-2</v>
      </c>
      <c r="E1877" s="77">
        <v>0.874</v>
      </c>
      <c r="F1877" s="77">
        <v>997</v>
      </c>
      <c r="G1877" s="76"/>
      <c r="H1877" s="77">
        <v>26</v>
      </c>
      <c r="I1877" s="77" t="s">
        <v>14</v>
      </c>
      <c r="J1877" s="14">
        <v>1.1639999999999799</v>
      </c>
      <c r="K1877" s="76">
        <v>7.5055728939164936</v>
      </c>
    </row>
    <row r="1878" spans="1:11" ht="15.75" customHeight="1">
      <c r="A1878" s="77" t="s">
        <v>33</v>
      </c>
      <c r="B1878" s="76">
        <v>94.521716043548409</v>
      </c>
      <c r="C1878" s="25">
        <v>1.08</v>
      </c>
      <c r="D1878" s="77">
        <v>7.1800000000000003E-2</v>
      </c>
      <c r="E1878" s="77">
        <v>0.874</v>
      </c>
      <c r="F1878" s="77">
        <v>997</v>
      </c>
      <c r="G1878" s="76"/>
      <c r="H1878" s="77">
        <v>26</v>
      </c>
      <c r="I1878" s="77" t="s">
        <v>14</v>
      </c>
      <c r="J1878" s="14">
        <v>1.1639999999999799</v>
      </c>
      <c r="K1878" s="76">
        <v>7.4429852509986913</v>
      </c>
    </row>
    <row r="1879" spans="1:11" ht="15.75" customHeight="1">
      <c r="A1879" s="77" t="s">
        <v>33</v>
      </c>
      <c r="B1879" s="76">
        <v>107.912741532561</v>
      </c>
      <c r="C1879" s="25">
        <v>1.08</v>
      </c>
      <c r="D1879" s="77">
        <v>7.1800000000000003E-2</v>
      </c>
      <c r="E1879" s="77">
        <v>0.874</v>
      </c>
      <c r="F1879" s="77">
        <v>997</v>
      </c>
      <c r="G1879" s="76"/>
      <c r="H1879" s="77">
        <v>26</v>
      </c>
      <c r="I1879" s="77" t="s">
        <v>14</v>
      </c>
      <c r="J1879" s="14">
        <v>1.1639999999999799</v>
      </c>
      <c r="K1879" s="76">
        <v>7.5349648646642686</v>
      </c>
    </row>
    <row r="1880" spans="1:11" ht="15.75" customHeight="1">
      <c r="A1880" s="77" t="s">
        <v>33</v>
      </c>
      <c r="B1880" s="76">
        <v>130.66661806918921</v>
      </c>
      <c r="C1880" s="25">
        <v>1.08</v>
      </c>
      <c r="D1880" s="77">
        <v>7.1800000000000003E-2</v>
      </c>
      <c r="E1880" s="77">
        <v>0.874</v>
      </c>
      <c r="F1880" s="77">
        <v>997</v>
      </c>
      <c r="G1880" s="76"/>
      <c r="H1880" s="77">
        <v>26</v>
      </c>
      <c r="I1880" s="77" t="s">
        <v>14</v>
      </c>
      <c r="J1880" s="14">
        <v>1.1639999999999799</v>
      </c>
      <c r="K1880" s="76">
        <v>7.5780412899635543</v>
      </c>
    </row>
    <row r="1881" spans="1:11" ht="15.75" customHeight="1">
      <c r="A1881" s="77" t="s">
        <v>33</v>
      </c>
      <c r="B1881" s="76">
        <v>154.2418191456606</v>
      </c>
      <c r="C1881" s="25">
        <v>1.08</v>
      </c>
      <c r="D1881" s="77">
        <v>7.1800000000000003E-2</v>
      </c>
      <c r="E1881" s="77">
        <v>0.874</v>
      </c>
      <c r="F1881" s="77">
        <v>997</v>
      </c>
      <c r="G1881" s="76"/>
      <c r="H1881" s="77">
        <v>26</v>
      </c>
      <c r="I1881" s="77" t="s">
        <v>14</v>
      </c>
      <c r="J1881" s="14">
        <v>1.1639999999999799</v>
      </c>
      <c r="K1881" s="76">
        <v>7.6034343777387434</v>
      </c>
    </row>
    <row r="1882" spans="1:11" ht="15.75" customHeight="1">
      <c r="A1882" s="77" t="s">
        <v>33</v>
      </c>
      <c r="B1882" s="76">
        <v>180.6455736667962</v>
      </c>
      <c r="C1882" s="25">
        <v>1.08</v>
      </c>
      <c r="D1882" s="77">
        <v>7.1800000000000003E-2</v>
      </c>
      <c r="E1882" s="77">
        <v>0.874</v>
      </c>
      <c r="F1882" s="77">
        <v>997</v>
      </c>
      <c r="G1882" s="76"/>
      <c r="H1882" s="77">
        <v>26</v>
      </c>
      <c r="I1882" s="77" t="s">
        <v>14</v>
      </c>
      <c r="J1882" s="14">
        <v>1.1639999999999799</v>
      </c>
      <c r="K1882" s="76">
        <v>7.6040559061195747</v>
      </c>
    </row>
    <row r="1883" spans="1:11" ht="15.75" customHeight="1">
      <c r="A1883" s="77" t="s">
        <v>33</v>
      </c>
      <c r="B1883" s="76">
        <v>197.5773001854966</v>
      </c>
      <c r="C1883" s="25">
        <v>1.08</v>
      </c>
      <c r="D1883" s="77">
        <v>7.1800000000000003E-2</v>
      </c>
      <c r="E1883" s="77">
        <v>0.874</v>
      </c>
      <c r="F1883" s="77">
        <v>997</v>
      </c>
      <c r="G1883" s="76"/>
      <c r="H1883" s="77">
        <v>26</v>
      </c>
      <c r="I1883" s="77" t="s">
        <v>14</v>
      </c>
      <c r="J1883" s="14">
        <v>1.1639999999999799</v>
      </c>
      <c r="K1883" s="76">
        <v>7.6077170483724217</v>
      </c>
    </row>
    <row r="1884" spans="1:11" ht="15.75" customHeight="1">
      <c r="A1884" s="77" t="s">
        <v>33</v>
      </c>
      <c r="B1884" s="76">
        <v>217.60460305836421</v>
      </c>
      <c r="C1884" s="25">
        <v>1.08</v>
      </c>
      <c r="D1884" s="77">
        <v>7.1800000000000003E-2</v>
      </c>
      <c r="E1884" s="77">
        <v>0.874</v>
      </c>
      <c r="F1884" s="77">
        <v>997</v>
      </c>
      <c r="G1884" s="76"/>
      <c r="H1884" s="77">
        <v>26</v>
      </c>
      <c r="I1884" s="77" t="s">
        <v>14</v>
      </c>
      <c r="J1884" s="14">
        <v>1.1639999999999799</v>
      </c>
      <c r="K1884" s="76">
        <v>7.7352171179609206</v>
      </c>
    </row>
    <row r="1885" spans="1:11" ht="15.75" customHeight="1">
      <c r="A1885" s="77" t="s">
        <v>33</v>
      </c>
      <c r="B1885" s="76">
        <v>269.06273393300995</v>
      </c>
      <c r="C1885" s="25">
        <v>1.08</v>
      </c>
      <c r="D1885" s="77">
        <v>7.1800000000000003E-2</v>
      </c>
      <c r="E1885" s="77">
        <v>0.874</v>
      </c>
      <c r="F1885" s="77">
        <v>997</v>
      </c>
      <c r="G1885" s="76"/>
      <c r="H1885" s="77">
        <v>26</v>
      </c>
      <c r="I1885" s="77" t="s">
        <v>14</v>
      </c>
      <c r="J1885" s="14">
        <v>1.1639999999999799</v>
      </c>
      <c r="K1885" s="76">
        <v>8.1429741266113567</v>
      </c>
    </row>
    <row r="1886" spans="1:11" ht="15.75" customHeight="1">
      <c r="A1886" s="77" t="s">
        <v>33</v>
      </c>
      <c r="B1886" s="76">
        <v>329.914652542179</v>
      </c>
      <c r="C1886" s="25">
        <v>1.08</v>
      </c>
      <c r="D1886" s="77">
        <v>7.1800000000000003E-2</v>
      </c>
      <c r="E1886" s="77">
        <v>0.874</v>
      </c>
      <c r="F1886" s="77">
        <v>997</v>
      </c>
      <c r="G1886" s="76"/>
      <c r="H1886" s="77">
        <v>26</v>
      </c>
      <c r="I1886" s="77" t="s">
        <v>14</v>
      </c>
      <c r="J1886" s="14">
        <v>1.1639999999999799</v>
      </c>
      <c r="K1886" s="76">
        <v>8.0603679400687458</v>
      </c>
    </row>
    <row r="1887" spans="1:11" ht="15.75" customHeight="1">
      <c r="A1887" s="77" t="s">
        <v>33</v>
      </c>
      <c r="B1887" s="76">
        <v>371.56634423813699</v>
      </c>
      <c r="C1887" s="25">
        <v>1.08</v>
      </c>
      <c r="D1887" s="77">
        <v>7.1800000000000003E-2</v>
      </c>
      <c r="E1887" s="77">
        <v>0.874</v>
      </c>
      <c r="F1887" s="77">
        <v>997</v>
      </c>
      <c r="G1887" s="76"/>
      <c r="H1887" s="77">
        <v>26</v>
      </c>
      <c r="I1887" s="77" t="s">
        <v>14</v>
      </c>
      <c r="J1887" s="14">
        <v>1.1639999999999799</v>
      </c>
      <c r="K1887" s="76">
        <v>8.400610589021392</v>
      </c>
    </row>
    <row r="1888" spans="1:11" ht="15.75" customHeight="1">
      <c r="A1888" s="77" t="s">
        <v>33</v>
      </c>
      <c r="B1888" s="76">
        <v>470.19826740562263</v>
      </c>
      <c r="C1888" s="25">
        <v>1.08</v>
      </c>
      <c r="D1888" s="77">
        <v>7.1800000000000003E-2</v>
      </c>
      <c r="E1888" s="77">
        <v>0.874</v>
      </c>
      <c r="F1888" s="77">
        <v>997</v>
      </c>
      <c r="G1888" s="76"/>
      <c r="H1888" s="77">
        <v>26</v>
      </c>
      <c r="I1888" s="77" t="s">
        <v>14</v>
      </c>
      <c r="J1888" s="14">
        <v>1.1639999999999799</v>
      </c>
      <c r="K1888" s="76">
        <v>8.3725551825491848</v>
      </c>
    </row>
    <row r="1889" spans="1:11" ht="15.75" customHeight="1">
      <c r="A1889" s="77" t="s">
        <v>33</v>
      </c>
      <c r="B1889" s="76">
        <v>497.0749491324018</v>
      </c>
      <c r="C1889" s="25">
        <v>1.08</v>
      </c>
      <c r="D1889" s="77">
        <v>7.1800000000000003E-2</v>
      </c>
      <c r="E1889" s="77">
        <v>0.874</v>
      </c>
      <c r="F1889" s="77">
        <v>997</v>
      </c>
      <c r="G1889" s="76"/>
      <c r="H1889" s="77">
        <v>26</v>
      </c>
      <c r="I1889" s="77" t="s">
        <v>14</v>
      </c>
      <c r="J1889" s="14">
        <v>1.1639999999999799</v>
      </c>
      <c r="K1889" s="76">
        <v>8.556824417654072</v>
      </c>
    </row>
    <row r="1890" spans="1:11" ht="15.75" customHeight="1">
      <c r="A1890" s="77" t="s">
        <v>33</v>
      </c>
      <c r="B1890" s="76">
        <v>6.9118830944214595</v>
      </c>
      <c r="C1890" s="25">
        <v>1.08</v>
      </c>
      <c r="D1890" s="77">
        <v>7.1800000000000003E-2</v>
      </c>
      <c r="E1890" s="77">
        <v>0.874</v>
      </c>
      <c r="F1890" s="77">
        <v>997</v>
      </c>
      <c r="G1890" s="76"/>
      <c r="H1890" s="77">
        <v>26</v>
      </c>
      <c r="I1890" s="77" t="s">
        <v>35</v>
      </c>
      <c r="J1890" s="14">
        <v>1.6639999999999999</v>
      </c>
      <c r="K1890" s="76">
        <v>6.7385798941758157</v>
      </c>
    </row>
    <row r="1891" spans="1:11" ht="15.75" customHeight="1">
      <c r="A1891" s="77" t="s">
        <v>33</v>
      </c>
      <c r="B1891" s="76">
        <v>8.2947265993512005</v>
      </c>
      <c r="C1891" s="25">
        <v>1.08</v>
      </c>
      <c r="D1891" s="77">
        <v>7.1800000000000003E-2</v>
      </c>
      <c r="E1891" s="77">
        <v>0.874</v>
      </c>
      <c r="F1891" s="77">
        <v>997</v>
      </c>
      <c r="G1891" s="76"/>
      <c r="H1891" s="77">
        <v>26</v>
      </c>
      <c r="I1891" s="77" t="s">
        <v>35</v>
      </c>
      <c r="J1891" s="14">
        <v>1.6639999999999999</v>
      </c>
      <c r="K1891" s="76">
        <v>7.0115344287175052</v>
      </c>
    </row>
    <row r="1892" spans="1:11" ht="15.75" customHeight="1">
      <c r="A1892" s="77" t="s">
        <v>33</v>
      </c>
      <c r="B1892" s="76">
        <v>10.810722307146959</v>
      </c>
      <c r="C1892" s="25">
        <v>1.08</v>
      </c>
      <c r="D1892" s="77">
        <v>7.1800000000000003E-2</v>
      </c>
      <c r="E1892" s="77">
        <v>0.874</v>
      </c>
      <c r="F1892" s="77">
        <v>997</v>
      </c>
      <c r="G1892" s="76"/>
      <c r="H1892" s="77">
        <v>26</v>
      </c>
      <c r="I1892" s="77" t="s">
        <v>35</v>
      </c>
      <c r="J1892" s="14">
        <v>1.6639999999999999</v>
      </c>
      <c r="K1892" s="76">
        <v>6.975858491474038</v>
      </c>
    </row>
    <row r="1893" spans="1:11" ht="15.75" customHeight="1">
      <c r="A1893" s="77" t="s">
        <v>33</v>
      </c>
      <c r="B1893" s="76">
        <v>13.32768277984896</v>
      </c>
      <c r="C1893" s="25">
        <v>1.08</v>
      </c>
      <c r="D1893" s="77">
        <v>7.1800000000000003E-2</v>
      </c>
      <c r="E1893" s="77">
        <v>0.874</v>
      </c>
      <c r="F1893" s="77">
        <v>997</v>
      </c>
      <c r="G1893" s="76"/>
      <c r="H1893" s="77">
        <v>26</v>
      </c>
      <c r="I1893" s="77" t="s">
        <v>35</v>
      </c>
      <c r="J1893" s="14">
        <v>1.6639999999999999</v>
      </c>
      <c r="K1893" s="76">
        <v>6.9845225370043114</v>
      </c>
    </row>
    <row r="1894" spans="1:11" ht="15.75" customHeight="1">
      <c r="A1894" s="77" t="s">
        <v>33</v>
      </c>
      <c r="B1894" s="76">
        <v>15.15369475667976</v>
      </c>
      <c r="C1894" s="25">
        <v>1.08</v>
      </c>
      <c r="D1894" s="77">
        <v>7.1800000000000003E-2</v>
      </c>
      <c r="E1894" s="77">
        <v>0.874</v>
      </c>
      <c r="F1894" s="77">
        <v>997</v>
      </c>
      <c r="G1894" s="76"/>
      <c r="H1894" s="77">
        <v>26</v>
      </c>
      <c r="I1894" s="77" t="s">
        <v>35</v>
      </c>
      <c r="J1894" s="14">
        <v>1.6639999999999999</v>
      </c>
      <c r="K1894" s="76">
        <v>6.9673106567211907</v>
      </c>
    </row>
    <row r="1895" spans="1:11" ht="15.75" customHeight="1">
      <c r="A1895" s="77" t="s">
        <v>33</v>
      </c>
      <c r="B1895" s="76">
        <v>18.760187729729822</v>
      </c>
      <c r="C1895" s="25">
        <v>1.08</v>
      </c>
      <c r="D1895" s="77">
        <v>7.1800000000000003E-2</v>
      </c>
      <c r="E1895" s="77">
        <v>0.874</v>
      </c>
      <c r="F1895" s="77">
        <v>997</v>
      </c>
      <c r="G1895" s="76"/>
      <c r="H1895" s="77">
        <v>26</v>
      </c>
      <c r="I1895" s="77" t="s">
        <v>35</v>
      </c>
      <c r="J1895" s="14">
        <v>1.6639999999999999</v>
      </c>
      <c r="K1895" s="76">
        <v>7.0582608432726595</v>
      </c>
    </row>
    <row r="1896" spans="1:11" ht="15.75" customHeight="1">
      <c r="A1896" s="77" t="s">
        <v>33</v>
      </c>
      <c r="B1896" s="76">
        <v>22.250320294849981</v>
      </c>
      <c r="C1896" s="25">
        <v>1.08</v>
      </c>
      <c r="D1896" s="77">
        <v>7.1800000000000003E-2</v>
      </c>
      <c r="E1896" s="77">
        <v>0.874</v>
      </c>
      <c r="F1896" s="77">
        <v>997</v>
      </c>
      <c r="G1896" s="76"/>
      <c r="H1896" s="77">
        <v>26</v>
      </c>
      <c r="I1896" s="77" t="s">
        <v>35</v>
      </c>
      <c r="J1896" s="14">
        <v>1.6639999999999999</v>
      </c>
      <c r="K1896" s="76">
        <v>7.1032769467636001</v>
      </c>
    </row>
    <row r="1897" spans="1:11" ht="15.75" customHeight="1">
      <c r="A1897" s="77" t="s">
        <v>33</v>
      </c>
      <c r="B1897" s="76">
        <v>25.65292248231852</v>
      </c>
      <c r="C1897" s="25">
        <v>1.08</v>
      </c>
      <c r="D1897" s="77">
        <v>7.1800000000000003E-2</v>
      </c>
      <c r="E1897" s="77">
        <v>0.874</v>
      </c>
      <c r="F1897" s="77">
        <v>997</v>
      </c>
      <c r="G1897" s="76"/>
      <c r="H1897" s="77">
        <v>26</v>
      </c>
      <c r="I1897" s="77" t="s">
        <v>35</v>
      </c>
      <c r="J1897" s="14">
        <v>1.6639999999999999</v>
      </c>
      <c r="K1897" s="76">
        <v>7.0843782136303446</v>
      </c>
    </row>
    <row r="1898" spans="1:11" ht="15.75" customHeight="1">
      <c r="A1898" s="77" t="s">
        <v>33</v>
      </c>
      <c r="B1898" s="76">
        <v>28.710097237277818</v>
      </c>
      <c r="C1898" s="25">
        <v>1.08</v>
      </c>
      <c r="D1898" s="77">
        <v>7.1800000000000003E-2</v>
      </c>
      <c r="E1898" s="77">
        <v>0.874</v>
      </c>
      <c r="F1898" s="77">
        <v>997</v>
      </c>
      <c r="G1898" s="76"/>
      <c r="H1898" s="77">
        <v>26</v>
      </c>
      <c r="I1898" s="77" t="s">
        <v>35</v>
      </c>
      <c r="J1898" s="14">
        <v>1.6639999999999999</v>
      </c>
      <c r="K1898" s="76">
        <v>7.0682040399159805</v>
      </c>
    </row>
    <row r="1899" spans="1:11" ht="15.75" customHeight="1">
      <c r="A1899" s="77" t="s">
        <v>33</v>
      </c>
      <c r="B1899" s="76">
        <v>32.092186381518481</v>
      </c>
      <c r="C1899" s="25">
        <v>1.08</v>
      </c>
      <c r="D1899" s="77">
        <v>7.1800000000000003E-2</v>
      </c>
      <c r="E1899" s="77">
        <v>0.874</v>
      </c>
      <c r="F1899" s="77">
        <v>997</v>
      </c>
      <c r="G1899" s="76"/>
      <c r="H1899" s="77">
        <v>26</v>
      </c>
      <c r="I1899" s="77" t="s">
        <v>35</v>
      </c>
      <c r="J1899" s="14">
        <v>1.6639999999999999</v>
      </c>
      <c r="K1899" s="76">
        <v>7.0496547212978227</v>
      </c>
    </row>
    <row r="1900" spans="1:11" ht="15.75" customHeight="1">
      <c r="A1900" s="77" t="s">
        <v>33</v>
      </c>
      <c r="B1900" s="76">
        <v>40.899555404698077</v>
      </c>
      <c r="C1900" s="25">
        <v>1.08</v>
      </c>
      <c r="D1900" s="77">
        <v>7.1800000000000003E-2</v>
      </c>
      <c r="E1900" s="77">
        <v>0.874</v>
      </c>
      <c r="F1900" s="77">
        <v>997</v>
      </c>
      <c r="G1900" s="76"/>
      <c r="H1900" s="77">
        <v>26</v>
      </c>
      <c r="I1900" s="77" t="s">
        <v>35</v>
      </c>
      <c r="J1900" s="14">
        <v>1.6639999999999999</v>
      </c>
      <c r="K1900" s="76">
        <v>7.1167084079885914</v>
      </c>
    </row>
    <row r="1901" spans="1:11" ht="15.75" customHeight="1">
      <c r="A1901" s="77" t="s">
        <v>33</v>
      </c>
      <c r="B1901" s="76">
        <v>47.689673930160602</v>
      </c>
      <c r="C1901" s="25">
        <v>1.08</v>
      </c>
      <c r="D1901" s="77">
        <v>7.1800000000000003E-2</v>
      </c>
      <c r="E1901" s="77">
        <v>0.874</v>
      </c>
      <c r="F1901" s="77">
        <v>997</v>
      </c>
      <c r="G1901" s="76"/>
      <c r="H1901" s="77">
        <v>26</v>
      </c>
      <c r="I1901" s="77" t="s">
        <v>35</v>
      </c>
      <c r="J1901" s="14">
        <v>1.6639999999999999</v>
      </c>
      <c r="K1901" s="76">
        <v>7.1061591280099368</v>
      </c>
    </row>
    <row r="1902" spans="1:11" ht="15.75" customHeight="1">
      <c r="A1902" s="77" t="s">
        <v>33</v>
      </c>
      <c r="B1902" s="76">
        <v>54.982557209327759</v>
      </c>
      <c r="C1902" s="25">
        <v>1.08</v>
      </c>
      <c r="D1902" s="77">
        <v>7.1800000000000003E-2</v>
      </c>
      <c r="E1902" s="77">
        <v>0.874</v>
      </c>
      <c r="F1902" s="77">
        <v>997</v>
      </c>
      <c r="G1902" s="76"/>
      <c r="H1902" s="77">
        <v>26</v>
      </c>
      <c r="I1902" s="77" t="s">
        <v>35</v>
      </c>
      <c r="J1902" s="14">
        <v>1.6639999999999999</v>
      </c>
      <c r="K1902" s="76">
        <v>7.1218811145907974</v>
      </c>
    </row>
    <row r="1903" spans="1:11" ht="15.75" customHeight="1">
      <c r="A1903" s="77" t="s">
        <v>33</v>
      </c>
      <c r="B1903" s="76">
        <v>63.112011292283405</v>
      </c>
      <c r="C1903" s="25">
        <v>1.08</v>
      </c>
      <c r="D1903" s="77">
        <v>7.1800000000000003E-2</v>
      </c>
      <c r="E1903" s="77">
        <v>0.874</v>
      </c>
      <c r="F1903" s="77">
        <v>997</v>
      </c>
      <c r="G1903" s="76"/>
      <c r="H1903" s="77">
        <v>26</v>
      </c>
      <c r="I1903" s="77" t="s">
        <v>35</v>
      </c>
      <c r="J1903" s="14">
        <v>1.6639999999999999</v>
      </c>
      <c r="K1903" s="76">
        <v>7.1450318114291678</v>
      </c>
    </row>
    <row r="1904" spans="1:11" ht="15.75" customHeight="1">
      <c r="A1904" s="77" t="s">
        <v>33</v>
      </c>
      <c r="B1904" s="76">
        <v>75.5570624470962</v>
      </c>
      <c r="C1904" s="25">
        <v>1.08</v>
      </c>
      <c r="D1904" s="77">
        <v>7.1800000000000003E-2</v>
      </c>
      <c r="E1904" s="77">
        <v>0.874</v>
      </c>
      <c r="F1904" s="77">
        <v>997</v>
      </c>
      <c r="G1904" s="76"/>
      <c r="H1904" s="77">
        <v>26</v>
      </c>
      <c r="I1904" s="77" t="s">
        <v>35</v>
      </c>
      <c r="J1904" s="14">
        <v>1.6639999999999999</v>
      </c>
      <c r="K1904" s="76">
        <v>7.2364833728339191</v>
      </c>
    </row>
    <row r="1905" spans="1:11" ht="15.75" customHeight="1">
      <c r="A1905" s="77" t="s">
        <v>33</v>
      </c>
      <c r="B1905" s="76">
        <v>86.39911958145359</v>
      </c>
      <c r="C1905" s="25">
        <v>1.08</v>
      </c>
      <c r="D1905" s="77">
        <v>7.1800000000000003E-2</v>
      </c>
      <c r="E1905" s="77">
        <v>0.874</v>
      </c>
      <c r="F1905" s="77">
        <v>997</v>
      </c>
      <c r="G1905" s="76"/>
      <c r="H1905" s="77">
        <v>26</v>
      </c>
      <c r="I1905" s="77" t="s">
        <v>35</v>
      </c>
      <c r="J1905" s="14">
        <v>1.6639999999999999</v>
      </c>
      <c r="K1905" s="76">
        <v>7.2178201941402005</v>
      </c>
    </row>
    <row r="1906" spans="1:11" ht="15.75" customHeight="1">
      <c r="A1906" s="77" t="s">
        <v>33</v>
      </c>
      <c r="B1906" s="76">
        <v>98.231213263744806</v>
      </c>
      <c r="C1906" s="25">
        <v>1.08</v>
      </c>
      <c r="D1906" s="77">
        <v>7.1800000000000003E-2</v>
      </c>
      <c r="E1906" s="77">
        <v>0.874</v>
      </c>
      <c r="F1906" s="77">
        <v>997</v>
      </c>
      <c r="G1906" s="76"/>
      <c r="H1906" s="77">
        <v>26</v>
      </c>
      <c r="I1906" s="77" t="s">
        <v>35</v>
      </c>
      <c r="J1906" s="14">
        <v>1.6639999999999999</v>
      </c>
      <c r="K1906" s="76">
        <v>7.2541405959635883</v>
      </c>
    </row>
    <row r="1907" spans="1:11" ht="15.75" customHeight="1">
      <c r="A1907" s="77" t="s">
        <v>33</v>
      </c>
      <c r="B1907" s="76">
        <v>112.346817384666</v>
      </c>
      <c r="C1907" s="25">
        <v>1.08</v>
      </c>
      <c r="D1907" s="77">
        <v>7.1800000000000003E-2</v>
      </c>
      <c r="E1907" s="77">
        <v>0.874</v>
      </c>
      <c r="F1907" s="77">
        <v>997</v>
      </c>
      <c r="G1907" s="76"/>
      <c r="H1907" s="77">
        <v>26</v>
      </c>
      <c r="I1907" s="77" t="s">
        <v>35</v>
      </c>
      <c r="J1907" s="14">
        <v>1.6639999999999999</v>
      </c>
      <c r="K1907" s="76">
        <v>7.3136123509415292</v>
      </c>
    </row>
    <row r="1908" spans="1:11" ht="15.75" customHeight="1">
      <c r="A1908" s="77" t="s">
        <v>33</v>
      </c>
      <c r="B1908" s="76">
        <v>129.00009771042539</v>
      </c>
      <c r="C1908" s="25">
        <v>1.08</v>
      </c>
      <c r="D1908" s="77">
        <v>7.1800000000000003E-2</v>
      </c>
      <c r="E1908" s="77">
        <v>0.874</v>
      </c>
      <c r="F1908" s="77">
        <v>997</v>
      </c>
      <c r="G1908" s="76"/>
      <c r="H1908" s="77">
        <v>26</v>
      </c>
      <c r="I1908" s="77" t="s">
        <v>35</v>
      </c>
      <c r="J1908" s="14">
        <v>1.6639999999999999</v>
      </c>
      <c r="K1908" s="76">
        <v>7.3922347435648987</v>
      </c>
    </row>
    <row r="1909" spans="1:11" ht="15.75" customHeight="1">
      <c r="A1909" s="77" t="s">
        <v>33</v>
      </c>
      <c r="B1909" s="76">
        <v>143.01722664671402</v>
      </c>
      <c r="C1909" s="25">
        <v>1.08</v>
      </c>
      <c r="D1909" s="77">
        <v>7.1800000000000003E-2</v>
      </c>
      <c r="E1909" s="77">
        <v>0.874</v>
      </c>
      <c r="F1909" s="77">
        <v>997</v>
      </c>
      <c r="G1909" s="76"/>
      <c r="H1909" s="77">
        <v>26</v>
      </c>
      <c r="I1909" s="77" t="s">
        <v>35</v>
      </c>
      <c r="J1909" s="14">
        <v>1.6639999999999999</v>
      </c>
      <c r="K1909" s="76">
        <v>7.4616884730080697</v>
      </c>
    </row>
    <row r="1910" spans="1:11" ht="15.75" customHeight="1">
      <c r="A1910" s="77" t="s">
        <v>33</v>
      </c>
      <c r="B1910" s="76">
        <v>169.9320705646914</v>
      </c>
      <c r="C1910" s="25">
        <v>1.08</v>
      </c>
      <c r="D1910" s="77">
        <v>7.1800000000000003E-2</v>
      </c>
      <c r="E1910" s="77">
        <v>0.874</v>
      </c>
      <c r="F1910" s="77">
        <v>997</v>
      </c>
      <c r="G1910" s="76"/>
      <c r="H1910" s="77">
        <v>26</v>
      </c>
      <c r="I1910" s="77" t="s">
        <v>35</v>
      </c>
      <c r="J1910" s="14">
        <v>1.6639999999999999</v>
      </c>
      <c r="K1910" s="76">
        <v>7.4782196882478642</v>
      </c>
    </row>
    <row r="1911" spans="1:11" ht="15.75" customHeight="1">
      <c r="A1911" s="77" t="s">
        <v>33</v>
      </c>
      <c r="B1911" s="76">
        <v>212.4165163802088</v>
      </c>
      <c r="C1911" s="25">
        <v>1.08</v>
      </c>
      <c r="D1911" s="77">
        <v>7.1800000000000003E-2</v>
      </c>
      <c r="E1911" s="77">
        <v>0.874</v>
      </c>
      <c r="F1911" s="77">
        <v>997</v>
      </c>
      <c r="G1911" s="76"/>
      <c r="H1911" s="77">
        <v>26</v>
      </c>
      <c r="I1911" s="77" t="s">
        <v>35</v>
      </c>
      <c r="J1911" s="14">
        <v>1.6639999999999999</v>
      </c>
      <c r="K1911" s="76">
        <v>7.4720868851963376</v>
      </c>
    </row>
    <row r="1912" spans="1:11" ht="15.75" customHeight="1">
      <c r="A1912" s="77" t="s">
        <v>33</v>
      </c>
      <c r="B1912" s="76">
        <v>246.92949367481879</v>
      </c>
      <c r="C1912" s="25">
        <v>1.08</v>
      </c>
      <c r="D1912" s="77">
        <v>7.1800000000000003E-2</v>
      </c>
      <c r="E1912" s="77">
        <v>0.874</v>
      </c>
      <c r="F1912" s="77">
        <v>997</v>
      </c>
      <c r="G1912" s="76"/>
      <c r="H1912" s="77">
        <v>26</v>
      </c>
      <c r="I1912" s="77" t="s">
        <v>35</v>
      </c>
      <c r="J1912" s="14">
        <v>1.6639999999999999</v>
      </c>
      <c r="K1912" s="76">
        <v>7.5925313723631342</v>
      </c>
    </row>
    <row r="1913" spans="1:11" ht="15.75" customHeight="1">
      <c r="A1913" s="77" t="s">
        <v>33</v>
      </c>
      <c r="B1913" s="76">
        <v>272.13747794599442</v>
      </c>
      <c r="C1913" s="25">
        <v>1.08</v>
      </c>
      <c r="D1913" s="77">
        <v>7.1800000000000003E-2</v>
      </c>
      <c r="E1913" s="77">
        <v>0.874</v>
      </c>
      <c r="F1913" s="77">
        <v>997</v>
      </c>
      <c r="G1913" s="76"/>
      <c r="H1913" s="77">
        <v>26</v>
      </c>
      <c r="I1913" s="77" t="s">
        <v>35</v>
      </c>
      <c r="J1913" s="14">
        <v>1.6639999999999999</v>
      </c>
      <c r="K1913" s="76">
        <v>7.4491843746063564</v>
      </c>
    </row>
    <row r="1914" spans="1:11" ht="15.75" customHeight="1">
      <c r="A1914" s="77" t="s">
        <v>33</v>
      </c>
      <c r="B1914" s="76">
        <v>315.31120086753538</v>
      </c>
      <c r="C1914" s="25">
        <v>1.08</v>
      </c>
      <c r="D1914" s="77">
        <v>7.1800000000000003E-2</v>
      </c>
      <c r="E1914" s="77">
        <v>0.874</v>
      </c>
      <c r="F1914" s="77">
        <v>997</v>
      </c>
      <c r="G1914" s="76"/>
      <c r="H1914" s="77">
        <v>26</v>
      </c>
      <c r="I1914" s="77" t="s">
        <v>35</v>
      </c>
      <c r="J1914" s="14">
        <v>1.6639999999999999</v>
      </c>
      <c r="K1914" s="76">
        <v>7.4734668928606531</v>
      </c>
    </row>
    <row r="1915" spans="1:11" ht="15.75" customHeight="1">
      <c r="A1915" s="77" t="s">
        <v>33</v>
      </c>
      <c r="B1915" s="76">
        <v>370.48327283729043</v>
      </c>
      <c r="C1915" s="25">
        <v>1.08</v>
      </c>
      <c r="D1915" s="77">
        <v>7.1800000000000003E-2</v>
      </c>
      <c r="E1915" s="77">
        <v>0.874</v>
      </c>
      <c r="F1915" s="77">
        <v>997</v>
      </c>
      <c r="G1915" s="76"/>
      <c r="H1915" s="77">
        <v>26</v>
      </c>
      <c r="I1915" s="77" t="s">
        <v>35</v>
      </c>
      <c r="J1915" s="14">
        <v>1.6639999999999999</v>
      </c>
      <c r="K1915" s="76">
        <v>7.4042173399813258</v>
      </c>
    </row>
    <row r="1916" spans="1:11" ht="15.75" customHeight="1">
      <c r="A1916" s="77" t="s">
        <v>33</v>
      </c>
      <c r="B1916" s="76">
        <v>403.74067669925762</v>
      </c>
      <c r="C1916" s="25">
        <v>1.08</v>
      </c>
      <c r="D1916" s="77">
        <v>7.1800000000000003E-2</v>
      </c>
      <c r="E1916" s="77">
        <v>0.874</v>
      </c>
      <c r="F1916" s="77">
        <v>997</v>
      </c>
      <c r="G1916" s="76"/>
      <c r="H1916" s="77">
        <v>26</v>
      </c>
      <c r="I1916" s="77" t="s">
        <v>35</v>
      </c>
      <c r="J1916" s="14">
        <v>1.6639999999999999</v>
      </c>
      <c r="K1916" s="76">
        <v>7.5414917343366694</v>
      </c>
    </row>
    <row r="1917" spans="1:11" ht="15.75" customHeight="1">
      <c r="A1917" s="77" t="s">
        <v>33</v>
      </c>
      <c r="B1917" s="76">
        <v>466.86847546324441</v>
      </c>
      <c r="C1917" s="25">
        <v>1.08</v>
      </c>
      <c r="D1917" s="77">
        <v>7.1800000000000003E-2</v>
      </c>
      <c r="E1917" s="77">
        <v>0.874</v>
      </c>
      <c r="F1917" s="77">
        <v>997</v>
      </c>
      <c r="G1917" s="76"/>
      <c r="H1917" s="77">
        <v>26</v>
      </c>
      <c r="I1917" s="77" t="s">
        <v>35</v>
      </c>
      <c r="J1917" s="14">
        <v>1.6639999999999999</v>
      </c>
      <c r="K1917" s="76">
        <v>7.7105509744820724</v>
      </c>
    </row>
    <row r="1918" spans="1:11" ht="15.75" customHeight="1">
      <c r="A1918" s="77" t="s">
        <v>33</v>
      </c>
      <c r="B1918" s="76">
        <v>510.07065781856033</v>
      </c>
      <c r="C1918" s="25">
        <v>1.08</v>
      </c>
      <c r="D1918" s="77">
        <v>7.1800000000000003E-2</v>
      </c>
      <c r="E1918" s="77">
        <v>0.874</v>
      </c>
      <c r="F1918" s="77">
        <v>997</v>
      </c>
      <c r="G1918" s="76"/>
      <c r="H1918" s="77">
        <v>26</v>
      </c>
      <c r="I1918" s="77" t="s">
        <v>35</v>
      </c>
      <c r="J1918" s="14">
        <v>1.6639999999999999</v>
      </c>
      <c r="K1918" s="76">
        <v>7.8556924711837279</v>
      </c>
    </row>
    <row r="1919" spans="1:11" ht="15.75" customHeight="1">
      <c r="A1919" s="77" t="s">
        <v>33</v>
      </c>
      <c r="B1919" s="76">
        <v>7.63725619554552</v>
      </c>
      <c r="C1919" s="25">
        <v>1.08</v>
      </c>
      <c r="D1919" s="77">
        <v>7.1800000000000003E-2</v>
      </c>
      <c r="E1919" s="77">
        <v>0.874</v>
      </c>
      <c r="F1919" s="77">
        <v>997</v>
      </c>
      <c r="G1919" s="76"/>
      <c r="H1919" s="77">
        <v>26</v>
      </c>
      <c r="I1919" s="77" t="s">
        <v>31</v>
      </c>
      <c r="J1919" s="14">
        <v>1.829</v>
      </c>
      <c r="K1919" s="76">
        <v>6.8020775414443255</v>
      </c>
    </row>
    <row r="1920" spans="1:11" ht="15.75" customHeight="1">
      <c r="A1920" s="77" t="s">
        <v>33</v>
      </c>
      <c r="B1920" s="76">
        <v>9.1256771556146408</v>
      </c>
      <c r="C1920" s="25">
        <v>1.08</v>
      </c>
      <c r="D1920" s="77">
        <v>7.1800000000000003E-2</v>
      </c>
      <c r="E1920" s="77">
        <v>0.874</v>
      </c>
      <c r="F1920" s="77">
        <v>997</v>
      </c>
      <c r="G1920" s="76"/>
      <c r="H1920" s="77">
        <v>26</v>
      </c>
      <c r="I1920" s="77" t="s">
        <v>31</v>
      </c>
      <c r="J1920" s="14">
        <v>1.829</v>
      </c>
      <c r="K1920" s="76">
        <v>6.9358271331930448</v>
      </c>
    </row>
    <row r="1921" spans="1:11" ht="15.75" customHeight="1">
      <c r="A1921" s="77" t="s">
        <v>33</v>
      </c>
      <c r="B1921" s="76">
        <v>12.2821670419758</v>
      </c>
      <c r="C1921" s="25">
        <v>1.08</v>
      </c>
      <c r="D1921" s="77">
        <v>7.1800000000000003E-2</v>
      </c>
      <c r="E1921" s="77">
        <v>0.874</v>
      </c>
      <c r="F1921" s="77">
        <v>997</v>
      </c>
      <c r="G1921" s="76"/>
      <c r="H1921" s="77">
        <v>26</v>
      </c>
      <c r="I1921" s="77" t="s">
        <v>31</v>
      </c>
      <c r="J1921" s="14">
        <v>1.829</v>
      </c>
      <c r="K1921" s="76">
        <v>6.9775693164409329</v>
      </c>
    </row>
    <row r="1922" spans="1:11" ht="15.75" customHeight="1">
      <c r="A1922" s="77" t="s">
        <v>33</v>
      </c>
      <c r="B1922" s="76">
        <v>17.602863259814399</v>
      </c>
      <c r="C1922" s="25">
        <v>1.08</v>
      </c>
      <c r="D1922" s="77">
        <v>7.1800000000000003E-2</v>
      </c>
      <c r="E1922" s="77">
        <v>0.874</v>
      </c>
      <c r="F1922" s="77">
        <v>997</v>
      </c>
      <c r="G1922" s="76"/>
      <c r="H1922" s="77">
        <v>26</v>
      </c>
      <c r="I1922" s="77" t="s">
        <v>31</v>
      </c>
      <c r="J1922" s="14">
        <v>1.829</v>
      </c>
      <c r="K1922" s="76">
        <v>7.0105792917570051</v>
      </c>
    </row>
    <row r="1923" spans="1:11" ht="15.75" customHeight="1">
      <c r="A1923" s="77" t="s">
        <v>33</v>
      </c>
      <c r="B1923" s="76">
        <v>20.863168784184118</v>
      </c>
      <c r="C1923" s="25">
        <v>1.08</v>
      </c>
      <c r="D1923" s="77">
        <v>7.1800000000000003E-2</v>
      </c>
      <c r="E1923" s="77">
        <v>0.874</v>
      </c>
      <c r="F1923" s="77">
        <v>997</v>
      </c>
      <c r="G1923" s="76"/>
      <c r="H1923" s="77">
        <v>26</v>
      </c>
      <c r="I1923" s="77" t="s">
        <v>31</v>
      </c>
      <c r="J1923" s="14">
        <v>1.829</v>
      </c>
      <c r="K1923" s="76">
        <v>7.0369462881492053</v>
      </c>
    </row>
    <row r="1924" spans="1:11" ht="15.75" customHeight="1">
      <c r="A1924" s="77" t="s">
        <v>33</v>
      </c>
      <c r="B1924" s="76">
        <v>24.453284969744939</v>
      </c>
      <c r="C1924" s="25">
        <v>1.08</v>
      </c>
      <c r="D1924" s="77">
        <v>7.1800000000000003E-2</v>
      </c>
      <c r="E1924" s="77">
        <v>0.874</v>
      </c>
      <c r="F1924" s="77">
        <v>997</v>
      </c>
      <c r="G1924" s="76"/>
      <c r="H1924" s="77">
        <v>26</v>
      </c>
      <c r="I1924" s="77" t="s">
        <v>31</v>
      </c>
      <c r="J1924" s="14">
        <v>1.829</v>
      </c>
      <c r="K1924" s="76">
        <v>7.0395031897804019</v>
      </c>
    </row>
    <row r="1925" spans="1:11" ht="15.75" customHeight="1">
      <c r="A1925" s="77" t="s">
        <v>33</v>
      </c>
      <c r="B1925" s="76">
        <v>34.627444126091397</v>
      </c>
      <c r="C1925" s="25">
        <v>1.08</v>
      </c>
      <c r="D1925" s="77">
        <v>7.1800000000000003E-2</v>
      </c>
      <c r="E1925" s="77">
        <v>0.874</v>
      </c>
      <c r="F1925" s="77">
        <v>997</v>
      </c>
      <c r="G1925" s="76"/>
      <c r="H1925" s="77">
        <v>26</v>
      </c>
      <c r="I1925" s="77" t="s">
        <v>31</v>
      </c>
      <c r="J1925" s="14">
        <v>1.829</v>
      </c>
      <c r="K1925" s="76">
        <v>6.9782875655182686</v>
      </c>
    </row>
    <row r="1926" spans="1:11" ht="15.75" customHeight="1">
      <c r="A1926" s="77" t="s">
        <v>33</v>
      </c>
      <c r="B1926" s="76">
        <v>38.407865365383721</v>
      </c>
      <c r="C1926" s="25">
        <v>1.08</v>
      </c>
      <c r="D1926" s="77">
        <v>7.1800000000000003E-2</v>
      </c>
      <c r="E1926" s="77">
        <v>0.874</v>
      </c>
      <c r="F1926" s="77">
        <v>997</v>
      </c>
      <c r="G1926" s="76"/>
      <c r="H1926" s="77">
        <v>26</v>
      </c>
      <c r="I1926" s="77" t="s">
        <v>31</v>
      </c>
      <c r="J1926" s="14">
        <v>1.829</v>
      </c>
      <c r="K1926" s="76">
        <v>7.0732344232942461</v>
      </c>
    </row>
    <row r="1927" spans="1:11" ht="15.75" customHeight="1">
      <c r="A1927" s="77" t="s">
        <v>33</v>
      </c>
      <c r="B1927" s="76">
        <v>43.167258417565144</v>
      </c>
      <c r="C1927" s="25">
        <v>1.08</v>
      </c>
      <c r="D1927" s="77">
        <v>7.1800000000000003E-2</v>
      </c>
      <c r="E1927" s="77">
        <v>0.874</v>
      </c>
      <c r="F1927" s="77">
        <v>997</v>
      </c>
      <c r="G1927" s="76"/>
      <c r="H1927" s="77">
        <v>26</v>
      </c>
      <c r="I1927" s="77" t="s">
        <v>31</v>
      </c>
      <c r="J1927" s="14">
        <v>1.829</v>
      </c>
      <c r="K1927" s="76">
        <v>7.0730202915145011</v>
      </c>
    </row>
    <row r="1928" spans="1:11" ht="15.75" customHeight="1">
      <c r="A1928" s="77" t="s">
        <v>33</v>
      </c>
      <c r="B1928" s="76">
        <v>50.846593903318563</v>
      </c>
      <c r="C1928" s="25">
        <v>1.08</v>
      </c>
      <c r="D1928" s="77">
        <v>7.1800000000000003E-2</v>
      </c>
      <c r="E1928" s="77">
        <v>0.874</v>
      </c>
      <c r="F1928" s="77">
        <v>997</v>
      </c>
      <c r="G1928" s="76"/>
      <c r="H1928" s="77">
        <v>26</v>
      </c>
      <c r="I1928" s="77" t="s">
        <v>31</v>
      </c>
      <c r="J1928" s="14">
        <v>1.829</v>
      </c>
      <c r="K1928" s="76">
        <v>7.0637546001556979</v>
      </c>
    </row>
    <row r="1929" spans="1:11" ht="15.75" customHeight="1">
      <c r="A1929" s="77" t="s">
        <v>33</v>
      </c>
      <c r="B1929" s="76">
        <v>53.561236515165902</v>
      </c>
      <c r="C1929" s="25">
        <v>1.08</v>
      </c>
      <c r="D1929" s="77">
        <v>7.1800000000000003E-2</v>
      </c>
      <c r="E1929" s="77">
        <v>0.874</v>
      </c>
      <c r="F1929" s="77">
        <v>997</v>
      </c>
      <c r="G1929" s="76"/>
      <c r="H1929" s="77">
        <v>26</v>
      </c>
      <c r="I1929" s="77" t="s">
        <v>31</v>
      </c>
      <c r="J1929" s="14">
        <v>1.829</v>
      </c>
      <c r="K1929" s="76">
        <v>6.9767455335322568</v>
      </c>
    </row>
    <row r="1930" spans="1:11" ht="15.75" customHeight="1">
      <c r="A1930" s="77" t="s">
        <v>33</v>
      </c>
      <c r="B1930" s="76">
        <v>56.94348448065054</v>
      </c>
      <c r="C1930" s="25">
        <v>1.08</v>
      </c>
      <c r="D1930" s="77">
        <v>7.1800000000000003E-2</v>
      </c>
      <c r="E1930" s="77">
        <v>0.874</v>
      </c>
      <c r="F1930" s="77">
        <v>997</v>
      </c>
      <c r="G1930" s="76"/>
      <c r="H1930" s="77">
        <v>26</v>
      </c>
      <c r="I1930" s="77" t="s">
        <v>31</v>
      </c>
      <c r="J1930" s="14">
        <v>1.829</v>
      </c>
      <c r="K1930" s="76">
        <v>6.8805937944092594</v>
      </c>
    </row>
    <row r="1931" spans="1:11" ht="15.75" customHeight="1">
      <c r="A1931" s="77" t="s">
        <v>33</v>
      </c>
      <c r="B1931" s="76">
        <v>63.389830776676803</v>
      </c>
      <c r="C1931" s="25">
        <v>1.08</v>
      </c>
      <c r="D1931" s="77">
        <v>7.1800000000000003E-2</v>
      </c>
      <c r="E1931" s="77">
        <v>0.874</v>
      </c>
      <c r="F1931" s="77">
        <v>997</v>
      </c>
      <c r="G1931" s="76"/>
      <c r="H1931" s="77">
        <v>26</v>
      </c>
      <c r="I1931" s="77" t="s">
        <v>31</v>
      </c>
      <c r="J1931" s="14">
        <v>1.829</v>
      </c>
      <c r="K1931" s="76">
        <v>6.8871376190599882</v>
      </c>
    </row>
    <row r="1932" spans="1:11" ht="15.75" customHeight="1">
      <c r="A1932" s="77" t="s">
        <v>33</v>
      </c>
      <c r="B1932" s="76">
        <v>90.677289352139994</v>
      </c>
      <c r="C1932" s="25">
        <v>1.08</v>
      </c>
      <c r="D1932" s="77">
        <v>7.1800000000000003E-2</v>
      </c>
      <c r="E1932" s="77">
        <v>0.874</v>
      </c>
      <c r="F1932" s="77">
        <v>997</v>
      </c>
      <c r="G1932" s="76"/>
      <c r="H1932" s="77">
        <v>26</v>
      </c>
      <c r="I1932" s="77" t="s">
        <v>31</v>
      </c>
      <c r="J1932" s="14">
        <v>1.829</v>
      </c>
      <c r="K1932" s="76">
        <v>6.910905967088687</v>
      </c>
    </row>
    <row r="1933" spans="1:11" ht="15.75" customHeight="1">
      <c r="A1933" s="77" t="s">
        <v>33</v>
      </c>
      <c r="B1933" s="76">
        <v>99.735322210479609</v>
      </c>
      <c r="C1933" s="25">
        <v>1.08</v>
      </c>
      <c r="D1933" s="77">
        <v>7.1800000000000003E-2</v>
      </c>
      <c r="E1933" s="77">
        <v>0.874</v>
      </c>
      <c r="F1933" s="77">
        <v>997</v>
      </c>
      <c r="G1933" s="76"/>
      <c r="H1933" s="77">
        <v>26</v>
      </c>
      <c r="I1933" s="77" t="s">
        <v>31</v>
      </c>
      <c r="J1933" s="14">
        <v>1.829</v>
      </c>
      <c r="K1933" s="76">
        <v>6.8791150018970653</v>
      </c>
    </row>
    <row r="1934" spans="1:11" ht="15.75" customHeight="1">
      <c r="A1934" s="77" t="s">
        <v>33</v>
      </c>
      <c r="B1934" s="76">
        <v>117.24582693648181</v>
      </c>
      <c r="C1934" s="25">
        <v>1.08</v>
      </c>
      <c r="D1934" s="77">
        <v>7.1800000000000003E-2</v>
      </c>
      <c r="E1934" s="77">
        <v>0.874</v>
      </c>
      <c r="F1934" s="77">
        <v>997</v>
      </c>
      <c r="G1934" s="76"/>
      <c r="H1934" s="77">
        <v>26</v>
      </c>
      <c r="I1934" s="77" t="s">
        <v>31</v>
      </c>
      <c r="J1934" s="14">
        <v>1.829</v>
      </c>
      <c r="K1934" s="76">
        <v>6.8392246978364826</v>
      </c>
    </row>
    <row r="1935" spans="1:11" ht="15.75" customHeight="1">
      <c r="A1935" s="77" t="s">
        <v>33</v>
      </c>
      <c r="B1935" s="76">
        <v>143.9056712451324</v>
      </c>
      <c r="C1935" s="25">
        <v>1.08</v>
      </c>
      <c r="D1935" s="77">
        <v>7.1800000000000003E-2</v>
      </c>
      <c r="E1935" s="77">
        <v>0.874</v>
      </c>
      <c r="F1935" s="77">
        <v>997</v>
      </c>
      <c r="G1935" s="76"/>
      <c r="H1935" s="77">
        <v>26</v>
      </c>
      <c r="I1935" s="77" t="s">
        <v>31</v>
      </c>
      <c r="J1935" s="14">
        <v>1.829</v>
      </c>
      <c r="K1935" s="76">
        <v>6.8861577334706805</v>
      </c>
    </row>
    <row r="1936" spans="1:11" ht="15.75" customHeight="1">
      <c r="A1936" s="77" t="s">
        <v>33</v>
      </c>
      <c r="B1936" s="76">
        <v>156.84727474041719</v>
      </c>
      <c r="C1936" s="25">
        <v>1.08</v>
      </c>
      <c r="D1936" s="77">
        <v>7.1800000000000003E-2</v>
      </c>
      <c r="E1936" s="77">
        <v>0.874</v>
      </c>
      <c r="F1936" s="77">
        <v>997</v>
      </c>
      <c r="G1936" s="76"/>
      <c r="H1936" s="77">
        <v>26</v>
      </c>
      <c r="I1936" s="77" t="s">
        <v>31</v>
      </c>
      <c r="J1936" s="14">
        <v>1.829</v>
      </c>
      <c r="K1936" s="76">
        <v>6.9219616533015556</v>
      </c>
    </row>
    <row r="1937" spans="1:11" ht="15.75" customHeight="1">
      <c r="A1937" s="77" t="s">
        <v>33</v>
      </c>
      <c r="B1937" s="76">
        <v>172.8308545221312</v>
      </c>
      <c r="C1937" s="25">
        <v>1.08</v>
      </c>
      <c r="D1937" s="77">
        <v>7.1800000000000003E-2</v>
      </c>
      <c r="E1937" s="77">
        <v>0.874</v>
      </c>
      <c r="F1937" s="77">
        <v>997</v>
      </c>
      <c r="G1937" s="76"/>
      <c r="H1937" s="77">
        <v>26</v>
      </c>
      <c r="I1937" s="77" t="s">
        <v>31</v>
      </c>
      <c r="J1937" s="14">
        <v>1.829</v>
      </c>
      <c r="K1937" s="76">
        <v>6.9666568097162189</v>
      </c>
    </row>
    <row r="1938" spans="1:11" ht="15.75" customHeight="1">
      <c r="A1938" s="77" t="s">
        <v>33</v>
      </c>
      <c r="B1938" s="76">
        <v>190.62257974194898</v>
      </c>
      <c r="C1938" s="25">
        <v>1.08</v>
      </c>
      <c r="D1938" s="77">
        <v>7.1800000000000003E-2</v>
      </c>
      <c r="E1938" s="77">
        <v>0.874</v>
      </c>
      <c r="F1938" s="77">
        <v>997</v>
      </c>
      <c r="G1938" s="76"/>
      <c r="H1938" s="77">
        <v>26</v>
      </c>
      <c r="I1938" s="77" t="s">
        <v>31</v>
      </c>
      <c r="J1938" s="14">
        <v>1.829</v>
      </c>
      <c r="K1938" s="76">
        <v>6.9676270563343321</v>
      </c>
    </row>
    <row r="1939" spans="1:11" ht="15.75" customHeight="1">
      <c r="A1939" s="77" t="s">
        <v>33</v>
      </c>
      <c r="B1939" s="76">
        <v>216.02528637017221</v>
      </c>
      <c r="C1939" s="25">
        <v>1.08</v>
      </c>
      <c r="D1939" s="77">
        <v>7.1800000000000003E-2</v>
      </c>
      <c r="E1939" s="77">
        <v>0.874</v>
      </c>
      <c r="F1939" s="77">
        <v>997</v>
      </c>
      <c r="G1939" s="76"/>
      <c r="H1939" s="77">
        <v>26</v>
      </c>
      <c r="I1939" s="77" t="s">
        <v>31</v>
      </c>
      <c r="J1939" s="14">
        <v>1.829</v>
      </c>
      <c r="K1939" s="76">
        <v>7.0345819810012333</v>
      </c>
    </row>
    <row r="1940" spans="1:11" ht="15.75" customHeight="1">
      <c r="A1940" s="77" t="s">
        <v>33</v>
      </c>
      <c r="B1940" s="76">
        <v>250.96023638280721</v>
      </c>
      <c r="C1940" s="25">
        <v>1.08</v>
      </c>
      <c r="D1940" s="77">
        <v>7.1800000000000003E-2</v>
      </c>
      <c r="E1940" s="77">
        <v>0.874</v>
      </c>
      <c r="F1940" s="77">
        <v>997</v>
      </c>
      <c r="G1940" s="76"/>
      <c r="H1940" s="77">
        <v>26</v>
      </c>
      <c r="I1940" s="77" t="s">
        <v>31</v>
      </c>
      <c r="J1940" s="14">
        <v>1.829</v>
      </c>
      <c r="K1940" s="76">
        <v>7.0448117250430835</v>
      </c>
    </row>
    <row r="1941" spans="1:11" ht="15.75" customHeight="1">
      <c r="A1941" s="77" t="s">
        <v>33</v>
      </c>
      <c r="B1941" s="76">
        <v>267.21927811271581</v>
      </c>
      <c r="C1941" s="25">
        <v>1.08</v>
      </c>
      <c r="D1941" s="77">
        <v>7.1800000000000003E-2</v>
      </c>
      <c r="E1941" s="77">
        <v>0.874</v>
      </c>
      <c r="F1941" s="77">
        <v>997</v>
      </c>
      <c r="G1941" s="76"/>
      <c r="H1941" s="77">
        <v>26</v>
      </c>
      <c r="I1941" s="77" t="s">
        <v>31</v>
      </c>
      <c r="J1941" s="14">
        <v>1.829</v>
      </c>
      <c r="K1941" s="76">
        <v>7.0438094059563214</v>
      </c>
    </row>
    <row r="1942" spans="1:11" ht="15.75" customHeight="1">
      <c r="A1942" s="77" t="s">
        <v>33</v>
      </c>
      <c r="B1942" s="76">
        <v>314.15203836590456</v>
      </c>
      <c r="C1942" s="25">
        <v>1.08</v>
      </c>
      <c r="D1942" s="77">
        <v>7.1800000000000003E-2</v>
      </c>
      <c r="E1942" s="77">
        <v>0.874</v>
      </c>
      <c r="F1942" s="77">
        <v>997</v>
      </c>
      <c r="G1942" s="76"/>
      <c r="H1942" s="77">
        <v>26</v>
      </c>
      <c r="I1942" s="77" t="s">
        <v>31</v>
      </c>
      <c r="J1942" s="14">
        <v>1.829</v>
      </c>
      <c r="K1942" s="76">
        <v>7.0528567658242904</v>
      </c>
    </row>
    <row r="1943" spans="1:11" ht="15.75" customHeight="1">
      <c r="A1943" s="77" t="s">
        <v>33</v>
      </c>
      <c r="B1943" s="76">
        <v>343.1803050984492</v>
      </c>
      <c r="C1943" s="25">
        <v>1.08</v>
      </c>
      <c r="D1943" s="77">
        <v>7.1800000000000003E-2</v>
      </c>
      <c r="E1943" s="77">
        <v>0.874</v>
      </c>
      <c r="F1943" s="77">
        <v>997</v>
      </c>
      <c r="G1943" s="76"/>
      <c r="H1943" s="77">
        <v>26</v>
      </c>
      <c r="I1943" s="77" t="s">
        <v>31</v>
      </c>
      <c r="J1943" s="14">
        <v>1.829</v>
      </c>
      <c r="K1943" s="76">
        <v>7.1079449461662172</v>
      </c>
    </row>
    <row r="1944" spans="1:11" ht="15.75" customHeight="1">
      <c r="A1944" s="77" t="s">
        <v>33</v>
      </c>
      <c r="B1944" s="76">
        <v>369.61001388948659</v>
      </c>
      <c r="C1944" s="25">
        <v>1.08</v>
      </c>
      <c r="D1944" s="77">
        <v>7.1800000000000003E-2</v>
      </c>
      <c r="E1944" s="77">
        <v>0.874</v>
      </c>
      <c r="F1944" s="77">
        <v>997</v>
      </c>
      <c r="G1944" s="76"/>
      <c r="H1944" s="77">
        <v>26</v>
      </c>
      <c r="I1944" s="77" t="s">
        <v>31</v>
      </c>
      <c r="J1944" s="14">
        <v>1.829</v>
      </c>
      <c r="K1944" s="76">
        <v>7.1884465318000386</v>
      </c>
    </row>
    <row r="1945" spans="1:11" ht="15.75" customHeight="1">
      <c r="A1945" s="77" t="s">
        <v>33</v>
      </c>
      <c r="B1945" s="76">
        <v>426.27750406722896</v>
      </c>
      <c r="C1945" s="25">
        <v>1.08</v>
      </c>
      <c r="D1945" s="77">
        <v>7.1800000000000003E-2</v>
      </c>
      <c r="E1945" s="77">
        <v>0.874</v>
      </c>
      <c r="F1945" s="77">
        <v>997</v>
      </c>
      <c r="G1945" s="76"/>
      <c r="H1945" s="77">
        <v>26</v>
      </c>
      <c r="I1945" s="77" t="s">
        <v>31</v>
      </c>
      <c r="J1945" s="14">
        <v>1.829</v>
      </c>
      <c r="K1945" s="76">
        <v>7.3096944044596581</v>
      </c>
    </row>
    <row r="1946" spans="1:11" ht="15.75" customHeight="1">
      <c r="A1946" s="77" t="s">
        <v>33</v>
      </c>
      <c r="B1946" s="76">
        <v>450.39784206222839</v>
      </c>
      <c r="C1946" s="25">
        <v>1.08</v>
      </c>
      <c r="D1946" s="77">
        <v>7.1800000000000003E-2</v>
      </c>
      <c r="E1946" s="77">
        <v>0.874</v>
      </c>
      <c r="F1946" s="77">
        <v>997</v>
      </c>
      <c r="G1946" s="76"/>
      <c r="H1946" s="77">
        <v>26</v>
      </c>
      <c r="I1946" s="77" t="s">
        <v>31</v>
      </c>
      <c r="J1946" s="14">
        <v>1.829</v>
      </c>
      <c r="K1946" s="76">
        <v>7.4615755263255643</v>
      </c>
    </row>
    <row r="1947" spans="1:11" ht="15.75" customHeight="1">
      <c r="A1947" s="77" t="s">
        <v>33</v>
      </c>
      <c r="B1947" s="76">
        <v>496.04537888983498</v>
      </c>
      <c r="C1947" s="25">
        <v>1.08</v>
      </c>
      <c r="D1947" s="77">
        <v>7.1800000000000003E-2</v>
      </c>
      <c r="E1947" s="77">
        <v>0.874</v>
      </c>
      <c r="F1947" s="77">
        <v>997</v>
      </c>
      <c r="G1947" s="76"/>
      <c r="H1947" s="77">
        <v>26</v>
      </c>
      <c r="I1947" s="77" t="s">
        <v>31</v>
      </c>
      <c r="J1947" s="14">
        <v>1.829</v>
      </c>
      <c r="K1947" s="76">
        <v>7.5494182900706077</v>
      </c>
    </row>
    <row r="1948" spans="1:11" ht="15.75" customHeight="1">
      <c r="A1948" s="77" t="s">
        <v>33</v>
      </c>
      <c r="B1948" s="76">
        <v>7.43879351057232</v>
      </c>
      <c r="C1948" s="25">
        <v>1.45</v>
      </c>
      <c r="D1948" s="76"/>
      <c r="E1948" s="76"/>
      <c r="F1948" s="76"/>
      <c r="G1948" s="77">
        <v>0</v>
      </c>
      <c r="H1948" s="80">
        <v>25</v>
      </c>
      <c r="I1948" s="77" t="s">
        <v>14</v>
      </c>
      <c r="J1948" s="14">
        <v>1.1639999999999799</v>
      </c>
      <c r="K1948" s="76">
        <v>9.1158023773739902</v>
      </c>
    </row>
    <row r="1949" spans="1:11" ht="15.75" customHeight="1">
      <c r="A1949" s="77" t="s">
        <v>33</v>
      </c>
      <c r="B1949" s="76">
        <v>8.9913651223768198</v>
      </c>
      <c r="C1949" s="25">
        <v>1.45</v>
      </c>
      <c r="D1949" s="76"/>
      <c r="E1949" s="76"/>
      <c r="F1949" s="76"/>
      <c r="G1949" s="77">
        <v>0</v>
      </c>
      <c r="H1949" s="80">
        <v>25</v>
      </c>
      <c r="I1949" s="77" t="s">
        <v>14</v>
      </c>
      <c r="J1949" s="14">
        <v>1.1639999999999799</v>
      </c>
      <c r="K1949" s="76">
        <v>9.0834934966742065</v>
      </c>
    </row>
    <row r="1950" spans="1:11" ht="15.75" customHeight="1">
      <c r="A1950" s="77" t="s">
        <v>33</v>
      </c>
      <c r="B1950" s="76">
        <v>11.44621393581852</v>
      </c>
      <c r="C1950" s="25">
        <v>1.45</v>
      </c>
      <c r="D1950" s="76"/>
      <c r="E1950" s="76"/>
      <c r="F1950" s="76"/>
      <c r="G1950" s="77">
        <v>0</v>
      </c>
      <c r="H1950" s="80">
        <v>25</v>
      </c>
      <c r="I1950" s="77" t="s">
        <v>14</v>
      </c>
      <c r="J1950" s="14">
        <v>1.1639999999999799</v>
      </c>
      <c r="K1950" s="76">
        <v>9.0725276876442056</v>
      </c>
    </row>
    <row r="1951" spans="1:11" ht="15.75" customHeight="1">
      <c r="A1951" s="77" t="s">
        <v>33</v>
      </c>
      <c r="B1951" s="76">
        <v>13.40719583039184</v>
      </c>
      <c r="C1951" s="25">
        <v>1.45</v>
      </c>
      <c r="D1951" s="76"/>
      <c r="E1951" s="76"/>
      <c r="F1951" s="76"/>
      <c r="G1951" s="77">
        <v>0</v>
      </c>
      <c r="H1951" s="80">
        <v>25</v>
      </c>
      <c r="I1951" s="77" t="s">
        <v>14</v>
      </c>
      <c r="J1951" s="14">
        <v>1.1639999999999799</v>
      </c>
      <c r="K1951" s="76">
        <v>9.089536508600867</v>
      </c>
    </row>
    <row r="1952" spans="1:11" ht="15.75" customHeight="1">
      <c r="A1952" s="77" t="s">
        <v>33</v>
      </c>
      <c r="B1952" s="76">
        <v>16.64521788405942</v>
      </c>
      <c r="C1952" s="25">
        <v>1.45</v>
      </c>
      <c r="D1952" s="76"/>
      <c r="E1952" s="76"/>
      <c r="F1952" s="76"/>
      <c r="G1952" s="77">
        <v>0</v>
      </c>
      <c r="H1952" s="80">
        <v>25</v>
      </c>
      <c r="I1952" s="77" t="s">
        <v>14</v>
      </c>
      <c r="J1952" s="14">
        <v>1.1639999999999799</v>
      </c>
      <c r="K1952" s="76">
        <v>9.0871928228345364</v>
      </c>
    </row>
    <row r="1953" spans="1:11" ht="15.75" customHeight="1">
      <c r="A1953" s="77" t="s">
        <v>33</v>
      </c>
      <c r="B1953" s="76">
        <v>20.975962469618757</v>
      </c>
      <c r="C1953" s="25">
        <v>1.45</v>
      </c>
      <c r="D1953" s="76"/>
      <c r="E1953" s="76"/>
      <c r="F1953" s="76"/>
      <c r="G1953" s="77">
        <v>0</v>
      </c>
      <c r="H1953" s="80">
        <v>25</v>
      </c>
      <c r="I1953" s="77" t="s">
        <v>14</v>
      </c>
      <c r="J1953" s="14">
        <v>1.1639999999999799</v>
      </c>
      <c r="K1953" s="76">
        <v>9.0703853579419711</v>
      </c>
    </row>
    <row r="1954" spans="1:11" ht="15.75" customHeight="1">
      <c r="A1954" s="77" t="s">
        <v>33</v>
      </c>
      <c r="B1954" s="76">
        <v>25.094437730706659</v>
      </c>
      <c r="C1954" s="25">
        <v>1.45</v>
      </c>
      <c r="D1954" s="76"/>
      <c r="E1954" s="76"/>
      <c r="F1954" s="76"/>
      <c r="G1954" s="77">
        <v>0</v>
      </c>
      <c r="H1954" s="80">
        <v>25</v>
      </c>
      <c r="I1954" s="77" t="s">
        <v>14</v>
      </c>
      <c r="J1954" s="14">
        <v>1.1639999999999799</v>
      </c>
      <c r="K1954" s="76">
        <v>9.0869214877333118</v>
      </c>
    </row>
    <row r="1955" spans="1:11" ht="15.75" customHeight="1">
      <c r="A1955" s="77" t="s">
        <v>33</v>
      </c>
      <c r="B1955" s="76">
        <v>30.466573662933058</v>
      </c>
      <c r="C1955" s="25">
        <v>1.45</v>
      </c>
      <c r="D1955" s="76"/>
      <c r="E1955" s="76"/>
      <c r="F1955" s="76"/>
      <c r="G1955" s="77">
        <v>0</v>
      </c>
      <c r="H1955" s="80">
        <v>25</v>
      </c>
      <c r="I1955" s="77" t="s">
        <v>14</v>
      </c>
      <c r="J1955" s="14">
        <v>1.1639999999999799</v>
      </c>
      <c r="K1955" s="76">
        <v>9.0923990919462234</v>
      </c>
    </row>
    <row r="1956" spans="1:11" ht="15.75" customHeight="1">
      <c r="A1956" s="77" t="s">
        <v>33</v>
      </c>
      <c r="B1956" s="76">
        <v>36.969309305363822</v>
      </c>
      <c r="C1956" s="25">
        <v>1.45</v>
      </c>
      <c r="D1956" s="76"/>
      <c r="E1956" s="76"/>
      <c r="F1956" s="76"/>
      <c r="G1956" s="77">
        <v>0</v>
      </c>
      <c r="H1956" s="80">
        <v>25</v>
      </c>
      <c r="I1956" s="77" t="s">
        <v>14</v>
      </c>
      <c r="J1956" s="14">
        <v>1.1639999999999799</v>
      </c>
      <c r="K1956" s="76">
        <v>8.9955507385183768</v>
      </c>
    </row>
    <row r="1957" spans="1:11" ht="15.75" customHeight="1">
      <c r="A1957" s="77" t="s">
        <v>33</v>
      </c>
      <c r="B1957" s="76">
        <v>42.156298275138724</v>
      </c>
      <c r="C1957" s="25">
        <v>1.45</v>
      </c>
      <c r="D1957" s="76"/>
      <c r="E1957" s="76"/>
      <c r="F1957" s="76"/>
      <c r="G1957" s="77">
        <v>0</v>
      </c>
      <c r="H1957" s="80">
        <v>25</v>
      </c>
      <c r="I1957" s="77" t="s">
        <v>14</v>
      </c>
      <c r="J1957" s="14">
        <v>1.1639999999999799</v>
      </c>
      <c r="K1957" s="76">
        <v>9.1540140658839881</v>
      </c>
    </row>
    <row r="1958" spans="1:11" ht="15.75" customHeight="1">
      <c r="A1958" s="77" t="s">
        <v>33</v>
      </c>
      <c r="B1958" s="76">
        <v>48.487971116692684</v>
      </c>
      <c r="C1958" s="25">
        <v>1.45</v>
      </c>
      <c r="D1958" s="76"/>
      <c r="E1958" s="76"/>
      <c r="F1958" s="76"/>
      <c r="G1958" s="77">
        <v>0</v>
      </c>
      <c r="H1958" s="80">
        <v>25</v>
      </c>
      <c r="I1958" s="77" t="s">
        <v>14</v>
      </c>
      <c r="J1958" s="14">
        <v>1.1639999999999799</v>
      </c>
      <c r="K1958" s="76">
        <v>8.9977975149011158</v>
      </c>
    </row>
    <row r="1959" spans="1:11" ht="15.75" customHeight="1">
      <c r="A1959" s="77" t="s">
        <v>33</v>
      </c>
      <c r="B1959" s="76">
        <v>56.887471202332804</v>
      </c>
      <c r="C1959" s="25">
        <v>1.45</v>
      </c>
      <c r="D1959" s="76"/>
      <c r="E1959" s="76"/>
      <c r="F1959" s="76"/>
      <c r="G1959" s="77">
        <v>0</v>
      </c>
      <c r="H1959" s="80">
        <v>25</v>
      </c>
      <c r="I1959" s="77" t="s">
        <v>14</v>
      </c>
      <c r="J1959" s="14">
        <v>1.1639999999999799</v>
      </c>
      <c r="K1959" s="76">
        <v>9.1544365015248594</v>
      </c>
    </row>
    <row r="1960" spans="1:11" ht="15.75" customHeight="1">
      <c r="A1960" s="77" t="s">
        <v>33</v>
      </c>
      <c r="B1960" s="76">
        <v>63.613438096359602</v>
      </c>
      <c r="C1960" s="25">
        <v>1.45</v>
      </c>
      <c r="D1960" s="76"/>
      <c r="E1960" s="76"/>
      <c r="F1960" s="76"/>
      <c r="G1960" s="77">
        <v>0</v>
      </c>
      <c r="H1960" s="80">
        <v>25</v>
      </c>
      <c r="I1960" s="77" t="s">
        <v>14</v>
      </c>
      <c r="J1960" s="14">
        <v>1.1639999999999799</v>
      </c>
      <c r="K1960" s="76">
        <v>9.0689574191902285</v>
      </c>
    </row>
    <row r="1961" spans="1:11" ht="15.75" customHeight="1">
      <c r="A1961" s="77" t="s">
        <v>33</v>
      </c>
      <c r="B1961" s="76">
        <v>74.936798416366202</v>
      </c>
      <c r="C1961" s="25">
        <v>1.45</v>
      </c>
      <c r="D1961" s="76"/>
      <c r="E1961" s="76"/>
      <c r="F1961" s="76"/>
      <c r="G1961" s="77">
        <v>0</v>
      </c>
      <c r="H1961" s="80">
        <v>25</v>
      </c>
      <c r="I1961" s="77" t="s">
        <v>14</v>
      </c>
      <c r="J1961" s="14">
        <v>1.1639999999999799</v>
      </c>
      <c r="K1961" s="76">
        <v>9.1000535237835614</v>
      </c>
    </row>
    <row r="1962" spans="1:11" ht="15.75" customHeight="1">
      <c r="A1962" s="77" t="s">
        <v>33</v>
      </c>
      <c r="B1962" s="76">
        <v>84.623906351834393</v>
      </c>
      <c r="C1962" s="25">
        <v>1.45</v>
      </c>
      <c r="D1962" s="76"/>
      <c r="E1962" s="76"/>
      <c r="F1962" s="76"/>
      <c r="G1962" s="77">
        <v>0</v>
      </c>
      <c r="H1962" s="80">
        <v>25</v>
      </c>
      <c r="I1962" s="77" t="s">
        <v>14</v>
      </c>
      <c r="J1962" s="14">
        <v>1.1639999999999799</v>
      </c>
      <c r="K1962" s="76">
        <v>9.0424828792462559</v>
      </c>
    </row>
    <row r="1963" spans="1:11" ht="15.75" customHeight="1">
      <c r="A1963" s="77" t="s">
        <v>33</v>
      </c>
      <c r="B1963" s="76">
        <v>97.678692554088002</v>
      </c>
      <c r="C1963" s="25">
        <v>1.45</v>
      </c>
      <c r="D1963" s="76"/>
      <c r="E1963" s="76"/>
      <c r="F1963" s="76"/>
      <c r="G1963" s="77">
        <v>0</v>
      </c>
      <c r="H1963" s="80">
        <v>25</v>
      </c>
      <c r="I1963" s="77" t="s">
        <v>14</v>
      </c>
      <c r="J1963" s="14">
        <v>1.1639999999999799</v>
      </c>
      <c r="K1963" s="76">
        <v>9.1598304811500775</v>
      </c>
    </row>
    <row r="1964" spans="1:11" ht="15.75" customHeight="1">
      <c r="A1964" s="77" t="s">
        <v>33</v>
      </c>
      <c r="B1964" s="76">
        <v>103.57015859303159</v>
      </c>
      <c r="C1964" s="25">
        <v>1.45</v>
      </c>
      <c r="D1964" s="76"/>
      <c r="E1964" s="76"/>
      <c r="F1964" s="76"/>
      <c r="G1964" s="77">
        <v>0</v>
      </c>
      <c r="H1964" s="80">
        <v>25</v>
      </c>
      <c r="I1964" s="77" t="s">
        <v>14</v>
      </c>
      <c r="J1964" s="14">
        <v>1.1639999999999799</v>
      </c>
      <c r="K1964" s="76">
        <v>9.0639121954808406</v>
      </c>
    </row>
    <row r="1965" spans="1:11" ht="15.75" customHeight="1">
      <c r="A1965" s="77" t="s">
        <v>33</v>
      </c>
      <c r="B1965" s="76">
        <v>117.140540885994</v>
      </c>
      <c r="C1965" s="25">
        <v>1.45</v>
      </c>
      <c r="D1965" s="76"/>
      <c r="E1965" s="76"/>
      <c r="F1965" s="76"/>
      <c r="G1965" s="77">
        <v>0</v>
      </c>
      <c r="H1965" s="80">
        <v>25</v>
      </c>
      <c r="I1965" s="77" t="s">
        <v>14</v>
      </c>
      <c r="J1965" s="14">
        <v>1.1639999999999799</v>
      </c>
      <c r="K1965" s="76">
        <v>9.2404955106263049</v>
      </c>
    </row>
    <row r="1966" spans="1:11" ht="15.75" customHeight="1">
      <c r="A1966" s="77" t="s">
        <v>33</v>
      </c>
      <c r="B1966" s="76">
        <v>135.15704601353158</v>
      </c>
      <c r="C1966" s="25">
        <v>1.45</v>
      </c>
      <c r="D1966" s="76"/>
      <c r="E1966" s="76"/>
      <c r="F1966" s="76"/>
      <c r="G1966" s="77">
        <v>0</v>
      </c>
      <c r="H1966" s="80">
        <v>25</v>
      </c>
      <c r="I1966" s="77" t="s">
        <v>14</v>
      </c>
      <c r="J1966" s="14">
        <v>1.1639999999999799</v>
      </c>
      <c r="K1966" s="76">
        <v>9.2906220693435522</v>
      </c>
    </row>
    <row r="1967" spans="1:11" ht="15.75" customHeight="1">
      <c r="A1967" s="77" t="s">
        <v>33</v>
      </c>
      <c r="B1967" s="76">
        <v>165.3280436764434</v>
      </c>
      <c r="C1967" s="25">
        <v>1.45</v>
      </c>
      <c r="D1967" s="76"/>
      <c r="E1967" s="76"/>
      <c r="F1967" s="76"/>
      <c r="G1967" s="77">
        <v>0</v>
      </c>
      <c r="H1967" s="80">
        <v>25</v>
      </c>
      <c r="I1967" s="77" t="s">
        <v>14</v>
      </c>
      <c r="J1967" s="14">
        <v>1.1639999999999799</v>
      </c>
      <c r="K1967" s="76">
        <v>8.9804971750183498</v>
      </c>
    </row>
    <row r="1968" spans="1:11" ht="15.75" customHeight="1">
      <c r="A1968" s="77" t="s">
        <v>33</v>
      </c>
      <c r="B1968" s="76">
        <v>193.47707727674819</v>
      </c>
      <c r="C1968" s="25">
        <v>1.45</v>
      </c>
      <c r="D1968" s="76"/>
      <c r="E1968" s="76"/>
      <c r="F1968" s="76"/>
      <c r="G1968" s="77">
        <v>0</v>
      </c>
      <c r="H1968" s="80">
        <v>25</v>
      </c>
      <c r="I1968" s="77" t="s">
        <v>14</v>
      </c>
      <c r="J1968" s="14">
        <v>1.1639999999999799</v>
      </c>
      <c r="K1968" s="76">
        <v>9.3787505157745539</v>
      </c>
    </row>
    <row r="1969" spans="1:11" ht="15.75" customHeight="1">
      <c r="A1969" s="77" t="s">
        <v>33</v>
      </c>
      <c r="B1969" s="76">
        <v>234.87016582125781</v>
      </c>
      <c r="C1969" s="25">
        <v>1.45</v>
      </c>
      <c r="D1969" s="76"/>
      <c r="E1969" s="76"/>
      <c r="F1969" s="76"/>
      <c r="G1969" s="77">
        <v>0</v>
      </c>
      <c r="H1969" s="80">
        <v>25</v>
      </c>
      <c r="I1969" s="77" t="s">
        <v>14</v>
      </c>
      <c r="J1969" s="14">
        <v>1.1639999999999799</v>
      </c>
      <c r="K1969" s="76">
        <v>8.8773673455725426</v>
      </c>
    </row>
    <row r="1970" spans="1:11" ht="15.75" customHeight="1">
      <c r="A1970" s="77" t="s">
        <v>33</v>
      </c>
      <c r="B1970" s="76">
        <v>258.7398226535808</v>
      </c>
      <c r="C1970" s="25">
        <v>1.45</v>
      </c>
      <c r="D1970" s="76"/>
      <c r="E1970" s="76"/>
      <c r="F1970" s="76"/>
      <c r="G1970" s="77">
        <v>0</v>
      </c>
      <c r="H1970" s="80">
        <v>25</v>
      </c>
      <c r="I1970" s="77" t="s">
        <v>14</v>
      </c>
      <c r="J1970" s="14">
        <v>1.1639999999999799</v>
      </c>
      <c r="K1970" s="76">
        <v>9.0746951565794927</v>
      </c>
    </row>
    <row r="1971" spans="1:11" ht="15.75" customHeight="1">
      <c r="A1971" s="77" t="s">
        <v>33</v>
      </c>
      <c r="B1971" s="76">
        <v>303.1972773559296</v>
      </c>
      <c r="C1971" s="25">
        <v>1.45</v>
      </c>
      <c r="D1971" s="76"/>
      <c r="E1971" s="76"/>
      <c r="F1971" s="76"/>
      <c r="G1971" s="77">
        <v>0</v>
      </c>
      <c r="H1971" s="80">
        <v>25</v>
      </c>
      <c r="I1971" s="77" t="s">
        <v>14</v>
      </c>
      <c r="J1971" s="14">
        <v>1.1639999999999799</v>
      </c>
      <c r="K1971" s="76">
        <v>9.4374372975721776</v>
      </c>
    </row>
    <row r="1972" spans="1:11" ht="15.75" customHeight="1">
      <c r="A1972" s="77" t="s">
        <v>33</v>
      </c>
      <c r="B1972" s="76">
        <v>334.01096089753497</v>
      </c>
      <c r="C1972" s="25">
        <v>1.45</v>
      </c>
      <c r="D1972" s="76"/>
      <c r="E1972" s="76"/>
      <c r="F1972" s="76"/>
      <c r="G1972" s="77">
        <v>0</v>
      </c>
      <c r="H1972" s="80">
        <v>25</v>
      </c>
      <c r="I1972" s="77" t="s">
        <v>14</v>
      </c>
      <c r="J1972" s="14">
        <v>1.1639999999999799</v>
      </c>
      <c r="K1972" s="76">
        <v>9.1547595536979554</v>
      </c>
    </row>
    <row r="1973" spans="1:11" ht="15.75" customHeight="1">
      <c r="A1973" s="77" t="s">
        <v>33</v>
      </c>
      <c r="B1973" s="76">
        <v>403.15583184561723</v>
      </c>
      <c r="C1973" s="25">
        <v>1.45</v>
      </c>
      <c r="D1973" s="76"/>
      <c r="E1973" s="76"/>
      <c r="F1973" s="76"/>
      <c r="G1973" s="77">
        <v>0</v>
      </c>
      <c r="H1973" s="80">
        <v>25</v>
      </c>
      <c r="I1973" s="77" t="s">
        <v>14</v>
      </c>
      <c r="J1973" s="14">
        <v>1.1639999999999799</v>
      </c>
      <c r="K1973" s="76">
        <v>8.9811553935342054</v>
      </c>
    </row>
    <row r="1974" spans="1:11" ht="15.75" customHeight="1">
      <c r="A1974" s="77" t="s">
        <v>33</v>
      </c>
      <c r="B1974" s="76">
        <v>469.13917787527203</v>
      </c>
      <c r="C1974" s="25">
        <v>1.45</v>
      </c>
      <c r="D1974" s="76"/>
      <c r="E1974" s="76"/>
      <c r="F1974" s="76"/>
      <c r="G1974" s="77">
        <v>0</v>
      </c>
      <c r="H1974" s="80">
        <v>25</v>
      </c>
      <c r="I1974" s="77" t="s">
        <v>14</v>
      </c>
      <c r="J1974" s="14">
        <v>1.1639999999999799</v>
      </c>
      <c r="K1974" s="76">
        <v>8.9534301887065997</v>
      </c>
    </row>
    <row r="1975" spans="1:11" ht="15.75" customHeight="1">
      <c r="A1975" s="77" t="s">
        <v>33</v>
      </c>
      <c r="B1975" s="76">
        <v>548.42497035549604</v>
      </c>
      <c r="C1975" s="25">
        <v>1.45</v>
      </c>
      <c r="D1975" s="76"/>
      <c r="E1975" s="76"/>
      <c r="F1975" s="76"/>
      <c r="G1975" s="77">
        <v>0</v>
      </c>
      <c r="H1975" s="80">
        <v>25</v>
      </c>
      <c r="I1975" s="77" t="s">
        <v>14</v>
      </c>
      <c r="J1975" s="14">
        <v>1.1639999999999799</v>
      </c>
      <c r="K1975" s="76">
        <v>9.287823137128342</v>
      </c>
    </row>
    <row r="1976" spans="1:11" ht="15.75" customHeight="1">
      <c r="A1976" s="77" t="s">
        <v>33</v>
      </c>
      <c r="B1976" s="76">
        <v>636.17328745655993</v>
      </c>
      <c r="C1976" s="25">
        <v>1.45</v>
      </c>
      <c r="D1976" s="76"/>
      <c r="E1976" s="76"/>
      <c r="F1976" s="76"/>
      <c r="G1976" s="77">
        <v>0</v>
      </c>
      <c r="H1976" s="80">
        <v>25</v>
      </c>
      <c r="I1976" s="77" t="s">
        <v>14</v>
      </c>
      <c r="J1976" s="14">
        <v>1.1639999999999799</v>
      </c>
      <c r="K1976" s="76">
        <v>9.5965444770137101</v>
      </c>
    </row>
    <row r="1977" spans="1:11" ht="15.75" customHeight="1">
      <c r="A1977" s="77" t="s">
        <v>33</v>
      </c>
      <c r="B1977" s="76">
        <v>6.5317345697537998</v>
      </c>
      <c r="C1977" s="25">
        <v>1.45</v>
      </c>
      <c r="D1977" s="76"/>
      <c r="E1977" s="76"/>
      <c r="F1977" s="76"/>
      <c r="G1977" s="77">
        <v>0.08</v>
      </c>
      <c r="H1977" s="80">
        <v>25</v>
      </c>
      <c r="I1977" s="77" t="s">
        <v>14</v>
      </c>
      <c r="J1977" s="14">
        <v>1.1639999999999799</v>
      </c>
      <c r="K1977" s="76">
        <v>8.3508070704600339</v>
      </c>
    </row>
    <row r="1978" spans="1:11" ht="15.75" customHeight="1">
      <c r="A1978" s="77" t="s">
        <v>33</v>
      </c>
      <c r="B1978" s="76">
        <v>8.0681784892616406</v>
      </c>
      <c r="C1978" s="25">
        <v>1.45</v>
      </c>
      <c r="D1978" s="76"/>
      <c r="E1978" s="76"/>
      <c r="F1978" s="76"/>
      <c r="G1978" s="77">
        <v>0.08</v>
      </c>
      <c r="H1978" s="80">
        <v>25</v>
      </c>
      <c r="I1978" s="77" t="s">
        <v>14</v>
      </c>
      <c r="J1978" s="14">
        <v>1.1639999999999799</v>
      </c>
      <c r="K1978" s="76">
        <v>8.331810027955914</v>
      </c>
    </row>
    <row r="1979" spans="1:11" ht="15.75" customHeight="1">
      <c r="A1979" s="77" t="s">
        <v>33</v>
      </c>
      <c r="B1979" s="76">
        <v>9.9204276142906203</v>
      </c>
      <c r="C1979" s="25">
        <v>1.45</v>
      </c>
      <c r="D1979" s="76"/>
      <c r="E1979" s="76"/>
      <c r="F1979" s="76"/>
      <c r="G1979" s="77">
        <v>0.08</v>
      </c>
      <c r="H1979" s="80">
        <v>25</v>
      </c>
      <c r="I1979" s="77" t="s">
        <v>14</v>
      </c>
      <c r="J1979" s="14">
        <v>1.1639999999999799</v>
      </c>
      <c r="K1979" s="76">
        <v>8.3093593220658608</v>
      </c>
    </row>
    <row r="1980" spans="1:11" ht="15.75" customHeight="1">
      <c r="A1980" s="77" t="s">
        <v>33</v>
      </c>
      <c r="B1980" s="76">
        <v>12.39842295206652</v>
      </c>
      <c r="C1980" s="25">
        <v>1.45</v>
      </c>
      <c r="D1980" s="76"/>
      <c r="E1980" s="76"/>
      <c r="F1980" s="76"/>
      <c r="G1980" s="77">
        <v>0.08</v>
      </c>
      <c r="H1980" s="80">
        <v>25</v>
      </c>
      <c r="I1980" s="77" t="s">
        <v>14</v>
      </c>
      <c r="J1980" s="14">
        <v>1.1639999999999799</v>
      </c>
      <c r="K1980" s="76">
        <v>8.3342529905173137</v>
      </c>
    </row>
    <row r="1981" spans="1:11" ht="15.75" customHeight="1">
      <c r="A1981" s="77" t="s">
        <v>33</v>
      </c>
      <c r="B1981" s="76">
        <v>14.5300013241747</v>
      </c>
      <c r="C1981" s="25">
        <v>1.45</v>
      </c>
      <c r="D1981" s="76"/>
      <c r="E1981" s="76"/>
      <c r="F1981" s="76"/>
      <c r="G1981" s="77">
        <v>0.08</v>
      </c>
      <c r="H1981" s="80">
        <v>25</v>
      </c>
      <c r="I1981" s="77" t="s">
        <v>14</v>
      </c>
      <c r="J1981" s="14">
        <v>1.1639999999999799</v>
      </c>
      <c r="K1981" s="76">
        <v>8.3800776566972299</v>
      </c>
    </row>
    <row r="1982" spans="1:11" ht="15.75" customHeight="1">
      <c r="A1982" s="77" t="s">
        <v>33</v>
      </c>
      <c r="B1982" s="76">
        <v>18.266117693862</v>
      </c>
      <c r="C1982" s="25">
        <v>1.45</v>
      </c>
      <c r="D1982" s="76"/>
      <c r="E1982" s="76"/>
      <c r="F1982" s="76"/>
      <c r="G1982" s="77">
        <v>0.08</v>
      </c>
      <c r="H1982" s="80">
        <v>25</v>
      </c>
      <c r="I1982" s="77" t="s">
        <v>14</v>
      </c>
      <c r="J1982" s="14">
        <v>1.1639999999999799</v>
      </c>
      <c r="K1982" s="76">
        <v>8.4162561763344232</v>
      </c>
    </row>
    <row r="1983" spans="1:11" ht="15.75" customHeight="1">
      <c r="A1983" s="77" t="s">
        <v>33</v>
      </c>
      <c r="B1983" s="76">
        <v>23.337815347458182</v>
      </c>
      <c r="C1983" s="25">
        <v>1.45</v>
      </c>
      <c r="D1983" s="76"/>
      <c r="E1983" s="76"/>
      <c r="F1983" s="76"/>
      <c r="G1983" s="77">
        <v>0.08</v>
      </c>
      <c r="H1983" s="80">
        <v>25</v>
      </c>
      <c r="I1983" s="77" t="s">
        <v>14</v>
      </c>
      <c r="J1983" s="14">
        <v>1.1639999999999799</v>
      </c>
      <c r="K1983" s="76">
        <v>8.4114142309603057</v>
      </c>
    </row>
    <row r="1984" spans="1:11" ht="15.75" customHeight="1">
      <c r="A1984" s="77" t="s">
        <v>33</v>
      </c>
      <c r="B1984" s="76">
        <v>30.166577944310816</v>
      </c>
      <c r="C1984" s="25">
        <v>1.45</v>
      </c>
      <c r="D1984" s="76"/>
      <c r="E1984" s="76"/>
      <c r="F1984" s="76"/>
      <c r="G1984" s="77">
        <v>0.08</v>
      </c>
      <c r="H1984" s="80">
        <v>25</v>
      </c>
      <c r="I1984" s="77" t="s">
        <v>14</v>
      </c>
      <c r="J1984" s="14">
        <v>1.1639999999999799</v>
      </c>
      <c r="K1984" s="76">
        <v>8.5000121681815983</v>
      </c>
    </row>
    <row r="1985" spans="1:11" ht="15.75" customHeight="1">
      <c r="A1985" s="77" t="s">
        <v>33</v>
      </c>
      <c r="B1985" s="76">
        <v>40.731949126719122</v>
      </c>
      <c r="C1985" s="25">
        <v>1.45</v>
      </c>
      <c r="D1985" s="76"/>
      <c r="E1985" s="76"/>
      <c r="F1985" s="76"/>
      <c r="G1985" s="77">
        <v>0.08</v>
      </c>
      <c r="H1985" s="80">
        <v>25</v>
      </c>
      <c r="I1985" s="77" t="s">
        <v>14</v>
      </c>
      <c r="J1985" s="14">
        <v>1.1639999999999799</v>
      </c>
      <c r="K1985" s="76">
        <v>8.5825745599704568</v>
      </c>
    </row>
    <row r="1986" spans="1:11" ht="15.75" customHeight="1">
      <c r="A1986" s="77" t="s">
        <v>33</v>
      </c>
      <c r="B1986" s="76">
        <v>52.383096394214334</v>
      </c>
      <c r="C1986" s="25">
        <v>1.45</v>
      </c>
      <c r="D1986" s="76"/>
      <c r="E1986" s="76"/>
      <c r="F1986" s="76"/>
      <c r="G1986" s="77">
        <v>0.08</v>
      </c>
      <c r="H1986" s="80">
        <v>25</v>
      </c>
      <c r="I1986" s="77" t="s">
        <v>14</v>
      </c>
      <c r="J1986" s="14">
        <v>1.1639999999999799</v>
      </c>
      <c r="K1986" s="76">
        <v>8.6404063216362488</v>
      </c>
    </row>
    <row r="1987" spans="1:11" ht="15.75" customHeight="1">
      <c r="A1987" s="77" t="s">
        <v>33</v>
      </c>
      <c r="B1987" s="76">
        <v>60.476721887973</v>
      </c>
      <c r="C1987" s="25">
        <v>1.45</v>
      </c>
      <c r="D1987" s="76"/>
      <c r="E1987" s="76"/>
      <c r="F1987" s="76"/>
      <c r="G1987" s="77">
        <v>0.08</v>
      </c>
      <c r="H1987" s="80">
        <v>25</v>
      </c>
      <c r="I1987" s="77" t="s">
        <v>14</v>
      </c>
      <c r="J1987" s="14">
        <v>1.1639999999999799</v>
      </c>
      <c r="K1987" s="76">
        <v>8.58938010013172</v>
      </c>
    </row>
    <row r="1988" spans="1:11" ht="15.75" customHeight="1">
      <c r="A1988" s="77" t="s">
        <v>33</v>
      </c>
      <c r="B1988" s="76">
        <v>71.325443284103997</v>
      </c>
      <c r="C1988" s="25">
        <v>1.45</v>
      </c>
      <c r="D1988" s="76"/>
      <c r="E1988" s="76"/>
      <c r="F1988" s="76"/>
      <c r="G1988" s="77">
        <v>0.08</v>
      </c>
      <c r="H1988" s="80">
        <v>25</v>
      </c>
      <c r="I1988" s="77" t="s">
        <v>14</v>
      </c>
      <c r="J1988" s="14">
        <v>1.1639999999999799</v>
      </c>
      <c r="K1988" s="76">
        <v>8.7163078144815245</v>
      </c>
    </row>
    <row r="1989" spans="1:11" ht="15.75" customHeight="1">
      <c r="A1989" s="77" t="s">
        <v>33</v>
      </c>
      <c r="B1989" s="76">
        <v>90.354651061788601</v>
      </c>
      <c r="C1989" s="25">
        <v>1.45</v>
      </c>
      <c r="D1989" s="76"/>
      <c r="E1989" s="76"/>
      <c r="F1989" s="76"/>
      <c r="G1989" s="77">
        <v>0.08</v>
      </c>
      <c r="H1989" s="80">
        <v>25</v>
      </c>
      <c r="I1989" s="77" t="s">
        <v>14</v>
      </c>
      <c r="J1989" s="14">
        <v>1.1639999999999799</v>
      </c>
      <c r="K1989" s="76">
        <v>8.65439645383079</v>
      </c>
    </row>
    <row r="1990" spans="1:11" ht="15.75" customHeight="1">
      <c r="A1990" s="77" t="s">
        <v>33</v>
      </c>
      <c r="B1990" s="76">
        <v>105.494422501827</v>
      </c>
      <c r="C1990" s="25">
        <v>1.45</v>
      </c>
      <c r="D1990" s="76"/>
      <c r="E1990" s="76"/>
      <c r="F1990" s="76"/>
      <c r="G1990" s="77">
        <v>0.08</v>
      </c>
      <c r="H1990" s="80">
        <v>25</v>
      </c>
      <c r="I1990" s="77" t="s">
        <v>14</v>
      </c>
      <c r="J1990" s="14">
        <v>1.1639999999999799</v>
      </c>
      <c r="K1990" s="76">
        <v>8.8795605002351046</v>
      </c>
    </row>
    <row r="1991" spans="1:11" ht="15.75" customHeight="1">
      <c r="A1991" s="77" t="s">
        <v>33</v>
      </c>
      <c r="B1991" s="76">
        <v>115.85805861435421</v>
      </c>
      <c r="C1991" s="25">
        <v>1.45</v>
      </c>
      <c r="D1991" s="76"/>
      <c r="E1991" s="76"/>
      <c r="F1991" s="76"/>
      <c r="G1991" s="77">
        <v>0.08</v>
      </c>
      <c r="H1991" s="80">
        <v>25</v>
      </c>
      <c r="I1991" s="77" t="s">
        <v>14</v>
      </c>
      <c r="J1991" s="14">
        <v>1.1639999999999799</v>
      </c>
      <c r="K1991" s="76">
        <v>8.8327306550000664</v>
      </c>
    </row>
    <row r="1992" spans="1:11" ht="15.75" customHeight="1">
      <c r="A1992" s="77" t="s">
        <v>33</v>
      </c>
      <c r="B1992" s="76">
        <v>132.73392921064021</v>
      </c>
      <c r="C1992" s="25">
        <v>1.45</v>
      </c>
      <c r="D1992" s="76"/>
      <c r="E1992" s="76"/>
      <c r="F1992" s="76"/>
      <c r="G1992" s="77">
        <v>0.08</v>
      </c>
      <c r="H1992" s="80">
        <v>25</v>
      </c>
      <c r="I1992" s="77" t="s">
        <v>14</v>
      </c>
      <c r="J1992" s="14">
        <v>1.1639999999999799</v>
      </c>
      <c r="K1992" s="76">
        <v>8.2984720259821483</v>
      </c>
    </row>
    <row r="1993" spans="1:11" ht="15.75" customHeight="1">
      <c r="A1993" s="77" t="s">
        <v>33</v>
      </c>
      <c r="B1993" s="76">
        <v>167.27676167046542</v>
      </c>
      <c r="C1993" s="25">
        <v>1.45</v>
      </c>
      <c r="D1993" s="76"/>
      <c r="E1993" s="76"/>
      <c r="F1993" s="76"/>
      <c r="G1993" s="77">
        <v>0.08</v>
      </c>
      <c r="H1993" s="80">
        <v>25</v>
      </c>
      <c r="I1993" s="77" t="s">
        <v>14</v>
      </c>
      <c r="J1993" s="14">
        <v>1.1639999999999799</v>
      </c>
      <c r="K1993" s="76">
        <v>8.0831704270442231</v>
      </c>
    </row>
    <row r="1994" spans="1:11" ht="15.75" customHeight="1">
      <c r="A1994" s="77" t="s">
        <v>33</v>
      </c>
      <c r="B1994" s="76">
        <v>193.60728244805279</v>
      </c>
      <c r="C1994" s="25">
        <v>1.45</v>
      </c>
      <c r="D1994" s="76"/>
      <c r="E1994" s="76"/>
      <c r="F1994" s="76"/>
      <c r="G1994" s="77">
        <v>0.08</v>
      </c>
      <c r="H1994" s="80">
        <v>25</v>
      </c>
      <c r="I1994" s="77" t="s">
        <v>14</v>
      </c>
      <c r="J1994" s="14">
        <v>1.1639999999999799</v>
      </c>
      <c r="K1994" s="76">
        <v>8.184735381340861</v>
      </c>
    </row>
    <row r="1995" spans="1:11" ht="15.75" customHeight="1">
      <c r="A1995" s="77" t="s">
        <v>33</v>
      </c>
      <c r="B1995" s="76">
        <v>235.70478100364159</v>
      </c>
      <c r="C1995" s="25">
        <v>1.45</v>
      </c>
      <c r="D1995" s="76"/>
      <c r="E1995" s="76"/>
      <c r="F1995" s="76"/>
      <c r="G1995" s="77">
        <v>0.08</v>
      </c>
      <c r="H1995" s="80">
        <v>25</v>
      </c>
      <c r="I1995" s="77" t="s">
        <v>14</v>
      </c>
      <c r="J1995" s="14">
        <v>1.1639999999999799</v>
      </c>
      <c r="K1995" s="76">
        <v>8.368302612647021</v>
      </c>
    </row>
    <row r="1996" spans="1:11" ht="15.75" customHeight="1">
      <c r="A1996" s="77" t="s">
        <v>33</v>
      </c>
      <c r="B1996" s="76">
        <v>258.56265170840817</v>
      </c>
      <c r="C1996" s="25">
        <v>1.45</v>
      </c>
      <c r="D1996" s="76"/>
      <c r="E1996" s="76"/>
      <c r="F1996" s="76"/>
      <c r="G1996" s="77">
        <v>0.08</v>
      </c>
      <c r="H1996" s="80">
        <v>25</v>
      </c>
      <c r="I1996" s="77" t="s">
        <v>14</v>
      </c>
      <c r="J1996" s="14">
        <v>1.1639999999999799</v>
      </c>
      <c r="K1996" s="76">
        <v>8.3453684560688792</v>
      </c>
    </row>
    <row r="1997" spans="1:11" ht="15.75" customHeight="1">
      <c r="A1997" s="77" t="s">
        <v>33</v>
      </c>
      <c r="B1997" s="76">
        <v>300.62701689539279</v>
      </c>
      <c r="C1997" s="25">
        <v>1.45</v>
      </c>
      <c r="D1997" s="76"/>
      <c r="E1997" s="76"/>
      <c r="F1997" s="76"/>
      <c r="G1997" s="77">
        <v>0.08</v>
      </c>
      <c r="H1997" s="80">
        <v>25</v>
      </c>
      <c r="I1997" s="77" t="s">
        <v>14</v>
      </c>
      <c r="J1997" s="14">
        <v>1.1639999999999799</v>
      </c>
      <c r="K1997" s="76">
        <v>8.3833767268677732</v>
      </c>
    </row>
    <row r="1998" spans="1:11" ht="15.75" customHeight="1">
      <c r="A1998" s="77" t="s">
        <v>33</v>
      </c>
      <c r="B1998" s="76">
        <v>349.83832726062781</v>
      </c>
      <c r="C1998" s="25">
        <v>1.45</v>
      </c>
      <c r="D1998" s="76"/>
      <c r="E1998" s="76"/>
      <c r="F1998" s="76"/>
      <c r="G1998" s="77">
        <v>0.08</v>
      </c>
      <c r="H1998" s="80">
        <v>25</v>
      </c>
      <c r="I1998" s="77" t="s">
        <v>14</v>
      </c>
      <c r="J1998" s="14">
        <v>1.1639999999999799</v>
      </c>
      <c r="K1998" s="76">
        <v>9.0317136775941798</v>
      </c>
    </row>
    <row r="1999" spans="1:11" ht="15.75" customHeight="1">
      <c r="A1999" s="77" t="s">
        <v>33</v>
      </c>
      <c r="B1999" s="76">
        <v>404.2767962178828</v>
      </c>
      <c r="C1999" s="25">
        <v>1.45</v>
      </c>
      <c r="D1999" s="76"/>
      <c r="E1999" s="76"/>
      <c r="F1999" s="76"/>
      <c r="G1999" s="77">
        <v>0.08</v>
      </c>
      <c r="H1999" s="80">
        <v>25</v>
      </c>
      <c r="I1999" s="77" t="s">
        <v>14</v>
      </c>
      <c r="J1999" s="14">
        <v>1.1639999999999799</v>
      </c>
      <c r="K1999" s="76">
        <v>9.1539892173357149</v>
      </c>
    </row>
    <row r="2000" spans="1:11" ht="15.75" customHeight="1">
      <c r="A2000" s="77" t="s">
        <v>33</v>
      </c>
      <c r="B2000" s="76">
        <v>486.74560906015688</v>
      </c>
      <c r="C2000" s="25">
        <v>1.45</v>
      </c>
      <c r="D2000" s="76"/>
      <c r="E2000" s="76"/>
      <c r="F2000" s="76"/>
      <c r="G2000" s="77">
        <v>0.08</v>
      </c>
      <c r="H2000" s="80">
        <v>25</v>
      </c>
      <c r="I2000" s="77" t="s">
        <v>14</v>
      </c>
      <c r="J2000" s="14">
        <v>1.1639999999999799</v>
      </c>
      <c r="K2000" s="76">
        <v>9.2551809191811589</v>
      </c>
    </row>
    <row r="2001" spans="1:11" ht="15.75" customHeight="1">
      <c r="A2001" s="77" t="s">
        <v>33</v>
      </c>
      <c r="B2001" s="76">
        <v>584.49100870675193</v>
      </c>
      <c r="C2001" s="25">
        <v>1.45</v>
      </c>
      <c r="D2001" s="76"/>
      <c r="E2001" s="76"/>
      <c r="F2001" s="76"/>
      <c r="G2001" s="77">
        <v>0.08</v>
      </c>
      <c r="H2001" s="80">
        <v>25</v>
      </c>
      <c r="I2001" s="77" t="s">
        <v>14</v>
      </c>
      <c r="J2001" s="14">
        <v>1.1639999999999799</v>
      </c>
      <c r="K2001" s="76">
        <v>9.4893276606613739</v>
      </c>
    </row>
    <row r="2002" spans="1:11" ht="15.75" customHeight="1">
      <c r="A2002" s="77" t="s">
        <v>33</v>
      </c>
      <c r="B2002" s="76">
        <v>6.6556944498200394</v>
      </c>
      <c r="C2002" s="25">
        <v>1.45</v>
      </c>
      <c r="D2002" s="76"/>
      <c r="E2002" s="76"/>
      <c r="F2002" s="76"/>
      <c r="G2002" s="77">
        <v>0.128</v>
      </c>
      <c r="H2002" s="80">
        <v>25</v>
      </c>
      <c r="I2002" s="77" t="s">
        <v>14</v>
      </c>
      <c r="J2002" s="14">
        <v>1.1639999999999799</v>
      </c>
      <c r="K2002" s="76">
        <v>7.4963689578012884</v>
      </c>
    </row>
    <row r="2003" spans="1:11" ht="15.75" customHeight="1">
      <c r="A2003" s="77" t="s">
        <v>33</v>
      </c>
      <c r="B2003" s="76">
        <v>7.9404127704430207</v>
      </c>
      <c r="C2003" s="25">
        <v>1.45</v>
      </c>
      <c r="D2003" s="76"/>
      <c r="E2003" s="76"/>
      <c r="F2003" s="76"/>
      <c r="G2003" s="77">
        <v>0.128</v>
      </c>
      <c r="H2003" s="80">
        <v>25</v>
      </c>
      <c r="I2003" s="77" t="s">
        <v>14</v>
      </c>
      <c r="J2003" s="14">
        <v>1.1639999999999799</v>
      </c>
      <c r="K2003" s="76">
        <v>7.6223375450905753</v>
      </c>
    </row>
    <row r="2004" spans="1:11" ht="15.75" customHeight="1">
      <c r="A2004" s="77" t="s">
        <v>33</v>
      </c>
      <c r="B2004" s="76">
        <v>10.040674943540401</v>
      </c>
      <c r="C2004" s="25">
        <v>1.45</v>
      </c>
      <c r="D2004" s="76"/>
      <c r="E2004" s="76"/>
      <c r="F2004" s="76"/>
      <c r="G2004" s="77">
        <v>0.128</v>
      </c>
      <c r="H2004" s="80">
        <v>25</v>
      </c>
      <c r="I2004" s="77" t="s">
        <v>14</v>
      </c>
      <c r="J2004" s="14">
        <v>1.1639999999999799</v>
      </c>
      <c r="K2004" s="76">
        <v>7.6815142905339151</v>
      </c>
    </row>
    <row r="2005" spans="1:11" ht="15.75" customHeight="1">
      <c r="A2005" s="77" t="s">
        <v>33</v>
      </c>
      <c r="B2005" s="76">
        <v>12.379783427457602</v>
      </c>
      <c r="C2005" s="25">
        <v>1.45</v>
      </c>
      <c r="D2005" s="76"/>
      <c r="E2005" s="76"/>
      <c r="F2005" s="76"/>
      <c r="G2005" s="77">
        <v>0.128</v>
      </c>
      <c r="H2005" s="80">
        <v>25</v>
      </c>
      <c r="I2005" s="77" t="s">
        <v>14</v>
      </c>
      <c r="J2005" s="14">
        <v>1.1639999999999799</v>
      </c>
      <c r="K2005" s="76">
        <v>7.6520660387286918</v>
      </c>
    </row>
    <row r="2006" spans="1:11" ht="15.75" customHeight="1">
      <c r="A2006" s="77" t="s">
        <v>33</v>
      </c>
      <c r="B2006" s="76">
        <v>14.7050428915122</v>
      </c>
      <c r="C2006" s="25">
        <v>1.45</v>
      </c>
      <c r="D2006" s="76"/>
      <c r="E2006" s="76"/>
      <c r="F2006" s="76"/>
      <c r="G2006" s="77">
        <v>0.128</v>
      </c>
      <c r="H2006" s="80">
        <v>25</v>
      </c>
      <c r="I2006" s="77" t="s">
        <v>14</v>
      </c>
      <c r="J2006" s="14">
        <v>1.1639999999999799</v>
      </c>
      <c r="K2006" s="76">
        <v>7.7192854742586876</v>
      </c>
    </row>
    <row r="2007" spans="1:11" ht="15.75" customHeight="1">
      <c r="A2007" s="77" t="s">
        <v>33</v>
      </c>
      <c r="B2007" s="76">
        <v>17.75331483921774</v>
      </c>
      <c r="C2007" s="25">
        <v>1.45</v>
      </c>
      <c r="D2007" s="76"/>
      <c r="E2007" s="76"/>
      <c r="F2007" s="76"/>
      <c r="G2007" s="77">
        <v>0.128</v>
      </c>
      <c r="H2007" s="80">
        <v>25</v>
      </c>
      <c r="I2007" s="77" t="s">
        <v>14</v>
      </c>
      <c r="J2007" s="14">
        <v>1.1639999999999799</v>
      </c>
      <c r="K2007" s="76">
        <v>7.7988358734887617</v>
      </c>
    </row>
    <row r="2008" spans="1:11" ht="15.75" customHeight="1">
      <c r="A2008" s="77" t="s">
        <v>33</v>
      </c>
      <c r="B2008" s="76">
        <v>23.715944607717539</v>
      </c>
      <c r="C2008" s="25">
        <v>1.45</v>
      </c>
      <c r="D2008" s="76"/>
      <c r="E2008" s="76"/>
      <c r="F2008" s="76"/>
      <c r="G2008" s="77">
        <v>0.128</v>
      </c>
      <c r="H2008" s="80">
        <v>25</v>
      </c>
      <c r="I2008" s="77" t="s">
        <v>14</v>
      </c>
      <c r="J2008" s="14">
        <v>1.1639999999999799</v>
      </c>
      <c r="K2008" s="76">
        <v>7.9767573390361131</v>
      </c>
    </row>
    <row r="2009" spans="1:11" ht="15.75" customHeight="1">
      <c r="A2009" s="77" t="s">
        <v>33</v>
      </c>
      <c r="B2009" s="76">
        <v>30.050201789150037</v>
      </c>
      <c r="C2009" s="25">
        <v>1.45</v>
      </c>
      <c r="D2009" s="76"/>
      <c r="E2009" s="76"/>
      <c r="F2009" s="76"/>
      <c r="G2009" s="77">
        <v>0.128</v>
      </c>
      <c r="H2009" s="80">
        <v>25</v>
      </c>
      <c r="I2009" s="77" t="s">
        <v>14</v>
      </c>
      <c r="J2009" s="14">
        <v>1.1639999999999799</v>
      </c>
      <c r="K2009" s="76">
        <v>8.0355222308546388</v>
      </c>
    </row>
    <row r="2010" spans="1:11" ht="15.75" customHeight="1">
      <c r="A2010" s="77" t="s">
        <v>33</v>
      </c>
      <c r="B2010" s="76">
        <v>39.04931520698166</v>
      </c>
      <c r="C2010" s="25">
        <v>1.45</v>
      </c>
      <c r="D2010" s="76"/>
      <c r="E2010" s="76"/>
      <c r="F2010" s="76"/>
      <c r="G2010" s="77">
        <v>0.128</v>
      </c>
      <c r="H2010" s="80">
        <v>25</v>
      </c>
      <c r="I2010" s="77" t="s">
        <v>14</v>
      </c>
      <c r="J2010" s="14">
        <v>1.1639999999999799</v>
      </c>
      <c r="K2010" s="76">
        <v>8.0809107400613787</v>
      </c>
    </row>
    <row r="2011" spans="1:11" ht="15.75" customHeight="1">
      <c r="A2011" s="77" t="s">
        <v>33</v>
      </c>
      <c r="B2011" s="76">
        <v>51.627402498047523</v>
      </c>
      <c r="C2011" s="25">
        <v>1.45</v>
      </c>
      <c r="D2011" s="76"/>
      <c r="E2011" s="76"/>
      <c r="F2011" s="76"/>
      <c r="G2011" s="77">
        <v>0.128</v>
      </c>
      <c r="H2011" s="80">
        <v>25</v>
      </c>
      <c r="I2011" s="77" t="s">
        <v>14</v>
      </c>
      <c r="J2011" s="14">
        <v>1.1639999999999799</v>
      </c>
      <c r="K2011" s="76">
        <v>8.1988333875814412</v>
      </c>
    </row>
    <row r="2012" spans="1:11" ht="15.75" customHeight="1">
      <c r="A2012" s="77" t="s">
        <v>33</v>
      </c>
      <c r="B2012" s="76">
        <v>60.686430614381393</v>
      </c>
      <c r="C2012" s="25">
        <v>1.45</v>
      </c>
      <c r="D2012" s="76"/>
      <c r="E2012" s="76"/>
      <c r="F2012" s="76"/>
      <c r="G2012" s="77">
        <v>0.128</v>
      </c>
      <c r="H2012" s="80">
        <v>25</v>
      </c>
      <c r="I2012" s="77" t="s">
        <v>14</v>
      </c>
      <c r="J2012" s="14">
        <v>1.1639999999999799</v>
      </c>
      <c r="K2012" s="76">
        <v>8.0821172904230494</v>
      </c>
    </row>
    <row r="2013" spans="1:11" ht="15.75" customHeight="1">
      <c r="A2013" s="77" t="s">
        <v>33</v>
      </c>
      <c r="B2013" s="76">
        <v>72.041798302947598</v>
      </c>
      <c r="C2013" s="25">
        <v>1.45</v>
      </c>
      <c r="D2013" s="76"/>
      <c r="E2013" s="76"/>
      <c r="F2013" s="76"/>
      <c r="G2013" s="77">
        <v>0.128</v>
      </c>
      <c r="H2013" s="80">
        <v>25</v>
      </c>
      <c r="I2013" s="77" t="s">
        <v>14</v>
      </c>
      <c r="J2013" s="14">
        <v>1.1639999999999799</v>
      </c>
      <c r="K2013" s="76">
        <v>8.3131269888555561</v>
      </c>
    </row>
    <row r="2014" spans="1:11" ht="15.75" customHeight="1">
      <c r="A2014" s="77" t="s">
        <v>33</v>
      </c>
      <c r="B2014" s="76">
        <v>90.537193025953201</v>
      </c>
      <c r="C2014" s="25">
        <v>1.45</v>
      </c>
      <c r="D2014" s="76"/>
      <c r="E2014" s="76"/>
      <c r="F2014" s="76"/>
      <c r="G2014" s="77">
        <v>0.128</v>
      </c>
      <c r="H2014" s="80">
        <v>25</v>
      </c>
      <c r="I2014" s="77" t="s">
        <v>14</v>
      </c>
      <c r="J2014" s="14">
        <v>1.1639999999999799</v>
      </c>
      <c r="K2014" s="76">
        <v>8.3326242692339125</v>
      </c>
    </row>
    <row r="2015" spans="1:11" ht="15.75" customHeight="1">
      <c r="A2015" s="77" t="s">
        <v>33</v>
      </c>
      <c r="B2015" s="76">
        <v>107.169600039267</v>
      </c>
      <c r="C2015" s="25">
        <v>1.45</v>
      </c>
      <c r="D2015" s="76"/>
      <c r="E2015" s="76"/>
      <c r="F2015" s="76"/>
      <c r="G2015" s="77">
        <v>0.128</v>
      </c>
      <c r="H2015" s="80">
        <v>25</v>
      </c>
      <c r="I2015" s="77" t="s">
        <v>14</v>
      </c>
      <c r="J2015" s="14">
        <v>1.1639999999999799</v>
      </c>
      <c r="K2015" s="76">
        <v>8.3400465782371551</v>
      </c>
    </row>
    <row r="2016" spans="1:11" ht="15.75" customHeight="1">
      <c r="A2016" s="77" t="s">
        <v>33</v>
      </c>
      <c r="B2016" s="76">
        <v>118.804308037512</v>
      </c>
      <c r="C2016" s="25">
        <v>1.45</v>
      </c>
      <c r="D2016" s="76"/>
      <c r="E2016" s="76"/>
      <c r="F2016" s="76"/>
      <c r="G2016" s="77">
        <v>0.128</v>
      </c>
      <c r="H2016" s="80">
        <v>25</v>
      </c>
      <c r="I2016" s="77" t="s">
        <v>14</v>
      </c>
      <c r="J2016" s="14">
        <v>1.1639999999999799</v>
      </c>
      <c r="K2016" s="76">
        <v>8.3356557556106772</v>
      </c>
    </row>
    <row r="2017" spans="1:11" ht="15.75" customHeight="1">
      <c r="A2017" s="77" t="s">
        <v>33</v>
      </c>
      <c r="B2017" s="76">
        <v>141.5875422740244</v>
      </c>
      <c r="C2017" s="25">
        <v>1.45</v>
      </c>
      <c r="D2017" s="76"/>
      <c r="E2017" s="76"/>
      <c r="F2017" s="76"/>
      <c r="G2017" s="77">
        <v>0.128</v>
      </c>
      <c r="H2017" s="80">
        <v>25</v>
      </c>
      <c r="I2017" s="77" t="s">
        <v>14</v>
      </c>
      <c r="J2017" s="14">
        <v>1.1639999999999799</v>
      </c>
      <c r="K2017" s="76">
        <v>7.7632670374702366</v>
      </c>
    </row>
    <row r="2018" spans="1:11" ht="15.75" customHeight="1">
      <c r="A2018" s="77" t="s">
        <v>33</v>
      </c>
      <c r="B2018" s="76">
        <v>189.02319230335019</v>
      </c>
      <c r="C2018" s="25">
        <v>1.45</v>
      </c>
      <c r="D2018" s="76"/>
      <c r="E2018" s="76"/>
      <c r="F2018" s="76"/>
      <c r="G2018" s="77">
        <v>0.128</v>
      </c>
      <c r="H2018" s="80">
        <v>25</v>
      </c>
      <c r="I2018" s="77" t="s">
        <v>14</v>
      </c>
      <c r="J2018" s="14">
        <v>1.1639999999999799</v>
      </c>
      <c r="K2018" s="76">
        <v>7.82666036484882</v>
      </c>
    </row>
    <row r="2019" spans="1:11" ht="15.75" customHeight="1">
      <c r="A2019" s="77" t="s">
        <v>33</v>
      </c>
      <c r="B2019" s="76">
        <v>221.97365688306542</v>
      </c>
      <c r="C2019" s="25">
        <v>1.45</v>
      </c>
      <c r="D2019" s="76"/>
      <c r="E2019" s="76"/>
      <c r="F2019" s="76"/>
      <c r="G2019" s="77">
        <v>0.128</v>
      </c>
      <c r="H2019" s="80">
        <v>25</v>
      </c>
      <c r="I2019" s="77" t="s">
        <v>14</v>
      </c>
      <c r="J2019" s="14">
        <v>1.1639999999999799</v>
      </c>
      <c r="K2019" s="76">
        <v>7.8903785814656464</v>
      </c>
    </row>
    <row r="2020" spans="1:11" ht="15.75" customHeight="1">
      <c r="A2020" s="77" t="s">
        <v>33</v>
      </c>
      <c r="B2020" s="76">
        <v>257.9908392219192</v>
      </c>
      <c r="C2020" s="25">
        <v>1.45</v>
      </c>
      <c r="D2020" s="76"/>
      <c r="E2020" s="76"/>
      <c r="F2020" s="76"/>
      <c r="G2020" s="77">
        <v>0.128</v>
      </c>
      <c r="H2020" s="80">
        <v>25</v>
      </c>
      <c r="I2020" s="77" t="s">
        <v>14</v>
      </c>
      <c r="J2020" s="14">
        <v>1.1639999999999799</v>
      </c>
      <c r="K2020" s="76">
        <v>8.1940497988833183</v>
      </c>
    </row>
    <row r="2021" spans="1:11" ht="15.75" customHeight="1">
      <c r="A2021" s="77" t="s">
        <v>33</v>
      </c>
      <c r="B2021" s="76">
        <v>343.99107845276399</v>
      </c>
      <c r="C2021" s="25">
        <v>1.45</v>
      </c>
      <c r="D2021" s="76"/>
      <c r="E2021" s="76"/>
      <c r="F2021" s="76"/>
      <c r="G2021" s="77">
        <v>0.128</v>
      </c>
      <c r="H2021" s="80">
        <v>25</v>
      </c>
      <c r="I2021" s="77" t="s">
        <v>14</v>
      </c>
      <c r="J2021" s="14">
        <v>1.1639999999999799</v>
      </c>
      <c r="K2021" s="76">
        <v>8.4005300363257422</v>
      </c>
    </row>
    <row r="2022" spans="1:11" ht="15.75" customHeight="1">
      <c r="A2022" s="77" t="s">
        <v>33</v>
      </c>
      <c r="B2022" s="76">
        <v>395.54558574125576</v>
      </c>
      <c r="C2022" s="25">
        <v>1.45</v>
      </c>
      <c r="D2022" s="76"/>
      <c r="E2022" s="76"/>
      <c r="F2022" s="76"/>
      <c r="G2022" s="77">
        <v>0.128</v>
      </c>
      <c r="H2022" s="80">
        <v>25</v>
      </c>
      <c r="I2022" s="77" t="s">
        <v>14</v>
      </c>
      <c r="J2022" s="14">
        <v>1.1639999999999799</v>
      </c>
      <c r="K2022" s="76">
        <v>8.4507325803862354</v>
      </c>
    </row>
    <row r="2023" spans="1:11" ht="15.75" customHeight="1">
      <c r="A2023" s="77" t="s">
        <v>33</v>
      </c>
      <c r="B2023" s="76">
        <v>451.87656212348878</v>
      </c>
      <c r="C2023" s="25">
        <v>1.45</v>
      </c>
      <c r="D2023" s="76"/>
      <c r="E2023" s="76"/>
      <c r="F2023" s="76"/>
      <c r="G2023" s="77">
        <v>0.128</v>
      </c>
      <c r="H2023" s="80">
        <v>25</v>
      </c>
      <c r="I2023" s="77" t="s">
        <v>14</v>
      </c>
      <c r="J2023" s="14">
        <v>1.1639999999999799</v>
      </c>
      <c r="K2023" s="76">
        <v>8.4769701630308312</v>
      </c>
    </row>
    <row r="2024" spans="1:11" ht="15.75" customHeight="1">
      <c r="A2024" s="77" t="s">
        <v>33</v>
      </c>
      <c r="B2024" s="76">
        <v>542.78571980116863</v>
      </c>
      <c r="C2024" s="25">
        <v>1.45</v>
      </c>
      <c r="D2024" s="76"/>
      <c r="E2024" s="76"/>
      <c r="F2024" s="76"/>
      <c r="G2024" s="77">
        <v>0.128</v>
      </c>
      <c r="H2024" s="80">
        <v>25</v>
      </c>
      <c r="I2024" s="77" t="s">
        <v>14</v>
      </c>
      <c r="J2024" s="14">
        <v>1.1639999999999799</v>
      </c>
      <c r="K2024" s="76">
        <v>8.496021425596755</v>
      </c>
    </row>
    <row r="2025" spans="1:11" ht="15.75" customHeight="1">
      <c r="A2025" s="77" t="s">
        <v>33</v>
      </c>
      <c r="B2025" s="76">
        <v>584.79135938571596</v>
      </c>
      <c r="C2025" s="25">
        <v>1.45</v>
      </c>
      <c r="D2025" s="76"/>
      <c r="E2025" s="76"/>
      <c r="F2025" s="76"/>
      <c r="G2025" s="77">
        <v>0.128</v>
      </c>
      <c r="H2025" s="80">
        <v>25</v>
      </c>
      <c r="I2025" s="77" t="s">
        <v>14</v>
      </c>
      <c r="J2025" s="14">
        <v>1.1639999999999799</v>
      </c>
      <c r="K2025" s="76">
        <v>8.7029499188144666</v>
      </c>
    </row>
    <row r="2026" spans="1:11" ht="15.75" customHeight="1">
      <c r="A2026" s="77" t="s">
        <v>33</v>
      </c>
      <c r="B2026" s="76">
        <v>7.696367252608499</v>
      </c>
      <c r="C2026" s="25">
        <v>2.02</v>
      </c>
      <c r="D2026" s="76"/>
      <c r="E2026" s="76"/>
      <c r="F2026" s="76"/>
      <c r="G2026" s="77">
        <v>0</v>
      </c>
      <c r="H2026" s="80">
        <v>25</v>
      </c>
      <c r="I2026" s="77" t="s">
        <v>14</v>
      </c>
      <c r="J2026" s="14">
        <v>1.1639999999999799</v>
      </c>
      <c r="K2026" s="76">
        <v>8.8040005969371773</v>
      </c>
    </row>
    <row r="2027" spans="1:11" ht="15.75" customHeight="1">
      <c r="A2027" s="77" t="s">
        <v>33</v>
      </c>
      <c r="B2027" s="76">
        <v>9.658614192898801</v>
      </c>
      <c r="C2027" s="25">
        <v>2.02</v>
      </c>
      <c r="D2027" s="76"/>
      <c r="E2027" s="76"/>
      <c r="F2027" s="76"/>
      <c r="G2027" s="77">
        <v>0</v>
      </c>
      <c r="H2027" s="80">
        <v>25</v>
      </c>
      <c r="I2027" s="77" t="s">
        <v>14</v>
      </c>
      <c r="J2027" s="14">
        <v>1.1639999999999799</v>
      </c>
      <c r="K2027" s="76">
        <v>9.0219665245729121</v>
      </c>
    </row>
    <row r="2028" spans="1:11" ht="15.75" customHeight="1">
      <c r="A2028" s="77" t="s">
        <v>33</v>
      </c>
      <c r="B2028" s="76">
        <v>12.059003486469301</v>
      </c>
      <c r="C2028" s="25">
        <v>2.02</v>
      </c>
      <c r="D2028" s="76"/>
      <c r="E2028" s="76"/>
      <c r="F2028" s="76"/>
      <c r="G2028" s="77">
        <v>0</v>
      </c>
      <c r="H2028" s="80">
        <v>25</v>
      </c>
      <c r="I2028" s="77" t="s">
        <v>14</v>
      </c>
      <c r="J2028" s="14">
        <v>1.1639999999999799</v>
      </c>
      <c r="K2028" s="76">
        <v>9.3460616915494672</v>
      </c>
    </row>
    <row r="2029" spans="1:11" ht="15.75" customHeight="1">
      <c r="A2029" s="77" t="s">
        <v>33</v>
      </c>
      <c r="B2029" s="76">
        <v>15.701737523783281</v>
      </c>
      <c r="C2029" s="25">
        <v>2.02</v>
      </c>
      <c r="D2029" s="76"/>
      <c r="E2029" s="76"/>
      <c r="F2029" s="76"/>
      <c r="G2029" s="77">
        <v>0</v>
      </c>
      <c r="H2029" s="80">
        <v>25</v>
      </c>
      <c r="I2029" s="77" t="s">
        <v>14</v>
      </c>
      <c r="J2029" s="14">
        <v>1.1639999999999799</v>
      </c>
      <c r="K2029" s="76">
        <v>9.2932338357065909</v>
      </c>
    </row>
    <row r="2030" spans="1:11" ht="15.75" customHeight="1">
      <c r="A2030" s="77" t="s">
        <v>33</v>
      </c>
      <c r="B2030" s="76">
        <v>19.41925250395002</v>
      </c>
      <c r="C2030" s="25">
        <v>2.02</v>
      </c>
      <c r="D2030" s="76"/>
      <c r="E2030" s="76"/>
      <c r="F2030" s="76"/>
      <c r="G2030" s="77">
        <v>0</v>
      </c>
      <c r="H2030" s="80">
        <v>25</v>
      </c>
      <c r="I2030" s="77" t="s">
        <v>14</v>
      </c>
      <c r="J2030" s="14">
        <v>1.1639999999999799</v>
      </c>
      <c r="K2030" s="76">
        <v>9.1004068097998942</v>
      </c>
    </row>
    <row r="2031" spans="1:11" ht="15.75" customHeight="1">
      <c r="A2031" s="77" t="s">
        <v>33</v>
      </c>
      <c r="B2031" s="76">
        <v>23.30584743752064</v>
      </c>
      <c r="C2031" s="25">
        <v>2.02</v>
      </c>
      <c r="D2031" s="76"/>
      <c r="E2031" s="76"/>
      <c r="F2031" s="76"/>
      <c r="G2031" s="77">
        <v>0</v>
      </c>
      <c r="H2031" s="80">
        <v>25</v>
      </c>
      <c r="I2031" s="77" t="s">
        <v>14</v>
      </c>
      <c r="J2031" s="14">
        <v>1.1639999999999799</v>
      </c>
      <c r="K2031" s="76">
        <v>9.1657212199354507</v>
      </c>
    </row>
    <row r="2032" spans="1:11" ht="15.75" customHeight="1">
      <c r="A2032" s="77" t="s">
        <v>33</v>
      </c>
      <c r="B2032" s="76">
        <v>29.028100118970421</v>
      </c>
      <c r="C2032" s="25">
        <v>2.02</v>
      </c>
      <c r="D2032" s="76"/>
      <c r="E2032" s="76"/>
      <c r="F2032" s="76"/>
      <c r="G2032" s="77">
        <v>0</v>
      </c>
      <c r="H2032" s="80">
        <v>25</v>
      </c>
      <c r="I2032" s="77" t="s">
        <v>14</v>
      </c>
      <c r="J2032" s="14">
        <v>1.1639999999999799</v>
      </c>
      <c r="K2032" s="76">
        <v>9.2276290360635276</v>
      </c>
    </row>
    <row r="2033" spans="1:11" ht="15.75" customHeight="1">
      <c r="A2033" s="77" t="s">
        <v>33</v>
      </c>
      <c r="B2033" s="76">
        <v>35.295251336842504</v>
      </c>
      <c r="C2033" s="25">
        <v>2.02</v>
      </c>
      <c r="D2033" s="76"/>
      <c r="E2033" s="76"/>
      <c r="F2033" s="76"/>
      <c r="G2033" s="77">
        <v>0</v>
      </c>
      <c r="H2033" s="80">
        <v>25</v>
      </c>
      <c r="I2033" s="77" t="s">
        <v>14</v>
      </c>
      <c r="J2033" s="14">
        <v>1.1639999999999799</v>
      </c>
      <c r="K2033" s="76">
        <v>9.6244508931325985</v>
      </c>
    </row>
    <row r="2034" spans="1:11" ht="15.75" customHeight="1">
      <c r="A2034" s="77" t="s">
        <v>33</v>
      </c>
      <c r="B2034" s="76">
        <v>43.197654115991938</v>
      </c>
      <c r="C2034" s="25">
        <v>2.02</v>
      </c>
      <c r="D2034" s="76"/>
      <c r="E2034" s="76"/>
      <c r="F2034" s="76"/>
      <c r="G2034" s="77">
        <v>0</v>
      </c>
      <c r="H2034" s="80">
        <v>25</v>
      </c>
      <c r="I2034" s="77" t="s">
        <v>14</v>
      </c>
      <c r="J2034" s="14">
        <v>1.1639999999999799</v>
      </c>
      <c r="K2034" s="76">
        <v>9.6837456201368095</v>
      </c>
    </row>
    <row r="2035" spans="1:11" ht="15.75" customHeight="1">
      <c r="A2035" s="77" t="s">
        <v>33</v>
      </c>
      <c r="B2035" s="76">
        <v>53.165094529926357</v>
      </c>
      <c r="C2035" s="25">
        <v>2.02</v>
      </c>
      <c r="D2035" s="76"/>
      <c r="E2035" s="76"/>
      <c r="F2035" s="76"/>
      <c r="G2035" s="77">
        <v>0</v>
      </c>
      <c r="H2035" s="80">
        <v>25</v>
      </c>
      <c r="I2035" s="77" t="s">
        <v>14</v>
      </c>
      <c r="J2035" s="14">
        <v>1.1639999999999799</v>
      </c>
      <c r="K2035" s="76">
        <v>9.5032970237932695</v>
      </c>
    </row>
    <row r="2036" spans="1:11" ht="15.75" customHeight="1">
      <c r="A2036" s="77" t="s">
        <v>33</v>
      </c>
      <c r="B2036" s="76">
        <v>66.804271000920593</v>
      </c>
      <c r="C2036" s="25">
        <v>2.02</v>
      </c>
      <c r="D2036" s="76"/>
      <c r="E2036" s="76"/>
      <c r="F2036" s="76"/>
      <c r="G2036" s="77">
        <v>0</v>
      </c>
      <c r="H2036" s="80">
        <v>25</v>
      </c>
      <c r="I2036" s="77" t="s">
        <v>14</v>
      </c>
      <c r="J2036" s="14">
        <v>1.1639999999999799</v>
      </c>
      <c r="K2036" s="76">
        <v>9.5992481483334657</v>
      </c>
    </row>
    <row r="2037" spans="1:11" ht="15.75" customHeight="1">
      <c r="A2037" s="77" t="s">
        <v>33</v>
      </c>
      <c r="B2037" s="76">
        <v>78.840117222582009</v>
      </c>
      <c r="C2037" s="25">
        <v>2.02</v>
      </c>
      <c r="D2037" s="76"/>
      <c r="E2037" s="76"/>
      <c r="F2037" s="76"/>
      <c r="G2037" s="77">
        <v>0</v>
      </c>
      <c r="H2037" s="80">
        <v>25</v>
      </c>
      <c r="I2037" s="77" t="s">
        <v>14</v>
      </c>
      <c r="J2037" s="14">
        <v>1.1639999999999799</v>
      </c>
      <c r="K2037" s="76">
        <v>9.6912318010341512</v>
      </c>
    </row>
    <row r="2038" spans="1:11" ht="15.75" customHeight="1">
      <c r="A2038" s="77" t="s">
        <v>33</v>
      </c>
      <c r="B2038" s="76">
        <v>96.436465902394801</v>
      </c>
      <c r="C2038" s="25">
        <v>2.02</v>
      </c>
      <c r="D2038" s="76"/>
      <c r="E2038" s="76"/>
      <c r="F2038" s="76"/>
      <c r="G2038" s="77">
        <v>0</v>
      </c>
      <c r="H2038" s="80">
        <v>25</v>
      </c>
      <c r="I2038" s="77" t="s">
        <v>14</v>
      </c>
      <c r="J2038" s="14">
        <v>1.1639999999999799</v>
      </c>
      <c r="K2038" s="76">
        <v>9.8804995576131045</v>
      </c>
    </row>
    <row r="2039" spans="1:11" ht="15.75" customHeight="1">
      <c r="A2039" s="77" t="s">
        <v>33</v>
      </c>
      <c r="B2039" s="76">
        <v>116.82960085289639</v>
      </c>
      <c r="C2039" s="25">
        <v>2.02</v>
      </c>
      <c r="D2039" s="76"/>
      <c r="E2039" s="76"/>
      <c r="F2039" s="76"/>
      <c r="G2039" s="77">
        <v>0</v>
      </c>
      <c r="H2039" s="80">
        <v>25</v>
      </c>
      <c r="I2039" s="77" t="s">
        <v>14</v>
      </c>
      <c r="J2039" s="14">
        <v>1.1639999999999799</v>
      </c>
      <c r="K2039" s="76">
        <v>9.9897593138870473</v>
      </c>
    </row>
    <row r="2040" spans="1:11" ht="15.75" customHeight="1">
      <c r="A2040" s="77" t="s">
        <v>33</v>
      </c>
      <c r="B2040" s="76">
        <v>143.0103235110588</v>
      </c>
      <c r="C2040" s="25">
        <v>2.02</v>
      </c>
      <c r="D2040" s="76"/>
      <c r="E2040" s="76"/>
      <c r="F2040" s="76"/>
      <c r="G2040" s="77">
        <v>0</v>
      </c>
      <c r="H2040" s="80">
        <v>25</v>
      </c>
      <c r="I2040" s="77" t="s">
        <v>14</v>
      </c>
      <c r="J2040" s="14">
        <v>1.1639999999999799</v>
      </c>
      <c r="K2040" s="76">
        <v>9.8699128626550614</v>
      </c>
    </row>
    <row r="2041" spans="1:11" ht="15.75" customHeight="1">
      <c r="A2041" s="77" t="s">
        <v>33</v>
      </c>
      <c r="B2041" s="76">
        <v>162.54433200743458</v>
      </c>
      <c r="C2041" s="25">
        <v>2.02</v>
      </c>
      <c r="D2041" s="76"/>
      <c r="E2041" s="76"/>
      <c r="F2041" s="76"/>
      <c r="G2041" s="77">
        <v>0</v>
      </c>
      <c r="H2041" s="80">
        <v>25</v>
      </c>
      <c r="I2041" s="77" t="s">
        <v>14</v>
      </c>
      <c r="J2041" s="14">
        <v>1.1639999999999799</v>
      </c>
      <c r="K2041" s="76">
        <v>10.23123031137898</v>
      </c>
    </row>
    <row r="2042" spans="1:11" ht="15.75" customHeight="1">
      <c r="A2042" s="77" t="s">
        <v>33</v>
      </c>
      <c r="B2042" s="76">
        <v>192.08134675774022</v>
      </c>
      <c r="C2042" s="25">
        <v>2.02</v>
      </c>
      <c r="D2042" s="76"/>
      <c r="E2042" s="76"/>
      <c r="F2042" s="76"/>
      <c r="G2042" s="77">
        <v>0</v>
      </c>
      <c r="H2042" s="80">
        <v>25</v>
      </c>
      <c r="I2042" s="77" t="s">
        <v>14</v>
      </c>
      <c r="J2042" s="14">
        <v>1.1639999999999799</v>
      </c>
      <c r="K2042" s="76">
        <v>10.507598198878883</v>
      </c>
    </row>
    <row r="2043" spans="1:11" ht="15.75" customHeight="1">
      <c r="A2043" s="77" t="s">
        <v>33</v>
      </c>
      <c r="B2043" s="76">
        <v>222.33007088518499</v>
      </c>
      <c r="C2043" s="25">
        <v>2.02</v>
      </c>
      <c r="D2043" s="76"/>
      <c r="E2043" s="76"/>
      <c r="F2043" s="76"/>
      <c r="G2043" s="77">
        <v>0</v>
      </c>
      <c r="H2043" s="80">
        <v>25</v>
      </c>
      <c r="I2043" s="77" t="s">
        <v>14</v>
      </c>
      <c r="J2043" s="14">
        <v>1.1639999999999799</v>
      </c>
      <c r="K2043" s="76">
        <v>11.037726000963284</v>
      </c>
    </row>
    <row r="2044" spans="1:11" ht="15.75" customHeight="1">
      <c r="A2044" s="77" t="s">
        <v>33</v>
      </c>
      <c r="B2044" s="76">
        <v>270.04715678709539</v>
      </c>
      <c r="C2044" s="25">
        <v>2.02</v>
      </c>
      <c r="D2044" s="76"/>
      <c r="E2044" s="76"/>
      <c r="F2044" s="76"/>
      <c r="G2044" s="77">
        <v>0</v>
      </c>
      <c r="H2044" s="80">
        <v>25</v>
      </c>
      <c r="I2044" s="77" t="s">
        <v>14</v>
      </c>
      <c r="J2044" s="14">
        <v>1.1639999999999799</v>
      </c>
      <c r="K2044" s="76">
        <v>11.888927530405516</v>
      </c>
    </row>
    <row r="2045" spans="1:11" ht="15.75" customHeight="1">
      <c r="A2045" s="77" t="s">
        <v>33</v>
      </c>
      <c r="B2045" s="76">
        <v>319.5465730745712</v>
      </c>
      <c r="C2045" s="25">
        <v>2.02</v>
      </c>
      <c r="D2045" s="76"/>
      <c r="E2045" s="76"/>
      <c r="F2045" s="76"/>
      <c r="G2045" s="77">
        <v>0</v>
      </c>
      <c r="H2045" s="80">
        <v>25</v>
      </c>
      <c r="I2045" s="77" t="s">
        <v>14</v>
      </c>
      <c r="J2045" s="14">
        <v>1.1639999999999799</v>
      </c>
      <c r="K2045" s="76">
        <v>11.877143784599276</v>
      </c>
    </row>
    <row r="2046" spans="1:11" ht="15.75" customHeight="1">
      <c r="A2046" s="77" t="s">
        <v>33</v>
      </c>
      <c r="B2046" s="76">
        <v>367.9443637138578</v>
      </c>
      <c r="C2046" s="25">
        <v>2.02</v>
      </c>
      <c r="D2046" s="76"/>
      <c r="E2046" s="76"/>
      <c r="F2046" s="76"/>
      <c r="G2046" s="77">
        <v>0</v>
      </c>
      <c r="H2046" s="80">
        <v>25</v>
      </c>
      <c r="I2046" s="77" t="s">
        <v>14</v>
      </c>
      <c r="J2046" s="14">
        <v>1.1639999999999799</v>
      </c>
      <c r="K2046" s="76">
        <v>12.148706181399701</v>
      </c>
    </row>
    <row r="2047" spans="1:11" ht="15.75" customHeight="1">
      <c r="A2047" s="77" t="s">
        <v>33</v>
      </c>
      <c r="B2047" s="76">
        <v>422.31803329473541</v>
      </c>
      <c r="C2047" s="25">
        <v>2.02</v>
      </c>
      <c r="D2047" s="76"/>
      <c r="E2047" s="76"/>
      <c r="F2047" s="76"/>
      <c r="G2047" s="77">
        <v>0</v>
      </c>
      <c r="H2047" s="80">
        <v>25</v>
      </c>
      <c r="I2047" s="77" t="s">
        <v>14</v>
      </c>
      <c r="J2047" s="14">
        <v>1.1639999999999799</v>
      </c>
      <c r="K2047" s="76">
        <v>12.389121915752181</v>
      </c>
    </row>
    <row r="2048" spans="1:11" ht="15.75" customHeight="1">
      <c r="A2048" s="77" t="s">
        <v>33</v>
      </c>
      <c r="B2048" s="76">
        <v>477.27337382996518</v>
      </c>
      <c r="C2048" s="25">
        <v>2.02</v>
      </c>
      <c r="D2048" s="76"/>
      <c r="E2048" s="76"/>
      <c r="F2048" s="76"/>
      <c r="G2048" s="77">
        <v>0</v>
      </c>
      <c r="H2048" s="80">
        <v>25</v>
      </c>
      <c r="I2048" s="77" t="s">
        <v>14</v>
      </c>
      <c r="J2048" s="14">
        <v>1.1639999999999799</v>
      </c>
      <c r="K2048" s="76">
        <v>12.465393664369749</v>
      </c>
    </row>
    <row r="2049" spans="1:11" ht="15.75" customHeight="1">
      <c r="A2049" s="77" t="s">
        <v>33</v>
      </c>
      <c r="B2049" s="76">
        <v>555.53781732878826</v>
      </c>
      <c r="C2049" s="25">
        <v>2.02</v>
      </c>
      <c r="D2049" s="76"/>
      <c r="E2049" s="76"/>
      <c r="F2049" s="76"/>
      <c r="G2049" s="77">
        <v>0</v>
      </c>
      <c r="H2049" s="80">
        <v>25</v>
      </c>
      <c r="I2049" s="77" t="s">
        <v>14</v>
      </c>
      <c r="J2049" s="14">
        <v>1.1639999999999799</v>
      </c>
      <c r="K2049" s="76">
        <v>12.972156061218376</v>
      </c>
    </row>
    <row r="2050" spans="1:11" ht="15.75" customHeight="1">
      <c r="A2050" s="77" t="s">
        <v>33</v>
      </c>
      <c r="B2050" s="76">
        <v>647.15405886917392</v>
      </c>
      <c r="C2050" s="25">
        <v>2.02</v>
      </c>
      <c r="D2050" s="76"/>
      <c r="E2050" s="76"/>
      <c r="F2050" s="76"/>
      <c r="G2050" s="77">
        <v>0</v>
      </c>
      <c r="H2050" s="80">
        <v>25</v>
      </c>
      <c r="I2050" s="77" t="s">
        <v>14</v>
      </c>
      <c r="J2050" s="14">
        <v>1.1639999999999799</v>
      </c>
      <c r="K2050" s="76">
        <v>12.055294375796159</v>
      </c>
    </row>
    <row r="2051" spans="1:11" ht="15.75" customHeight="1">
      <c r="A2051" s="77" t="s">
        <v>33</v>
      </c>
      <c r="B2051" s="76">
        <v>7.5435073211985593</v>
      </c>
      <c r="C2051" s="25">
        <v>2.02</v>
      </c>
      <c r="D2051" s="76"/>
      <c r="E2051" s="76"/>
      <c r="F2051" s="76"/>
      <c r="G2051" s="77">
        <v>0.08</v>
      </c>
      <c r="H2051" s="80">
        <v>25</v>
      </c>
      <c r="I2051" s="77" t="s">
        <v>14</v>
      </c>
      <c r="J2051" s="14">
        <v>1.1639999999999799</v>
      </c>
      <c r="K2051" s="76">
        <v>7.445064357853286</v>
      </c>
    </row>
    <row r="2052" spans="1:11" ht="15.75" customHeight="1">
      <c r="A2052" s="77" t="s">
        <v>33</v>
      </c>
      <c r="B2052" s="76">
        <v>9.9123073301351994</v>
      </c>
      <c r="C2052" s="25">
        <v>2.02</v>
      </c>
      <c r="D2052" s="76"/>
      <c r="E2052" s="76"/>
      <c r="F2052" s="76"/>
      <c r="G2052" s="77">
        <v>0.08</v>
      </c>
      <c r="H2052" s="80">
        <v>25</v>
      </c>
      <c r="I2052" s="77" t="s">
        <v>14</v>
      </c>
      <c r="J2052" s="14">
        <v>1.1639999999999799</v>
      </c>
      <c r="K2052" s="76">
        <v>7.5676469210606543</v>
      </c>
    </row>
    <row r="2053" spans="1:11" ht="15.75" customHeight="1">
      <c r="A2053" s="77" t="s">
        <v>33</v>
      </c>
      <c r="B2053" s="76">
        <v>12.243804405459539</v>
      </c>
      <c r="C2053" s="25">
        <v>2.02</v>
      </c>
      <c r="D2053" s="76"/>
      <c r="E2053" s="76"/>
      <c r="F2053" s="76"/>
      <c r="G2053" s="77">
        <v>0.08</v>
      </c>
      <c r="H2053" s="80">
        <v>25</v>
      </c>
      <c r="I2053" s="77" t="s">
        <v>14</v>
      </c>
      <c r="J2053" s="14">
        <v>1.1639999999999799</v>
      </c>
      <c r="K2053" s="76">
        <v>7.6090679548074416</v>
      </c>
    </row>
    <row r="2054" spans="1:11" ht="15.75" customHeight="1">
      <c r="A2054" s="77" t="s">
        <v>33</v>
      </c>
      <c r="B2054" s="76">
        <v>15.939969832003799</v>
      </c>
      <c r="C2054" s="25">
        <v>2.02</v>
      </c>
      <c r="D2054" s="76"/>
      <c r="E2054" s="76"/>
      <c r="F2054" s="76"/>
      <c r="G2054" s="77">
        <v>0.08</v>
      </c>
      <c r="H2054" s="80">
        <v>25</v>
      </c>
      <c r="I2054" s="77" t="s">
        <v>14</v>
      </c>
      <c r="J2054" s="14">
        <v>1.1639999999999799</v>
      </c>
      <c r="K2054" s="76">
        <v>7.7140630723833601</v>
      </c>
    </row>
    <row r="2055" spans="1:11" ht="15.75" customHeight="1">
      <c r="A2055" s="77" t="s">
        <v>33</v>
      </c>
      <c r="B2055" s="76">
        <v>19.803841145255159</v>
      </c>
      <c r="C2055" s="25">
        <v>2.02</v>
      </c>
      <c r="D2055" s="76"/>
      <c r="E2055" s="76"/>
      <c r="F2055" s="76"/>
      <c r="G2055" s="77">
        <v>0.08</v>
      </c>
      <c r="H2055" s="80">
        <v>25</v>
      </c>
      <c r="I2055" s="77" t="s">
        <v>14</v>
      </c>
      <c r="J2055" s="14">
        <v>1.1639999999999799</v>
      </c>
      <c r="K2055" s="76">
        <v>7.8779725432751251</v>
      </c>
    </row>
    <row r="2056" spans="1:11" ht="15.75" customHeight="1">
      <c r="A2056" s="77" t="s">
        <v>33</v>
      </c>
      <c r="B2056" s="76">
        <v>24.005207678019058</v>
      </c>
      <c r="C2056" s="25">
        <v>2.02</v>
      </c>
      <c r="D2056" s="76"/>
      <c r="E2056" s="76"/>
      <c r="F2056" s="76"/>
      <c r="G2056" s="77">
        <v>0.08</v>
      </c>
      <c r="H2056" s="80">
        <v>25</v>
      </c>
      <c r="I2056" s="77" t="s">
        <v>14</v>
      </c>
      <c r="J2056" s="14">
        <v>1.1639999999999799</v>
      </c>
      <c r="K2056" s="76">
        <v>7.991317342740949</v>
      </c>
    </row>
    <row r="2057" spans="1:11" ht="15.75" customHeight="1">
      <c r="A2057" s="77" t="s">
        <v>33</v>
      </c>
      <c r="B2057" s="76">
        <v>29.181348907348859</v>
      </c>
      <c r="C2057" s="25">
        <v>2.02</v>
      </c>
      <c r="D2057" s="76"/>
      <c r="E2057" s="76"/>
      <c r="F2057" s="76"/>
      <c r="G2057" s="77">
        <v>0.08</v>
      </c>
      <c r="H2057" s="80">
        <v>25</v>
      </c>
      <c r="I2057" s="77" t="s">
        <v>14</v>
      </c>
      <c r="J2057" s="14">
        <v>1.1639999999999799</v>
      </c>
      <c r="K2057" s="76">
        <v>7.8892765893363803</v>
      </c>
    </row>
    <row r="2058" spans="1:11" ht="15.75" customHeight="1">
      <c r="A2058" s="77" t="s">
        <v>33</v>
      </c>
      <c r="B2058" s="76">
        <v>37.667484272735102</v>
      </c>
      <c r="C2058" s="25">
        <v>2.02</v>
      </c>
      <c r="D2058" s="76"/>
      <c r="E2058" s="76"/>
      <c r="F2058" s="76"/>
      <c r="G2058" s="77">
        <v>0.08</v>
      </c>
      <c r="H2058" s="80">
        <v>25</v>
      </c>
      <c r="I2058" s="77" t="s">
        <v>14</v>
      </c>
      <c r="J2058" s="14">
        <v>1.1639999999999799</v>
      </c>
      <c r="K2058" s="76">
        <v>8.0813827437794803</v>
      </c>
    </row>
    <row r="2059" spans="1:11" ht="15.75" customHeight="1">
      <c r="A2059" s="77" t="s">
        <v>33</v>
      </c>
      <c r="B2059" s="76">
        <v>44.617637560347838</v>
      </c>
      <c r="C2059" s="25">
        <v>2.02</v>
      </c>
      <c r="D2059" s="76"/>
      <c r="E2059" s="76"/>
      <c r="F2059" s="76"/>
      <c r="G2059" s="77">
        <v>0.08</v>
      </c>
      <c r="H2059" s="80">
        <v>25</v>
      </c>
      <c r="I2059" s="77" t="s">
        <v>14</v>
      </c>
      <c r="J2059" s="14">
        <v>1.1639999999999799</v>
      </c>
      <c r="K2059" s="76">
        <v>8.3060576533862278</v>
      </c>
    </row>
    <row r="2060" spans="1:11" ht="15.75" customHeight="1">
      <c r="A2060" s="77" t="s">
        <v>33</v>
      </c>
      <c r="B2060" s="76">
        <v>53.847672621414418</v>
      </c>
      <c r="C2060" s="25">
        <v>2.02</v>
      </c>
      <c r="D2060" s="76"/>
      <c r="E2060" s="76"/>
      <c r="F2060" s="76"/>
      <c r="G2060" s="77">
        <v>0.08</v>
      </c>
      <c r="H2060" s="80">
        <v>25</v>
      </c>
      <c r="I2060" s="77" t="s">
        <v>14</v>
      </c>
      <c r="J2060" s="14">
        <v>1.1639999999999799</v>
      </c>
      <c r="K2060" s="76">
        <v>8.6899522683550288</v>
      </c>
    </row>
    <row r="2061" spans="1:11" ht="15.75" customHeight="1">
      <c r="A2061" s="77" t="s">
        <v>33</v>
      </c>
      <c r="B2061" s="76">
        <v>66.64404367598101</v>
      </c>
      <c r="C2061" s="25">
        <v>2.02</v>
      </c>
      <c r="D2061" s="76"/>
      <c r="E2061" s="76"/>
      <c r="F2061" s="76"/>
      <c r="G2061" s="77">
        <v>0.08</v>
      </c>
      <c r="H2061" s="80">
        <v>25</v>
      </c>
      <c r="I2061" s="77" t="s">
        <v>14</v>
      </c>
      <c r="J2061" s="14">
        <v>1.1639999999999799</v>
      </c>
      <c r="K2061" s="76">
        <v>9.1249519867384006</v>
      </c>
    </row>
    <row r="2062" spans="1:11" ht="15.75" customHeight="1">
      <c r="A2062" s="77" t="s">
        <v>33</v>
      </c>
      <c r="B2062" s="76">
        <v>79.786445033243396</v>
      </c>
      <c r="C2062" s="25">
        <v>2.02</v>
      </c>
      <c r="D2062" s="76"/>
      <c r="E2062" s="76"/>
      <c r="F2062" s="76"/>
      <c r="G2062" s="77">
        <v>0.08</v>
      </c>
      <c r="H2062" s="80">
        <v>25</v>
      </c>
      <c r="I2062" s="77" t="s">
        <v>14</v>
      </c>
      <c r="J2062" s="14">
        <v>1.1639999999999799</v>
      </c>
      <c r="K2062" s="76">
        <v>9.3236284409820591</v>
      </c>
    </row>
    <row r="2063" spans="1:11" ht="15.75" customHeight="1">
      <c r="A2063" s="77" t="s">
        <v>33</v>
      </c>
      <c r="B2063" s="76">
        <v>98.452180429903208</v>
      </c>
      <c r="C2063" s="25">
        <v>2.02</v>
      </c>
      <c r="D2063" s="76"/>
      <c r="E2063" s="76"/>
      <c r="F2063" s="76"/>
      <c r="G2063" s="77">
        <v>0.08</v>
      </c>
      <c r="H2063" s="80">
        <v>25</v>
      </c>
      <c r="I2063" s="77" t="s">
        <v>14</v>
      </c>
      <c r="J2063" s="14">
        <v>1.1639999999999799</v>
      </c>
      <c r="K2063" s="76">
        <v>9.7430574788605622</v>
      </c>
    </row>
    <row r="2064" spans="1:11" ht="15.75" customHeight="1">
      <c r="A2064" s="77" t="s">
        <v>33</v>
      </c>
      <c r="B2064" s="76">
        <v>116.8880628957954</v>
      </c>
      <c r="C2064" s="25">
        <v>2.02</v>
      </c>
      <c r="D2064" s="76"/>
      <c r="E2064" s="76"/>
      <c r="F2064" s="76"/>
      <c r="G2064" s="77">
        <v>0.08</v>
      </c>
      <c r="H2064" s="80">
        <v>25</v>
      </c>
      <c r="I2064" s="77" t="s">
        <v>14</v>
      </c>
      <c r="J2064" s="14">
        <v>1.1639999999999799</v>
      </c>
      <c r="K2064" s="76">
        <v>9.8277671932607582</v>
      </c>
    </row>
    <row r="2065" spans="1:11" ht="15.75" customHeight="1">
      <c r="A2065" s="77" t="s">
        <v>33</v>
      </c>
      <c r="B2065" s="76">
        <v>136.45953872140078</v>
      </c>
      <c r="C2065" s="25">
        <v>2.02</v>
      </c>
      <c r="D2065" s="76"/>
      <c r="E2065" s="76"/>
      <c r="F2065" s="76"/>
      <c r="G2065" s="77">
        <v>0.08</v>
      </c>
      <c r="H2065" s="80">
        <v>25</v>
      </c>
      <c r="I2065" s="77" t="s">
        <v>14</v>
      </c>
      <c r="J2065" s="14">
        <v>1.1639999999999799</v>
      </c>
      <c r="K2065" s="76">
        <v>9.8406381176297444</v>
      </c>
    </row>
    <row r="2066" spans="1:11" ht="15.75" customHeight="1">
      <c r="A2066" s="77" t="s">
        <v>33</v>
      </c>
      <c r="B2066" s="76">
        <v>166.44484802952962</v>
      </c>
      <c r="C2066" s="25">
        <v>2.02</v>
      </c>
      <c r="D2066" s="76"/>
      <c r="E2066" s="76"/>
      <c r="F2066" s="76"/>
      <c r="G2066" s="77">
        <v>0.08</v>
      </c>
      <c r="H2066" s="80">
        <v>25</v>
      </c>
      <c r="I2066" s="77" t="s">
        <v>14</v>
      </c>
      <c r="J2066" s="14">
        <v>1.1639999999999799</v>
      </c>
      <c r="K2066" s="76">
        <v>9.9662706889313064</v>
      </c>
    </row>
    <row r="2067" spans="1:11" ht="15.75" customHeight="1">
      <c r="A2067" s="77" t="s">
        <v>33</v>
      </c>
      <c r="B2067" s="76">
        <v>193.88431709725438</v>
      </c>
      <c r="C2067" s="25">
        <v>2.02</v>
      </c>
      <c r="D2067" s="76"/>
      <c r="E2067" s="76"/>
      <c r="F2067" s="76"/>
      <c r="G2067" s="77">
        <v>0.08</v>
      </c>
      <c r="H2067" s="80">
        <v>25</v>
      </c>
      <c r="I2067" s="77" t="s">
        <v>14</v>
      </c>
      <c r="J2067" s="14">
        <v>1.1639999999999799</v>
      </c>
      <c r="K2067" s="76">
        <v>10.223738002551105</v>
      </c>
    </row>
    <row r="2068" spans="1:11" ht="15.75" customHeight="1">
      <c r="A2068" s="77" t="s">
        <v>33</v>
      </c>
      <c r="B2068" s="76">
        <v>223.67440558662719</v>
      </c>
      <c r="C2068" s="25">
        <v>2.02</v>
      </c>
      <c r="D2068" s="76"/>
      <c r="E2068" s="76"/>
      <c r="F2068" s="76"/>
      <c r="G2068" s="77">
        <v>0.08</v>
      </c>
      <c r="H2068" s="80">
        <v>25</v>
      </c>
      <c r="I2068" s="77" t="s">
        <v>14</v>
      </c>
      <c r="J2068" s="14">
        <v>1.1639999999999799</v>
      </c>
      <c r="K2068" s="76">
        <v>10.54714564817235</v>
      </c>
    </row>
    <row r="2069" spans="1:11" ht="15.75" customHeight="1">
      <c r="A2069" s="77" t="s">
        <v>33</v>
      </c>
      <c r="B2069" s="76">
        <v>267.11466008854978</v>
      </c>
      <c r="C2069" s="25">
        <v>2.02</v>
      </c>
      <c r="D2069" s="76"/>
      <c r="E2069" s="76"/>
      <c r="F2069" s="76"/>
      <c r="G2069" s="77">
        <v>0.08</v>
      </c>
      <c r="H2069" s="80">
        <v>25</v>
      </c>
      <c r="I2069" s="77" t="s">
        <v>14</v>
      </c>
      <c r="J2069" s="14">
        <v>1.1639999999999799</v>
      </c>
      <c r="K2069" s="76">
        <v>10.768558813181697</v>
      </c>
    </row>
    <row r="2070" spans="1:11" ht="15.75" customHeight="1">
      <c r="A2070" s="77" t="s">
        <v>33</v>
      </c>
      <c r="B2070" s="76">
        <v>313.52525493883797</v>
      </c>
      <c r="C2070" s="25">
        <v>2.02</v>
      </c>
      <c r="D2070" s="76"/>
      <c r="E2070" s="76"/>
      <c r="F2070" s="76"/>
      <c r="G2070" s="77">
        <v>0.08</v>
      </c>
      <c r="H2070" s="80">
        <v>25</v>
      </c>
      <c r="I2070" s="77" t="s">
        <v>14</v>
      </c>
      <c r="J2070" s="14">
        <v>1.1639999999999799</v>
      </c>
      <c r="K2070" s="76">
        <v>10.883651608044843</v>
      </c>
    </row>
    <row r="2071" spans="1:11" ht="15.75" customHeight="1">
      <c r="A2071" s="77" t="s">
        <v>33</v>
      </c>
      <c r="B2071" s="76">
        <v>393.88432019888097</v>
      </c>
      <c r="C2071" s="25">
        <v>2.02</v>
      </c>
      <c r="D2071" s="76"/>
      <c r="E2071" s="76"/>
      <c r="F2071" s="76"/>
      <c r="G2071" s="77">
        <v>0.08</v>
      </c>
      <c r="H2071" s="80">
        <v>25</v>
      </c>
      <c r="I2071" s="77" t="s">
        <v>14</v>
      </c>
      <c r="J2071" s="14">
        <v>1.1639999999999799</v>
      </c>
      <c r="K2071" s="76">
        <v>11.406736668152455</v>
      </c>
    </row>
    <row r="2072" spans="1:11" ht="15.75" customHeight="1">
      <c r="A2072" s="77" t="s">
        <v>33</v>
      </c>
      <c r="B2072" s="76">
        <v>472.24410579931384</v>
      </c>
      <c r="C2072" s="25">
        <v>2.02</v>
      </c>
      <c r="D2072" s="76"/>
      <c r="E2072" s="76"/>
      <c r="F2072" s="76"/>
      <c r="G2072" s="77">
        <v>0.08</v>
      </c>
      <c r="H2072" s="80">
        <v>25</v>
      </c>
      <c r="I2072" s="77" t="s">
        <v>14</v>
      </c>
      <c r="J2072" s="14">
        <v>1.1639999999999799</v>
      </c>
      <c r="K2072" s="76">
        <v>10.865678609338417</v>
      </c>
    </row>
    <row r="2073" spans="1:11" ht="15.75" customHeight="1">
      <c r="A2073" s="77" t="s">
        <v>33</v>
      </c>
      <c r="B2073" s="76">
        <v>557.9610259036092</v>
      </c>
      <c r="C2073" s="25">
        <v>2.02</v>
      </c>
      <c r="D2073" s="76"/>
      <c r="E2073" s="76"/>
      <c r="F2073" s="76"/>
      <c r="G2073" s="77">
        <v>0.08</v>
      </c>
      <c r="H2073" s="80">
        <v>25</v>
      </c>
      <c r="I2073" s="77" t="s">
        <v>14</v>
      </c>
      <c r="J2073" s="14">
        <v>1.1639999999999799</v>
      </c>
      <c r="K2073" s="76">
        <v>11.334106982616023</v>
      </c>
    </row>
    <row r="2074" spans="1:11" ht="15.75" customHeight="1">
      <c r="A2074" s="77" t="s">
        <v>33</v>
      </c>
      <c r="B2074" s="76">
        <v>8.0161531755854405</v>
      </c>
      <c r="C2074" s="25">
        <v>2.02</v>
      </c>
      <c r="D2074" s="76"/>
      <c r="E2074" s="76"/>
      <c r="F2074" s="76"/>
      <c r="G2074" s="77">
        <v>0.128</v>
      </c>
      <c r="H2074" s="80">
        <v>25</v>
      </c>
      <c r="I2074" s="77" t="s">
        <v>14</v>
      </c>
      <c r="J2074" s="14">
        <v>1.1639999999999799</v>
      </c>
      <c r="K2074" s="76">
        <v>6.4349197459354963</v>
      </c>
    </row>
    <row r="2075" spans="1:11" ht="15.75" customHeight="1">
      <c r="A2075" s="77" t="s">
        <v>33</v>
      </c>
      <c r="B2075" s="76">
        <v>10.185649641290579</v>
      </c>
      <c r="C2075" s="25">
        <v>2.02</v>
      </c>
      <c r="D2075" s="76"/>
      <c r="E2075" s="76"/>
      <c r="F2075" s="76"/>
      <c r="G2075" s="77">
        <v>0.128</v>
      </c>
      <c r="H2075" s="80">
        <v>25</v>
      </c>
      <c r="I2075" s="77" t="s">
        <v>14</v>
      </c>
      <c r="J2075" s="14">
        <v>1.1639999999999799</v>
      </c>
      <c r="K2075" s="76">
        <v>6.7052322115324259</v>
      </c>
    </row>
    <row r="2076" spans="1:11" ht="15.75" customHeight="1">
      <c r="A2076" s="77" t="s">
        <v>33</v>
      </c>
      <c r="B2076" s="76">
        <v>12.28414469972196</v>
      </c>
      <c r="C2076" s="25">
        <v>2.02</v>
      </c>
      <c r="D2076" s="76"/>
      <c r="E2076" s="76"/>
      <c r="F2076" s="76"/>
      <c r="G2076" s="77">
        <v>0.128</v>
      </c>
      <c r="H2076" s="80">
        <v>25</v>
      </c>
      <c r="I2076" s="77" t="s">
        <v>14</v>
      </c>
      <c r="J2076" s="14">
        <v>1.1639999999999799</v>
      </c>
      <c r="K2076" s="76">
        <v>6.7420834515292229</v>
      </c>
    </row>
    <row r="2077" spans="1:11" ht="15.75" customHeight="1">
      <c r="A2077" s="77" t="s">
        <v>33</v>
      </c>
      <c r="B2077" s="76">
        <v>15.935783803103702</v>
      </c>
      <c r="C2077" s="25">
        <v>2.02</v>
      </c>
      <c r="D2077" s="76"/>
      <c r="E2077" s="76"/>
      <c r="F2077" s="76"/>
      <c r="G2077" s="77">
        <v>0.128</v>
      </c>
      <c r="H2077" s="80">
        <v>25</v>
      </c>
      <c r="I2077" s="77" t="s">
        <v>14</v>
      </c>
      <c r="J2077" s="14">
        <v>1.1639999999999799</v>
      </c>
      <c r="K2077" s="76">
        <v>7.00430509037127</v>
      </c>
    </row>
    <row r="2078" spans="1:11" ht="15.75" customHeight="1">
      <c r="A2078" s="77" t="s">
        <v>33</v>
      </c>
      <c r="B2078" s="76">
        <v>19.799630926603321</v>
      </c>
      <c r="C2078" s="25">
        <v>2.02</v>
      </c>
      <c r="D2078" s="76"/>
      <c r="E2078" s="76"/>
      <c r="F2078" s="76"/>
      <c r="G2078" s="77">
        <v>0.128</v>
      </c>
      <c r="H2078" s="80">
        <v>25</v>
      </c>
      <c r="I2078" s="77" t="s">
        <v>14</v>
      </c>
      <c r="J2078" s="14">
        <v>1.1639999999999799</v>
      </c>
      <c r="K2078" s="76">
        <v>7.0252048381053225</v>
      </c>
    </row>
    <row r="2079" spans="1:11" ht="15.75" customHeight="1">
      <c r="A2079" s="77" t="s">
        <v>33</v>
      </c>
      <c r="B2079" s="76">
        <v>24.11655118860438</v>
      </c>
      <c r="C2079" s="25">
        <v>2.02</v>
      </c>
      <c r="D2079" s="76"/>
      <c r="E2079" s="76"/>
      <c r="F2079" s="76"/>
      <c r="G2079" s="77">
        <v>0.128</v>
      </c>
      <c r="H2079" s="80">
        <v>25</v>
      </c>
      <c r="I2079" s="77" t="s">
        <v>14</v>
      </c>
      <c r="J2079" s="14">
        <v>1.1639999999999799</v>
      </c>
      <c r="K2079" s="76">
        <v>7.4907983846650383</v>
      </c>
    </row>
    <row r="2080" spans="1:11" ht="15.75" customHeight="1">
      <c r="A2080" s="77" t="s">
        <v>33</v>
      </c>
      <c r="B2080" s="76">
        <v>29.334672960431043</v>
      </c>
      <c r="C2080" s="25">
        <v>2.02</v>
      </c>
      <c r="D2080" s="76"/>
      <c r="E2080" s="76"/>
      <c r="F2080" s="76"/>
      <c r="G2080" s="77">
        <v>0.128</v>
      </c>
      <c r="H2080" s="80">
        <v>25</v>
      </c>
      <c r="I2080" s="77" t="s">
        <v>14</v>
      </c>
      <c r="J2080" s="14">
        <v>1.1639999999999799</v>
      </c>
      <c r="K2080" s="76">
        <v>7.4112202817580872</v>
      </c>
    </row>
    <row r="2081" spans="1:11" ht="15.75" customHeight="1">
      <c r="A2081" s="77" t="s">
        <v>33</v>
      </c>
      <c r="B2081" s="76">
        <v>37.447182085697698</v>
      </c>
      <c r="C2081" s="25">
        <v>2.02</v>
      </c>
      <c r="D2081" s="76"/>
      <c r="E2081" s="76"/>
      <c r="F2081" s="76"/>
      <c r="G2081" s="77">
        <v>0.128</v>
      </c>
      <c r="H2081" s="80">
        <v>25</v>
      </c>
      <c r="I2081" s="77" t="s">
        <v>14</v>
      </c>
      <c r="J2081" s="14">
        <v>1.1639999999999799</v>
      </c>
      <c r="K2081" s="76">
        <v>7.4167508685747849</v>
      </c>
    </row>
    <row r="2082" spans="1:11" ht="15.75" customHeight="1">
      <c r="A2082" s="77" t="s">
        <v>33</v>
      </c>
      <c r="B2082" s="76">
        <v>44.893597194117241</v>
      </c>
      <c r="C2082" s="25">
        <v>2.02</v>
      </c>
      <c r="D2082" s="76"/>
      <c r="E2082" s="76"/>
      <c r="F2082" s="76"/>
      <c r="G2082" s="77">
        <v>0.128</v>
      </c>
      <c r="H2082" s="80">
        <v>25</v>
      </c>
      <c r="I2082" s="77" t="s">
        <v>14</v>
      </c>
      <c r="J2082" s="14">
        <v>1.1639999999999799</v>
      </c>
      <c r="K2082" s="76">
        <v>7.4922038533195625</v>
      </c>
    </row>
    <row r="2083" spans="1:11" ht="15.75" customHeight="1">
      <c r="A2083" s="77" t="s">
        <v>33</v>
      </c>
      <c r="B2083" s="76">
        <v>53.577616430510275</v>
      </c>
      <c r="C2083" s="25">
        <v>2.02</v>
      </c>
      <c r="D2083" s="76"/>
      <c r="E2083" s="76"/>
      <c r="F2083" s="76"/>
      <c r="G2083" s="77">
        <v>0.128</v>
      </c>
      <c r="H2083" s="80">
        <v>25</v>
      </c>
      <c r="I2083" s="77" t="s">
        <v>14</v>
      </c>
      <c r="J2083" s="14">
        <v>1.1639999999999799</v>
      </c>
      <c r="K2083" s="76">
        <v>8.1402925190360733</v>
      </c>
    </row>
    <row r="2084" spans="1:11" ht="15.75" customHeight="1">
      <c r="A2084" s="77" t="s">
        <v>33</v>
      </c>
      <c r="B2084" s="76">
        <v>66.407745118868405</v>
      </c>
      <c r="C2084" s="25">
        <v>2.02</v>
      </c>
      <c r="D2084" s="76"/>
      <c r="E2084" s="76"/>
      <c r="F2084" s="76"/>
      <c r="G2084" s="77">
        <v>0.128</v>
      </c>
      <c r="H2084" s="80">
        <v>25</v>
      </c>
      <c r="I2084" s="77" t="s">
        <v>14</v>
      </c>
      <c r="J2084" s="14">
        <v>1.1639999999999799</v>
      </c>
      <c r="K2084" s="76">
        <v>8.4395737326377969</v>
      </c>
    </row>
    <row r="2085" spans="1:11" ht="15.75" customHeight="1">
      <c r="A2085" s="77" t="s">
        <v>33</v>
      </c>
      <c r="B2085" s="76">
        <v>80.0663433407166</v>
      </c>
      <c r="C2085" s="25">
        <v>2.02</v>
      </c>
      <c r="D2085" s="76"/>
      <c r="E2085" s="76"/>
      <c r="F2085" s="76"/>
      <c r="G2085" s="77">
        <v>0.128</v>
      </c>
      <c r="H2085" s="80">
        <v>25</v>
      </c>
      <c r="I2085" s="77" t="s">
        <v>14</v>
      </c>
      <c r="J2085" s="14">
        <v>1.1639999999999799</v>
      </c>
      <c r="K2085" s="76">
        <v>8.5690712241265725</v>
      </c>
    </row>
    <row r="2086" spans="1:11" ht="15.75" customHeight="1">
      <c r="A2086" s="77" t="s">
        <v>33</v>
      </c>
      <c r="B2086" s="76">
        <v>98.691350326496988</v>
      </c>
      <c r="C2086" s="25">
        <v>2.02</v>
      </c>
      <c r="D2086" s="76"/>
      <c r="E2086" s="76"/>
      <c r="F2086" s="76"/>
      <c r="G2086" s="77">
        <v>0.128</v>
      </c>
      <c r="H2086" s="80">
        <v>25</v>
      </c>
      <c r="I2086" s="77" t="s">
        <v>14</v>
      </c>
      <c r="J2086" s="14">
        <v>1.1639999999999799</v>
      </c>
      <c r="K2086" s="76">
        <v>8.8756679558473053</v>
      </c>
    </row>
    <row r="2087" spans="1:11" ht="15.75" customHeight="1">
      <c r="A2087" s="77" t="s">
        <v>33</v>
      </c>
      <c r="B2087" s="76">
        <v>117.4801718908128</v>
      </c>
      <c r="C2087" s="25">
        <v>2.02</v>
      </c>
      <c r="D2087" s="76"/>
      <c r="E2087" s="76"/>
      <c r="F2087" s="76"/>
      <c r="G2087" s="77">
        <v>0.128</v>
      </c>
      <c r="H2087" s="80">
        <v>25</v>
      </c>
      <c r="I2087" s="77" t="s">
        <v>14</v>
      </c>
      <c r="J2087" s="14">
        <v>1.1639999999999799</v>
      </c>
      <c r="K2087" s="76">
        <v>8.9513967027656083</v>
      </c>
    </row>
    <row r="2088" spans="1:11" ht="15.75" customHeight="1">
      <c r="A2088" s="77" t="s">
        <v>33</v>
      </c>
      <c r="B2088" s="76">
        <v>141.31234510135079</v>
      </c>
      <c r="C2088" s="25">
        <v>2.02</v>
      </c>
      <c r="D2088" s="76"/>
      <c r="E2088" s="76"/>
      <c r="F2088" s="76"/>
      <c r="G2088" s="77">
        <v>0.128</v>
      </c>
      <c r="H2088" s="80">
        <v>25</v>
      </c>
      <c r="I2088" s="77" t="s">
        <v>14</v>
      </c>
      <c r="J2088" s="14">
        <v>1.1639999999999799</v>
      </c>
      <c r="K2088" s="76">
        <v>9.52807760558224</v>
      </c>
    </row>
    <row r="2089" spans="1:11" ht="15.75" customHeight="1">
      <c r="A2089" s="77" t="s">
        <v>33</v>
      </c>
      <c r="B2089" s="76">
        <v>162.12000263982722</v>
      </c>
      <c r="C2089" s="25">
        <v>2.02</v>
      </c>
      <c r="D2089" s="76"/>
      <c r="E2089" s="76"/>
      <c r="F2089" s="76"/>
      <c r="G2089" s="77">
        <v>0.128</v>
      </c>
      <c r="H2089" s="80">
        <v>25</v>
      </c>
      <c r="I2089" s="77" t="s">
        <v>14</v>
      </c>
      <c r="J2089" s="14">
        <v>1.1639999999999799</v>
      </c>
      <c r="K2089" s="76">
        <v>9.5425592226696203</v>
      </c>
    </row>
    <row r="2090" spans="1:11" ht="15.75" customHeight="1">
      <c r="A2090" s="77" t="s">
        <v>33</v>
      </c>
      <c r="B2090" s="76">
        <v>195.78989816416259</v>
      </c>
      <c r="C2090" s="25">
        <v>2.02</v>
      </c>
      <c r="D2090" s="76"/>
      <c r="E2090" s="76"/>
      <c r="F2090" s="76"/>
      <c r="G2090" s="77">
        <v>0.128</v>
      </c>
      <c r="H2090" s="80">
        <v>25</v>
      </c>
      <c r="I2090" s="77" t="s">
        <v>14</v>
      </c>
      <c r="J2090" s="14">
        <v>1.1639999999999799</v>
      </c>
      <c r="K2090" s="76">
        <v>9.8382647354882522</v>
      </c>
    </row>
    <row r="2091" spans="1:11" ht="15.75" customHeight="1">
      <c r="A2091" s="77" t="s">
        <v>33</v>
      </c>
      <c r="B2091" s="76">
        <v>223.97954008813622</v>
      </c>
      <c r="C2091" s="25">
        <v>2.02</v>
      </c>
      <c r="D2091" s="76"/>
      <c r="E2091" s="76"/>
      <c r="F2091" s="76"/>
      <c r="G2091" s="77">
        <v>0.128</v>
      </c>
      <c r="H2091" s="80">
        <v>25</v>
      </c>
      <c r="I2091" s="77" t="s">
        <v>14</v>
      </c>
      <c r="J2091" s="14">
        <v>1.1639999999999799</v>
      </c>
      <c r="K2091" s="76">
        <v>10.338317154961951</v>
      </c>
    </row>
    <row r="2092" spans="1:11" ht="15.75" customHeight="1">
      <c r="A2092" s="77" t="s">
        <v>33</v>
      </c>
      <c r="B2092" s="76">
        <v>311.1735243637296</v>
      </c>
      <c r="C2092" s="25">
        <v>2.02</v>
      </c>
      <c r="D2092" s="76"/>
      <c r="E2092" s="76"/>
      <c r="F2092" s="76"/>
      <c r="G2092" s="77">
        <v>0.128</v>
      </c>
      <c r="H2092" s="80">
        <v>25</v>
      </c>
      <c r="I2092" s="77" t="s">
        <v>14</v>
      </c>
      <c r="J2092" s="14">
        <v>1.1639999999999799</v>
      </c>
      <c r="K2092" s="76">
        <v>11.030135787504364</v>
      </c>
    </row>
    <row r="2093" spans="1:11" ht="15.75" customHeight="1">
      <c r="A2093" s="77" t="s">
        <v>33</v>
      </c>
      <c r="B2093" s="76">
        <v>397.24849195799402</v>
      </c>
      <c r="C2093" s="25">
        <v>2.02</v>
      </c>
      <c r="D2093" s="76"/>
      <c r="E2093" s="76"/>
      <c r="F2093" s="76"/>
      <c r="G2093" s="77">
        <v>0.128</v>
      </c>
      <c r="H2093" s="80">
        <v>25</v>
      </c>
      <c r="I2093" s="77" t="s">
        <v>14</v>
      </c>
      <c r="J2093" s="14">
        <v>1.1639999999999799</v>
      </c>
      <c r="K2093" s="76">
        <v>11.178691379518277</v>
      </c>
    </row>
    <row r="2094" spans="1:11" ht="15.75" customHeight="1">
      <c r="A2094" s="77" t="s">
        <v>33</v>
      </c>
      <c r="B2094" s="76">
        <v>472.29726592054863</v>
      </c>
      <c r="C2094" s="25">
        <v>2.02</v>
      </c>
      <c r="D2094" s="76"/>
      <c r="E2094" s="76"/>
      <c r="F2094" s="76"/>
      <c r="G2094" s="77">
        <v>0.128</v>
      </c>
      <c r="H2094" s="80">
        <v>25</v>
      </c>
      <c r="I2094" s="77" t="s">
        <v>14</v>
      </c>
      <c r="J2094" s="14">
        <v>1.1639999999999799</v>
      </c>
      <c r="K2094" s="76">
        <v>11.496150040947601</v>
      </c>
    </row>
    <row r="2095" spans="1:11" ht="15.75" customHeight="1">
      <c r="A2095" s="77" t="s">
        <v>33</v>
      </c>
      <c r="B2095" s="76">
        <v>560.09350492386295</v>
      </c>
      <c r="C2095" s="25">
        <v>2.02</v>
      </c>
      <c r="D2095" s="76"/>
      <c r="E2095" s="76"/>
      <c r="F2095" s="76"/>
      <c r="G2095" s="77">
        <v>0.128</v>
      </c>
      <c r="H2095" s="80">
        <v>25</v>
      </c>
      <c r="I2095" s="77" t="s">
        <v>14</v>
      </c>
      <c r="J2095" s="14">
        <v>1.1639999999999799</v>
      </c>
      <c r="K2095" s="76">
        <v>11.901520378217331</v>
      </c>
    </row>
    <row r="2096" spans="1:11" ht="15.75" customHeight="1">
      <c r="A2096" s="77" t="s">
        <v>36</v>
      </c>
      <c r="B2096" s="77">
        <v>500</v>
      </c>
      <c r="C2096" s="77">
        <v>2</v>
      </c>
      <c r="D2096" s="77">
        <v>7.2800000000000004E-2</v>
      </c>
      <c r="E2096" s="76">
        <f>6.5/1000</f>
        <v>6.4999999999999997E-3</v>
      </c>
      <c r="F2096" s="77">
        <v>1005</v>
      </c>
      <c r="G2096" s="76"/>
      <c r="H2096" s="80">
        <v>25</v>
      </c>
      <c r="I2096" s="77" t="s">
        <v>12</v>
      </c>
      <c r="J2096" s="14"/>
      <c r="K2096" s="14">
        <v>6.7403435294687197</v>
      </c>
    </row>
    <row r="2097" spans="1:11" ht="15.75" customHeight="1">
      <c r="A2097" s="77" t="s">
        <v>36</v>
      </c>
      <c r="B2097" s="77">
        <v>500</v>
      </c>
      <c r="C2097" s="77">
        <v>2</v>
      </c>
      <c r="D2097" s="77">
        <v>6.7599999999999993E-2</v>
      </c>
      <c r="E2097" s="76">
        <f>12/1000</f>
        <v>1.2E-2</v>
      </c>
      <c r="F2097" s="77">
        <v>1127</v>
      </c>
      <c r="G2097" s="76"/>
      <c r="H2097" s="80">
        <v>25</v>
      </c>
      <c r="I2097" s="77" t="s">
        <v>12</v>
      </c>
      <c r="J2097" s="14"/>
      <c r="K2097" s="14">
        <v>6.3596588255536703</v>
      </c>
    </row>
    <row r="2098" spans="1:11" ht="15.75" customHeight="1">
      <c r="A2098" s="77" t="s">
        <v>36</v>
      </c>
      <c r="B2098" s="77">
        <v>500</v>
      </c>
      <c r="C2098" s="77">
        <v>2</v>
      </c>
      <c r="D2098" s="77">
        <v>6.6299999999999998E-2</v>
      </c>
      <c r="E2098" s="77">
        <v>3.15E-2</v>
      </c>
      <c r="F2098" s="77">
        <v>1160</v>
      </c>
      <c r="G2098" s="76"/>
      <c r="H2098" s="80">
        <v>25</v>
      </c>
      <c r="I2098" s="77" t="s">
        <v>12</v>
      </c>
      <c r="J2098" s="14"/>
      <c r="K2098" s="14">
        <v>7.3337595121891201</v>
      </c>
    </row>
    <row r="2099" spans="1:11" ht="15.75" customHeight="1">
      <c r="A2099" s="77" t="s">
        <v>36</v>
      </c>
      <c r="B2099" s="77">
        <v>500</v>
      </c>
      <c r="C2099" s="77">
        <v>2</v>
      </c>
      <c r="D2099" s="77">
        <v>6.4799999999999996E-2</v>
      </c>
      <c r="E2099" s="77">
        <v>0.108</v>
      </c>
      <c r="F2099" s="77">
        <v>1210</v>
      </c>
      <c r="G2099" s="76"/>
      <c r="H2099" s="80">
        <v>25</v>
      </c>
      <c r="I2099" s="77" t="s">
        <v>12</v>
      </c>
      <c r="J2099" s="14"/>
      <c r="K2099" s="14">
        <v>6.6872955356044699</v>
      </c>
    </row>
    <row r="2100" spans="1:11" ht="15.75" customHeight="1">
      <c r="A2100" s="77" t="s">
        <v>36</v>
      </c>
      <c r="B2100" s="77">
        <v>500</v>
      </c>
      <c r="C2100" s="77">
        <v>2</v>
      </c>
      <c r="D2100" s="77">
        <v>6.3399999999999998E-2</v>
      </c>
      <c r="E2100" s="77">
        <v>0.378</v>
      </c>
      <c r="F2100" s="77">
        <v>1235</v>
      </c>
      <c r="G2100" s="76"/>
      <c r="H2100" s="80">
        <v>25</v>
      </c>
      <c r="I2100" s="77" t="s">
        <v>12</v>
      </c>
      <c r="J2100" s="14"/>
      <c r="K2100" s="14">
        <v>7.6478357107722497</v>
      </c>
    </row>
    <row r="2101" spans="1:11" ht="15.75" customHeight="1">
      <c r="A2101" s="77" t="s">
        <v>36</v>
      </c>
      <c r="B2101" s="77">
        <v>500</v>
      </c>
      <c r="C2101" s="77">
        <v>2</v>
      </c>
      <c r="D2101" s="77">
        <v>6.2399999999999997E-2</v>
      </c>
      <c r="E2101" s="77">
        <v>0.84899999999999998</v>
      </c>
      <c r="F2101" s="77">
        <v>1254</v>
      </c>
      <c r="G2101" s="76"/>
      <c r="H2101" s="80">
        <v>25</v>
      </c>
      <c r="I2101" s="77" t="s">
        <v>12</v>
      </c>
      <c r="J2101" s="14"/>
      <c r="K2101" s="14">
        <v>8.8695055618170198</v>
      </c>
    </row>
    <row r="2102" spans="1:11" ht="15.75" customHeight="1">
      <c r="A2102" s="7" t="s">
        <v>36</v>
      </c>
      <c r="B2102" s="8">
        <v>500</v>
      </c>
      <c r="C2102" s="17">
        <v>2</v>
      </c>
      <c r="D2102" s="8">
        <v>7.2800000000000004E-2</v>
      </c>
      <c r="E2102" s="7">
        <v>6.4999999999999997E-3</v>
      </c>
      <c r="F2102" s="8">
        <v>1005</v>
      </c>
      <c r="G2102" s="7"/>
      <c r="H2102" s="7">
        <v>25.5</v>
      </c>
      <c r="I2102" s="7" t="s">
        <v>12</v>
      </c>
      <c r="J2102" s="7"/>
      <c r="K2102" s="83">
        <v>6.4211823618696702</v>
      </c>
    </row>
    <row r="2103" spans="1:11" ht="15.75" customHeight="1">
      <c r="A2103" s="7" t="s">
        <v>36</v>
      </c>
      <c r="B2103" s="8">
        <v>1000</v>
      </c>
      <c r="C2103" s="17">
        <v>2</v>
      </c>
      <c r="D2103" s="8">
        <v>7.2800000000000004E-2</v>
      </c>
      <c r="E2103" s="7">
        <v>6.4999999999999997E-3</v>
      </c>
      <c r="F2103" s="8">
        <v>1005</v>
      </c>
      <c r="G2103" s="7"/>
      <c r="H2103" s="7">
        <v>25.5</v>
      </c>
      <c r="I2103" s="7" t="s">
        <v>12</v>
      </c>
      <c r="J2103" s="7"/>
      <c r="K2103" s="83">
        <v>9.7893698999779399</v>
      </c>
    </row>
    <row r="2104" spans="1:11" ht="15.75" customHeight="1">
      <c r="A2104" s="7" t="s">
        <v>36</v>
      </c>
      <c r="B2104" s="8">
        <v>1500</v>
      </c>
      <c r="C2104" s="17">
        <v>2</v>
      </c>
      <c r="D2104" s="8">
        <v>7.2800000000000004E-2</v>
      </c>
      <c r="E2104" s="7">
        <v>6.4999999999999997E-3</v>
      </c>
      <c r="F2104" s="8">
        <v>1005</v>
      </c>
      <c r="G2104" s="7"/>
      <c r="H2104" s="7">
        <v>25.5</v>
      </c>
      <c r="I2104" s="7" t="s">
        <v>12</v>
      </c>
      <c r="J2104" s="7"/>
      <c r="K2104" s="83">
        <v>10.4395781170945</v>
      </c>
    </row>
    <row r="2105" spans="1:11" ht="15.75" customHeight="1">
      <c r="A2105" s="7" t="s">
        <v>36</v>
      </c>
      <c r="B2105" s="8">
        <v>500</v>
      </c>
      <c r="C2105" s="17">
        <v>2</v>
      </c>
      <c r="D2105" s="8">
        <v>6.7599999999999993E-2</v>
      </c>
      <c r="E2105" s="7">
        <v>1.2E-2</v>
      </c>
      <c r="F2105" s="8">
        <v>1127</v>
      </c>
      <c r="G2105" s="7"/>
      <c r="H2105" s="7">
        <v>25.5</v>
      </c>
      <c r="I2105" s="7" t="s">
        <v>12</v>
      </c>
      <c r="J2105" s="7"/>
      <c r="K2105" s="83">
        <v>6.9820323547344998</v>
      </c>
    </row>
    <row r="2106" spans="1:11" ht="15.75" customHeight="1">
      <c r="A2106" s="7" t="s">
        <v>36</v>
      </c>
      <c r="B2106" s="8">
        <v>1000</v>
      </c>
      <c r="C2106" s="17">
        <v>2</v>
      </c>
      <c r="D2106" s="8">
        <v>6.7599999999999993E-2</v>
      </c>
      <c r="E2106" s="7">
        <v>1.2E-2</v>
      </c>
      <c r="F2106" s="8">
        <v>1127</v>
      </c>
      <c r="G2106" s="7"/>
      <c r="H2106" s="7">
        <v>25.5</v>
      </c>
      <c r="I2106" s="7" t="s">
        <v>12</v>
      </c>
      <c r="J2106" s="7"/>
      <c r="K2106" s="83">
        <v>10.2743017267101</v>
      </c>
    </row>
    <row r="2107" spans="1:11" ht="15.75" customHeight="1">
      <c r="A2107" s="7" t="s">
        <v>36</v>
      </c>
      <c r="B2107" s="8">
        <v>1500</v>
      </c>
      <c r="C2107" s="17">
        <v>2</v>
      </c>
      <c r="D2107" s="8">
        <v>6.7599999999999993E-2</v>
      </c>
      <c r="E2107" s="7">
        <v>1.2E-2</v>
      </c>
      <c r="F2107" s="8">
        <v>1127</v>
      </c>
      <c r="G2107" s="7"/>
      <c r="H2107" s="7">
        <v>25.5</v>
      </c>
      <c r="I2107" s="7" t="s">
        <v>12</v>
      </c>
      <c r="J2107" s="7"/>
      <c r="K2107" s="83">
        <v>11.434687285134199</v>
      </c>
    </row>
    <row r="2108" spans="1:11" ht="15.75" customHeight="1">
      <c r="A2108" s="7" t="s">
        <v>36</v>
      </c>
      <c r="B2108" s="8">
        <v>500</v>
      </c>
      <c r="C2108" s="17">
        <v>2</v>
      </c>
      <c r="D2108" s="8">
        <v>6.6299999999999998E-2</v>
      </c>
      <c r="E2108" s="8">
        <v>3.15E-2</v>
      </c>
      <c r="F2108" s="8">
        <v>1160</v>
      </c>
      <c r="G2108" s="7"/>
      <c r="H2108" s="7">
        <v>25.5</v>
      </c>
      <c r="I2108" s="7" t="s">
        <v>12</v>
      </c>
      <c r="J2108" s="7"/>
      <c r="K2108" s="83">
        <v>6.9820323547344998</v>
      </c>
    </row>
    <row r="2109" spans="1:11" ht="15.75" customHeight="1">
      <c r="A2109" s="7" t="s">
        <v>36</v>
      </c>
      <c r="B2109" s="8">
        <v>1000</v>
      </c>
      <c r="C2109" s="17">
        <v>2</v>
      </c>
      <c r="D2109" s="8">
        <v>6.6299999999999998E-2</v>
      </c>
      <c r="E2109" s="8">
        <v>3.15E-2</v>
      </c>
      <c r="F2109" s="8">
        <v>1160</v>
      </c>
      <c r="G2109" s="7"/>
      <c r="H2109" s="7">
        <v>25.5</v>
      </c>
      <c r="I2109" s="7" t="s">
        <v>12</v>
      </c>
      <c r="J2109" s="7"/>
      <c r="K2109" s="83">
        <v>9.3832621978905806</v>
      </c>
    </row>
    <row r="2110" spans="1:11" ht="15.75" customHeight="1">
      <c r="A2110" s="7" t="s">
        <v>36</v>
      </c>
      <c r="B2110" s="8">
        <v>1500</v>
      </c>
      <c r="C2110" s="17">
        <v>2</v>
      </c>
      <c r="D2110" s="8">
        <v>6.6299999999999998E-2</v>
      </c>
      <c r="E2110" s="8">
        <v>3.15E-2</v>
      </c>
      <c r="F2110" s="8">
        <v>1160</v>
      </c>
      <c r="G2110" s="7"/>
      <c r="H2110" s="7">
        <v>25.5</v>
      </c>
      <c r="I2110" s="7" t="s">
        <v>12</v>
      </c>
      <c r="J2110" s="7"/>
      <c r="K2110" s="83">
        <v>11.7855817754887</v>
      </c>
    </row>
    <row r="2111" spans="1:11" ht="15.75" customHeight="1">
      <c r="A2111" s="7" t="s">
        <v>36</v>
      </c>
      <c r="B2111" s="8">
        <v>500</v>
      </c>
      <c r="C2111" s="17">
        <v>2</v>
      </c>
      <c r="D2111" s="8">
        <v>6.4799999999999996E-2</v>
      </c>
      <c r="E2111" s="8">
        <v>0.108</v>
      </c>
      <c r="F2111" s="8">
        <v>1210</v>
      </c>
      <c r="G2111" s="7"/>
      <c r="H2111" s="7">
        <v>25.5</v>
      </c>
      <c r="I2111" s="7" t="s">
        <v>12</v>
      </c>
      <c r="J2111" s="7"/>
      <c r="K2111" s="83">
        <v>7.3768794675868801</v>
      </c>
    </row>
    <row r="2112" spans="1:11" ht="15.75" customHeight="1">
      <c r="A2112" s="7" t="s">
        <v>36</v>
      </c>
      <c r="B2112" s="8">
        <v>1000</v>
      </c>
      <c r="C2112" s="17">
        <v>2</v>
      </c>
      <c r="D2112" s="8">
        <v>6.4799999999999996E-2</v>
      </c>
      <c r="E2112" s="8">
        <v>0.108</v>
      </c>
      <c r="F2112" s="8">
        <v>1210</v>
      </c>
      <c r="G2112" s="7"/>
      <c r="H2112" s="7">
        <v>25.5</v>
      </c>
      <c r="I2112" s="7" t="s">
        <v>12</v>
      </c>
      <c r="J2112" s="7"/>
      <c r="K2112" s="83">
        <v>10.2743017267101</v>
      </c>
    </row>
    <row r="2113" spans="1:11" ht="15.75" customHeight="1">
      <c r="A2113" s="7" t="s">
        <v>36</v>
      </c>
      <c r="B2113" s="8">
        <v>1500</v>
      </c>
      <c r="C2113" s="17">
        <v>2</v>
      </c>
      <c r="D2113" s="8">
        <v>6.4799999999999996E-2</v>
      </c>
      <c r="E2113" s="8">
        <v>0.108</v>
      </c>
      <c r="F2113" s="8">
        <v>1210</v>
      </c>
      <c r="G2113" s="7"/>
      <c r="H2113" s="7">
        <v>25.5</v>
      </c>
      <c r="I2113" s="7" t="s">
        <v>12</v>
      </c>
      <c r="J2113" s="7"/>
      <c r="K2113" s="83">
        <v>12.120856738839899</v>
      </c>
    </row>
    <row r="2114" spans="1:11" ht="15.75" customHeight="1">
      <c r="A2114" s="7" t="s">
        <v>36</v>
      </c>
      <c r="B2114" s="8">
        <v>500</v>
      </c>
      <c r="C2114" s="17">
        <v>2</v>
      </c>
      <c r="D2114" s="8">
        <v>6.3399999999999998E-2</v>
      </c>
      <c r="E2114" s="8">
        <v>0.378</v>
      </c>
      <c r="F2114" s="8">
        <v>1235</v>
      </c>
      <c r="G2114" s="7"/>
      <c r="H2114" s="7">
        <v>25.5</v>
      </c>
      <c r="I2114" s="7" t="s">
        <v>12</v>
      </c>
      <c r="J2114" s="7"/>
      <c r="K2114" s="83">
        <v>10.727994499435599</v>
      </c>
    </row>
    <row r="2115" spans="1:11" ht="15.75" customHeight="1">
      <c r="A2115" s="7" t="s">
        <v>36</v>
      </c>
      <c r="B2115" s="8">
        <v>1000</v>
      </c>
      <c r="C2115" s="17">
        <v>2</v>
      </c>
      <c r="D2115" s="8">
        <v>6.3399999999999998E-2</v>
      </c>
      <c r="E2115" s="8">
        <v>0.378</v>
      </c>
      <c r="F2115" s="8">
        <v>1235</v>
      </c>
      <c r="G2115" s="7"/>
      <c r="H2115" s="7">
        <v>25.5</v>
      </c>
      <c r="I2115" s="7" t="s">
        <v>12</v>
      </c>
      <c r="J2115" s="7"/>
      <c r="K2115" s="83">
        <v>12.406548785075801</v>
      </c>
    </row>
    <row r="2116" spans="1:11" ht="15.75" customHeight="1">
      <c r="A2116" s="7" t="s">
        <v>36</v>
      </c>
      <c r="B2116" s="8">
        <v>1500</v>
      </c>
      <c r="C2116" s="17">
        <v>2</v>
      </c>
      <c r="D2116" s="8">
        <v>6.3399999999999998E-2</v>
      </c>
      <c r="E2116" s="8">
        <v>0.378</v>
      </c>
      <c r="F2116" s="8">
        <v>1235</v>
      </c>
      <c r="G2116" s="7"/>
      <c r="H2116" s="7">
        <v>25.5</v>
      </c>
      <c r="I2116" s="7" t="s">
        <v>12</v>
      </c>
      <c r="J2116" s="7"/>
      <c r="K2116" s="83">
        <v>13.632136787618499</v>
      </c>
    </row>
    <row r="2117" spans="1:11" ht="15.75" customHeight="1">
      <c r="A2117" s="7" t="s">
        <v>36</v>
      </c>
      <c r="B2117" s="8">
        <v>500</v>
      </c>
      <c r="C2117" s="17">
        <v>2</v>
      </c>
      <c r="D2117" s="8">
        <v>6.2399999999999997E-2</v>
      </c>
      <c r="E2117" s="8">
        <v>0.84899999999999998</v>
      </c>
      <c r="F2117" s="8">
        <v>1254</v>
      </c>
      <c r="G2117" s="7"/>
      <c r="H2117" s="7">
        <v>25.5</v>
      </c>
      <c r="I2117" s="7" t="s">
        <v>12</v>
      </c>
      <c r="J2117" s="7"/>
      <c r="K2117" s="83">
        <v>9.7986326427357504</v>
      </c>
    </row>
    <row r="2118" spans="1:11" ht="15.75" customHeight="1">
      <c r="A2118" s="7" t="s">
        <v>36</v>
      </c>
      <c r="B2118" s="8">
        <v>1000</v>
      </c>
      <c r="C2118" s="17">
        <v>2</v>
      </c>
      <c r="D2118" s="8">
        <v>6.2399999999999997E-2</v>
      </c>
      <c r="E2118" s="8">
        <v>0.84899999999999998</v>
      </c>
      <c r="F2118" s="8">
        <v>1254</v>
      </c>
      <c r="G2118" s="7"/>
      <c r="H2118" s="7">
        <v>25.5</v>
      </c>
      <c r="I2118" s="7" t="s">
        <v>12</v>
      </c>
      <c r="J2118" s="7"/>
      <c r="K2118" s="83">
        <v>13.779432559708299</v>
      </c>
    </row>
    <row r="2119" spans="1:11" ht="15.75" customHeight="1">
      <c r="A2119" s="7" t="s">
        <v>36</v>
      </c>
      <c r="B2119" s="8">
        <v>1500</v>
      </c>
      <c r="C2119" s="17">
        <v>2</v>
      </c>
      <c r="D2119" s="8">
        <v>6.2399999999999997E-2</v>
      </c>
      <c r="E2119" s="8">
        <v>0.84899999999999998</v>
      </c>
      <c r="F2119" s="8">
        <v>1254</v>
      </c>
      <c r="G2119" s="7"/>
      <c r="H2119" s="7">
        <v>25.5</v>
      </c>
      <c r="I2119" s="7" t="s">
        <v>12</v>
      </c>
      <c r="J2119" s="7"/>
      <c r="K2119" s="83">
        <v>14.732223706913301</v>
      </c>
    </row>
    <row r="2120" spans="1:11" ht="15.75" customHeight="1">
      <c r="A2120" s="7" t="s">
        <v>36</v>
      </c>
      <c r="B2120" s="8">
        <v>500</v>
      </c>
      <c r="C2120" s="17">
        <v>5</v>
      </c>
      <c r="D2120" s="8">
        <v>7.2800000000000004E-2</v>
      </c>
      <c r="E2120" s="7">
        <v>6.4999999999999997E-3</v>
      </c>
      <c r="F2120" s="8">
        <v>1005</v>
      </c>
      <c r="G2120" s="7"/>
      <c r="H2120" s="7">
        <v>25.5</v>
      </c>
      <c r="I2120" s="7" t="s">
        <v>12</v>
      </c>
      <c r="J2120" s="7"/>
      <c r="K2120" s="83">
        <v>7.6809861689546999</v>
      </c>
    </row>
    <row r="2121" spans="1:11" ht="15.75" customHeight="1">
      <c r="A2121" s="7" t="s">
        <v>36</v>
      </c>
      <c r="B2121" s="8">
        <v>1000</v>
      </c>
      <c r="C2121" s="17">
        <v>5</v>
      </c>
      <c r="D2121" s="8">
        <v>7.2800000000000004E-2</v>
      </c>
      <c r="E2121" s="7">
        <v>6.4999999999999997E-3</v>
      </c>
      <c r="F2121" s="8">
        <v>1005</v>
      </c>
      <c r="G2121" s="7"/>
      <c r="H2121" s="7">
        <v>25.5</v>
      </c>
      <c r="I2121" s="7" t="s">
        <v>12</v>
      </c>
      <c r="J2121" s="7"/>
      <c r="K2121" s="8">
        <v>11.016864620288899</v>
      </c>
    </row>
    <row r="2122" spans="1:11" ht="15.75" customHeight="1">
      <c r="A2122" s="7" t="s">
        <v>36</v>
      </c>
      <c r="B2122" s="8">
        <v>1500</v>
      </c>
      <c r="C2122" s="17">
        <v>5</v>
      </c>
      <c r="D2122" s="8">
        <v>7.2800000000000004E-2</v>
      </c>
      <c r="E2122" s="7">
        <v>6.4999999999999997E-3</v>
      </c>
      <c r="F2122" s="8">
        <v>1005</v>
      </c>
      <c r="G2122" s="7"/>
      <c r="H2122" s="7">
        <v>25.5</v>
      </c>
      <c r="I2122" s="7" t="s">
        <v>12</v>
      </c>
      <c r="J2122" s="7"/>
      <c r="K2122" s="8">
        <v>12.548485783330699</v>
      </c>
    </row>
    <row r="2123" spans="1:11" ht="15.75" customHeight="1">
      <c r="A2123" s="7" t="s">
        <v>36</v>
      </c>
      <c r="B2123" s="8">
        <v>500</v>
      </c>
      <c r="C2123" s="17">
        <v>5</v>
      </c>
      <c r="D2123" s="8">
        <v>6.7599999999999993E-2</v>
      </c>
      <c r="E2123" s="7">
        <v>1.2E-2</v>
      </c>
      <c r="F2123" s="8">
        <v>1127</v>
      </c>
      <c r="G2123" s="7"/>
      <c r="H2123" s="7">
        <v>25.5</v>
      </c>
      <c r="I2123" s="7" t="s">
        <v>12</v>
      </c>
      <c r="J2123" s="7"/>
      <c r="K2123" s="8">
        <v>7.6970024165766802</v>
      </c>
    </row>
    <row r="2124" spans="1:11" ht="15.75" customHeight="1">
      <c r="A2124" s="7" t="s">
        <v>36</v>
      </c>
      <c r="B2124" s="8">
        <v>1000</v>
      </c>
      <c r="C2124" s="17">
        <v>5</v>
      </c>
      <c r="D2124" s="8">
        <v>6.7599999999999993E-2</v>
      </c>
      <c r="E2124" s="7">
        <v>1.2E-2</v>
      </c>
      <c r="F2124" s="8">
        <v>1127</v>
      </c>
      <c r="G2124" s="7"/>
      <c r="H2124" s="7">
        <v>25.5</v>
      </c>
      <c r="I2124" s="7" t="s">
        <v>12</v>
      </c>
      <c r="J2124" s="7"/>
      <c r="K2124" s="8">
        <v>11.477016813203701</v>
      </c>
    </row>
    <row r="2125" spans="1:11" ht="15.75" customHeight="1">
      <c r="A2125" s="7" t="s">
        <v>36</v>
      </c>
      <c r="B2125" s="8">
        <v>1500</v>
      </c>
      <c r="C2125" s="17">
        <v>5</v>
      </c>
      <c r="D2125" s="8">
        <v>6.7599999999999993E-2</v>
      </c>
      <c r="E2125" s="7">
        <v>1.2E-2</v>
      </c>
      <c r="F2125" s="8">
        <v>1127</v>
      </c>
      <c r="G2125" s="7"/>
      <c r="H2125" s="7">
        <v>25.5</v>
      </c>
      <c r="I2125" s="7" t="s">
        <v>12</v>
      </c>
      <c r="J2125" s="7"/>
      <c r="K2125" s="8">
        <v>14.079926988534099</v>
      </c>
    </row>
    <row r="2126" spans="1:11" ht="15.75" customHeight="1">
      <c r="A2126" s="7" t="s">
        <v>36</v>
      </c>
      <c r="B2126" s="8">
        <v>500</v>
      </c>
      <c r="C2126" s="17">
        <v>5</v>
      </c>
      <c r="D2126" s="8">
        <v>6.6299999999999998E-2</v>
      </c>
      <c r="E2126" s="8">
        <v>3.15E-2</v>
      </c>
      <c r="F2126" s="8">
        <v>1160</v>
      </c>
      <c r="G2126" s="7"/>
      <c r="H2126" s="7">
        <v>25.5</v>
      </c>
      <c r="I2126" s="7" t="s">
        <v>12</v>
      </c>
      <c r="J2126" s="7"/>
      <c r="K2126" s="8">
        <v>7.9133117383927196</v>
      </c>
    </row>
    <row r="2127" spans="1:11" ht="15.75" customHeight="1">
      <c r="A2127" s="7" t="s">
        <v>36</v>
      </c>
      <c r="B2127" s="8">
        <v>1000</v>
      </c>
      <c r="C2127" s="17">
        <v>5</v>
      </c>
      <c r="D2127" s="8">
        <v>6.6299999999999998E-2</v>
      </c>
      <c r="E2127" s="8">
        <v>3.15E-2</v>
      </c>
      <c r="F2127" s="8">
        <v>1160</v>
      </c>
      <c r="G2127" s="7"/>
      <c r="H2127" s="7">
        <v>25.5</v>
      </c>
      <c r="I2127" s="7" t="s">
        <v>12</v>
      </c>
      <c r="J2127" s="7"/>
      <c r="K2127" s="8">
        <v>11.016864620288899</v>
      </c>
    </row>
    <row r="2128" spans="1:11" ht="15.75" customHeight="1">
      <c r="A2128" s="7" t="s">
        <v>36</v>
      </c>
      <c r="B2128" s="8">
        <v>1500</v>
      </c>
      <c r="C2128" s="17">
        <v>5</v>
      </c>
      <c r="D2128" s="8">
        <v>6.6299999999999998E-2</v>
      </c>
      <c r="E2128" s="8">
        <v>3.15E-2</v>
      </c>
      <c r="F2128" s="8">
        <v>1160</v>
      </c>
      <c r="G2128" s="7"/>
      <c r="H2128" s="7">
        <v>25.5</v>
      </c>
      <c r="I2128" s="7" t="s">
        <v>12</v>
      </c>
      <c r="J2128" s="7"/>
      <c r="K2128" s="8">
        <v>11.4924931873104</v>
      </c>
    </row>
    <row r="2129" spans="1:11" ht="15.75" customHeight="1">
      <c r="A2129" s="7" t="s">
        <v>36</v>
      </c>
      <c r="B2129" s="8">
        <v>500</v>
      </c>
      <c r="C2129" s="17">
        <v>5</v>
      </c>
      <c r="D2129" s="8">
        <v>6.4799999999999996E-2</v>
      </c>
      <c r="E2129" s="8">
        <v>0.108</v>
      </c>
      <c r="F2129" s="8">
        <v>1210</v>
      </c>
      <c r="G2129" s="7"/>
      <c r="H2129" s="7">
        <v>25.5</v>
      </c>
      <c r="I2129" s="7" t="s">
        <v>12</v>
      </c>
      <c r="J2129" s="7"/>
      <c r="K2129" s="8">
        <v>7.9133117383927196</v>
      </c>
    </row>
    <row r="2130" spans="1:11" ht="15.75" customHeight="1">
      <c r="A2130" s="7" t="s">
        <v>36</v>
      </c>
      <c r="B2130" s="8">
        <v>1000</v>
      </c>
      <c r="C2130" s="17">
        <v>5</v>
      </c>
      <c r="D2130" s="8">
        <v>6.4799999999999996E-2</v>
      </c>
      <c r="E2130" s="8">
        <v>0.108</v>
      </c>
      <c r="F2130" s="8">
        <v>1210</v>
      </c>
      <c r="G2130" s="7"/>
      <c r="H2130" s="7">
        <v>25.5</v>
      </c>
      <c r="I2130" s="7" t="s">
        <v>12</v>
      </c>
      <c r="J2130" s="7"/>
      <c r="K2130" s="8">
        <v>13.1436063550825</v>
      </c>
    </row>
    <row r="2131" spans="1:11" ht="15.75" customHeight="1">
      <c r="A2131" s="7" t="s">
        <v>36</v>
      </c>
      <c r="B2131" s="8">
        <v>1500</v>
      </c>
      <c r="C2131" s="17">
        <v>5</v>
      </c>
      <c r="D2131" s="8">
        <v>6.4799999999999996E-2</v>
      </c>
      <c r="E2131" s="8">
        <v>0.108</v>
      </c>
      <c r="F2131" s="8">
        <v>1210</v>
      </c>
      <c r="G2131" s="7"/>
      <c r="H2131" s="7">
        <v>25.5</v>
      </c>
      <c r="I2131" s="7" t="s">
        <v>12</v>
      </c>
      <c r="J2131" s="7"/>
      <c r="K2131" s="8">
        <v>14.079926988534099</v>
      </c>
    </row>
    <row r="2132" spans="1:11" ht="15.75" customHeight="1">
      <c r="A2132" s="7" t="s">
        <v>36</v>
      </c>
      <c r="B2132" s="8">
        <v>500</v>
      </c>
      <c r="C2132" s="17">
        <v>5</v>
      </c>
      <c r="D2132" s="8">
        <v>6.3399999999999998E-2</v>
      </c>
      <c r="E2132" s="8">
        <v>0.378</v>
      </c>
      <c r="F2132" s="8">
        <v>1235</v>
      </c>
      <c r="G2132" s="7"/>
      <c r="H2132" s="7">
        <v>25.5</v>
      </c>
      <c r="I2132" s="7" t="s">
        <v>12</v>
      </c>
      <c r="J2132" s="7"/>
      <c r="K2132" s="8">
        <v>9.8860095634736993</v>
      </c>
    </row>
    <row r="2133" spans="1:11" ht="15.75" customHeight="1">
      <c r="A2133" s="7" t="s">
        <v>36</v>
      </c>
      <c r="B2133" s="8">
        <v>1000</v>
      </c>
      <c r="C2133" s="17">
        <v>5</v>
      </c>
      <c r="D2133" s="8">
        <v>6.3399999999999998E-2</v>
      </c>
      <c r="E2133" s="8">
        <v>0.378</v>
      </c>
      <c r="F2133" s="8">
        <v>1235</v>
      </c>
      <c r="G2133" s="7"/>
      <c r="H2133" s="7">
        <v>25.5</v>
      </c>
      <c r="I2133" s="7" t="s">
        <v>12</v>
      </c>
      <c r="J2133" s="7"/>
      <c r="K2133" s="8">
        <v>13.613836186950399</v>
      </c>
    </row>
    <row r="2134" spans="1:11" ht="15.75" customHeight="1">
      <c r="A2134" s="7" t="s">
        <v>36</v>
      </c>
      <c r="B2134" s="8">
        <v>1500</v>
      </c>
      <c r="C2134" s="17">
        <v>5</v>
      </c>
      <c r="D2134" s="8">
        <v>6.3399999999999998E-2</v>
      </c>
      <c r="E2134" s="8">
        <v>0.378</v>
      </c>
      <c r="F2134" s="8">
        <v>1235</v>
      </c>
      <c r="G2134" s="7"/>
      <c r="H2134" s="7">
        <v>25.5</v>
      </c>
      <c r="I2134" s="7" t="s">
        <v>12</v>
      </c>
      <c r="J2134" s="7"/>
      <c r="K2134" s="8">
        <v>14.8368296570517</v>
      </c>
    </row>
    <row r="2135" spans="1:11" ht="15.75" customHeight="1">
      <c r="A2135" s="7" t="s">
        <v>36</v>
      </c>
      <c r="B2135" s="8">
        <v>500</v>
      </c>
      <c r="C2135" s="17">
        <v>5</v>
      </c>
      <c r="D2135" s="8">
        <v>6.2399999999999997E-2</v>
      </c>
      <c r="E2135" s="8">
        <v>0.84899999999999998</v>
      </c>
      <c r="F2135" s="8">
        <v>1254</v>
      </c>
      <c r="G2135" s="7"/>
      <c r="H2135" s="7">
        <v>25.5</v>
      </c>
      <c r="I2135" s="7" t="s">
        <v>12</v>
      </c>
      <c r="J2135" s="7"/>
      <c r="K2135" s="8">
        <v>11.474497403465399</v>
      </c>
    </row>
    <row r="2136" spans="1:11" ht="15.75" customHeight="1">
      <c r="A2136" s="7" t="s">
        <v>36</v>
      </c>
      <c r="B2136" s="8">
        <v>1000</v>
      </c>
      <c r="C2136" s="17">
        <v>5</v>
      </c>
      <c r="D2136" s="8">
        <v>6.2399999999999997E-2</v>
      </c>
      <c r="E2136" s="8">
        <v>0.84899999999999998</v>
      </c>
      <c r="F2136" s="8">
        <v>1254</v>
      </c>
      <c r="G2136" s="7"/>
      <c r="H2136" s="7">
        <v>25.5</v>
      </c>
      <c r="I2136" s="7" t="s">
        <v>12</v>
      </c>
      <c r="J2136" s="7"/>
      <c r="K2136" s="8">
        <v>17.403028433338399</v>
      </c>
    </row>
    <row r="2137" spans="1:11" ht="15.75" customHeight="1">
      <c r="A2137" s="7" t="s">
        <v>36</v>
      </c>
      <c r="B2137" s="8">
        <v>1500</v>
      </c>
      <c r="C2137" s="17">
        <v>5</v>
      </c>
      <c r="D2137" s="8">
        <v>6.2399999999999997E-2</v>
      </c>
      <c r="E2137" s="8">
        <v>0.84899999999999998</v>
      </c>
      <c r="F2137" s="8">
        <v>1254</v>
      </c>
      <c r="G2137" s="7"/>
      <c r="H2137" s="7">
        <v>25.5</v>
      </c>
      <c r="I2137" s="7" t="s">
        <v>12</v>
      </c>
      <c r="J2137" s="7"/>
      <c r="K2137" s="8">
        <v>18.078590158876999</v>
      </c>
    </row>
    <row r="2138" spans="1:11" ht="15.75" customHeight="1">
      <c r="A2138" s="7" t="s">
        <v>36</v>
      </c>
      <c r="B2138" s="8">
        <v>500</v>
      </c>
      <c r="C2138" s="17">
        <v>10</v>
      </c>
      <c r="D2138" s="8">
        <v>7.2800000000000004E-2</v>
      </c>
      <c r="E2138" s="7">
        <v>6.4999999999999997E-3</v>
      </c>
      <c r="F2138" s="8">
        <v>1005</v>
      </c>
      <c r="G2138" s="7"/>
      <c r="H2138" s="7">
        <v>25.5</v>
      </c>
      <c r="I2138" s="7" t="s">
        <v>12</v>
      </c>
      <c r="J2138" s="7"/>
      <c r="K2138" s="8">
        <v>8.1758414514715696</v>
      </c>
    </row>
    <row r="2139" spans="1:11" ht="15.75" customHeight="1">
      <c r="A2139" s="7" t="s">
        <v>36</v>
      </c>
      <c r="B2139" s="8">
        <v>1000</v>
      </c>
      <c r="C2139" s="17">
        <v>10</v>
      </c>
      <c r="D2139" s="8">
        <v>7.2800000000000004E-2</v>
      </c>
      <c r="E2139" s="7">
        <v>6.4999999999999997E-3</v>
      </c>
      <c r="F2139" s="8">
        <v>1005</v>
      </c>
      <c r="G2139" s="7"/>
      <c r="H2139" s="7">
        <v>25.5</v>
      </c>
      <c r="I2139" s="7" t="s">
        <v>12</v>
      </c>
      <c r="J2139" s="7"/>
      <c r="K2139" s="8">
        <v>12.706303798773201</v>
      </c>
    </row>
    <row r="2140" spans="1:11" ht="15.75" customHeight="1">
      <c r="A2140" s="7" t="s">
        <v>36</v>
      </c>
      <c r="B2140" s="8">
        <v>1500</v>
      </c>
      <c r="C2140" s="17">
        <v>10</v>
      </c>
      <c r="D2140" s="8">
        <v>7.2800000000000004E-2</v>
      </c>
      <c r="E2140" s="7">
        <v>6.4999999999999997E-3</v>
      </c>
      <c r="F2140" s="8">
        <v>1005</v>
      </c>
      <c r="G2140" s="7"/>
      <c r="H2140" s="7">
        <v>25.5</v>
      </c>
      <c r="I2140" s="7" t="s">
        <v>12</v>
      </c>
      <c r="J2140" s="7"/>
      <c r="K2140" s="8">
        <v>13.3757795989897</v>
      </c>
    </row>
    <row r="2141" spans="1:11" ht="15.75" customHeight="1">
      <c r="A2141" s="7" t="s">
        <v>36</v>
      </c>
      <c r="B2141" s="8">
        <v>500</v>
      </c>
      <c r="C2141" s="17">
        <v>10</v>
      </c>
      <c r="D2141" s="8">
        <v>6.7599999999999993E-2</v>
      </c>
      <c r="E2141" s="7">
        <v>1.2E-2</v>
      </c>
      <c r="F2141" s="8">
        <v>1127</v>
      </c>
      <c r="G2141" s="7"/>
      <c r="H2141" s="7">
        <v>25.5</v>
      </c>
      <c r="I2141" s="7" t="s">
        <v>12</v>
      </c>
      <c r="J2141" s="7"/>
      <c r="K2141" s="8">
        <v>8.7488016081645199</v>
      </c>
    </row>
    <row r="2142" spans="1:11" ht="15.75" customHeight="1">
      <c r="A2142" s="7" t="s">
        <v>36</v>
      </c>
      <c r="B2142" s="8">
        <v>1000</v>
      </c>
      <c r="C2142" s="17">
        <v>10</v>
      </c>
      <c r="D2142" s="8">
        <v>6.7599999999999993E-2</v>
      </c>
      <c r="E2142" s="7">
        <v>1.2E-2</v>
      </c>
      <c r="F2142" s="8">
        <v>1127</v>
      </c>
      <c r="G2142" s="7"/>
      <c r="H2142" s="7">
        <v>25.5</v>
      </c>
      <c r="I2142" s="7" t="s">
        <v>12</v>
      </c>
      <c r="J2142" s="7"/>
      <c r="K2142" s="8">
        <v>12.706303798773201</v>
      </c>
    </row>
    <row r="2143" spans="1:11" ht="15.75" customHeight="1">
      <c r="A2143" s="7" t="s">
        <v>36</v>
      </c>
      <c r="B2143" s="8">
        <v>1500</v>
      </c>
      <c r="C2143" s="17">
        <v>10</v>
      </c>
      <c r="D2143" s="8">
        <v>6.7599999999999993E-2</v>
      </c>
      <c r="E2143" s="7">
        <v>1.2E-2</v>
      </c>
      <c r="F2143" s="8">
        <v>1127</v>
      </c>
      <c r="G2143" s="7"/>
      <c r="H2143" s="7">
        <v>25.5</v>
      </c>
      <c r="I2143" s="7" t="s">
        <v>12</v>
      </c>
      <c r="J2143" s="7"/>
      <c r="K2143" s="8">
        <v>13.6597340343281</v>
      </c>
    </row>
    <row r="2144" spans="1:11" ht="15.75" customHeight="1">
      <c r="A2144" s="7" t="s">
        <v>36</v>
      </c>
      <c r="B2144" s="8">
        <v>500</v>
      </c>
      <c r="C2144" s="17">
        <v>10</v>
      </c>
      <c r="D2144" s="8">
        <v>6.6299999999999998E-2</v>
      </c>
      <c r="E2144" s="8">
        <v>3.15E-2</v>
      </c>
      <c r="F2144" s="8">
        <v>1160</v>
      </c>
      <c r="G2144" s="7"/>
      <c r="H2144" s="7">
        <v>25.5</v>
      </c>
      <c r="I2144" s="7" t="s">
        <v>12</v>
      </c>
      <c r="J2144" s="7"/>
      <c r="K2144" s="8">
        <v>10.3460904077109</v>
      </c>
    </row>
    <row r="2145" spans="1:11" ht="15.75" customHeight="1">
      <c r="A2145" s="7" t="s">
        <v>36</v>
      </c>
      <c r="B2145" s="8">
        <v>1000</v>
      </c>
      <c r="C2145" s="17">
        <v>10</v>
      </c>
      <c r="D2145" s="8">
        <v>6.6299999999999998E-2</v>
      </c>
      <c r="E2145" s="8">
        <v>3.15E-2</v>
      </c>
      <c r="F2145" s="8">
        <v>1160</v>
      </c>
      <c r="G2145" s="7"/>
      <c r="H2145" s="7">
        <v>25.5</v>
      </c>
      <c r="I2145" s="7" t="s">
        <v>12</v>
      </c>
      <c r="J2145" s="7"/>
      <c r="K2145" s="8">
        <v>13.3779444358538</v>
      </c>
    </row>
    <row r="2146" spans="1:11" ht="15.75" customHeight="1">
      <c r="A2146" s="7" t="s">
        <v>36</v>
      </c>
      <c r="B2146" s="8">
        <v>1500</v>
      </c>
      <c r="C2146" s="17">
        <v>10</v>
      </c>
      <c r="D2146" s="8">
        <v>6.6299999999999998E-2</v>
      </c>
      <c r="E2146" s="8">
        <v>3.15E-2</v>
      </c>
      <c r="F2146" s="8">
        <v>1160</v>
      </c>
      <c r="G2146" s="7"/>
      <c r="H2146" s="7">
        <v>25.5</v>
      </c>
      <c r="I2146" s="7" t="s">
        <v>12</v>
      </c>
      <c r="J2146" s="7"/>
      <c r="K2146" s="8">
        <v>15.702979227874801</v>
      </c>
    </row>
    <row r="2147" spans="1:11" ht="15.75" customHeight="1">
      <c r="A2147" s="7" t="s">
        <v>36</v>
      </c>
      <c r="B2147" s="8">
        <v>500</v>
      </c>
      <c r="C2147" s="17">
        <v>10</v>
      </c>
      <c r="D2147" s="8">
        <v>6.4799999999999996E-2</v>
      </c>
      <c r="E2147" s="8">
        <v>0.108</v>
      </c>
      <c r="F2147" s="8">
        <v>1210</v>
      </c>
      <c r="G2147" s="7"/>
      <c r="H2147" s="7">
        <v>25.5</v>
      </c>
      <c r="I2147" s="7" t="s">
        <v>12</v>
      </c>
      <c r="J2147" s="7"/>
      <c r="K2147" s="8">
        <v>10.349518066079</v>
      </c>
    </row>
    <row r="2148" spans="1:11" ht="15.75" customHeight="1">
      <c r="A2148" s="7" t="s">
        <v>36</v>
      </c>
      <c r="B2148" s="8">
        <v>1000</v>
      </c>
      <c r="C2148" s="17">
        <v>10</v>
      </c>
      <c r="D2148" s="8">
        <v>6.4799999999999996E-2</v>
      </c>
      <c r="E2148" s="8">
        <v>0.108</v>
      </c>
      <c r="F2148" s="8">
        <v>1210</v>
      </c>
      <c r="G2148" s="7"/>
      <c r="H2148" s="7">
        <v>25.5</v>
      </c>
      <c r="I2148" s="7" t="s">
        <v>12</v>
      </c>
      <c r="J2148" s="7"/>
      <c r="K2148" s="8">
        <v>14.559223751353001</v>
      </c>
    </row>
    <row r="2149" spans="1:11" ht="15.75" customHeight="1">
      <c r="A2149" s="7" t="s">
        <v>36</v>
      </c>
      <c r="B2149" s="8">
        <v>1500</v>
      </c>
      <c r="C2149" s="17">
        <v>10</v>
      </c>
      <c r="D2149" s="8">
        <v>6.4799999999999996E-2</v>
      </c>
      <c r="E2149" s="8">
        <v>0.108</v>
      </c>
      <c r="F2149" s="8">
        <v>1210</v>
      </c>
      <c r="G2149" s="7"/>
      <c r="H2149" s="7">
        <v>25.5</v>
      </c>
      <c r="I2149" s="7" t="s">
        <v>12</v>
      </c>
      <c r="J2149" s="7"/>
      <c r="K2149" s="8">
        <v>15.684578114530099</v>
      </c>
    </row>
    <row r="2150" spans="1:11" ht="15.75" customHeight="1">
      <c r="A2150" s="7" t="s">
        <v>36</v>
      </c>
      <c r="B2150" s="8">
        <v>500</v>
      </c>
      <c r="C2150" s="17">
        <v>10</v>
      </c>
      <c r="D2150" s="8">
        <v>6.3399999999999998E-2</v>
      </c>
      <c r="E2150" s="8">
        <v>0.378</v>
      </c>
      <c r="F2150" s="8">
        <v>1235</v>
      </c>
      <c r="G2150" s="7"/>
      <c r="H2150" s="7">
        <v>25.5</v>
      </c>
      <c r="I2150" s="7" t="s">
        <v>12</v>
      </c>
      <c r="J2150" s="7"/>
      <c r="K2150" s="8">
        <v>11.791840626771799</v>
      </c>
    </row>
    <row r="2151" spans="1:11" ht="15.75" customHeight="1">
      <c r="A2151" s="7" t="s">
        <v>36</v>
      </c>
      <c r="B2151" s="8">
        <v>1000</v>
      </c>
      <c r="C2151" s="17">
        <v>10</v>
      </c>
      <c r="D2151" s="8">
        <v>6.3399999999999998E-2</v>
      </c>
      <c r="E2151" s="8">
        <v>0.378</v>
      </c>
      <c r="F2151" s="8">
        <v>1235</v>
      </c>
      <c r="G2151" s="7"/>
      <c r="H2151" s="7">
        <v>25.5</v>
      </c>
      <c r="I2151" s="7" t="s">
        <v>12</v>
      </c>
      <c r="J2151" s="7"/>
      <c r="K2151" s="8">
        <v>15.4751301479305</v>
      </c>
    </row>
    <row r="2152" spans="1:11" ht="15.75" customHeight="1">
      <c r="A2152" s="7" t="s">
        <v>36</v>
      </c>
      <c r="B2152" s="8">
        <v>1500</v>
      </c>
      <c r="C2152" s="17">
        <v>10</v>
      </c>
      <c r="D2152" s="8">
        <v>6.3399999999999998E-2</v>
      </c>
      <c r="E2152" s="8">
        <v>0.378</v>
      </c>
      <c r="F2152" s="8">
        <v>1235</v>
      </c>
      <c r="G2152" s="7"/>
      <c r="H2152" s="7">
        <v>25.5</v>
      </c>
      <c r="I2152" s="7" t="s">
        <v>12</v>
      </c>
      <c r="J2152" s="7"/>
      <c r="K2152" s="8">
        <v>15.684578114530099</v>
      </c>
    </row>
    <row r="2153" spans="1:11" ht="15.75" customHeight="1">
      <c r="A2153" s="7" t="s">
        <v>36</v>
      </c>
      <c r="B2153" s="8">
        <v>500</v>
      </c>
      <c r="C2153" s="17">
        <v>10</v>
      </c>
      <c r="D2153" s="8">
        <v>6.2399999999999997E-2</v>
      </c>
      <c r="E2153" s="8">
        <v>0.84899999999999998</v>
      </c>
      <c r="F2153" s="8">
        <v>1254</v>
      </c>
      <c r="G2153" s="7"/>
      <c r="H2153" s="7">
        <v>25.5</v>
      </c>
      <c r="I2153" s="7" t="s">
        <v>12</v>
      </c>
      <c r="J2153" s="7"/>
      <c r="K2153" s="8">
        <v>10.349518066079</v>
      </c>
    </row>
    <row r="2154" spans="1:11" ht="15.75" customHeight="1">
      <c r="A2154" s="7" t="s">
        <v>36</v>
      </c>
      <c r="B2154" s="8">
        <v>1000</v>
      </c>
      <c r="C2154" s="17">
        <v>10</v>
      </c>
      <c r="D2154" s="8">
        <v>6.2399999999999997E-2</v>
      </c>
      <c r="E2154" s="8">
        <v>0.84899999999999998</v>
      </c>
      <c r="F2154" s="8">
        <v>1254</v>
      </c>
      <c r="G2154" s="7"/>
      <c r="H2154" s="7">
        <v>25.5</v>
      </c>
      <c r="I2154" s="7" t="s">
        <v>12</v>
      </c>
      <c r="J2154" s="7"/>
      <c r="K2154" s="8">
        <v>14.8998247513014</v>
      </c>
    </row>
    <row r="2155" spans="1:11" ht="15.75" customHeight="1">
      <c r="A2155" s="7" t="s">
        <v>36</v>
      </c>
      <c r="B2155" s="8">
        <v>1500</v>
      </c>
      <c r="C2155" s="17">
        <v>10</v>
      </c>
      <c r="D2155" s="8">
        <v>6.2399999999999997E-2</v>
      </c>
      <c r="E2155" s="8">
        <v>0.84899999999999998</v>
      </c>
      <c r="F2155" s="8">
        <v>1254</v>
      </c>
      <c r="G2155" s="7"/>
      <c r="H2155" s="7">
        <v>25.5</v>
      </c>
      <c r="I2155" s="7" t="s">
        <v>12</v>
      </c>
      <c r="J2155" s="7"/>
      <c r="K2155" s="8">
        <v>16.979150559249501</v>
      </c>
    </row>
    <row r="2156" spans="1:11" ht="15.75" customHeight="1">
      <c r="A2156" s="77" t="s">
        <v>36</v>
      </c>
      <c r="B2156" s="77">
        <v>500</v>
      </c>
      <c r="C2156" s="77">
        <v>2</v>
      </c>
      <c r="D2156" s="77">
        <v>7.2800000000000004E-2</v>
      </c>
      <c r="E2156" s="76">
        <f>6.5/1000</f>
        <v>6.4999999999999997E-3</v>
      </c>
      <c r="F2156" s="77">
        <v>1005</v>
      </c>
      <c r="G2156" s="76"/>
      <c r="H2156" s="77">
        <v>25</v>
      </c>
      <c r="I2156" s="77" t="s">
        <v>12</v>
      </c>
      <c r="J2156" s="14"/>
      <c r="K2156" s="14">
        <v>6.97</v>
      </c>
    </row>
    <row r="2157" spans="1:11" ht="15.75" customHeight="1">
      <c r="A2157" s="77" t="s">
        <v>37</v>
      </c>
      <c r="B2157" s="25">
        <f t="shared" ref="B2157:B2162" si="0">4.16 * 60</f>
        <v>249.60000000000002</v>
      </c>
      <c r="C2157" s="25">
        <v>1.55</v>
      </c>
      <c r="D2157" s="76"/>
      <c r="E2157" s="77">
        <v>1E-3</v>
      </c>
      <c r="F2157" s="77">
        <v>1000</v>
      </c>
      <c r="G2157" s="76"/>
      <c r="H2157" s="78">
        <v>25</v>
      </c>
      <c r="I2157" s="77" t="s">
        <v>12</v>
      </c>
      <c r="J2157" s="14"/>
      <c r="K2157" s="14">
        <v>6.2292989510068901</v>
      </c>
    </row>
    <row r="2158" spans="1:11" ht="15.75" customHeight="1">
      <c r="A2158" s="77" t="s">
        <v>37</v>
      </c>
      <c r="B2158" s="25">
        <f t="shared" si="0"/>
        <v>249.60000000000002</v>
      </c>
      <c r="C2158" s="25">
        <v>1.55</v>
      </c>
      <c r="D2158" s="76"/>
      <c r="E2158" s="77">
        <v>1E-3</v>
      </c>
      <c r="F2158" s="77">
        <v>1000</v>
      </c>
      <c r="G2158" s="76"/>
      <c r="H2158" s="78">
        <v>25</v>
      </c>
      <c r="I2158" s="77" t="s">
        <v>12</v>
      </c>
      <c r="J2158" s="14"/>
      <c r="K2158" s="14">
        <v>6.3439488820872203</v>
      </c>
    </row>
    <row r="2159" spans="1:11" ht="15.75" customHeight="1">
      <c r="A2159" s="77" t="s">
        <v>37</v>
      </c>
      <c r="B2159" s="25">
        <f t="shared" si="0"/>
        <v>249.60000000000002</v>
      </c>
      <c r="C2159" s="25">
        <v>1.55</v>
      </c>
      <c r="D2159" s="76"/>
      <c r="E2159" s="77">
        <v>1E-3</v>
      </c>
      <c r="F2159" s="77">
        <v>1000</v>
      </c>
      <c r="G2159" s="76"/>
      <c r="H2159" s="78">
        <v>25</v>
      </c>
      <c r="I2159" s="77" t="s">
        <v>12</v>
      </c>
      <c r="J2159" s="14"/>
      <c r="K2159" s="14">
        <v>6.2675158376746696</v>
      </c>
    </row>
    <row r="2160" spans="1:11" ht="15.75" customHeight="1">
      <c r="A2160" s="77" t="s">
        <v>37</v>
      </c>
      <c r="B2160" s="25">
        <f t="shared" si="0"/>
        <v>249.60000000000002</v>
      </c>
      <c r="C2160" s="25">
        <v>1.55</v>
      </c>
      <c r="D2160" s="76"/>
      <c r="E2160" s="77">
        <v>1E-3</v>
      </c>
      <c r="F2160" s="77">
        <v>1000</v>
      </c>
      <c r="G2160" s="76"/>
      <c r="H2160" s="78">
        <v>25</v>
      </c>
      <c r="I2160" s="77" t="s">
        <v>12</v>
      </c>
      <c r="J2160" s="14"/>
      <c r="K2160" s="14">
        <v>6.3057323598809498</v>
      </c>
    </row>
    <row r="2161" spans="1:11" ht="15.75" customHeight="1">
      <c r="A2161" s="77" t="s">
        <v>37</v>
      </c>
      <c r="B2161" s="25">
        <f t="shared" si="0"/>
        <v>249.60000000000002</v>
      </c>
      <c r="C2161" s="25">
        <v>1.55</v>
      </c>
      <c r="D2161" s="76"/>
      <c r="E2161" s="77">
        <v>1E-3</v>
      </c>
      <c r="F2161" s="77">
        <v>1000</v>
      </c>
      <c r="G2161" s="76"/>
      <c r="H2161" s="78">
        <v>25</v>
      </c>
      <c r="I2161" s="77" t="s">
        <v>12</v>
      </c>
      <c r="J2161" s="14"/>
      <c r="K2161" s="14">
        <v>6.3057323598809498</v>
      </c>
    </row>
    <row r="2162" spans="1:11" ht="15.75" customHeight="1">
      <c r="A2162" s="77" t="s">
        <v>37</v>
      </c>
      <c r="B2162" s="25">
        <f t="shared" si="0"/>
        <v>249.60000000000002</v>
      </c>
      <c r="C2162" s="25">
        <v>1.55</v>
      </c>
      <c r="D2162" s="76"/>
      <c r="E2162" s="77">
        <v>1E-3</v>
      </c>
      <c r="F2162" s="77">
        <v>1000</v>
      </c>
      <c r="G2162" s="76"/>
      <c r="H2162" s="78">
        <v>25</v>
      </c>
      <c r="I2162" s="77" t="s">
        <v>12</v>
      </c>
      <c r="J2162" s="14"/>
      <c r="K2162" s="14">
        <v>6.3821655865242501</v>
      </c>
    </row>
    <row r="2163" spans="1:11" ht="15.75" customHeight="1">
      <c r="A2163" s="77" t="s">
        <v>37</v>
      </c>
      <c r="B2163" s="80">
        <v>36.803445388204324</v>
      </c>
      <c r="C2163" s="25">
        <v>1.55</v>
      </c>
      <c r="D2163" s="78"/>
      <c r="E2163" s="77">
        <v>1E-3</v>
      </c>
      <c r="F2163" s="77">
        <v>1000</v>
      </c>
      <c r="G2163" s="76"/>
      <c r="H2163" s="78">
        <v>25</v>
      </c>
      <c r="I2163" s="77" t="s">
        <v>12</v>
      </c>
      <c r="J2163" s="14"/>
      <c r="K2163" s="78">
        <v>4.6319568954296599</v>
      </c>
    </row>
    <row r="2164" spans="1:11" ht="15.75" customHeight="1">
      <c r="A2164" s="77" t="s">
        <v>37</v>
      </c>
      <c r="B2164" s="80">
        <v>44.060472257842505</v>
      </c>
      <c r="C2164" s="25">
        <v>1.55</v>
      </c>
      <c r="D2164" s="78"/>
      <c r="E2164" s="77">
        <v>1E-3</v>
      </c>
      <c r="F2164" s="77">
        <v>1000</v>
      </c>
      <c r="G2164" s="76"/>
      <c r="H2164" s="78">
        <v>25</v>
      </c>
      <c r="I2164" s="77" t="s">
        <v>12</v>
      </c>
      <c r="J2164" s="14"/>
      <c r="K2164" s="78">
        <v>4.5780977557561702</v>
      </c>
    </row>
    <row r="2165" spans="1:11" ht="15.75" customHeight="1">
      <c r="A2165" s="77" t="s">
        <v>37</v>
      </c>
      <c r="B2165" s="80">
        <v>49.244057229353402</v>
      </c>
      <c r="C2165" s="25">
        <v>1.55</v>
      </c>
      <c r="D2165" s="78"/>
      <c r="E2165" s="77">
        <v>1E-3</v>
      </c>
      <c r="F2165" s="77">
        <v>1000</v>
      </c>
      <c r="G2165" s="76"/>
      <c r="H2165" s="78">
        <v>25</v>
      </c>
      <c r="I2165" s="77" t="s">
        <v>12</v>
      </c>
      <c r="J2165" s="14"/>
      <c r="K2165" s="78">
        <v>4.7127476595343802</v>
      </c>
    </row>
    <row r="2166" spans="1:11" ht="15.75" customHeight="1">
      <c r="A2166" s="77" t="s">
        <v>37</v>
      </c>
      <c r="B2166" s="80">
        <v>57.019435304551259</v>
      </c>
      <c r="C2166" s="25">
        <v>1.55</v>
      </c>
      <c r="D2166" s="78"/>
      <c r="E2166" s="77">
        <v>1E-3</v>
      </c>
      <c r="F2166" s="77">
        <v>1000</v>
      </c>
      <c r="G2166" s="76"/>
      <c r="H2166" s="78">
        <v>25</v>
      </c>
      <c r="I2166" s="77" t="s">
        <v>12</v>
      </c>
      <c r="J2166" s="14"/>
      <c r="K2166" s="78">
        <v>4.6806277733635397</v>
      </c>
    </row>
    <row r="2167" spans="1:11" ht="15.75" customHeight="1">
      <c r="A2167" s="77" t="s">
        <v>37</v>
      </c>
      <c r="B2167" s="80">
        <v>63.239741225125194</v>
      </c>
      <c r="C2167" s="25">
        <v>1.55</v>
      </c>
      <c r="D2167" s="78"/>
      <c r="E2167" s="77">
        <v>1E-3</v>
      </c>
      <c r="F2167" s="77">
        <v>1000</v>
      </c>
      <c r="G2167" s="76"/>
      <c r="H2167" s="78">
        <v>25</v>
      </c>
      <c r="I2167" s="77" t="s">
        <v>12</v>
      </c>
      <c r="J2167" s="14"/>
      <c r="K2167" s="78">
        <v>4.8063011425992501</v>
      </c>
    </row>
    <row r="2168" spans="1:11" ht="15.75" customHeight="1">
      <c r="A2168" s="77" t="s">
        <v>37</v>
      </c>
      <c r="B2168" s="80">
        <v>69.114480087281407</v>
      </c>
      <c r="C2168" s="25">
        <v>1.55</v>
      </c>
      <c r="D2168" s="78"/>
      <c r="E2168" s="77">
        <v>1E-3</v>
      </c>
      <c r="F2168" s="77">
        <v>1000</v>
      </c>
      <c r="G2168" s="76"/>
      <c r="H2168" s="78">
        <v>25</v>
      </c>
      <c r="I2168" s="77" t="s">
        <v>12</v>
      </c>
      <c r="J2168" s="14"/>
      <c r="K2168" s="78">
        <v>4.8601613047427197</v>
      </c>
    </row>
    <row r="2169" spans="1:11" ht="15.75" customHeight="1">
      <c r="A2169" s="77" t="s">
        <v>37</v>
      </c>
      <c r="B2169" s="80">
        <v>75.33478600785601</v>
      </c>
      <c r="C2169" s="25">
        <v>1.55</v>
      </c>
      <c r="D2169" s="78"/>
      <c r="E2169" s="77">
        <v>1E-3</v>
      </c>
      <c r="F2169" s="77">
        <v>1000</v>
      </c>
      <c r="G2169" s="76"/>
      <c r="H2169" s="78">
        <v>25</v>
      </c>
      <c r="I2169" s="77" t="s">
        <v>12</v>
      </c>
      <c r="J2169" s="14"/>
      <c r="K2169" s="78">
        <v>4.8601613047427197</v>
      </c>
    </row>
    <row r="2170" spans="1:11" ht="15.75" customHeight="1">
      <c r="A2170" s="77" t="s">
        <v>37</v>
      </c>
      <c r="B2170" s="80">
        <v>81.555091928430599</v>
      </c>
      <c r="C2170" s="25">
        <v>1.55</v>
      </c>
      <c r="D2170" s="78"/>
      <c r="E2170" s="77">
        <v>1E-3</v>
      </c>
      <c r="F2170" s="77">
        <v>1000</v>
      </c>
      <c r="G2170" s="76"/>
      <c r="H2170" s="78">
        <v>25</v>
      </c>
      <c r="I2170" s="77" t="s">
        <v>12</v>
      </c>
      <c r="J2170" s="14"/>
      <c r="K2170" s="78">
        <v>4.8781138360429201</v>
      </c>
    </row>
    <row r="2171" spans="1:11" ht="15.75" customHeight="1">
      <c r="A2171" s="77" t="s">
        <v>37</v>
      </c>
      <c r="B2171" s="80">
        <v>87.775378075197608</v>
      </c>
      <c r="C2171" s="25">
        <v>1.55</v>
      </c>
      <c r="D2171" s="78"/>
      <c r="E2171" s="77">
        <v>1E-3</v>
      </c>
      <c r="F2171" s="77">
        <v>1000</v>
      </c>
      <c r="G2171" s="76"/>
      <c r="H2171" s="78">
        <v>25</v>
      </c>
      <c r="I2171" s="77" t="s">
        <v>12</v>
      </c>
      <c r="J2171" s="14"/>
      <c r="K2171" s="78">
        <v>4.8601613047427197</v>
      </c>
    </row>
    <row r="2172" spans="1:11" ht="15.75" customHeight="1">
      <c r="A2172" s="77" t="s">
        <v>37</v>
      </c>
      <c r="B2172" s="80">
        <v>94.341251054190607</v>
      </c>
      <c r="C2172" s="25">
        <v>1.55</v>
      </c>
      <c r="D2172" s="78"/>
      <c r="E2172" s="77">
        <v>1E-3</v>
      </c>
      <c r="F2172" s="77">
        <v>1000</v>
      </c>
      <c r="G2172" s="76"/>
      <c r="H2172" s="78">
        <v>25</v>
      </c>
      <c r="I2172" s="77" t="s">
        <v>12</v>
      </c>
      <c r="J2172" s="14"/>
      <c r="K2172" s="78">
        <v>4.9499275567837397</v>
      </c>
    </row>
    <row r="2173" spans="1:11" ht="15.75" customHeight="1">
      <c r="A2173" s="77" t="s">
        <v>37</v>
      </c>
      <c r="B2173" s="80">
        <v>99.870422857927792</v>
      </c>
      <c r="C2173" s="25">
        <v>1.55</v>
      </c>
      <c r="D2173" s="78"/>
      <c r="E2173" s="77">
        <v>1E-3</v>
      </c>
      <c r="F2173" s="77">
        <v>1000</v>
      </c>
      <c r="G2173" s="76"/>
      <c r="H2173" s="78">
        <v>25</v>
      </c>
      <c r="I2173" s="77" t="s">
        <v>12</v>
      </c>
      <c r="J2173" s="14"/>
      <c r="K2173" s="78">
        <v>5.0217412775245602</v>
      </c>
    </row>
    <row r="2174" spans="1:11" ht="15.75" customHeight="1">
      <c r="A2174" s="77" t="s">
        <v>37</v>
      </c>
      <c r="B2174" s="80">
        <v>105.3995748878574</v>
      </c>
      <c r="C2174" s="25">
        <v>1.55</v>
      </c>
      <c r="D2174" s="78"/>
      <c r="E2174" s="77">
        <v>1E-3</v>
      </c>
      <c r="F2174" s="77">
        <v>1000</v>
      </c>
      <c r="G2174" s="76"/>
      <c r="H2174" s="78">
        <v>25</v>
      </c>
      <c r="I2174" s="77" t="s">
        <v>12</v>
      </c>
      <c r="J2174" s="14"/>
      <c r="K2174" s="78">
        <v>5.1294610881629303</v>
      </c>
    </row>
    <row r="2175" spans="1:11" ht="15.75" customHeight="1">
      <c r="A2175" s="77" t="s">
        <v>37</v>
      </c>
      <c r="B2175" s="80">
        <v>111.9654280930434</v>
      </c>
      <c r="C2175" s="25">
        <v>1.55</v>
      </c>
      <c r="D2175" s="78"/>
      <c r="E2175" s="77">
        <v>1E-3</v>
      </c>
      <c r="F2175" s="77">
        <v>1000</v>
      </c>
      <c r="G2175" s="76"/>
      <c r="H2175" s="78">
        <v>25</v>
      </c>
      <c r="I2175" s="77" t="s">
        <v>12</v>
      </c>
      <c r="J2175" s="14"/>
      <c r="K2175" s="78">
        <v>5.2371803851527199</v>
      </c>
    </row>
    <row r="2176" spans="1:11" ht="15.75" customHeight="1">
      <c r="A2176" s="77" t="s">
        <v>37</v>
      </c>
      <c r="B2176" s="80">
        <v>118.18575378742561</v>
      </c>
      <c r="C2176" s="25">
        <v>1.55</v>
      </c>
      <c r="D2176" s="78"/>
      <c r="E2176" s="77">
        <v>1E-3</v>
      </c>
      <c r="F2176" s="77">
        <v>1000</v>
      </c>
      <c r="G2176" s="76"/>
      <c r="H2176" s="78">
        <v>25</v>
      </c>
      <c r="I2176" s="77" t="s">
        <v>12</v>
      </c>
      <c r="J2176" s="14"/>
      <c r="K2176" s="78">
        <v>5.2730875023474102</v>
      </c>
    </row>
    <row r="2177" spans="1:11" ht="15.75" customHeight="1">
      <c r="A2177" s="77" t="s">
        <v>37</v>
      </c>
      <c r="B2177" s="80">
        <v>124.751606992611</v>
      </c>
      <c r="C2177" s="25">
        <v>1.55</v>
      </c>
      <c r="D2177" s="78"/>
      <c r="E2177" s="77">
        <v>1E-3</v>
      </c>
      <c r="F2177" s="77">
        <v>1000</v>
      </c>
      <c r="G2177" s="76"/>
      <c r="H2177" s="78">
        <v>25</v>
      </c>
      <c r="I2177" s="77" t="s">
        <v>12</v>
      </c>
      <c r="J2177" s="14"/>
      <c r="K2177" s="78">
        <v>5.3089941058935404</v>
      </c>
    </row>
    <row r="2178" spans="1:11" ht="15.75" customHeight="1">
      <c r="A2178" s="77" t="s">
        <v>37</v>
      </c>
      <c r="B2178" s="80">
        <v>130.9719326869932</v>
      </c>
      <c r="C2178" s="25">
        <v>1.55</v>
      </c>
      <c r="D2178" s="78"/>
      <c r="E2178" s="77">
        <v>1E-3</v>
      </c>
      <c r="F2178" s="77">
        <v>1000</v>
      </c>
      <c r="G2178" s="76"/>
      <c r="H2178" s="78">
        <v>25</v>
      </c>
      <c r="I2178" s="77" t="s">
        <v>12</v>
      </c>
      <c r="J2178" s="14"/>
      <c r="K2178" s="78">
        <v>5.3628542680370099</v>
      </c>
    </row>
    <row r="2179" spans="1:11" ht="15.75" customHeight="1">
      <c r="A2179" s="77" t="s">
        <v>37</v>
      </c>
      <c r="B2179" s="80">
        <v>137.53778589217919</v>
      </c>
      <c r="C2179" s="25">
        <v>1.55</v>
      </c>
      <c r="D2179" s="78"/>
      <c r="E2179" s="77">
        <v>1E-3</v>
      </c>
      <c r="F2179" s="77">
        <v>1000</v>
      </c>
      <c r="G2179" s="76"/>
      <c r="H2179" s="78">
        <v>25</v>
      </c>
      <c r="I2179" s="77" t="s">
        <v>12</v>
      </c>
      <c r="J2179" s="14"/>
      <c r="K2179" s="78">
        <v>5.3808073129857803</v>
      </c>
    </row>
    <row r="2180" spans="1:11" ht="15.75" customHeight="1">
      <c r="A2180" s="77" t="s">
        <v>37</v>
      </c>
      <c r="B2180" s="80">
        <v>143.7581115865608</v>
      </c>
      <c r="C2180" s="25">
        <v>1.55</v>
      </c>
      <c r="D2180" s="78"/>
      <c r="E2180" s="77">
        <v>1E-3</v>
      </c>
      <c r="F2180" s="77">
        <v>1000</v>
      </c>
      <c r="G2180" s="76"/>
      <c r="H2180" s="78">
        <v>25</v>
      </c>
      <c r="I2180" s="77" t="s">
        <v>12</v>
      </c>
      <c r="J2180" s="14"/>
      <c r="K2180" s="78">
        <v>5.4346674751292499</v>
      </c>
    </row>
    <row r="2181" spans="1:11" ht="15.75" customHeight="1">
      <c r="A2181" s="77" t="s">
        <v>37</v>
      </c>
      <c r="B2181" s="80">
        <v>149.97839773332839</v>
      </c>
      <c r="C2181" s="25">
        <v>1.55</v>
      </c>
      <c r="D2181" s="78"/>
      <c r="E2181" s="77">
        <v>1E-3</v>
      </c>
      <c r="F2181" s="77">
        <v>1000</v>
      </c>
      <c r="G2181" s="76"/>
      <c r="H2181" s="78">
        <v>25</v>
      </c>
      <c r="I2181" s="77" t="s">
        <v>12</v>
      </c>
      <c r="J2181" s="14"/>
      <c r="K2181" s="78">
        <v>5.5064801685729199</v>
      </c>
    </row>
    <row r="2182" spans="1:11" ht="15.75" customHeight="1">
      <c r="A2182" s="77" t="s">
        <v>37</v>
      </c>
      <c r="B2182" s="80">
        <v>155.507549763258</v>
      </c>
      <c r="C2182" s="25">
        <v>1.55</v>
      </c>
      <c r="D2182" s="78"/>
      <c r="E2182" s="77">
        <v>1E-3</v>
      </c>
      <c r="F2182" s="77">
        <v>1000</v>
      </c>
      <c r="G2182" s="76"/>
      <c r="H2182" s="78">
        <v>25</v>
      </c>
      <c r="I2182" s="77" t="s">
        <v>12</v>
      </c>
      <c r="J2182" s="14"/>
      <c r="K2182" s="78">
        <v>5.5962469342625196</v>
      </c>
    </row>
    <row r="2183" spans="1:11" ht="15.75" customHeight="1">
      <c r="A2183" s="77" t="s">
        <v>37</v>
      </c>
      <c r="B2183" s="80">
        <v>162.419009574477</v>
      </c>
      <c r="C2183" s="25">
        <v>1.55</v>
      </c>
      <c r="D2183" s="78"/>
      <c r="E2183" s="77">
        <v>1E-3</v>
      </c>
      <c r="F2183" s="77">
        <v>1000</v>
      </c>
      <c r="G2183" s="76"/>
      <c r="H2183" s="78">
        <v>25</v>
      </c>
      <c r="I2183" s="77" t="s">
        <v>12</v>
      </c>
      <c r="J2183" s="14"/>
      <c r="K2183" s="78">
        <v>5.6501070964059901</v>
      </c>
    </row>
    <row r="2184" spans="1:11" ht="15.75" customHeight="1">
      <c r="A2184" s="77" t="s">
        <v>37</v>
      </c>
      <c r="B2184" s="80">
        <v>168.2937286628256</v>
      </c>
      <c r="C2184" s="25">
        <v>1.55</v>
      </c>
      <c r="D2184" s="78"/>
      <c r="E2184" s="77">
        <v>1E-3</v>
      </c>
      <c r="F2184" s="77">
        <v>1000</v>
      </c>
      <c r="G2184" s="76"/>
      <c r="H2184" s="78">
        <v>25</v>
      </c>
      <c r="I2184" s="77" t="s">
        <v>12</v>
      </c>
      <c r="J2184" s="14"/>
      <c r="K2184" s="78">
        <v>5.6860131863035397</v>
      </c>
    </row>
    <row r="2185" spans="1:11" ht="15.75" customHeight="1">
      <c r="A2185" s="77" t="s">
        <v>37</v>
      </c>
      <c r="B2185" s="80">
        <v>174.85962141562621</v>
      </c>
      <c r="C2185" s="25">
        <v>1.55</v>
      </c>
      <c r="D2185" s="78"/>
      <c r="E2185" s="77">
        <v>1E-3</v>
      </c>
      <c r="F2185" s="77">
        <v>1000</v>
      </c>
      <c r="G2185" s="76"/>
      <c r="H2185" s="78">
        <v>25</v>
      </c>
      <c r="I2185" s="77" t="s">
        <v>12</v>
      </c>
      <c r="J2185" s="14"/>
      <c r="K2185" s="78">
        <v>5.6680606550033303</v>
      </c>
    </row>
    <row r="2186" spans="1:11" ht="15.75" customHeight="1">
      <c r="A2186" s="77" t="s">
        <v>37</v>
      </c>
      <c r="B2186" s="80">
        <v>181.0799075623932</v>
      </c>
      <c r="C2186" s="25">
        <v>1.55</v>
      </c>
      <c r="D2186" s="78"/>
      <c r="E2186" s="77">
        <v>1E-3</v>
      </c>
      <c r="F2186" s="77">
        <v>1000</v>
      </c>
      <c r="G2186" s="76"/>
      <c r="H2186" s="78">
        <v>25</v>
      </c>
      <c r="I2186" s="77" t="s">
        <v>12</v>
      </c>
      <c r="J2186" s="14"/>
      <c r="K2186" s="78">
        <v>5.7757799519931297</v>
      </c>
    </row>
    <row r="2187" spans="1:11" ht="15.75" customHeight="1">
      <c r="A2187" s="77" t="s">
        <v>37</v>
      </c>
      <c r="B2187" s="80">
        <v>187.30023325677541</v>
      </c>
      <c r="C2187" s="25">
        <v>1.55</v>
      </c>
      <c r="D2187" s="78"/>
      <c r="E2187" s="77">
        <v>1E-3</v>
      </c>
      <c r="F2187" s="77">
        <v>1000</v>
      </c>
      <c r="G2187" s="76"/>
      <c r="H2187" s="78">
        <v>25</v>
      </c>
      <c r="I2187" s="77" t="s">
        <v>12</v>
      </c>
      <c r="J2187" s="14"/>
      <c r="K2187" s="78">
        <v>5.7757799519931297</v>
      </c>
    </row>
    <row r="2188" spans="1:11" ht="15.75" customHeight="1">
      <c r="A2188" s="77" t="s">
        <v>37</v>
      </c>
      <c r="B2188" s="80">
        <v>193.17495234512398</v>
      </c>
      <c r="C2188" s="25">
        <v>1.55</v>
      </c>
      <c r="D2188" s="78"/>
      <c r="E2188" s="77">
        <v>1E-3</v>
      </c>
      <c r="F2188" s="77">
        <v>1000</v>
      </c>
      <c r="G2188" s="76"/>
      <c r="H2188" s="78">
        <v>25</v>
      </c>
      <c r="I2188" s="77" t="s">
        <v>12</v>
      </c>
      <c r="J2188" s="14"/>
      <c r="K2188" s="78">
        <v>5.8655467176827196</v>
      </c>
    </row>
    <row r="2189" spans="1:11" ht="15.75" customHeight="1">
      <c r="A2189" s="77" t="s">
        <v>37</v>
      </c>
      <c r="B2189" s="80">
        <v>199.04967143347201</v>
      </c>
      <c r="C2189" s="25">
        <v>1.55</v>
      </c>
      <c r="D2189" s="78"/>
      <c r="E2189" s="77">
        <v>1E-3</v>
      </c>
      <c r="F2189" s="77">
        <v>1000</v>
      </c>
      <c r="G2189" s="76"/>
      <c r="H2189" s="78">
        <v>25</v>
      </c>
      <c r="I2189" s="77" t="s">
        <v>12</v>
      </c>
      <c r="J2189" s="14"/>
      <c r="K2189" s="78">
        <v>5.7937340242390496</v>
      </c>
    </row>
    <row r="2190" spans="1:11" ht="15.75" customHeight="1">
      <c r="A2190" s="77" t="s">
        <v>37</v>
      </c>
      <c r="B2190" s="80">
        <v>205.2699971278542</v>
      </c>
      <c r="C2190" s="25">
        <v>1.55</v>
      </c>
      <c r="D2190" s="78"/>
      <c r="E2190" s="77">
        <v>1E-3</v>
      </c>
      <c r="F2190" s="77">
        <v>1000</v>
      </c>
      <c r="G2190" s="76"/>
      <c r="H2190" s="78">
        <v>25</v>
      </c>
      <c r="I2190" s="77" t="s">
        <v>12</v>
      </c>
      <c r="J2190" s="14"/>
      <c r="K2190" s="78">
        <v>6.0091731318672101</v>
      </c>
    </row>
    <row r="2191" spans="1:11" ht="15.75" customHeight="1">
      <c r="A2191" s="77" t="s">
        <v>37</v>
      </c>
      <c r="B2191" s="80">
        <v>24.694537832287981</v>
      </c>
      <c r="C2191" s="25">
        <v>0.79</v>
      </c>
      <c r="D2191" s="78"/>
      <c r="E2191" s="77">
        <v>1E-3</v>
      </c>
      <c r="F2191" s="77">
        <v>1000</v>
      </c>
      <c r="G2191" s="76"/>
      <c r="H2191" s="78">
        <v>25</v>
      </c>
      <c r="I2191" s="77" t="s">
        <v>12</v>
      </c>
      <c r="J2191" s="14"/>
      <c r="K2191" s="78">
        <v>3.4137929314618201</v>
      </c>
    </row>
    <row r="2192" spans="1:11" ht="15.75" customHeight="1">
      <c r="A2192" s="77" t="s">
        <v>37</v>
      </c>
      <c r="B2192" s="80">
        <v>37.427638203343918</v>
      </c>
      <c r="C2192" s="25">
        <v>0.79</v>
      </c>
      <c r="D2192" s="76"/>
      <c r="E2192" s="77">
        <v>1E-3</v>
      </c>
      <c r="F2192" s="77">
        <v>1000</v>
      </c>
      <c r="G2192" s="76"/>
      <c r="H2192" s="78">
        <v>25</v>
      </c>
      <c r="I2192" s="77" t="s">
        <v>12</v>
      </c>
      <c r="J2192" s="14"/>
      <c r="K2192" s="78">
        <v>3.6379309520332002</v>
      </c>
    </row>
    <row r="2193" spans="1:11" ht="15.75" customHeight="1">
      <c r="A2193" s="77" t="s">
        <v>37</v>
      </c>
      <c r="B2193" s="80">
        <v>49.774921838575978</v>
      </c>
      <c r="C2193" s="25">
        <v>0.79</v>
      </c>
      <c r="D2193" s="76"/>
      <c r="E2193" s="77">
        <v>1E-3</v>
      </c>
      <c r="F2193" s="77">
        <v>1000</v>
      </c>
      <c r="G2193" s="76"/>
      <c r="H2193" s="78">
        <v>25</v>
      </c>
      <c r="I2193" s="77" t="s">
        <v>12</v>
      </c>
      <c r="J2193" s="14"/>
      <c r="K2193" s="78">
        <v>3.8160917853439602</v>
      </c>
    </row>
    <row r="2194" spans="1:11" ht="15.75" customHeight="1">
      <c r="A2194" s="77" t="s">
        <v>37</v>
      </c>
      <c r="B2194" s="80">
        <v>18.52091300551788</v>
      </c>
      <c r="C2194" s="25">
        <v>0.97</v>
      </c>
      <c r="D2194" s="76"/>
      <c r="E2194" s="77">
        <v>1E-3</v>
      </c>
      <c r="F2194" s="77">
        <v>1000</v>
      </c>
      <c r="G2194" s="76"/>
      <c r="H2194" s="78">
        <v>25</v>
      </c>
      <c r="I2194" s="77" t="s">
        <v>12</v>
      </c>
      <c r="J2194" s="14"/>
      <c r="K2194" s="25">
        <v>3.8665709571681801</v>
      </c>
    </row>
    <row r="2195" spans="1:11" ht="15.75" customHeight="1">
      <c r="A2195" s="77" t="s">
        <v>37</v>
      </c>
      <c r="B2195" s="80">
        <v>24.69454086129732</v>
      </c>
      <c r="C2195" s="25">
        <v>0.97</v>
      </c>
      <c r="D2195" s="76"/>
      <c r="E2195" s="77">
        <v>1E-3</v>
      </c>
      <c r="F2195" s="77">
        <v>1000</v>
      </c>
      <c r="G2195" s="76"/>
      <c r="H2195" s="78">
        <v>25</v>
      </c>
      <c r="I2195" s="77" t="s">
        <v>12</v>
      </c>
      <c r="J2195" s="14"/>
      <c r="K2195" s="25">
        <v>3.8837873377359702</v>
      </c>
    </row>
    <row r="2196" spans="1:11" ht="15.75" customHeight="1">
      <c r="A2196" s="77" t="s">
        <v>37</v>
      </c>
      <c r="B2196" s="80">
        <v>30.86816871707676</v>
      </c>
      <c r="C2196" s="25">
        <v>0.97</v>
      </c>
      <c r="D2196" s="76"/>
      <c r="E2196" s="77">
        <v>1E-3</v>
      </c>
      <c r="F2196" s="77">
        <v>1000</v>
      </c>
      <c r="G2196" s="76"/>
      <c r="H2196" s="78">
        <v>25</v>
      </c>
      <c r="I2196" s="77" t="s">
        <v>12</v>
      </c>
      <c r="J2196" s="14"/>
      <c r="K2196" s="25">
        <v>3.9469153800101502</v>
      </c>
    </row>
    <row r="2197" spans="1:11" ht="15.75" customHeight="1">
      <c r="A2197" s="77" t="s">
        <v>37</v>
      </c>
      <c r="B2197" s="80">
        <v>37.041796572856143</v>
      </c>
      <c r="C2197" s="25">
        <v>0.97</v>
      </c>
      <c r="D2197" s="76"/>
      <c r="E2197" s="77">
        <v>1E-3</v>
      </c>
      <c r="F2197" s="77">
        <v>1000</v>
      </c>
      <c r="G2197" s="76"/>
      <c r="H2197" s="78">
        <v>25</v>
      </c>
      <c r="I2197" s="77" t="s">
        <v>12</v>
      </c>
      <c r="J2197" s="14"/>
      <c r="K2197" s="25">
        <v>3.9870873725101901</v>
      </c>
    </row>
    <row r="2198" spans="1:11" ht="15.75" customHeight="1">
      <c r="A2198" s="77" t="s">
        <v>37</v>
      </c>
      <c r="B2198" s="80">
        <v>43.98714630947034</v>
      </c>
      <c r="C2198" s="25">
        <v>0.97</v>
      </c>
      <c r="D2198" s="76"/>
      <c r="E2198" s="77">
        <v>1E-3</v>
      </c>
      <c r="F2198" s="77">
        <v>1000</v>
      </c>
      <c r="G2198" s="76"/>
      <c r="H2198" s="78">
        <v>25</v>
      </c>
      <c r="I2198" s="77" t="s">
        <v>12</v>
      </c>
      <c r="J2198" s="14"/>
      <c r="K2198" s="25">
        <v>4.0903871883634704</v>
      </c>
    </row>
    <row r="2199" spans="1:11" ht="15.75" customHeight="1">
      <c r="A2199" s="77" t="s">
        <v>37</v>
      </c>
      <c r="B2199" s="80">
        <v>49.389081722594703</v>
      </c>
      <c r="C2199" s="25">
        <v>0.97</v>
      </c>
      <c r="D2199" s="76"/>
      <c r="E2199" s="77">
        <v>1E-3</v>
      </c>
      <c r="F2199" s="77">
        <v>1000</v>
      </c>
      <c r="G2199" s="76"/>
      <c r="H2199" s="78">
        <v>25</v>
      </c>
      <c r="I2199" s="77" t="s">
        <v>12</v>
      </c>
      <c r="J2199" s="14"/>
      <c r="K2199" s="25">
        <v>4.14777599927318</v>
      </c>
    </row>
    <row r="2200" spans="1:11" ht="15.75" customHeight="1">
      <c r="A2200" s="77" t="s">
        <v>37</v>
      </c>
      <c r="B2200" s="80">
        <v>56.334402021029156</v>
      </c>
      <c r="C2200" s="25">
        <v>0.97</v>
      </c>
      <c r="D2200" s="76"/>
      <c r="E2200" s="77">
        <v>1E-3</v>
      </c>
      <c r="F2200" s="77">
        <v>1000</v>
      </c>
      <c r="G2200" s="76"/>
      <c r="H2200" s="78">
        <v>25</v>
      </c>
      <c r="I2200" s="77" t="s">
        <v>12</v>
      </c>
      <c r="J2200" s="14"/>
      <c r="K2200" s="25">
        <v>4.22238162859255</v>
      </c>
    </row>
    <row r="2201" spans="1:11" ht="15.75" customHeight="1">
      <c r="A2201" s="77" t="s">
        <v>37</v>
      </c>
      <c r="B2201" s="80">
        <v>61.736337434153398</v>
      </c>
      <c r="C2201" s="25">
        <v>0.97</v>
      </c>
      <c r="D2201" s="76"/>
      <c r="E2201" s="77">
        <v>1E-3</v>
      </c>
      <c r="F2201" s="77">
        <v>1000</v>
      </c>
      <c r="G2201" s="76"/>
      <c r="H2201" s="78">
        <v>25</v>
      </c>
      <c r="I2201" s="77" t="s">
        <v>12</v>
      </c>
      <c r="J2201" s="14"/>
      <c r="K2201" s="25">
        <v>4.2740314270587199</v>
      </c>
    </row>
    <row r="2202" spans="1:11" ht="15.75" customHeight="1">
      <c r="A2202" s="77" t="s">
        <v>37</v>
      </c>
      <c r="B2202" s="80">
        <v>68.681687170767603</v>
      </c>
      <c r="C2202" s="25">
        <v>0.97</v>
      </c>
      <c r="D2202" s="76"/>
      <c r="E2202" s="77">
        <v>1E-3</v>
      </c>
      <c r="F2202" s="77">
        <v>1000</v>
      </c>
      <c r="G2202" s="76"/>
      <c r="H2202" s="78">
        <v>25</v>
      </c>
      <c r="I2202" s="77" t="s">
        <v>12</v>
      </c>
      <c r="J2202" s="14"/>
      <c r="K2202" s="25">
        <v>4.3486368374571498</v>
      </c>
    </row>
    <row r="2203" spans="1:11" ht="15.75" customHeight="1">
      <c r="A2203" s="77" t="s">
        <v>37</v>
      </c>
      <c r="B2203" s="80">
        <v>74.469468805219208</v>
      </c>
      <c r="C2203" s="25">
        <v>0.97</v>
      </c>
      <c r="D2203" s="76"/>
      <c r="E2203" s="77">
        <v>1E-3</v>
      </c>
      <c r="F2203" s="77">
        <v>1000</v>
      </c>
      <c r="G2203" s="76"/>
      <c r="H2203" s="78">
        <v>25</v>
      </c>
      <c r="I2203" s="77" t="s">
        <v>12</v>
      </c>
      <c r="J2203" s="14"/>
      <c r="K2203" s="25">
        <v>4.4060256483668603</v>
      </c>
    </row>
    <row r="2204" spans="1:11" ht="15.75" customHeight="1">
      <c r="A2204" s="77" t="s">
        <v>37</v>
      </c>
      <c r="B2204" s="80">
        <v>81.028942882326007</v>
      </c>
      <c r="C2204" s="25">
        <v>0.97</v>
      </c>
      <c r="D2204" s="76"/>
      <c r="E2204" s="77">
        <v>1E-3</v>
      </c>
      <c r="F2204" s="77">
        <v>1000</v>
      </c>
      <c r="G2204" s="76"/>
      <c r="H2204" s="78">
        <v>25</v>
      </c>
      <c r="I2204" s="77" t="s">
        <v>12</v>
      </c>
      <c r="J2204" s="14"/>
      <c r="K2204" s="25">
        <v>4.4863696333669401</v>
      </c>
    </row>
    <row r="2205" spans="1:11" ht="15.75" customHeight="1">
      <c r="A2205" s="77" t="s">
        <v>37</v>
      </c>
      <c r="B2205" s="80">
        <v>87.5884463976126</v>
      </c>
      <c r="C2205" s="25">
        <v>0.97</v>
      </c>
      <c r="D2205" s="76"/>
      <c r="E2205" s="77">
        <v>1E-3</v>
      </c>
      <c r="F2205" s="77">
        <v>1000</v>
      </c>
      <c r="G2205" s="76"/>
      <c r="H2205" s="78">
        <v>25</v>
      </c>
      <c r="I2205" s="77" t="s">
        <v>12</v>
      </c>
      <c r="J2205" s="14"/>
      <c r="K2205" s="25">
        <v>4.5552366880846602</v>
      </c>
    </row>
    <row r="2206" spans="1:11" ht="15.75" customHeight="1">
      <c r="A2206" s="77" t="s">
        <v>37</v>
      </c>
      <c r="B2206" s="80">
        <v>93.376228032064802</v>
      </c>
      <c r="C2206" s="25">
        <v>0.97</v>
      </c>
      <c r="D2206" s="76"/>
      <c r="E2206" s="77">
        <v>1E-3</v>
      </c>
      <c r="F2206" s="77">
        <v>1000</v>
      </c>
      <c r="G2206" s="76"/>
      <c r="H2206" s="78">
        <v>25</v>
      </c>
      <c r="I2206" s="77" t="s">
        <v>12</v>
      </c>
      <c r="J2206" s="14"/>
      <c r="K2206" s="25">
        <v>4.6068864865508301</v>
      </c>
    </row>
    <row r="2207" spans="1:11" ht="15.75" customHeight="1">
      <c r="A2207" s="77" t="s">
        <v>37</v>
      </c>
      <c r="B2207" s="80">
        <v>99.935702109171586</v>
      </c>
      <c r="C2207" s="25">
        <v>0.97</v>
      </c>
      <c r="D2207" s="76"/>
      <c r="E2207" s="77">
        <v>1E-3</v>
      </c>
      <c r="F2207" s="77">
        <v>1000</v>
      </c>
      <c r="G2207" s="76"/>
      <c r="H2207" s="78">
        <v>25</v>
      </c>
      <c r="I2207" s="77" t="s">
        <v>12</v>
      </c>
      <c r="J2207" s="14"/>
      <c r="K2207" s="25">
        <v>4.6642752974605299</v>
      </c>
    </row>
    <row r="2208" spans="1:11" ht="15.75" customHeight="1">
      <c r="A2208" s="77" t="s">
        <v>37</v>
      </c>
      <c r="B2208" s="80">
        <v>104.95179130096861</v>
      </c>
      <c r="C2208" s="25">
        <v>0.97</v>
      </c>
      <c r="D2208" s="76"/>
      <c r="E2208" s="77">
        <v>1E-3</v>
      </c>
      <c r="F2208" s="77">
        <v>1000</v>
      </c>
      <c r="G2208" s="76"/>
      <c r="H2208" s="78">
        <v>25</v>
      </c>
      <c r="I2208" s="77" t="s">
        <v>12</v>
      </c>
      <c r="J2208" s="14"/>
      <c r="K2208" s="25">
        <v>4.6470586979718096</v>
      </c>
    </row>
    <row r="2209" spans="1:11" ht="15.75" customHeight="1">
      <c r="A2209" s="77" t="s">
        <v>37</v>
      </c>
      <c r="B2209" s="80">
        <v>112.28295782073059</v>
      </c>
      <c r="C2209" s="25">
        <v>0.97</v>
      </c>
      <c r="D2209" s="76"/>
      <c r="E2209" s="77">
        <v>1E-3</v>
      </c>
      <c r="F2209" s="77">
        <v>1000</v>
      </c>
      <c r="G2209" s="76"/>
      <c r="H2209" s="78">
        <v>25</v>
      </c>
      <c r="I2209" s="77" t="s">
        <v>12</v>
      </c>
      <c r="J2209" s="14"/>
      <c r="K2209" s="25">
        <v>4.6757531034266604</v>
      </c>
    </row>
    <row r="2210" spans="1:11" ht="15.75" customHeight="1">
      <c r="A2210" s="77" t="s">
        <v>37</v>
      </c>
      <c r="B2210" s="80">
        <v>118.4566151146896</v>
      </c>
      <c r="C2210" s="25">
        <v>0.97</v>
      </c>
      <c r="D2210" s="76"/>
      <c r="E2210" s="77">
        <v>1E-3</v>
      </c>
      <c r="F2210" s="77">
        <v>1000</v>
      </c>
      <c r="G2210" s="76"/>
      <c r="H2210" s="78">
        <v>25</v>
      </c>
      <c r="I2210" s="77" t="s">
        <v>12</v>
      </c>
      <c r="J2210" s="14"/>
      <c r="K2210" s="25">
        <v>4.7847919317234799</v>
      </c>
    </row>
    <row r="2211" spans="1:11" ht="15.75" customHeight="1">
      <c r="A2211" s="77" t="s">
        <v>37</v>
      </c>
      <c r="B2211" s="80">
        <v>124.6302429704688</v>
      </c>
      <c r="C2211" s="25">
        <v>0.97</v>
      </c>
      <c r="D2211" s="76"/>
      <c r="E2211" s="77">
        <v>1E-3</v>
      </c>
      <c r="F2211" s="77">
        <v>1000</v>
      </c>
      <c r="G2211" s="76"/>
      <c r="H2211" s="78">
        <v>25</v>
      </c>
      <c r="I2211" s="77" t="s">
        <v>12</v>
      </c>
      <c r="J2211" s="14"/>
      <c r="K2211" s="25">
        <v>4.8364417301896498</v>
      </c>
    </row>
    <row r="2212" spans="1:11" ht="15.75" customHeight="1">
      <c r="A2212" s="77" t="s">
        <v>37</v>
      </c>
      <c r="B2212" s="80">
        <v>130.80387082624861</v>
      </c>
      <c r="C2212" s="25">
        <v>0.97</v>
      </c>
      <c r="D2212" s="76"/>
      <c r="E2212" s="77">
        <v>1E-3</v>
      </c>
      <c r="F2212" s="77">
        <v>1000</v>
      </c>
      <c r="G2212" s="76"/>
      <c r="H2212" s="78">
        <v>25</v>
      </c>
      <c r="I2212" s="77" t="s">
        <v>12</v>
      </c>
      <c r="J2212" s="14"/>
      <c r="K2212" s="25">
        <v>4.9110473595090198</v>
      </c>
    </row>
    <row r="2213" spans="1:11" ht="15.75" customHeight="1">
      <c r="A2213" s="77" t="s">
        <v>37</v>
      </c>
      <c r="B2213" s="80">
        <v>136.9774986820278</v>
      </c>
      <c r="C2213" s="25">
        <v>0.97</v>
      </c>
      <c r="D2213" s="76"/>
      <c r="E2213" s="77">
        <v>1E-3</v>
      </c>
      <c r="F2213" s="77">
        <v>1000</v>
      </c>
      <c r="G2213" s="76"/>
      <c r="H2213" s="78">
        <v>25</v>
      </c>
      <c r="I2213" s="77" t="s">
        <v>12</v>
      </c>
      <c r="J2213" s="14"/>
      <c r="K2213" s="25">
        <v>5.0086081629187698</v>
      </c>
    </row>
    <row r="2214" spans="1:11" ht="15.75" customHeight="1">
      <c r="A2214" s="77" t="s">
        <v>37</v>
      </c>
      <c r="B2214" s="80">
        <v>144.30869463996962</v>
      </c>
      <c r="C2214" s="25">
        <v>0.97</v>
      </c>
      <c r="D2214" s="76"/>
      <c r="E2214" s="77">
        <v>1E-3</v>
      </c>
      <c r="F2214" s="77">
        <v>1000</v>
      </c>
      <c r="G2214" s="76"/>
      <c r="H2214" s="78">
        <v>25</v>
      </c>
      <c r="I2214" s="77" t="s">
        <v>12</v>
      </c>
      <c r="J2214" s="14"/>
      <c r="K2214" s="25">
        <v>5.0946913792833302</v>
      </c>
    </row>
    <row r="2215" spans="1:11" ht="15.75" customHeight="1">
      <c r="A2215" s="77" t="s">
        <v>37</v>
      </c>
      <c r="B2215" s="80">
        <v>148.9389081722592</v>
      </c>
      <c r="C2215" s="25">
        <v>0.97</v>
      </c>
      <c r="D2215" s="76"/>
      <c r="E2215" s="77">
        <v>1E-3</v>
      </c>
      <c r="F2215" s="77">
        <v>1000</v>
      </c>
      <c r="G2215" s="76"/>
      <c r="H2215" s="78">
        <v>25</v>
      </c>
      <c r="I2215" s="77" t="s">
        <v>12</v>
      </c>
      <c r="J2215" s="14"/>
      <c r="K2215" s="78">
        <v>5.1635579961591596</v>
      </c>
    </row>
    <row r="2216" spans="1:11" ht="15.75" customHeight="1">
      <c r="A2216" s="77" t="s">
        <v>37</v>
      </c>
      <c r="B2216" s="80">
        <v>155.1125654662182</v>
      </c>
      <c r="C2216" s="25">
        <v>0.97</v>
      </c>
      <c r="D2216" s="76"/>
      <c r="E2216" s="77">
        <v>1E-3</v>
      </c>
      <c r="F2216" s="77">
        <v>1000</v>
      </c>
      <c r="G2216" s="76"/>
      <c r="H2216" s="78">
        <v>25</v>
      </c>
      <c r="I2216" s="77" t="s">
        <v>12</v>
      </c>
      <c r="J2216" s="14"/>
      <c r="K2216" s="78">
        <v>5.2152080135462802</v>
      </c>
    </row>
    <row r="2217" spans="1:11" ht="15.75" customHeight="1">
      <c r="A2217" s="77" t="s">
        <v>37</v>
      </c>
      <c r="B2217" s="80">
        <v>161.67203954332501</v>
      </c>
      <c r="C2217" s="25">
        <v>0.97</v>
      </c>
      <c r="D2217" s="76"/>
      <c r="E2217" s="77">
        <v>1E-3</v>
      </c>
      <c r="F2217" s="77">
        <v>1000</v>
      </c>
      <c r="G2217" s="76"/>
      <c r="H2217" s="78">
        <v>25</v>
      </c>
      <c r="I2217" s="77" t="s">
        <v>12</v>
      </c>
      <c r="J2217" s="14"/>
      <c r="K2217" s="78">
        <v>5.2840746304221096</v>
      </c>
    </row>
    <row r="2218" spans="1:11" ht="15.75" customHeight="1">
      <c r="A2218" s="77" t="s">
        <v>37</v>
      </c>
      <c r="B2218" s="80">
        <v>168.6173892799392</v>
      </c>
      <c r="C2218" s="25">
        <v>0.97</v>
      </c>
      <c r="D2218" s="76"/>
      <c r="E2218" s="77">
        <v>1E-3</v>
      </c>
      <c r="F2218" s="77">
        <v>1000</v>
      </c>
      <c r="G2218" s="76"/>
      <c r="H2218" s="78">
        <v>25</v>
      </c>
      <c r="I2218" s="77" t="s">
        <v>12</v>
      </c>
      <c r="J2218" s="14"/>
      <c r="K2218" s="78">
        <v>5.2840746304221096</v>
      </c>
    </row>
    <row r="2219" spans="1:11" ht="15.75" customHeight="1">
      <c r="A2219" s="77" t="s">
        <v>37</v>
      </c>
      <c r="B2219" s="80">
        <v>174.79101713571902</v>
      </c>
      <c r="C2219" s="25">
        <v>0.97</v>
      </c>
      <c r="D2219" s="76"/>
      <c r="E2219" s="77">
        <v>1E-3</v>
      </c>
      <c r="F2219" s="77">
        <v>1000</v>
      </c>
      <c r="G2219" s="76"/>
      <c r="H2219" s="78">
        <v>25</v>
      </c>
      <c r="I2219" s="77" t="s">
        <v>12</v>
      </c>
      <c r="J2219" s="14"/>
      <c r="K2219" s="78">
        <v>5.3127690358769604</v>
      </c>
    </row>
    <row r="2220" spans="1:11" ht="15.75" customHeight="1">
      <c r="A2220" s="77" t="s">
        <v>37</v>
      </c>
      <c r="B2220" s="80">
        <v>180.57879877017061</v>
      </c>
      <c r="C2220" s="25">
        <v>0.97</v>
      </c>
      <c r="D2220" s="76"/>
      <c r="E2220" s="77">
        <v>1E-3</v>
      </c>
      <c r="F2220" s="77">
        <v>1000</v>
      </c>
      <c r="G2220" s="76"/>
      <c r="H2220" s="78">
        <v>25</v>
      </c>
      <c r="I2220" s="77" t="s">
        <v>12</v>
      </c>
      <c r="J2220" s="14"/>
      <c r="K2220" s="78">
        <v>5.4103298392867103</v>
      </c>
    </row>
    <row r="2221" spans="1:11" ht="15.75" customHeight="1">
      <c r="A2221" s="77" t="s">
        <v>37</v>
      </c>
      <c r="B2221" s="80">
        <v>186.75242662594979</v>
      </c>
      <c r="C2221" s="25">
        <v>0.97</v>
      </c>
      <c r="D2221" s="76"/>
      <c r="E2221" s="77">
        <v>1E-3</v>
      </c>
      <c r="F2221" s="77">
        <v>1000</v>
      </c>
      <c r="G2221" s="76"/>
      <c r="H2221" s="78">
        <v>25</v>
      </c>
      <c r="I2221" s="77" t="s">
        <v>12</v>
      </c>
      <c r="J2221" s="14"/>
      <c r="K2221" s="78">
        <v>5.4103298392867103</v>
      </c>
    </row>
    <row r="2222" spans="1:11" ht="15.75" customHeight="1">
      <c r="A2222" s="77" t="s">
        <v>37</v>
      </c>
      <c r="B2222" s="80">
        <v>193.69777636256399</v>
      </c>
      <c r="C2222" s="25">
        <v>0.97</v>
      </c>
      <c r="D2222" s="76"/>
      <c r="E2222" s="77">
        <v>1E-3</v>
      </c>
      <c r="F2222" s="77">
        <v>1000</v>
      </c>
      <c r="G2222" s="76"/>
      <c r="H2222" s="78">
        <v>25</v>
      </c>
      <c r="I2222" s="77" t="s">
        <v>12</v>
      </c>
      <c r="J2222" s="14"/>
      <c r="K2222" s="78">
        <v>5.4505020507076898</v>
      </c>
    </row>
    <row r="2223" spans="1:11" ht="15.75" customHeight="1">
      <c r="A2223" s="77" t="s">
        <v>37</v>
      </c>
      <c r="B2223" s="80">
        <v>198.7138361161812</v>
      </c>
      <c r="C2223" s="25">
        <v>0.97</v>
      </c>
      <c r="D2223" s="76"/>
      <c r="E2223" s="77">
        <v>1E-3</v>
      </c>
      <c r="F2223" s="77">
        <v>1000</v>
      </c>
      <c r="G2223" s="76"/>
      <c r="H2223" s="78">
        <v>25</v>
      </c>
      <c r="I2223" s="77" t="s">
        <v>12</v>
      </c>
      <c r="J2223" s="14"/>
      <c r="K2223" s="78">
        <v>5.5480630730383798</v>
      </c>
    </row>
    <row r="2224" spans="1:11" ht="15.75" customHeight="1">
      <c r="A2224" s="77" t="s">
        <v>37</v>
      </c>
      <c r="B2224" s="80">
        <v>206.04503207412301</v>
      </c>
      <c r="C2224" s="25">
        <v>0.97</v>
      </c>
      <c r="D2224" s="76"/>
      <c r="E2224" s="77">
        <v>1E-3</v>
      </c>
      <c r="F2224" s="77">
        <v>1000</v>
      </c>
      <c r="G2224" s="76"/>
      <c r="H2224" s="78">
        <v>25</v>
      </c>
      <c r="I2224" s="77" t="s">
        <v>12</v>
      </c>
      <c r="J2224" s="14"/>
      <c r="K2224" s="78">
        <v>5.5480630730383798</v>
      </c>
    </row>
    <row r="2225" spans="1:11" ht="15.75" customHeight="1">
      <c r="A2225" s="77" t="s">
        <v>37</v>
      </c>
      <c r="B2225" s="80">
        <v>24.308694639969779</v>
      </c>
      <c r="C2225" s="25">
        <v>1.19</v>
      </c>
      <c r="D2225" s="26"/>
      <c r="E2225" s="77">
        <v>1E-3</v>
      </c>
      <c r="F2225" s="77">
        <v>1000</v>
      </c>
      <c r="G2225" s="76"/>
      <c r="H2225" s="78">
        <v>25</v>
      </c>
      <c r="I2225" s="77" t="s">
        <v>12</v>
      </c>
      <c r="J2225" s="14"/>
      <c r="K2225" s="25">
        <v>4.0616927829086196</v>
      </c>
    </row>
    <row r="2226" spans="1:11" ht="15.75" customHeight="1">
      <c r="A2226" s="77" t="s">
        <v>37</v>
      </c>
      <c r="B2226" s="80">
        <v>30.86816871707676</v>
      </c>
      <c r="C2226" s="25">
        <v>1.19</v>
      </c>
      <c r="D2226" s="26"/>
      <c r="E2226" s="77">
        <v>1E-3</v>
      </c>
      <c r="F2226" s="77">
        <v>1000</v>
      </c>
      <c r="G2226" s="76"/>
      <c r="H2226" s="78">
        <v>25</v>
      </c>
      <c r="I2226" s="77" t="s">
        <v>12</v>
      </c>
      <c r="J2226" s="14"/>
      <c r="K2226" s="25">
        <v>4.1133423624538503</v>
      </c>
    </row>
    <row r="2227" spans="1:11" ht="15.75" customHeight="1">
      <c r="A2227" s="77" t="s">
        <v>37</v>
      </c>
      <c r="B2227" s="80">
        <v>37.041796572856143</v>
      </c>
      <c r="C2227" s="25">
        <v>1.19</v>
      </c>
      <c r="D2227" s="26"/>
      <c r="E2227" s="77">
        <v>1E-3</v>
      </c>
      <c r="F2227" s="77">
        <v>1000</v>
      </c>
      <c r="G2227" s="76"/>
      <c r="H2227" s="78">
        <v>25</v>
      </c>
      <c r="I2227" s="77" t="s">
        <v>12</v>
      </c>
      <c r="J2227" s="14"/>
      <c r="K2227" s="25">
        <v>4.1305593997844499</v>
      </c>
    </row>
    <row r="2228" spans="1:11" ht="15.75" customHeight="1">
      <c r="A2228" s="77" t="s">
        <v>37</v>
      </c>
      <c r="B2228" s="80">
        <v>43.601300088142743</v>
      </c>
      <c r="C2228" s="25">
        <v>1.19</v>
      </c>
      <c r="D2228" s="26"/>
      <c r="E2228" s="77">
        <v>1E-3</v>
      </c>
      <c r="F2228" s="77">
        <v>1000</v>
      </c>
      <c r="G2228" s="76"/>
      <c r="H2228" s="78">
        <v>25</v>
      </c>
      <c r="I2228" s="77" t="s">
        <v>12</v>
      </c>
      <c r="J2228" s="14"/>
      <c r="K2228" s="25">
        <v>4.2051648101828798</v>
      </c>
    </row>
    <row r="2229" spans="1:11" ht="15.75" customHeight="1">
      <c r="A2229" s="77" t="s">
        <v>37</v>
      </c>
      <c r="B2229" s="80">
        <v>49.003235501267156</v>
      </c>
      <c r="C2229" s="25">
        <v>1.19</v>
      </c>
      <c r="D2229" s="26"/>
      <c r="E2229" s="77">
        <v>1E-3</v>
      </c>
      <c r="F2229" s="77">
        <v>1000</v>
      </c>
      <c r="G2229" s="76"/>
      <c r="H2229" s="78">
        <v>25</v>
      </c>
      <c r="I2229" s="77" t="s">
        <v>12</v>
      </c>
      <c r="J2229" s="14"/>
      <c r="K2229" s="25">
        <v>4.2969870389909799</v>
      </c>
    </row>
    <row r="2230" spans="1:11" ht="15.75" customHeight="1">
      <c r="A2230" s="77" t="s">
        <v>37</v>
      </c>
      <c r="B2230" s="80">
        <v>56.334402021029156</v>
      </c>
      <c r="C2230" s="25">
        <v>1.19</v>
      </c>
      <c r="D2230" s="26"/>
      <c r="E2230" s="77">
        <v>1E-3</v>
      </c>
      <c r="F2230" s="77">
        <v>1000</v>
      </c>
      <c r="G2230" s="76"/>
      <c r="H2230" s="78">
        <v>25</v>
      </c>
      <c r="I2230" s="77" t="s">
        <v>12</v>
      </c>
      <c r="J2230" s="14"/>
      <c r="K2230" s="25">
        <v>4.3773312429119997</v>
      </c>
    </row>
    <row r="2231" spans="1:11" ht="15.75" customHeight="1">
      <c r="A2231" s="77" t="s">
        <v>37</v>
      </c>
      <c r="B2231" s="80">
        <v>61.350491212825801</v>
      </c>
      <c r="C2231" s="25">
        <v>1.19</v>
      </c>
      <c r="D2231" s="26"/>
      <c r="E2231" s="77">
        <v>1E-3</v>
      </c>
      <c r="F2231" s="77">
        <v>1000</v>
      </c>
      <c r="G2231" s="76"/>
      <c r="H2231" s="78">
        <v>25</v>
      </c>
      <c r="I2231" s="77" t="s">
        <v>12</v>
      </c>
      <c r="J2231" s="14"/>
      <c r="K2231" s="25">
        <v>4.4117646608103902</v>
      </c>
    </row>
    <row r="2232" spans="1:11" ht="15.75" customHeight="1">
      <c r="A2232" s="77" t="s">
        <v>37</v>
      </c>
      <c r="B2232" s="80">
        <v>68.681687170767603</v>
      </c>
      <c r="C2232" s="25">
        <v>1.19</v>
      </c>
      <c r="D2232" s="26"/>
      <c r="E2232" s="77">
        <v>1E-3</v>
      </c>
      <c r="F2232" s="77">
        <v>1000</v>
      </c>
      <c r="G2232" s="76"/>
      <c r="H2232" s="78">
        <v>25</v>
      </c>
      <c r="I2232" s="77" t="s">
        <v>12</v>
      </c>
      <c r="J2232" s="14"/>
      <c r="K2232" s="25">
        <v>4.49210886473141</v>
      </c>
    </row>
    <row r="2233" spans="1:11" ht="15.75" customHeight="1">
      <c r="A2233" s="77" t="s">
        <v>37</v>
      </c>
      <c r="B2233" s="80">
        <v>75.241161247874402</v>
      </c>
      <c r="C2233" s="25">
        <v>1.19</v>
      </c>
      <c r="D2233" s="26"/>
      <c r="E2233" s="77">
        <v>1E-3</v>
      </c>
      <c r="F2233" s="77">
        <v>1000</v>
      </c>
      <c r="G2233" s="76"/>
      <c r="H2233" s="78">
        <v>25</v>
      </c>
      <c r="I2233" s="77" t="s">
        <v>12</v>
      </c>
      <c r="J2233" s="14"/>
      <c r="K2233" s="25">
        <v>4.51506403882179</v>
      </c>
    </row>
    <row r="2234" spans="1:11" ht="15.75" customHeight="1">
      <c r="A2234" s="77" t="s">
        <v>37</v>
      </c>
      <c r="B2234" s="80">
        <v>81.414789103653604</v>
      </c>
      <c r="C2234" s="25">
        <v>1.19</v>
      </c>
      <c r="D2234" s="26"/>
      <c r="E2234" s="77">
        <v>1E-3</v>
      </c>
      <c r="F2234" s="77">
        <v>1000</v>
      </c>
      <c r="G2234" s="76"/>
      <c r="H2234" s="78">
        <v>25</v>
      </c>
      <c r="I2234" s="77" t="s">
        <v>12</v>
      </c>
      <c r="J2234" s="14"/>
      <c r="K2234" s="25">
        <v>4.6068864865508301</v>
      </c>
    </row>
    <row r="2235" spans="1:11" ht="15.75" customHeight="1">
      <c r="A2235" s="77" t="s">
        <v>37</v>
      </c>
      <c r="B2235" s="80">
        <v>87.202570738105806</v>
      </c>
      <c r="C2235" s="25">
        <v>1.19</v>
      </c>
      <c r="D2235" s="26"/>
      <c r="E2235" s="77">
        <v>1E-3</v>
      </c>
      <c r="F2235" s="77">
        <v>1000</v>
      </c>
      <c r="G2235" s="76"/>
      <c r="H2235" s="78">
        <v>25</v>
      </c>
      <c r="I2235" s="77" t="s">
        <v>12</v>
      </c>
      <c r="J2235" s="14"/>
      <c r="K2235" s="25">
        <v>4.6642752974605299</v>
      </c>
    </row>
    <row r="2236" spans="1:11" ht="15.75" customHeight="1">
      <c r="A2236" s="77" t="s">
        <v>37</v>
      </c>
      <c r="B2236" s="80">
        <v>94.147920474719996</v>
      </c>
      <c r="C2236" s="25">
        <v>1.19</v>
      </c>
      <c r="D2236" s="26"/>
      <c r="E2236" s="77">
        <v>1E-3</v>
      </c>
      <c r="F2236" s="77">
        <v>1000</v>
      </c>
      <c r="G2236" s="76"/>
      <c r="H2236" s="78">
        <v>25</v>
      </c>
      <c r="I2236" s="77" t="s">
        <v>12</v>
      </c>
      <c r="J2236" s="14"/>
      <c r="K2236" s="25">
        <v>4.7618363197912199</v>
      </c>
    </row>
    <row r="2237" spans="1:11" ht="15.75" customHeight="1">
      <c r="A2237" s="77" t="s">
        <v>37</v>
      </c>
      <c r="B2237" s="80">
        <v>98.392287785682001</v>
      </c>
      <c r="C2237" s="25">
        <v>1.19</v>
      </c>
      <c r="D2237" s="26"/>
      <c r="E2237" s="77">
        <v>1E-3</v>
      </c>
      <c r="F2237" s="77">
        <v>1000</v>
      </c>
      <c r="G2237" s="76"/>
      <c r="H2237" s="78">
        <v>25</v>
      </c>
      <c r="I2237" s="77" t="s">
        <v>12</v>
      </c>
      <c r="J2237" s="14"/>
      <c r="K2237" s="25">
        <v>4.83070293666706</v>
      </c>
    </row>
    <row r="2238" spans="1:11" ht="15.75" customHeight="1">
      <c r="A2238" s="77" t="s">
        <v>37</v>
      </c>
      <c r="B2238" s="80">
        <v>105.7234837436238</v>
      </c>
      <c r="C2238" s="25">
        <v>1.19</v>
      </c>
      <c r="D2238" s="26"/>
      <c r="E2238" s="77">
        <v>1E-3</v>
      </c>
      <c r="F2238" s="77">
        <v>1000</v>
      </c>
      <c r="G2238" s="76"/>
      <c r="H2238" s="78">
        <v>25</v>
      </c>
      <c r="I2238" s="77" t="s">
        <v>12</v>
      </c>
      <c r="J2238" s="14"/>
      <c r="K2238" s="25">
        <v>4.83070293666706</v>
      </c>
    </row>
    <row r="2239" spans="1:11" ht="15.75" customHeight="1">
      <c r="A2239" s="77" t="s">
        <v>37</v>
      </c>
      <c r="B2239" s="80">
        <v>111.51126537807541</v>
      </c>
      <c r="C2239" s="25">
        <v>1.19</v>
      </c>
      <c r="D2239" s="26"/>
      <c r="E2239" s="77">
        <v>1E-3</v>
      </c>
      <c r="F2239" s="77">
        <v>1000</v>
      </c>
      <c r="G2239" s="76"/>
      <c r="H2239" s="78">
        <v>25</v>
      </c>
      <c r="I2239" s="77" t="s">
        <v>12</v>
      </c>
      <c r="J2239" s="14"/>
      <c r="K2239" s="25">
        <v>4.8823529540541699</v>
      </c>
    </row>
    <row r="2240" spans="1:11" ht="15.75" customHeight="1">
      <c r="A2240" s="77" t="s">
        <v>37</v>
      </c>
      <c r="B2240" s="80">
        <v>118.4566151146896</v>
      </c>
      <c r="C2240" s="25">
        <v>1.19</v>
      </c>
      <c r="D2240" s="26"/>
      <c r="E2240" s="77">
        <v>1E-3</v>
      </c>
      <c r="F2240" s="77">
        <v>1000</v>
      </c>
      <c r="G2240" s="76"/>
      <c r="H2240" s="78">
        <v>25</v>
      </c>
      <c r="I2240" s="77" t="s">
        <v>12</v>
      </c>
      <c r="J2240" s="14"/>
      <c r="K2240" s="25">
        <v>4.9225249465542102</v>
      </c>
    </row>
    <row r="2241" spans="1:11" ht="15.75" customHeight="1">
      <c r="A2241" s="77" t="s">
        <v>37</v>
      </c>
      <c r="B2241" s="80">
        <v>125.40193541312399</v>
      </c>
      <c r="C2241" s="25">
        <v>1.19</v>
      </c>
      <c r="D2241" s="26"/>
      <c r="E2241" s="77">
        <v>1E-3</v>
      </c>
      <c r="F2241" s="77">
        <v>1000</v>
      </c>
      <c r="G2241" s="76"/>
      <c r="H2241" s="78">
        <v>25</v>
      </c>
      <c r="I2241" s="77" t="s">
        <v>12</v>
      </c>
      <c r="J2241" s="14"/>
      <c r="K2241" s="25">
        <v>4.9799137574639198</v>
      </c>
    </row>
    <row r="2242" spans="1:11" ht="15.75" customHeight="1">
      <c r="A2242" s="77" t="s">
        <v>37</v>
      </c>
      <c r="B2242" s="80">
        <v>130.80387082624861</v>
      </c>
      <c r="C2242" s="25">
        <v>1.19</v>
      </c>
      <c r="D2242" s="26"/>
      <c r="E2242" s="77">
        <v>1E-3</v>
      </c>
      <c r="F2242" s="77">
        <v>1000</v>
      </c>
      <c r="G2242" s="76"/>
      <c r="H2242" s="78">
        <v>25</v>
      </c>
      <c r="I2242" s="77" t="s">
        <v>12</v>
      </c>
      <c r="J2242" s="14"/>
      <c r="K2242" s="25">
        <v>5.0487803743397501</v>
      </c>
    </row>
    <row r="2243" spans="1:11" ht="15.75" customHeight="1">
      <c r="A2243" s="77" t="s">
        <v>37</v>
      </c>
      <c r="B2243" s="80">
        <v>136.20580623937261</v>
      </c>
      <c r="C2243" s="25">
        <v>1.19</v>
      </c>
      <c r="D2243" s="26"/>
      <c r="E2243" s="77">
        <v>1E-3</v>
      </c>
      <c r="F2243" s="77">
        <v>1000</v>
      </c>
      <c r="G2243" s="76"/>
      <c r="H2243" s="78">
        <v>25</v>
      </c>
      <c r="I2243" s="77" t="s">
        <v>12</v>
      </c>
      <c r="J2243" s="14"/>
      <c r="K2243" s="25">
        <v>5.0774747797946098</v>
      </c>
    </row>
    <row r="2244" spans="1:11" ht="15.75" customHeight="1">
      <c r="A2244" s="77" t="s">
        <v>37</v>
      </c>
      <c r="B2244" s="80">
        <v>144.30869463996962</v>
      </c>
      <c r="C2244" s="25">
        <v>1.19</v>
      </c>
      <c r="D2244" s="26"/>
      <c r="E2244" s="77">
        <v>1E-3</v>
      </c>
      <c r="F2244" s="77">
        <v>1000</v>
      </c>
      <c r="G2244" s="76"/>
      <c r="H2244" s="78">
        <v>25</v>
      </c>
      <c r="I2244" s="77" t="s">
        <v>12</v>
      </c>
      <c r="J2244" s="14"/>
      <c r="K2244" s="25">
        <v>5.22094680706887</v>
      </c>
    </row>
    <row r="2245" spans="1:11" ht="15.75" customHeight="1">
      <c r="A2245" s="77" t="s">
        <v>37</v>
      </c>
      <c r="B2245" s="80">
        <v>148.9389081722592</v>
      </c>
      <c r="C2245" s="25">
        <v>1.19</v>
      </c>
      <c r="D2245" s="26"/>
      <c r="E2245" s="77">
        <v>1E-3</v>
      </c>
      <c r="F2245" s="77">
        <v>1000</v>
      </c>
      <c r="G2245" s="76"/>
      <c r="H2245" s="78">
        <v>25</v>
      </c>
      <c r="I2245" s="77" t="s">
        <v>12</v>
      </c>
      <c r="J2245" s="14"/>
      <c r="K2245" s="25">
        <v>5.2381634065575904</v>
      </c>
    </row>
    <row r="2246" spans="1:11" ht="15.75" customHeight="1">
      <c r="A2246" s="77" t="s">
        <v>37</v>
      </c>
      <c r="B2246" s="80">
        <v>155.4984116875458</v>
      </c>
      <c r="C2246" s="25">
        <v>1.19</v>
      </c>
      <c r="D2246" s="26"/>
      <c r="E2246" s="77">
        <v>1E-3</v>
      </c>
      <c r="F2246" s="77">
        <v>1000</v>
      </c>
      <c r="G2246" s="76"/>
      <c r="H2246" s="78">
        <v>25</v>
      </c>
      <c r="I2246" s="77" t="s">
        <v>12</v>
      </c>
      <c r="J2246" s="14"/>
      <c r="K2246" s="25">
        <v>5.3242466229221499</v>
      </c>
    </row>
    <row r="2247" spans="1:11" ht="15.75" customHeight="1">
      <c r="A2247" s="77" t="s">
        <v>37</v>
      </c>
      <c r="B2247" s="80">
        <v>161.28619332199801</v>
      </c>
      <c r="C2247" s="25">
        <v>1.19</v>
      </c>
      <c r="D2247" s="26"/>
      <c r="E2247" s="77">
        <v>1E-3</v>
      </c>
      <c r="F2247" s="77">
        <v>1000</v>
      </c>
      <c r="G2247" s="76"/>
      <c r="H2247" s="78">
        <v>25</v>
      </c>
      <c r="I2247" s="77" t="s">
        <v>12</v>
      </c>
      <c r="J2247" s="14"/>
      <c r="K2247" s="25">
        <v>5.37015784678667</v>
      </c>
    </row>
    <row r="2248" spans="1:11" ht="15.75" customHeight="1">
      <c r="A2248" s="77" t="s">
        <v>37</v>
      </c>
      <c r="B2248" s="80">
        <v>168.23151362043239</v>
      </c>
      <c r="C2248" s="25">
        <v>1.19</v>
      </c>
      <c r="D2248" s="26"/>
      <c r="E2248" s="77">
        <v>1E-3</v>
      </c>
      <c r="F2248" s="77">
        <v>1000</v>
      </c>
      <c r="G2248" s="76"/>
      <c r="H2248" s="78">
        <v>25</v>
      </c>
      <c r="I2248" s="77" t="s">
        <v>12</v>
      </c>
      <c r="J2248" s="14"/>
      <c r="K2248" s="25">
        <v>5.4791964561625504</v>
      </c>
    </row>
    <row r="2249" spans="1:11" ht="15.75" customHeight="1">
      <c r="A2249" s="77" t="s">
        <v>37</v>
      </c>
      <c r="B2249" s="80">
        <v>174.40517091439139</v>
      </c>
      <c r="C2249" s="25">
        <v>1.19</v>
      </c>
      <c r="D2249" s="26"/>
      <c r="E2249" s="77">
        <v>1E-3</v>
      </c>
      <c r="F2249" s="77">
        <v>1000</v>
      </c>
      <c r="G2249" s="76"/>
      <c r="H2249" s="78">
        <v>25</v>
      </c>
      <c r="I2249" s="77" t="s">
        <v>12</v>
      </c>
      <c r="J2249" s="14"/>
      <c r="K2249" s="25">
        <v>5.4734576626399498</v>
      </c>
    </row>
    <row r="2250" spans="1:11" ht="15.75" customHeight="1">
      <c r="A2250" s="77" t="s">
        <v>37</v>
      </c>
      <c r="B2250" s="80">
        <v>181.3504912128258</v>
      </c>
      <c r="C2250" s="25">
        <v>1.19</v>
      </c>
      <c r="D2250" s="26"/>
      <c r="E2250" s="77">
        <v>1E-3</v>
      </c>
      <c r="F2250" s="77">
        <v>1000</v>
      </c>
      <c r="G2250" s="76"/>
      <c r="H2250" s="78">
        <v>25</v>
      </c>
      <c r="I2250" s="77" t="s">
        <v>12</v>
      </c>
      <c r="J2250" s="14"/>
      <c r="K2250" s="25">
        <v>5.4906742621286799</v>
      </c>
    </row>
    <row r="2251" spans="1:11" ht="15.75" customHeight="1">
      <c r="A2251" s="77" t="s">
        <v>37</v>
      </c>
      <c r="B2251" s="80">
        <v>186.36658040462279</v>
      </c>
      <c r="C2251" s="25">
        <v>1.19</v>
      </c>
      <c r="D2251" s="26"/>
      <c r="E2251" s="77">
        <v>1E-3</v>
      </c>
      <c r="F2251" s="77">
        <v>1000</v>
      </c>
      <c r="G2251" s="76"/>
      <c r="H2251" s="78">
        <v>25</v>
      </c>
      <c r="I2251" s="77" t="s">
        <v>12</v>
      </c>
      <c r="J2251" s="14"/>
      <c r="K2251" s="25">
        <v>5.5193686675835298</v>
      </c>
    </row>
    <row r="2252" spans="1:11" ht="15.75" customHeight="1">
      <c r="A2252" s="77" t="s">
        <v>37</v>
      </c>
      <c r="B2252" s="80">
        <v>193.69777636256399</v>
      </c>
      <c r="C2252" s="25">
        <v>1.19</v>
      </c>
      <c r="D2252" s="26"/>
      <c r="E2252" s="77">
        <v>1E-3</v>
      </c>
      <c r="F2252" s="77">
        <v>1000</v>
      </c>
      <c r="G2252" s="76"/>
      <c r="H2252" s="78">
        <v>25</v>
      </c>
      <c r="I2252" s="77" t="s">
        <v>12</v>
      </c>
      <c r="J2252" s="14"/>
      <c r="K2252" s="25">
        <v>5.5538018665609803</v>
      </c>
    </row>
    <row r="2253" spans="1:11" ht="15.75" customHeight="1">
      <c r="A2253" s="77" t="s">
        <v>37</v>
      </c>
      <c r="B2253" s="80">
        <v>31.639890597911457</v>
      </c>
      <c r="C2253" s="25">
        <v>1.35</v>
      </c>
      <c r="D2253" s="26"/>
      <c r="E2253" s="77">
        <v>1E-3</v>
      </c>
      <c r="F2253" s="77">
        <v>1000</v>
      </c>
      <c r="G2253" s="76"/>
      <c r="H2253" s="78">
        <v>25</v>
      </c>
      <c r="I2253" s="77" t="s">
        <v>12</v>
      </c>
      <c r="J2253" s="14"/>
      <c r="K2253" s="25">
        <v>4.3371592504119603</v>
      </c>
    </row>
    <row r="2254" spans="1:11" ht="15.75" customHeight="1">
      <c r="A2254" s="77" t="s">
        <v>37</v>
      </c>
      <c r="B2254" s="80">
        <v>36.655950351528602</v>
      </c>
      <c r="C2254" s="25">
        <v>1.35</v>
      </c>
      <c r="D2254" s="26"/>
      <c r="E2254" s="77">
        <v>1E-3</v>
      </c>
      <c r="F2254" s="77">
        <v>1000</v>
      </c>
      <c r="G2254" s="76"/>
      <c r="H2254" s="78">
        <v>25</v>
      </c>
      <c r="I2254" s="77" t="s">
        <v>12</v>
      </c>
      <c r="J2254" s="14"/>
      <c r="K2254" s="25">
        <v>4.3486368374571498</v>
      </c>
    </row>
    <row r="2255" spans="1:11" ht="15.75" customHeight="1">
      <c r="A2255" s="77" t="s">
        <v>37</v>
      </c>
      <c r="B2255" s="80">
        <v>44.372992530797816</v>
      </c>
      <c r="C2255" s="25">
        <v>1.35</v>
      </c>
      <c r="D2255" s="26"/>
      <c r="E2255" s="77">
        <v>1E-3</v>
      </c>
      <c r="F2255" s="77">
        <v>1000</v>
      </c>
      <c r="G2255" s="76"/>
      <c r="H2255" s="78">
        <v>25</v>
      </c>
      <c r="I2255" s="77" t="s">
        <v>12</v>
      </c>
      <c r="J2255" s="14"/>
      <c r="K2255" s="25">
        <v>4.4060256483668603</v>
      </c>
    </row>
    <row r="2256" spans="1:11" ht="15.75" customHeight="1">
      <c r="A2256" s="77" t="s">
        <v>37</v>
      </c>
      <c r="B2256" s="80">
        <v>48.617359841759935</v>
      </c>
      <c r="C2256" s="25">
        <v>1.35</v>
      </c>
      <c r="D2256" s="26"/>
      <c r="E2256" s="77">
        <v>1E-3</v>
      </c>
      <c r="F2256" s="77">
        <v>1000</v>
      </c>
      <c r="G2256" s="76"/>
      <c r="H2256" s="78">
        <v>25</v>
      </c>
      <c r="I2256" s="77" t="s">
        <v>12</v>
      </c>
      <c r="J2256" s="14"/>
      <c r="K2256" s="25">
        <v>4.4634144592765601</v>
      </c>
    </row>
    <row r="2257" spans="1:11" ht="15.75" customHeight="1">
      <c r="A2257" s="77" t="s">
        <v>37</v>
      </c>
      <c r="B2257" s="80">
        <v>55.948555799701623</v>
      </c>
      <c r="C2257" s="25">
        <v>1.35</v>
      </c>
      <c r="D2257" s="26"/>
      <c r="E2257" s="77">
        <v>1E-3</v>
      </c>
      <c r="F2257" s="77">
        <v>1000</v>
      </c>
      <c r="G2257" s="76"/>
      <c r="H2257" s="78">
        <v>25</v>
      </c>
      <c r="I2257" s="77" t="s">
        <v>12</v>
      </c>
      <c r="J2257" s="14"/>
      <c r="K2257" s="25">
        <v>4.5208032701862697</v>
      </c>
    </row>
    <row r="2258" spans="1:11" ht="15.75" customHeight="1">
      <c r="A2258" s="77" t="s">
        <v>37</v>
      </c>
      <c r="B2258" s="80">
        <v>62.893905536315408</v>
      </c>
      <c r="C2258" s="25">
        <v>1.35</v>
      </c>
      <c r="D2258" s="26"/>
      <c r="E2258" s="77">
        <v>1E-3</v>
      </c>
      <c r="F2258" s="77">
        <v>1000</v>
      </c>
      <c r="G2258" s="76"/>
      <c r="H2258" s="78">
        <v>25</v>
      </c>
      <c r="I2258" s="77" t="s">
        <v>12</v>
      </c>
      <c r="J2258" s="14"/>
      <c r="K2258" s="25">
        <v>4.6068864865508301</v>
      </c>
    </row>
    <row r="2259" spans="1:11" ht="15.75" customHeight="1">
      <c r="A2259" s="77" t="s">
        <v>37</v>
      </c>
      <c r="B2259" s="80">
        <v>67.524119068605003</v>
      </c>
      <c r="C2259" s="25">
        <v>1.35</v>
      </c>
      <c r="D2259" s="26"/>
      <c r="E2259" s="77">
        <v>1E-3</v>
      </c>
      <c r="F2259" s="77">
        <v>1000</v>
      </c>
      <c r="G2259" s="76"/>
      <c r="H2259" s="78">
        <v>25</v>
      </c>
      <c r="I2259" s="77" t="s">
        <v>12</v>
      </c>
      <c r="J2259" s="14"/>
      <c r="K2259" s="25">
        <v>4.5954088995056397</v>
      </c>
    </row>
    <row r="2260" spans="1:11" ht="15.75" customHeight="1">
      <c r="A2260" s="77" t="s">
        <v>37</v>
      </c>
      <c r="B2260" s="80">
        <v>73.697746924384802</v>
      </c>
      <c r="C2260" s="25">
        <v>1.35</v>
      </c>
      <c r="D2260" s="26"/>
      <c r="E2260" s="77">
        <v>1E-3</v>
      </c>
      <c r="F2260" s="77">
        <v>1000</v>
      </c>
      <c r="G2260" s="76"/>
      <c r="H2260" s="78">
        <v>25</v>
      </c>
      <c r="I2260" s="77" t="s">
        <v>12</v>
      </c>
      <c r="J2260" s="14"/>
      <c r="K2260" s="25">
        <v>4.7044475088815201</v>
      </c>
    </row>
    <row r="2261" spans="1:11" ht="15.75" customHeight="1">
      <c r="A2261" s="77" t="s">
        <v>37</v>
      </c>
      <c r="B2261" s="80">
        <v>81.800664763160995</v>
      </c>
      <c r="C2261" s="25">
        <v>1.35</v>
      </c>
      <c r="D2261" s="26"/>
      <c r="E2261" s="77">
        <v>1E-3</v>
      </c>
      <c r="F2261" s="77">
        <v>1000</v>
      </c>
      <c r="G2261" s="76"/>
      <c r="H2261" s="78">
        <v>25</v>
      </c>
      <c r="I2261" s="77" t="s">
        <v>12</v>
      </c>
      <c r="J2261" s="14"/>
      <c r="K2261" s="25">
        <v>4.7675753322347596</v>
      </c>
    </row>
    <row r="2262" spans="1:11" ht="15.75" customHeight="1">
      <c r="A2262" s="77" t="s">
        <v>37</v>
      </c>
      <c r="B2262" s="80">
        <v>86.430878295450597</v>
      </c>
      <c r="C2262" s="25">
        <v>1.35</v>
      </c>
      <c r="D2262" s="26"/>
      <c r="E2262" s="77">
        <v>1E-3</v>
      </c>
      <c r="F2262" s="77">
        <v>1000</v>
      </c>
      <c r="G2262" s="76"/>
      <c r="H2262" s="78">
        <v>25</v>
      </c>
      <c r="I2262" s="77" t="s">
        <v>12</v>
      </c>
      <c r="J2262" s="14"/>
      <c r="K2262" s="25">
        <v>4.8077473247347999</v>
      </c>
    </row>
    <row r="2263" spans="1:11" ht="15.75" customHeight="1">
      <c r="A2263" s="77" t="s">
        <v>37</v>
      </c>
      <c r="B2263" s="80">
        <v>93.762074253392399</v>
      </c>
      <c r="C2263" s="25">
        <v>1.35</v>
      </c>
      <c r="D2263" s="26"/>
      <c r="E2263" s="77">
        <v>1E-3</v>
      </c>
      <c r="F2263" s="77">
        <v>1000</v>
      </c>
      <c r="G2263" s="76"/>
      <c r="H2263" s="78">
        <v>25</v>
      </c>
      <c r="I2263" s="77" t="s">
        <v>12</v>
      </c>
      <c r="J2263" s="14"/>
      <c r="K2263" s="25">
        <v>4.8880917475767598</v>
      </c>
    </row>
    <row r="2264" spans="1:11" ht="15.75" customHeight="1">
      <c r="A2264" s="77" t="s">
        <v>37</v>
      </c>
      <c r="B2264" s="80">
        <v>99.164009666516407</v>
      </c>
      <c r="C2264" s="25">
        <v>1.35</v>
      </c>
      <c r="D2264" s="26"/>
      <c r="E2264" s="77">
        <v>1E-3</v>
      </c>
      <c r="F2264" s="77">
        <v>1000</v>
      </c>
      <c r="G2264" s="76"/>
      <c r="H2264" s="78">
        <v>25</v>
      </c>
      <c r="I2264" s="77" t="s">
        <v>12</v>
      </c>
      <c r="J2264" s="14"/>
      <c r="K2264" s="25">
        <v>4.9626971579751897</v>
      </c>
    </row>
    <row r="2265" spans="1:11" ht="15.75" customHeight="1">
      <c r="A2265" s="77" t="s">
        <v>37</v>
      </c>
      <c r="B2265" s="80">
        <v>104.95179130096861</v>
      </c>
      <c r="C2265" s="25">
        <v>1.35</v>
      </c>
      <c r="D2265" s="26"/>
      <c r="E2265" s="77">
        <v>1E-3</v>
      </c>
      <c r="F2265" s="77">
        <v>1000</v>
      </c>
      <c r="G2265" s="76"/>
      <c r="H2265" s="78">
        <v>25</v>
      </c>
      <c r="I2265" s="77" t="s">
        <v>12</v>
      </c>
      <c r="J2265" s="14"/>
      <c r="K2265" s="25">
        <v>5.0487803743397501</v>
      </c>
    </row>
    <row r="2266" spans="1:11" ht="15.75" customHeight="1">
      <c r="A2266" s="77" t="s">
        <v>37</v>
      </c>
      <c r="B2266" s="80">
        <v>111.897111599403</v>
      </c>
      <c r="C2266" s="25">
        <v>1.35</v>
      </c>
      <c r="D2266" s="26"/>
      <c r="E2266" s="77">
        <v>1E-3</v>
      </c>
      <c r="F2266" s="77">
        <v>1000</v>
      </c>
      <c r="G2266" s="76"/>
      <c r="H2266" s="78">
        <v>25</v>
      </c>
      <c r="I2266" s="77" t="s">
        <v>12</v>
      </c>
      <c r="J2266" s="14"/>
      <c r="K2266" s="25">
        <v>5.0946913792833302</v>
      </c>
    </row>
    <row r="2267" spans="1:11" ht="15.75" customHeight="1">
      <c r="A2267" s="77" t="s">
        <v>37</v>
      </c>
      <c r="B2267" s="80">
        <v>118.07073945518221</v>
      </c>
      <c r="C2267" s="25">
        <v>1.35</v>
      </c>
      <c r="D2267" s="26"/>
      <c r="E2267" s="77">
        <v>1E-3</v>
      </c>
      <c r="F2267" s="77">
        <v>1000</v>
      </c>
      <c r="G2267" s="76"/>
      <c r="H2267" s="78">
        <v>25</v>
      </c>
      <c r="I2267" s="77" t="s">
        <v>12</v>
      </c>
      <c r="J2267" s="14"/>
      <c r="K2267" s="25">
        <v>5.1233857847381801</v>
      </c>
    </row>
    <row r="2268" spans="1:11" ht="15.75" customHeight="1">
      <c r="A2268" s="77" t="s">
        <v>37</v>
      </c>
      <c r="B2268" s="80">
        <v>123.85852108963439</v>
      </c>
      <c r="C2268" s="25">
        <v>1.35</v>
      </c>
      <c r="D2268" s="26"/>
      <c r="E2268" s="77">
        <v>1E-3</v>
      </c>
      <c r="F2268" s="77">
        <v>1000</v>
      </c>
      <c r="G2268" s="76"/>
      <c r="H2268" s="78">
        <v>25</v>
      </c>
      <c r="I2268" s="77" t="s">
        <v>12</v>
      </c>
      <c r="J2268" s="14"/>
      <c r="K2268" s="25">
        <v>5.1635579961591596</v>
      </c>
    </row>
    <row r="2269" spans="1:11" ht="15.75" customHeight="1">
      <c r="A2269" s="77" t="s">
        <v>37</v>
      </c>
      <c r="B2269" s="80">
        <v>130.80387082624861</v>
      </c>
      <c r="C2269" s="25">
        <v>1.35</v>
      </c>
      <c r="D2269" s="26"/>
      <c r="E2269" s="77">
        <v>1E-3</v>
      </c>
      <c r="F2269" s="77">
        <v>1000</v>
      </c>
      <c r="G2269" s="76"/>
      <c r="H2269" s="78">
        <v>25</v>
      </c>
      <c r="I2269" s="77" t="s">
        <v>12</v>
      </c>
      <c r="J2269" s="14"/>
      <c r="K2269" s="25">
        <v>5.2037302075801497</v>
      </c>
    </row>
    <row r="2270" spans="1:11" ht="15.75" customHeight="1">
      <c r="A2270" s="77" t="s">
        <v>37</v>
      </c>
      <c r="B2270" s="80">
        <v>136.9774986820278</v>
      </c>
      <c r="C2270" s="25">
        <v>1.35</v>
      </c>
      <c r="D2270" s="26"/>
      <c r="E2270" s="77">
        <v>1E-3</v>
      </c>
      <c r="F2270" s="77">
        <v>1000</v>
      </c>
      <c r="G2270" s="76"/>
      <c r="H2270" s="78">
        <v>25</v>
      </c>
      <c r="I2270" s="77" t="s">
        <v>12</v>
      </c>
      <c r="J2270" s="14"/>
      <c r="K2270" s="25">
        <v>5.2840746304221096</v>
      </c>
    </row>
    <row r="2271" spans="1:11" ht="15.75" customHeight="1">
      <c r="A2271" s="77" t="s">
        <v>37</v>
      </c>
      <c r="B2271" s="80">
        <v>143.53700219731442</v>
      </c>
      <c r="C2271" s="25">
        <v>1.35</v>
      </c>
      <c r="D2271" s="26"/>
      <c r="E2271" s="77">
        <v>1E-3</v>
      </c>
      <c r="F2271" s="77">
        <v>1000</v>
      </c>
      <c r="G2271" s="76"/>
      <c r="H2271" s="78">
        <v>25</v>
      </c>
      <c r="I2271" s="77" t="s">
        <v>12</v>
      </c>
      <c r="J2271" s="14"/>
      <c r="K2271" s="25">
        <v>5.3414634413318201</v>
      </c>
    </row>
    <row r="2272" spans="1:11" ht="15.75" customHeight="1">
      <c r="A2272" s="77" t="s">
        <v>37</v>
      </c>
      <c r="B2272" s="80">
        <v>148.9389081722592</v>
      </c>
      <c r="C2272" s="25">
        <v>1.35</v>
      </c>
      <c r="D2272" s="26"/>
      <c r="E2272" s="77">
        <v>1E-3</v>
      </c>
      <c r="F2272" s="77">
        <v>1000</v>
      </c>
      <c r="G2272" s="76"/>
      <c r="H2272" s="78">
        <v>25</v>
      </c>
      <c r="I2272" s="77" t="s">
        <v>12</v>
      </c>
      <c r="J2272" s="14"/>
      <c r="K2272" s="25">
        <v>5.4045910457641204</v>
      </c>
    </row>
    <row r="2273" spans="1:11" ht="15.75" customHeight="1">
      <c r="A2273" s="77" t="s">
        <v>37</v>
      </c>
      <c r="B2273" s="80">
        <v>156.27010413020102</v>
      </c>
      <c r="C2273" s="25">
        <v>1.35</v>
      </c>
      <c r="D2273" s="26"/>
      <c r="E2273" s="77">
        <v>1E-3</v>
      </c>
      <c r="F2273" s="77">
        <v>1000</v>
      </c>
      <c r="G2273" s="76"/>
      <c r="H2273" s="78">
        <v>25</v>
      </c>
      <c r="I2273" s="77" t="s">
        <v>12</v>
      </c>
      <c r="J2273" s="14"/>
      <c r="K2273" s="25">
        <v>5.4791964561625504</v>
      </c>
    </row>
    <row r="2274" spans="1:11" ht="15.75" customHeight="1">
      <c r="A2274" s="77" t="s">
        <v>37</v>
      </c>
      <c r="B2274" s="80">
        <v>162.05788576465261</v>
      </c>
      <c r="C2274" s="25">
        <v>1.35</v>
      </c>
      <c r="D2274" s="26"/>
      <c r="E2274" s="77">
        <v>1E-3</v>
      </c>
      <c r="F2274" s="77">
        <v>1000</v>
      </c>
      <c r="G2274" s="76"/>
      <c r="H2274" s="78">
        <v>25</v>
      </c>
      <c r="I2274" s="77" t="s">
        <v>12</v>
      </c>
      <c r="J2274" s="14"/>
      <c r="K2274" s="25">
        <v>5.5365852670722502</v>
      </c>
    </row>
    <row r="2275" spans="1:11" ht="15.75" customHeight="1">
      <c r="A2275" s="77" t="s">
        <v>37</v>
      </c>
      <c r="B2275" s="80">
        <v>169.0032355012668</v>
      </c>
      <c r="C2275" s="25">
        <v>1.35</v>
      </c>
      <c r="D2275" s="26"/>
      <c r="E2275" s="77">
        <v>1E-3</v>
      </c>
      <c r="F2275" s="77">
        <v>1000</v>
      </c>
      <c r="G2275" s="76"/>
      <c r="H2275" s="78">
        <v>25</v>
      </c>
      <c r="I2275" s="77" t="s">
        <v>12</v>
      </c>
      <c r="J2275" s="14"/>
      <c r="K2275" s="25">
        <v>5.5538018665609803</v>
      </c>
    </row>
    <row r="2276" spans="1:11" ht="15.75" customHeight="1">
      <c r="A2276" s="77" t="s">
        <v>37</v>
      </c>
      <c r="B2276" s="80">
        <v>174.01929525488399</v>
      </c>
      <c r="C2276" s="25">
        <v>1.35</v>
      </c>
      <c r="D2276" s="26"/>
      <c r="E2276" s="77">
        <v>1E-3</v>
      </c>
      <c r="F2276" s="77">
        <v>1000</v>
      </c>
      <c r="G2276" s="76"/>
      <c r="H2276" s="78">
        <v>25</v>
      </c>
      <c r="I2276" s="77" t="s">
        <v>12</v>
      </c>
      <c r="J2276" s="14"/>
      <c r="K2276" s="25">
        <v>5.5824962720158302</v>
      </c>
    </row>
    <row r="2277" spans="1:11" ht="15.75" customHeight="1">
      <c r="A2277" s="77" t="s">
        <v>37</v>
      </c>
      <c r="B2277" s="80">
        <v>180.19295254884301</v>
      </c>
      <c r="C2277" s="25">
        <v>1.35</v>
      </c>
      <c r="D2277" s="26"/>
      <c r="E2277" s="77">
        <v>1E-3</v>
      </c>
      <c r="F2277" s="77">
        <v>1000</v>
      </c>
      <c r="G2277" s="76"/>
      <c r="H2277" s="78">
        <v>25</v>
      </c>
      <c r="I2277" s="77" t="s">
        <v>12</v>
      </c>
      <c r="J2277" s="14"/>
      <c r="K2277" s="25">
        <v>5.6111906774706801</v>
      </c>
    </row>
    <row r="2278" spans="1:11" ht="15.75" customHeight="1">
      <c r="A2278" s="77" t="s">
        <v>37</v>
      </c>
      <c r="B2278" s="80">
        <v>187.13827284727742</v>
      </c>
      <c r="C2278" s="25">
        <v>1.35</v>
      </c>
      <c r="D2278" s="26"/>
      <c r="E2278" s="77">
        <v>1E-3</v>
      </c>
      <c r="F2278" s="77">
        <v>1000</v>
      </c>
      <c r="G2278" s="76"/>
      <c r="H2278" s="78">
        <v>25</v>
      </c>
      <c r="I2278" s="77" t="s">
        <v>12</v>
      </c>
      <c r="J2278" s="14"/>
      <c r="K2278" s="25">
        <v>5.7431851176997597</v>
      </c>
    </row>
    <row r="2279" spans="1:11" ht="15.75" customHeight="1">
      <c r="A2279" s="77" t="s">
        <v>37</v>
      </c>
      <c r="B2279" s="80">
        <v>193.3119007030572</v>
      </c>
      <c r="C2279" s="25">
        <v>1.35</v>
      </c>
      <c r="D2279" s="26"/>
      <c r="E2279" s="77">
        <v>1E-3</v>
      </c>
      <c r="F2279" s="77">
        <v>1000</v>
      </c>
      <c r="G2279" s="76"/>
      <c r="H2279" s="78">
        <v>25</v>
      </c>
      <c r="I2279" s="77" t="s">
        <v>12</v>
      </c>
      <c r="J2279" s="14"/>
      <c r="K2279" s="25">
        <v>5.7202295057674997</v>
      </c>
    </row>
    <row r="2280" spans="1:11" ht="15.75" customHeight="1">
      <c r="A2280" s="77" t="s">
        <v>37</v>
      </c>
      <c r="B2280" s="80">
        <v>199.8714042183438</v>
      </c>
      <c r="C2280" s="25">
        <v>1.35</v>
      </c>
      <c r="D2280" s="26"/>
      <c r="E2280" s="77">
        <v>1E-3</v>
      </c>
      <c r="F2280" s="77">
        <v>1000</v>
      </c>
      <c r="G2280" s="76"/>
      <c r="H2280" s="78">
        <v>25</v>
      </c>
      <c r="I2280" s="77" t="s">
        <v>12</v>
      </c>
      <c r="J2280" s="14"/>
      <c r="K2280" s="25">
        <v>5.7546627047449501</v>
      </c>
    </row>
    <row r="2281" spans="1:11" ht="15.75" customHeight="1">
      <c r="A2281" s="77" t="s">
        <v>37</v>
      </c>
      <c r="B2281" s="80">
        <v>206.04503207412301</v>
      </c>
      <c r="C2281" s="25">
        <v>1.35</v>
      </c>
      <c r="D2281" s="26"/>
      <c r="E2281" s="77">
        <v>1E-3</v>
      </c>
      <c r="F2281" s="77">
        <v>1000</v>
      </c>
      <c r="G2281" s="76"/>
      <c r="H2281" s="78">
        <v>25</v>
      </c>
      <c r="I2281" s="77" t="s">
        <v>12</v>
      </c>
      <c r="J2281" s="14"/>
      <c r="K2281" s="25">
        <v>5.7776183166772102</v>
      </c>
    </row>
    <row r="2282" spans="1:11" ht="15.75" customHeight="1">
      <c r="A2282" s="77" t="s">
        <v>37</v>
      </c>
      <c r="B2282" s="80">
        <v>211.4469674872476</v>
      </c>
      <c r="C2282" s="25">
        <v>1.35</v>
      </c>
      <c r="D2282" s="26"/>
      <c r="E2282" s="77">
        <v>1E-3</v>
      </c>
      <c r="F2282" s="77">
        <v>1000</v>
      </c>
      <c r="G2282" s="76"/>
      <c r="H2282" s="78">
        <v>25</v>
      </c>
      <c r="I2282" s="77" t="s">
        <v>12</v>
      </c>
      <c r="J2282" s="14"/>
      <c r="K2282" s="25">
        <v>5.8866570355135597</v>
      </c>
    </row>
    <row r="2283" spans="1:11" ht="15.75" customHeight="1">
      <c r="A2283" s="77" t="s">
        <v>37</v>
      </c>
      <c r="B2283" s="80">
        <v>218.39228778568202</v>
      </c>
      <c r="C2283" s="25">
        <v>1.35</v>
      </c>
      <c r="D2283" s="26"/>
      <c r="E2283" s="77">
        <v>1E-3</v>
      </c>
      <c r="F2283" s="77">
        <v>1000</v>
      </c>
      <c r="G2283" s="76"/>
      <c r="H2283" s="78">
        <v>25</v>
      </c>
      <c r="I2283" s="77" t="s">
        <v>12</v>
      </c>
      <c r="J2283" s="14"/>
      <c r="K2283" s="25">
        <v>5.8981346225587403</v>
      </c>
    </row>
    <row r="2284" spans="1:11" ht="15.75" customHeight="1">
      <c r="A2284" s="77" t="s">
        <v>37</v>
      </c>
      <c r="B2284" s="80">
        <v>223.79422319880661</v>
      </c>
      <c r="C2284" s="25">
        <v>1.35</v>
      </c>
      <c r="D2284" s="26"/>
      <c r="E2284" s="77">
        <v>1E-3</v>
      </c>
      <c r="F2284" s="77">
        <v>1000</v>
      </c>
      <c r="G2284" s="76"/>
      <c r="H2284" s="78">
        <v>25</v>
      </c>
      <c r="I2284" s="77" t="s">
        <v>12</v>
      </c>
      <c r="J2284" s="14"/>
      <c r="K2284" s="25">
        <v>5.9555234334684499</v>
      </c>
    </row>
    <row r="2285" spans="1:11" ht="15.75" customHeight="1">
      <c r="A2285" s="77" t="s">
        <v>37</v>
      </c>
      <c r="B2285" s="80">
        <v>230.3537267140926</v>
      </c>
      <c r="C2285" s="25">
        <v>1.35</v>
      </c>
      <c r="D2285" s="26"/>
      <c r="E2285" s="77">
        <v>1E-3</v>
      </c>
      <c r="F2285" s="77">
        <v>1000</v>
      </c>
      <c r="G2285" s="76"/>
      <c r="H2285" s="78">
        <v>25</v>
      </c>
      <c r="I2285" s="77" t="s">
        <v>12</v>
      </c>
      <c r="J2285" s="14"/>
      <c r="K2285" s="25">
        <v>5.9727402518781103</v>
      </c>
    </row>
    <row r="2286" spans="1:11" ht="15.75" customHeight="1">
      <c r="A2286" s="77" t="s">
        <v>37</v>
      </c>
      <c r="B2286" s="80">
        <v>236.91323022937979</v>
      </c>
      <c r="C2286" s="25">
        <v>1.35</v>
      </c>
      <c r="D2286" s="26"/>
      <c r="E2286" s="77">
        <v>1E-3</v>
      </c>
      <c r="F2286" s="77">
        <v>1000</v>
      </c>
      <c r="G2286" s="76"/>
      <c r="H2286" s="78">
        <v>25</v>
      </c>
      <c r="I2286" s="77" t="s">
        <v>12</v>
      </c>
      <c r="J2286" s="14"/>
      <c r="K2286" s="25">
        <v>6.0530846747200799</v>
      </c>
    </row>
    <row r="2287" spans="1:11" ht="15.75" customHeight="1">
      <c r="A2287" s="77" t="s">
        <v>37</v>
      </c>
      <c r="B2287" s="80">
        <v>242.70101186383138</v>
      </c>
      <c r="C2287" s="25">
        <v>1.35</v>
      </c>
      <c r="D2287" s="26"/>
      <c r="E2287" s="77">
        <v>1E-3</v>
      </c>
      <c r="F2287" s="77">
        <v>1000</v>
      </c>
      <c r="G2287" s="76"/>
      <c r="H2287" s="78">
        <v>25</v>
      </c>
      <c r="I2287" s="77" t="s">
        <v>12</v>
      </c>
      <c r="J2287" s="14"/>
      <c r="K2287" s="25">
        <v>6.0989954607427199</v>
      </c>
    </row>
    <row r="2288" spans="1:11" ht="15.75" customHeight="1">
      <c r="A2288" s="77" t="s">
        <v>37</v>
      </c>
      <c r="B2288" s="80">
        <v>49.774927943922179</v>
      </c>
      <c r="C2288" s="25">
        <v>1.55</v>
      </c>
      <c r="D2288" s="26"/>
      <c r="E2288" s="25">
        <v>1E-3</v>
      </c>
      <c r="F2288" s="25">
        <v>1000</v>
      </c>
      <c r="G2288" s="76"/>
      <c r="H2288" s="78">
        <v>25</v>
      </c>
      <c r="I2288" s="77" t="s">
        <v>12</v>
      </c>
      <c r="J2288" s="14"/>
      <c r="K2288" s="25">
        <v>4.8134863371783299</v>
      </c>
    </row>
    <row r="2289" spans="1:11" ht="15.75" customHeight="1">
      <c r="A2289" s="77" t="s">
        <v>37</v>
      </c>
      <c r="B2289" s="80">
        <v>62.893905536315408</v>
      </c>
      <c r="C2289" s="25">
        <v>1.55</v>
      </c>
      <c r="D2289" s="26"/>
      <c r="E2289" s="25">
        <v>1E-3</v>
      </c>
      <c r="F2289" s="25">
        <v>1000</v>
      </c>
      <c r="G2289" s="76"/>
      <c r="H2289" s="78">
        <v>25</v>
      </c>
      <c r="I2289" s="77" t="s">
        <v>12</v>
      </c>
      <c r="J2289" s="14"/>
      <c r="K2289" s="25">
        <v>4.8995695535428903</v>
      </c>
    </row>
    <row r="2290" spans="1:11" ht="15.75" customHeight="1">
      <c r="A2290" s="77" t="s">
        <v>37</v>
      </c>
      <c r="B2290" s="80">
        <v>74.469468805219208</v>
      </c>
      <c r="C2290" s="25">
        <v>1.55</v>
      </c>
      <c r="D2290" s="26"/>
      <c r="E2290" s="25">
        <v>1E-3</v>
      </c>
      <c r="F2290" s="25">
        <v>1000</v>
      </c>
      <c r="G2290" s="76"/>
      <c r="H2290" s="78">
        <v>25</v>
      </c>
      <c r="I2290" s="77" t="s">
        <v>12</v>
      </c>
      <c r="J2290" s="14"/>
      <c r="K2290" s="25">
        <v>5.0258249813284301</v>
      </c>
    </row>
    <row r="2291" spans="1:11" ht="15.75" customHeight="1">
      <c r="A2291" s="77" t="s">
        <v>37</v>
      </c>
      <c r="B2291" s="80">
        <v>86.816724516778208</v>
      </c>
      <c r="C2291" s="25">
        <v>1.55</v>
      </c>
      <c r="D2291" s="26"/>
      <c r="E2291" s="25">
        <v>1E-3</v>
      </c>
      <c r="F2291" s="25">
        <v>1000</v>
      </c>
      <c r="G2291" s="76"/>
      <c r="H2291" s="78">
        <v>25</v>
      </c>
      <c r="I2291" s="77" t="s">
        <v>12</v>
      </c>
      <c r="J2291" s="14"/>
      <c r="K2291" s="25">
        <v>5.0373025683736197</v>
      </c>
    </row>
    <row r="2292" spans="1:11" ht="15.75" customHeight="1">
      <c r="A2292" s="77" t="s">
        <v>37</v>
      </c>
      <c r="B2292" s="80">
        <v>99.549855887844004</v>
      </c>
      <c r="C2292" s="25">
        <v>1.55</v>
      </c>
      <c r="D2292" s="26"/>
      <c r="E2292" s="25">
        <v>1E-3</v>
      </c>
      <c r="F2292" s="25">
        <v>1000</v>
      </c>
      <c r="G2292" s="76"/>
      <c r="H2292" s="78">
        <v>25</v>
      </c>
      <c r="I2292" s="77" t="s">
        <v>12</v>
      </c>
      <c r="J2292" s="14"/>
      <c r="K2292" s="25">
        <v>5.1578192026365697</v>
      </c>
    </row>
    <row r="2293" spans="1:11" ht="15.75" customHeight="1">
      <c r="A2293" s="77" t="s">
        <v>37</v>
      </c>
      <c r="B2293" s="80">
        <v>112.28295782073059</v>
      </c>
      <c r="C2293" s="25">
        <v>1.55</v>
      </c>
      <c r="D2293" s="26"/>
      <c r="E2293" s="25">
        <v>1E-3</v>
      </c>
      <c r="F2293" s="25">
        <v>1000</v>
      </c>
      <c r="G2293" s="76"/>
      <c r="H2293" s="78">
        <v>25</v>
      </c>
      <c r="I2293" s="77" t="s">
        <v>12</v>
      </c>
      <c r="J2293" s="14"/>
      <c r="K2293" s="25">
        <v>5.31850782939956</v>
      </c>
    </row>
    <row r="2294" spans="1:11" ht="15.75" customHeight="1">
      <c r="A2294" s="77" t="s">
        <v>37</v>
      </c>
      <c r="B2294" s="80">
        <v>124.2443967491412</v>
      </c>
      <c r="C2294" s="25">
        <v>1.55</v>
      </c>
      <c r="D2294" s="26"/>
      <c r="E2294" s="25">
        <v>1E-3</v>
      </c>
      <c r="F2294" s="25">
        <v>1000</v>
      </c>
      <c r="G2294" s="76"/>
      <c r="H2294" s="78">
        <v>25</v>
      </c>
      <c r="I2294" s="77" t="s">
        <v>12</v>
      </c>
      <c r="J2294" s="14"/>
      <c r="K2294" s="25">
        <v>5.43902424474157</v>
      </c>
    </row>
    <row r="2295" spans="1:11" ht="15.75" customHeight="1">
      <c r="A2295" s="77" t="s">
        <v>37</v>
      </c>
      <c r="B2295" s="80">
        <v>136.5916524607002</v>
      </c>
      <c r="C2295" s="25">
        <v>1.55</v>
      </c>
      <c r="D2295" s="26"/>
      <c r="E2295" s="25">
        <v>1E-3</v>
      </c>
      <c r="F2295" s="25">
        <v>1000</v>
      </c>
      <c r="G2295" s="76"/>
      <c r="H2295" s="78">
        <v>25</v>
      </c>
      <c r="I2295" s="77" t="s">
        <v>12</v>
      </c>
      <c r="J2295" s="14"/>
      <c r="K2295" s="25">
        <v>5.5480630730383798</v>
      </c>
    </row>
    <row r="2296" spans="1:11" ht="15.75" customHeight="1">
      <c r="A2296" s="77" t="s">
        <v>37</v>
      </c>
      <c r="B2296" s="80">
        <v>149.32478383176661</v>
      </c>
      <c r="C2296" s="25">
        <v>1.55</v>
      </c>
      <c r="D2296" s="26"/>
      <c r="E2296" s="25">
        <v>1E-3</v>
      </c>
      <c r="F2296" s="25">
        <v>1000</v>
      </c>
      <c r="G2296" s="76"/>
      <c r="H2296" s="78">
        <v>25</v>
      </c>
      <c r="I2296" s="77" t="s">
        <v>12</v>
      </c>
      <c r="J2296" s="14"/>
      <c r="K2296" s="25">
        <v>5.6513628888916703</v>
      </c>
    </row>
    <row r="2297" spans="1:11" ht="15.75" customHeight="1">
      <c r="A2297" s="77" t="s">
        <v>37</v>
      </c>
      <c r="B2297" s="80">
        <v>162.44373198598021</v>
      </c>
      <c r="C2297" s="25">
        <v>1.55</v>
      </c>
      <c r="D2297" s="26"/>
      <c r="E2297" s="25">
        <v>1E-3</v>
      </c>
      <c r="F2297" s="25">
        <v>1000</v>
      </c>
      <c r="G2297" s="76"/>
      <c r="H2297" s="78">
        <v>25</v>
      </c>
      <c r="I2297" s="77" t="s">
        <v>12</v>
      </c>
      <c r="J2297" s="14"/>
      <c r="K2297" s="25">
        <v>5.7890961226433397</v>
      </c>
    </row>
    <row r="2298" spans="1:11" ht="15.75" customHeight="1">
      <c r="A2298" s="77" t="s">
        <v>37</v>
      </c>
      <c r="B2298" s="80">
        <v>174.79101713571902</v>
      </c>
      <c r="C2298" s="25">
        <v>1.55</v>
      </c>
      <c r="D2298" s="26"/>
      <c r="E2298" s="25">
        <v>1E-3</v>
      </c>
      <c r="F2298" s="25">
        <v>1000</v>
      </c>
      <c r="G2298" s="76"/>
      <c r="H2298" s="78">
        <v>25</v>
      </c>
      <c r="I2298" s="77" t="s">
        <v>12</v>
      </c>
      <c r="J2298" s="14"/>
      <c r="K2298" s="25">
        <v>5.8407458116490396</v>
      </c>
    </row>
    <row r="2299" spans="1:11" ht="15.75" customHeight="1">
      <c r="A2299" s="77" t="s">
        <v>37</v>
      </c>
      <c r="B2299" s="80">
        <v>187.13827284727742</v>
      </c>
      <c r="C2299" s="25">
        <v>1.55</v>
      </c>
      <c r="D2299" s="26"/>
      <c r="E2299" s="25">
        <v>1E-3</v>
      </c>
      <c r="F2299" s="25">
        <v>1000</v>
      </c>
      <c r="G2299" s="76"/>
      <c r="H2299" s="78">
        <v>25</v>
      </c>
      <c r="I2299" s="77" t="s">
        <v>12</v>
      </c>
      <c r="J2299" s="14"/>
      <c r="K2299" s="25">
        <v>5.9727402518781103</v>
      </c>
    </row>
    <row r="2300" spans="1:11" ht="15.75" customHeight="1">
      <c r="A2300" s="77" t="s">
        <v>37</v>
      </c>
      <c r="B2300" s="80">
        <v>199.4855579970162</v>
      </c>
      <c r="C2300" s="25">
        <v>1.55</v>
      </c>
      <c r="D2300" s="26"/>
      <c r="E2300" s="25">
        <v>1E-3</v>
      </c>
      <c r="F2300" s="25">
        <v>1000</v>
      </c>
      <c r="G2300" s="76"/>
      <c r="H2300" s="78">
        <v>25</v>
      </c>
      <c r="I2300" s="77" t="s">
        <v>12</v>
      </c>
      <c r="J2300" s="14"/>
      <c r="K2300" s="25">
        <v>6.0186513662821604</v>
      </c>
    </row>
    <row r="2301" spans="1:11" ht="15.75" customHeight="1">
      <c r="A2301" s="77" t="s">
        <v>37</v>
      </c>
      <c r="B2301" s="80">
        <v>212.2186599299022</v>
      </c>
      <c r="C2301" s="25">
        <v>1.55</v>
      </c>
      <c r="D2301" s="26"/>
      <c r="E2301" s="25">
        <v>1E-3</v>
      </c>
      <c r="F2301" s="25">
        <v>1000</v>
      </c>
      <c r="G2301" s="76"/>
      <c r="H2301" s="78">
        <v>25</v>
      </c>
      <c r="I2301" s="77" t="s">
        <v>12</v>
      </c>
      <c r="J2301" s="14"/>
      <c r="K2301" s="25">
        <v>6.0989954607427199</v>
      </c>
    </row>
    <row r="2302" spans="1:11" ht="15.75" customHeight="1">
      <c r="A2302" s="77" t="s">
        <v>37</v>
      </c>
      <c r="B2302" s="80">
        <v>224.56594507964101</v>
      </c>
      <c r="C2302" s="25">
        <v>1.55</v>
      </c>
      <c r="D2302" s="26"/>
      <c r="E2302" s="25">
        <v>1E-3</v>
      </c>
      <c r="F2302" s="25">
        <v>1000</v>
      </c>
      <c r="G2302" s="76"/>
      <c r="H2302" s="78">
        <v>25</v>
      </c>
      <c r="I2302" s="77" t="s">
        <v>12</v>
      </c>
      <c r="J2302" s="14"/>
      <c r="K2302" s="25">
        <v>6.1850786771072697</v>
      </c>
    </row>
    <row r="2303" spans="1:11" ht="15.75" customHeight="1">
      <c r="A2303" s="77" t="s">
        <v>37</v>
      </c>
      <c r="B2303" s="80">
        <v>237.29904701252761</v>
      </c>
      <c r="C2303" s="25">
        <v>1.55</v>
      </c>
      <c r="D2303" s="26"/>
      <c r="E2303" s="25">
        <v>1E-3</v>
      </c>
      <c r="F2303" s="25">
        <v>1000</v>
      </c>
      <c r="G2303" s="76"/>
      <c r="H2303" s="78">
        <v>25</v>
      </c>
      <c r="I2303" s="77" t="s">
        <v>12</v>
      </c>
      <c r="J2303" s="14"/>
      <c r="K2303" s="25">
        <v>6.2367288039548603</v>
      </c>
    </row>
    <row r="2304" spans="1:11" ht="15.75" customHeight="1">
      <c r="A2304" s="77" t="s">
        <v>37</v>
      </c>
      <c r="B2304" s="80">
        <v>250.03217838359342</v>
      </c>
      <c r="C2304" s="25">
        <v>1.55</v>
      </c>
      <c r="D2304" s="26"/>
      <c r="E2304" s="25">
        <v>1E-3</v>
      </c>
      <c r="F2304" s="25">
        <v>1000</v>
      </c>
      <c r="G2304" s="76"/>
      <c r="H2304" s="78">
        <v>25</v>
      </c>
      <c r="I2304" s="77" t="s">
        <v>12</v>
      </c>
      <c r="J2304" s="14"/>
      <c r="K2304" s="25">
        <v>6.2883787118815002</v>
      </c>
    </row>
    <row r="2305" spans="1:11" ht="15.75" customHeight="1">
      <c r="A2305" s="77" t="s">
        <v>37</v>
      </c>
      <c r="B2305" s="80">
        <v>62.122183655481003</v>
      </c>
      <c r="C2305" s="25">
        <v>1.75</v>
      </c>
      <c r="D2305" s="26"/>
      <c r="E2305" s="25">
        <v>1E-3</v>
      </c>
      <c r="F2305" s="25">
        <v>1000</v>
      </c>
      <c r="G2305" s="76"/>
      <c r="H2305" s="78">
        <v>25</v>
      </c>
      <c r="I2305" s="77" t="s">
        <v>12</v>
      </c>
      <c r="J2305" s="14"/>
      <c r="K2305" s="25">
        <v>5.2324246130349996</v>
      </c>
    </row>
    <row r="2306" spans="1:11" ht="15.75" customHeight="1">
      <c r="A2306" s="77" t="s">
        <v>37</v>
      </c>
      <c r="B2306" s="80">
        <v>68.295840949440006</v>
      </c>
      <c r="C2306" s="25">
        <v>1.75</v>
      </c>
      <c r="D2306" s="26"/>
      <c r="E2306" s="25">
        <v>1E-3</v>
      </c>
      <c r="F2306" s="25">
        <v>1000</v>
      </c>
      <c r="G2306" s="76"/>
      <c r="H2306" s="78">
        <v>25</v>
      </c>
      <c r="I2306" s="77" t="s">
        <v>12</v>
      </c>
      <c r="J2306" s="14"/>
      <c r="K2306" s="25">
        <v>5.1922524016140201</v>
      </c>
    </row>
    <row r="2307" spans="1:11" ht="15.75" customHeight="1">
      <c r="A2307" s="77" t="s">
        <v>37</v>
      </c>
      <c r="B2307" s="80">
        <v>74.469468805219208</v>
      </c>
      <c r="C2307" s="25">
        <v>1.75</v>
      </c>
      <c r="D2307" s="26"/>
      <c r="E2307" s="25">
        <v>1E-3</v>
      </c>
      <c r="F2307" s="25">
        <v>1000</v>
      </c>
      <c r="G2307" s="76"/>
      <c r="H2307" s="78">
        <v>25</v>
      </c>
      <c r="I2307" s="77" t="s">
        <v>12</v>
      </c>
      <c r="J2307" s="14"/>
      <c r="K2307" s="25">
        <v>5.3127690358769604</v>
      </c>
    </row>
    <row r="2308" spans="1:11" ht="15.75" customHeight="1">
      <c r="A2308" s="77" t="s">
        <v>37</v>
      </c>
      <c r="B2308" s="80">
        <v>81.028942882326007</v>
      </c>
      <c r="C2308" s="25">
        <v>1.75</v>
      </c>
      <c r="D2308" s="26"/>
      <c r="E2308" s="25">
        <v>1E-3</v>
      </c>
      <c r="F2308" s="25">
        <v>1000</v>
      </c>
      <c r="G2308" s="76"/>
      <c r="H2308" s="78">
        <v>25</v>
      </c>
      <c r="I2308" s="77" t="s">
        <v>12</v>
      </c>
      <c r="J2308" s="14"/>
      <c r="K2308" s="25">
        <v>5.3988522522415199</v>
      </c>
    </row>
    <row r="2309" spans="1:11" ht="15.75" customHeight="1">
      <c r="A2309" s="77" t="s">
        <v>37</v>
      </c>
      <c r="B2309" s="80">
        <v>86.430878295450597</v>
      </c>
      <c r="C2309" s="25">
        <v>1.75</v>
      </c>
      <c r="D2309" s="26"/>
      <c r="E2309" s="25">
        <v>1E-3</v>
      </c>
      <c r="F2309" s="25">
        <v>1000</v>
      </c>
      <c r="G2309" s="76"/>
      <c r="H2309" s="78">
        <v>25</v>
      </c>
      <c r="I2309" s="77" t="s">
        <v>12</v>
      </c>
      <c r="J2309" s="14"/>
      <c r="K2309" s="25">
        <v>5.3529410283770096</v>
      </c>
    </row>
    <row r="2310" spans="1:11" ht="15.75" customHeight="1">
      <c r="A2310" s="77" t="s">
        <v>37</v>
      </c>
      <c r="B2310" s="80">
        <v>93.762074253392399</v>
      </c>
      <c r="C2310" s="25">
        <v>1.75</v>
      </c>
      <c r="D2310" s="26"/>
      <c r="E2310" s="25">
        <v>1E-3</v>
      </c>
      <c r="F2310" s="25">
        <v>1000</v>
      </c>
      <c r="G2310" s="76"/>
      <c r="H2310" s="78">
        <v>25</v>
      </c>
      <c r="I2310" s="77" t="s">
        <v>12</v>
      </c>
      <c r="J2310" s="14"/>
      <c r="K2310" s="25">
        <v>5.3529410283770096</v>
      </c>
    </row>
    <row r="2311" spans="1:11" ht="15.75" customHeight="1">
      <c r="A2311" s="77" t="s">
        <v>37</v>
      </c>
      <c r="B2311" s="80">
        <v>99.549855887844004</v>
      </c>
      <c r="C2311" s="25">
        <v>1.75</v>
      </c>
      <c r="D2311" s="26"/>
      <c r="E2311" s="25">
        <v>1E-3</v>
      </c>
      <c r="F2311" s="25">
        <v>1000</v>
      </c>
      <c r="G2311" s="76"/>
      <c r="H2311" s="78">
        <v>25</v>
      </c>
      <c r="I2311" s="77" t="s">
        <v>12</v>
      </c>
      <c r="J2311" s="14"/>
      <c r="K2311" s="25">
        <v>5.3816354338318604</v>
      </c>
    </row>
    <row r="2312" spans="1:11" ht="15.75" customHeight="1">
      <c r="A2312" s="77" t="s">
        <v>37</v>
      </c>
      <c r="B2312" s="80">
        <v>106.10932996495079</v>
      </c>
      <c r="C2312" s="25">
        <v>1.75</v>
      </c>
      <c r="D2312" s="26"/>
      <c r="E2312" s="25">
        <v>1E-3</v>
      </c>
      <c r="F2312" s="25">
        <v>1000</v>
      </c>
      <c r="G2312" s="76"/>
      <c r="H2312" s="78">
        <v>25</v>
      </c>
      <c r="I2312" s="77" t="s">
        <v>12</v>
      </c>
      <c r="J2312" s="14"/>
      <c r="K2312" s="25">
        <v>5.4275466576963796</v>
      </c>
    </row>
    <row r="2313" spans="1:11" ht="15.75" customHeight="1">
      <c r="A2313" s="77" t="s">
        <v>37</v>
      </c>
      <c r="B2313" s="80">
        <v>111.51126537807541</v>
      </c>
      <c r="C2313" s="25">
        <v>1.75</v>
      </c>
      <c r="D2313" s="26"/>
      <c r="E2313" s="25">
        <v>1E-3</v>
      </c>
      <c r="F2313" s="25">
        <v>1000</v>
      </c>
      <c r="G2313" s="76"/>
      <c r="H2313" s="78">
        <v>25</v>
      </c>
      <c r="I2313" s="77" t="s">
        <v>12</v>
      </c>
      <c r="J2313" s="14"/>
      <c r="K2313" s="25">
        <v>5.4964130556512698</v>
      </c>
    </row>
    <row r="2314" spans="1:11" ht="15.75" customHeight="1">
      <c r="A2314" s="77" t="s">
        <v>37</v>
      </c>
      <c r="B2314" s="80">
        <v>119.6141537786724</v>
      </c>
      <c r="C2314" s="25">
        <v>1.75</v>
      </c>
      <c r="D2314" s="26"/>
      <c r="E2314" s="25">
        <v>1E-3</v>
      </c>
      <c r="F2314" s="25">
        <v>1000</v>
      </c>
      <c r="G2314" s="76"/>
      <c r="H2314" s="78">
        <v>25</v>
      </c>
      <c r="I2314" s="77" t="s">
        <v>12</v>
      </c>
      <c r="J2314" s="14"/>
      <c r="K2314" s="25">
        <v>5.5767574784932403</v>
      </c>
    </row>
    <row r="2315" spans="1:11" ht="15.75" customHeight="1">
      <c r="A2315" s="77" t="s">
        <v>37</v>
      </c>
      <c r="B2315" s="80">
        <v>124.6302429704688</v>
      </c>
      <c r="C2315" s="25">
        <v>1.75</v>
      </c>
      <c r="D2315" s="26"/>
      <c r="E2315" s="25">
        <v>1E-3</v>
      </c>
      <c r="F2315" s="25">
        <v>1000</v>
      </c>
      <c r="G2315" s="76"/>
      <c r="H2315" s="78">
        <v>25</v>
      </c>
      <c r="I2315" s="77" t="s">
        <v>12</v>
      </c>
      <c r="J2315" s="14"/>
      <c r="K2315" s="25">
        <v>5.6571019013352002</v>
      </c>
    </row>
    <row r="2316" spans="1:11" ht="15.75" customHeight="1">
      <c r="A2316" s="77" t="s">
        <v>37</v>
      </c>
      <c r="B2316" s="80">
        <v>130.80387082624861</v>
      </c>
      <c r="C2316" s="25">
        <v>1.75</v>
      </c>
      <c r="D2316" s="26"/>
      <c r="E2316" s="25">
        <v>1E-3</v>
      </c>
      <c r="F2316" s="25">
        <v>1000</v>
      </c>
      <c r="G2316" s="76"/>
      <c r="H2316" s="78">
        <v>25</v>
      </c>
      <c r="I2316" s="77" t="s">
        <v>12</v>
      </c>
      <c r="J2316" s="14"/>
      <c r="K2316" s="25">
        <v>5.7317073117336301</v>
      </c>
    </row>
    <row r="2317" spans="1:11" ht="15.75" customHeight="1">
      <c r="A2317" s="77" t="s">
        <v>37</v>
      </c>
      <c r="B2317" s="80">
        <v>136.9774986820278</v>
      </c>
      <c r="C2317" s="25">
        <v>1.75</v>
      </c>
      <c r="D2317" s="26"/>
      <c r="E2317" s="25">
        <v>1E-3</v>
      </c>
      <c r="F2317" s="25">
        <v>1000</v>
      </c>
      <c r="G2317" s="76"/>
      <c r="H2317" s="78">
        <v>25</v>
      </c>
      <c r="I2317" s="77" t="s">
        <v>12</v>
      </c>
      <c r="J2317" s="14"/>
      <c r="K2317" s="25">
        <v>5.7833571101998</v>
      </c>
    </row>
    <row r="2318" spans="1:11" ht="15.75" customHeight="1">
      <c r="A2318" s="77" t="s">
        <v>37</v>
      </c>
      <c r="B2318" s="80">
        <v>143.92284841864199</v>
      </c>
      <c r="C2318" s="25">
        <v>1.75</v>
      </c>
      <c r="D2318" s="26"/>
      <c r="E2318" s="25">
        <v>1E-3</v>
      </c>
      <c r="F2318" s="25">
        <v>1000</v>
      </c>
      <c r="G2318" s="76"/>
      <c r="H2318" s="78">
        <v>25</v>
      </c>
      <c r="I2318" s="77" t="s">
        <v>12</v>
      </c>
      <c r="J2318" s="14"/>
      <c r="K2318" s="25">
        <v>5.7833571101998</v>
      </c>
    </row>
    <row r="2319" spans="1:11" ht="15.75" customHeight="1">
      <c r="A2319" s="77" t="s">
        <v>37</v>
      </c>
      <c r="B2319" s="80">
        <v>149.71063005309421</v>
      </c>
      <c r="C2319" s="25">
        <v>1.75</v>
      </c>
      <c r="D2319" s="26"/>
      <c r="E2319" s="25">
        <v>1E-3</v>
      </c>
      <c r="F2319" s="25">
        <v>1000</v>
      </c>
      <c r="G2319" s="76"/>
      <c r="H2319" s="78">
        <v>25</v>
      </c>
      <c r="I2319" s="77" t="s">
        <v>12</v>
      </c>
      <c r="J2319" s="14"/>
      <c r="K2319" s="25">
        <v>5.8694402171038904</v>
      </c>
    </row>
    <row r="2320" spans="1:11" ht="15.75" customHeight="1">
      <c r="A2320" s="77" t="s">
        <v>37</v>
      </c>
      <c r="B2320" s="80">
        <v>156.27010413020102</v>
      </c>
      <c r="C2320" s="25">
        <v>1.75</v>
      </c>
      <c r="D2320" s="26"/>
      <c r="E2320" s="25">
        <v>1E-3</v>
      </c>
      <c r="F2320" s="25">
        <v>1000</v>
      </c>
      <c r="G2320" s="76"/>
      <c r="H2320" s="78">
        <v>25</v>
      </c>
      <c r="I2320" s="77" t="s">
        <v>12</v>
      </c>
      <c r="J2320" s="14"/>
      <c r="K2320" s="25">
        <v>5.90387374446275</v>
      </c>
    </row>
    <row r="2321" spans="1:11" ht="15.75" customHeight="1">
      <c r="A2321" s="77" t="s">
        <v>37</v>
      </c>
      <c r="B2321" s="80">
        <v>162.44373198598021</v>
      </c>
      <c r="C2321" s="25">
        <v>1.75</v>
      </c>
      <c r="D2321" s="26"/>
      <c r="E2321" s="25">
        <v>1E-3</v>
      </c>
      <c r="F2321" s="25">
        <v>1000</v>
      </c>
      <c r="G2321" s="76"/>
      <c r="H2321" s="78">
        <v>25</v>
      </c>
      <c r="I2321" s="77" t="s">
        <v>12</v>
      </c>
      <c r="J2321" s="14"/>
      <c r="K2321" s="25">
        <v>5.9497847494063301</v>
      </c>
    </row>
    <row r="2322" spans="1:11" ht="15.75" customHeight="1">
      <c r="A2322" s="77" t="s">
        <v>37</v>
      </c>
      <c r="B2322" s="80">
        <v>169.0032355012668</v>
      </c>
      <c r="C2322" s="25">
        <v>1.75</v>
      </c>
      <c r="D2322" s="26"/>
      <c r="E2322" s="25">
        <v>1E-3</v>
      </c>
      <c r="F2322" s="25">
        <v>1000</v>
      </c>
      <c r="G2322" s="76"/>
      <c r="H2322" s="78">
        <v>25</v>
      </c>
      <c r="I2322" s="77" t="s">
        <v>12</v>
      </c>
      <c r="J2322" s="14"/>
      <c r="K2322" s="25">
        <v>5.9842178389232998</v>
      </c>
    </row>
    <row r="2323" spans="1:11" ht="15.75" customHeight="1">
      <c r="A2323" s="77" t="s">
        <v>37</v>
      </c>
      <c r="B2323" s="80">
        <v>174.40517091439139</v>
      </c>
      <c r="C2323" s="25">
        <v>1.75</v>
      </c>
      <c r="D2323" s="26"/>
      <c r="E2323" s="25">
        <v>1E-3</v>
      </c>
      <c r="F2323" s="25">
        <v>1000</v>
      </c>
      <c r="G2323" s="76"/>
      <c r="H2323" s="78">
        <v>25</v>
      </c>
      <c r="I2323" s="77" t="s">
        <v>12</v>
      </c>
      <c r="J2323" s="14"/>
      <c r="K2323" s="25">
        <v>6.0129122443781604</v>
      </c>
    </row>
    <row r="2324" spans="1:11" ht="15.75" customHeight="1">
      <c r="A2324" s="77" t="s">
        <v>37</v>
      </c>
      <c r="B2324" s="80">
        <v>180.9646449914982</v>
      </c>
      <c r="C2324" s="25">
        <v>1.75</v>
      </c>
      <c r="D2324" s="26"/>
      <c r="E2324" s="25">
        <v>1E-3</v>
      </c>
      <c r="F2324" s="25">
        <v>1000</v>
      </c>
      <c r="G2324" s="76"/>
      <c r="H2324" s="78">
        <v>25</v>
      </c>
      <c r="I2324" s="77" t="s">
        <v>12</v>
      </c>
      <c r="J2324" s="14"/>
      <c r="K2324" s="25">
        <v>6.0932567766805903</v>
      </c>
    </row>
    <row r="2325" spans="1:11" ht="15.75" customHeight="1">
      <c r="A2325" s="77" t="s">
        <v>37</v>
      </c>
      <c r="B2325" s="80">
        <v>185.9807341832952</v>
      </c>
      <c r="C2325" s="25">
        <v>1.75</v>
      </c>
      <c r="D2325" s="26"/>
      <c r="E2325" s="25">
        <v>1E-3</v>
      </c>
      <c r="F2325" s="25">
        <v>1000</v>
      </c>
      <c r="G2325" s="76"/>
      <c r="H2325" s="78">
        <v>25</v>
      </c>
      <c r="I2325" s="77" t="s">
        <v>12</v>
      </c>
      <c r="J2325" s="14"/>
      <c r="K2325" s="25">
        <v>6.1449066846072302</v>
      </c>
    </row>
    <row r="2326" spans="1:11" ht="15.75" customHeight="1">
      <c r="A2326" s="77" t="s">
        <v>37</v>
      </c>
      <c r="B2326" s="80">
        <v>192.92605448172961</v>
      </c>
      <c r="C2326" s="25">
        <v>1.75</v>
      </c>
      <c r="D2326" s="26"/>
      <c r="E2326" s="25">
        <v>1E-3</v>
      </c>
      <c r="F2326" s="25">
        <v>1000</v>
      </c>
      <c r="G2326" s="76"/>
      <c r="H2326" s="78">
        <v>25</v>
      </c>
      <c r="I2326" s="77" t="s">
        <v>12</v>
      </c>
      <c r="J2326" s="14"/>
      <c r="K2326" s="25">
        <v>6.1850786771072697</v>
      </c>
    </row>
    <row r="2327" spans="1:11" ht="15.75" customHeight="1">
      <c r="A2327" s="77" t="s">
        <v>37</v>
      </c>
      <c r="B2327" s="80">
        <v>199.8714042183438</v>
      </c>
      <c r="C2327" s="25">
        <v>1.75</v>
      </c>
      <c r="D2327" s="26"/>
      <c r="E2327" s="25">
        <v>1E-3</v>
      </c>
      <c r="F2327" s="25">
        <v>1000</v>
      </c>
      <c r="G2327" s="76"/>
      <c r="H2327" s="78">
        <v>25</v>
      </c>
      <c r="I2327" s="77" t="s">
        <v>12</v>
      </c>
      <c r="J2327" s="14"/>
      <c r="K2327" s="25">
        <v>6.2769010153758398</v>
      </c>
    </row>
    <row r="2328" spans="1:11" ht="15.75" customHeight="1">
      <c r="A2328" s="77" t="s">
        <v>37</v>
      </c>
      <c r="B2328" s="80">
        <v>206.04503207412301</v>
      </c>
      <c r="C2328" s="25">
        <v>1.75</v>
      </c>
      <c r="D2328" s="26"/>
      <c r="E2328" s="25">
        <v>1E-3</v>
      </c>
      <c r="F2328" s="25">
        <v>1000</v>
      </c>
      <c r="G2328" s="76"/>
      <c r="H2328" s="78">
        <v>25</v>
      </c>
      <c r="I2328" s="77" t="s">
        <v>12</v>
      </c>
      <c r="J2328" s="14"/>
      <c r="K2328" s="25">
        <v>6.2482066099209899</v>
      </c>
    </row>
    <row r="2329" spans="1:11" ht="15.75" customHeight="1">
      <c r="A2329" s="77" t="s">
        <v>37</v>
      </c>
      <c r="B2329" s="80">
        <v>212.2186599299022</v>
      </c>
      <c r="C2329" s="25">
        <v>1.75</v>
      </c>
      <c r="D2329" s="26"/>
      <c r="E2329" s="25">
        <v>1E-3</v>
      </c>
      <c r="F2329" s="25">
        <v>1000</v>
      </c>
      <c r="G2329" s="76"/>
      <c r="H2329" s="78">
        <v>25</v>
      </c>
      <c r="I2329" s="77" t="s">
        <v>12</v>
      </c>
      <c r="J2329" s="14"/>
      <c r="K2329" s="25">
        <v>6.2998562989266897</v>
      </c>
    </row>
    <row r="2330" spans="1:11" ht="15.75" customHeight="1">
      <c r="A2330" s="77" t="s">
        <v>37</v>
      </c>
      <c r="B2330" s="80">
        <v>219.16400966651639</v>
      </c>
      <c r="C2330" s="25">
        <v>1.75</v>
      </c>
      <c r="D2330" s="26"/>
      <c r="E2330" s="25">
        <v>1E-3</v>
      </c>
      <c r="F2330" s="25">
        <v>1000</v>
      </c>
      <c r="G2330" s="76"/>
      <c r="H2330" s="78">
        <v>25</v>
      </c>
      <c r="I2330" s="77" t="s">
        <v>12</v>
      </c>
      <c r="J2330" s="14"/>
      <c r="K2330" s="25">
        <v>6.3457675227912</v>
      </c>
    </row>
    <row r="2331" spans="1:11" ht="15.75" customHeight="1">
      <c r="A2331" s="77" t="s">
        <v>37</v>
      </c>
      <c r="B2331" s="80">
        <v>224.56594507964101</v>
      </c>
      <c r="C2331" s="25">
        <v>1.75</v>
      </c>
      <c r="D2331" s="26"/>
      <c r="E2331" s="25">
        <v>1E-3</v>
      </c>
      <c r="F2331" s="25">
        <v>1000</v>
      </c>
      <c r="G2331" s="76"/>
      <c r="H2331" s="78">
        <v>25</v>
      </c>
      <c r="I2331" s="77" t="s">
        <v>12</v>
      </c>
      <c r="J2331" s="14"/>
      <c r="K2331" s="25">
        <v>6.3285507043815397</v>
      </c>
    </row>
    <row r="2332" spans="1:11" ht="15.75" customHeight="1">
      <c r="A2332" s="77" t="s">
        <v>37</v>
      </c>
      <c r="B2332" s="80">
        <v>229.96785105458579</v>
      </c>
      <c r="C2332" s="25">
        <v>1.75</v>
      </c>
      <c r="D2332" s="26"/>
      <c r="E2332" s="25">
        <v>1E-3</v>
      </c>
      <c r="F2332" s="25">
        <v>1000</v>
      </c>
      <c r="G2332" s="76"/>
      <c r="H2332" s="78">
        <v>25</v>
      </c>
      <c r="I2332" s="77" t="s">
        <v>12</v>
      </c>
      <c r="J2332" s="14"/>
      <c r="K2332" s="25">
        <v>6.4031563337009096</v>
      </c>
    </row>
    <row r="2333" spans="1:11" ht="15.75" customHeight="1">
      <c r="A2333" s="77" t="s">
        <v>37</v>
      </c>
      <c r="B2333" s="80">
        <v>236.14147891036501</v>
      </c>
      <c r="C2333" s="25">
        <v>1.75</v>
      </c>
      <c r="D2333" s="26"/>
      <c r="E2333" s="25">
        <v>1E-3</v>
      </c>
      <c r="F2333" s="25">
        <v>1000</v>
      </c>
      <c r="G2333" s="76"/>
      <c r="H2333" s="78">
        <v>25</v>
      </c>
      <c r="I2333" s="77" t="s">
        <v>12</v>
      </c>
      <c r="J2333" s="14"/>
      <c r="K2333" s="25">
        <v>6.4261118361726997</v>
      </c>
    </row>
    <row r="2334" spans="1:11" ht="15.75" customHeight="1">
      <c r="A2334" s="77" t="s">
        <v>37</v>
      </c>
      <c r="B2334" s="80">
        <v>241.157568102162</v>
      </c>
      <c r="C2334" s="25">
        <v>1.75</v>
      </c>
      <c r="D2334" s="26"/>
      <c r="E2334" s="25">
        <v>1E-3</v>
      </c>
      <c r="F2334" s="25">
        <v>1000</v>
      </c>
      <c r="G2334" s="76"/>
      <c r="H2334" s="78">
        <v>25</v>
      </c>
      <c r="I2334" s="77" t="s">
        <v>12</v>
      </c>
      <c r="J2334" s="14"/>
      <c r="K2334" s="25">
        <v>6.4146339207461001</v>
      </c>
    </row>
    <row r="2335" spans="1:11" ht="15.75" customHeight="1">
      <c r="A2335" s="77" t="s">
        <v>37</v>
      </c>
      <c r="B2335" s="80">
        <v>249.64630272408601</v>
      </c>
      <c r="C2335" s="25">
        <v>1.75</v>
      </c>
      <c r="D2335" s="26"/>
      <c r="E2335" s="25">
        <v>1E-3</v>
      </c>
      <c r="F2335" s="25">
        <v>1000</v>
      </c>
      <c r="G2335" s="76"/>
      <c r="H2335" s="78">
        <v>25</v>
      </c>
      <c r="I2335" s="77" t="s">
        <v>12</v>
      </c>
      <c r="J2335" s="14"/>
      <c r="K2335" s="25">
        <v>6.4605451446106201</v>
      </c>
    </row>
    <row r="2336" spans="1:11" ht="15.75" customHeight="1">
      <c r="A2336" s="77" t="s">
        <v>37</v>
      </c>
      <c r="B2336" s="80">
        <v>68.681687170767603</v>
      </c>
      <c r="C2336" s="25">
        <v>2.06</v>
      </c>
      <c r="D2336" s="26"/>
      <c r="E2336" s="25">
        <v>1E-3</v>
      </c>
      <c r="F2336" s="25">
        <v>1000</v>
      </c>
      <c r="G2336" s="76"/>
      <c r="H2336" s="78">
        <v>25</v>
      </c>
      <c r="I2336" s="77" t="s">
        <v>12</v>
      </c>
      <c r="J2336" s="14"/>
      <c r="K2336" s="25">
        <v>5.3873744462753903</v>
      </c>
    </row>
    <row r="2337" spans="1:11" ht="15.75" customHeight="1">
      <c r="A2337" s="77" t="s">
        <v>37</v>
      </c>
      <c r="B2337" s="26">
        <v>74.083622583891596</v>
      </c>
      <c r="C2337" s="25">
        <v>2.06</v>
      </c>
      <c r="D2337" s="26"/>
      <c r="E2337" s="25">
        <v>1E-3</v>
      </c>
      <c r="F2337" s="25">
        <v>1000</v>
      </c>
      <c r="G2337" s="76"/>
      <c r="H2337" s="78">
        <v>25</v>
      </c>
      <c r="I2337" s="77" t="s">
        <v>12</v>
      </c>
      <c r="J2337" s="14"/>
      <c r="K2337" s="25">
        <v>5.4791964561625504</v>
      </c>
    </row>
    <row r="2338" spans="1:11" ht="15.75" customHeight="1">
      <c r="A2338" s="77" t="s">
        <v>37</v>
      </c>
      <c r="B2338" s="26">
        <v>81.028942882326007</v>
      </c>
      <c r="C2338" s="25">
        <v>2.06</v>
      </c>
      <c r="D2338" s="26"/>
      <c r="E2338" s="25">
        <v>1E-3</v>
      </c>
      <c r="F2338" s="25">
        <v>1000</v>
      </c>
      <c r="G2338" s="76"/>
      <c r="H2338" s="78">
        <v>25</v>
      </c>
      <c r="I2338" s="77" t="s">
        <v>12</v>
      </c>
      <c r="J2338" s="14"/>
      <c r="K2338" s="25">
        <v>5.5308464735496603</v>
      </c>
    </row>
    <row r="2339" spans="1:11" ht="15.75" customHeight="1">
      <c r="A2339" s="77" t="s">
        <v>37</v>
      </c>
      <c r="B2339" s="26">
        <v>87.5884463976126</v>
      </c>
      <c r="C2339" s="25">
        <v>2.06</v>
      </c>
      <c r="D2339" s="26"/>
      <c r="E2339" s="25">
        <v>1E-3</v>
      </c>
      <c r="F2339" s="25">
        <v>1000</v>
      </c>
      <c r="G2339" s="76"/>
      <c r="H2339" s="78">
        <v>25</v>
      </c>
      <c r="I2339" s="77" t="s">
        <v>12</v>
      </c>
      <c r="J2339" s="14"/>
      <c r="K2339" s="25">
        <v>5.4791964561625504</v>
      </c>
    </row>
    <row r="2340" spans="1:11" ht="15.75" customHeight="1">
      <c r="A2340" s="77" t="s">
        <v>37</v>
      </c>
      <c r="B2340" s="26">
        <v>94.147920474719996</v>
      </c>
      <c r="C2340" s="25">
        <v>2.06</v>
      </c>
      <c r="D2340" s="26"/>
      <c r="E2340" s="25">
        <v>1E-3</v>
      </c>
      <c r="F2340" s="25">
        <v>1000</v>
      </c>
      <c r="G2340" s="76"/>
      <c r="H2340" s="78">
        <v>25</v>
      </c>
      <c r="I2340" s="77" t="s">
        <v>12</v>
      </c>
      <c r="J2340" s="14"/>
      <c r="K2340" s="25">
        <v>5.4447632571850999</v>
      </c>
    </row>
    <row r="2341" spans="1:11" ht="15.75" customHeight="1">
      <c r="A2341" s="77" t="s">
        <v>37</v>
      </c>
      <c r="B2341" s="26">
        <v>99.935702109171586</v>
      </c>
      <c r="C2341" s="25">
        <v>2.06</v>
      </c>
      <c r="D2341" s="26"/>
      <c r="E2341" s="25">
        <v>1E-3</v>
      </c>
      <c r="F2341" s="25">
        <v>1000</v>
      </c>
      <c r="G2341" s="76"/>
      <c r="H2341" s="78">
        <v>25</v>
      </c>
      <c r="I2341" s="77" t="s">
        <v>12</v>
      </c>
      <c r="J2341" s="14"/>
      <c r="K2341" s="25">
        <v>5.5308464735496603</v>
      </c>
    </row>
    <row r="2342" spans="1:11" ht="15.75" customHeight="1">
      <c r="A2342" s="77" t="s">
        <v>37</v>
      </c>
      <c r="B2342" s="26">
        <v>105.7234837436238</v>
      </c>
      <c r="C2342" s="25">
        <v>2.06</v>
      </c>
      <c r="D2342" s="26"/>
      <c r="E2342" s="25">
        <v>1E-3</v>
      </c>
      <c r="F2342" s="25">
        <v>1000</v>
      </c>
      <c r="G2342" s="76"/>
      <c r="H2342" s="78">
        <v>25</v>
      </c>
      <c r="I2342" s="77" t="s">
        <v>12</v>
      </c>
      <c r="J2342" s="14"/>
      <c r="K2342" s="25">
        <v>5.5193686675835298</v>
      </c>
    </row>
    <row r="2343" spans="1:11" ht="15.75" customHeight="1">
      <c r="A2343" s="77" t="s">
        <v>37</v>
      </c>
      <c r="B2343" s="26">
        <v>111.51126537807541</v>
      </c>
      <c r="C2343" s="25">
        <v>2.06</v>
      </c>
      <c r="D2343" s="26"/>
      <c r="E2343" s="25">
        <v>1E-3</v>
      </c>
      <c r="F2343" s="25">
        <v>1000</v>
      </c>
      <c r="G2343" s="76"/>
      <c r="H2343" s="78">
        <v>25</v>
      </c>
      <c r="I2343" s="77" t="s">
        <v>12</v>
      </c>
      <c r="J2343" s="14"/>
      <c r="K2343" s="25">
        <v>5.5824962720158302</v>
      </c>
    </row>
    <row r="2344" spans="1:11" ht="15.75" customHeight="1">
      <c r="A2344" s="77" t="s">
        <v>37</v>
      </c>
      <c r="B2344" s="26">
        <v>118.4566151146896</v>
      </c>
      <c r="C2344" s="25">
        <v>2.06</v>
      </c>
      <c r="D2344" s="26"/>
      <c r="E2344" s="25">
        <v>1E-3</v>
      </c>
      <c r="F2344" s="25">
        <v>1000</v>
      </c>
      <c r="G2344" s="76"/>
      <c r="H2344" s="78">
        <v>25</v>
      </c>
      <c r="I2344" s="77" t="s">
        <v>12</v>
      </c>
      <c r="J2344" s="14"/>
      <c r="K2344" s="25">
        <v>5.6571019013352002</v>
      </c>
    </row>
    <row r="2345" spans="1:11" ht="15.75" customHeight="1">
      <c r="A2345" s="77" t="s">
        <v>37</v>
      </c>
      <c r="B2345" s="26">
        <v>123.85852108963439</v>
      </c>
      <c r="C2345" s="25">
        <v>2.06</v>
      </c>
      <c r="D2345" s="26"/>
      <c r="E2345" s="25">
        <v>1E-3</v>
      </c>
      <c r="F2345" s="25">
        <v>1000</v>
      </c>
      <c r="G2345" s="76"/>
      <c r="H2345" s="78">
        <v>25</v>
      </c>
      <c r="I2345" s="77" t="s">
        <v>12</v>
      </c>
      <c r="J2345" s="14"/>
      <c r="K2345" s="25">
        <v>5.7144907122449098</v>
      </c>
    </row>
    <row r="2346" spans="1:11" ht="15.75" customHeight="1">
      <c r="A2346" s="77" t="s">
        <v>37</v>
      </c>
      <c r="B2346" s="26">
        <v>130.80387082624861</v>
      </c>
      <c r="C2346" s="25">
        <v>2.06</v>
      </c>
      <c r="D2346" s="26"/>
      <c r="E2346" s="25">
        <v>1E-3</v>
      </c>
      <c r="F2346" s="25">
        <v>1000</v>
      </c>
      <c r="G2346" s="76"/>
      <c r="H2346" s="78">
        <v>25</v>
      </c>
      <c r="I2346" s="77" t="s">
        <v>12</v>
      </c>
      <c r="J2346" s="14"/>
      <c r="K2346" s="25">
        <v>5.8120515156546597</v>
      </c>
    </row>
    <row r="2347" spans="1:11" ht="15.75" customHeight="1">
      <c r="A2347" s="77" t="s">
        <v>37</v>
      </c>
      <c r="B2347" s="26">
        <v>136.5916524607002</v>
      </c>
      <c r="C2347" s="25">
        <v>2.06</v>
      </c>
      <c r="D2347" s="26"/>
      <c r="E2347" s="25">
        <v>1E-3</v>
      </c>
      <c r="F2347" s="25">
        <v>1000</v>
      </c>
      <c r="G2347" s="76"/>
      <c r="H2347" s="78">
        <v>25</v>
      </c>
      <c r="I2347" s="77" t="s">
        <v>12</v>
      </c>
      <c r="J2347" s="14"/>
      <c r="K2347" s="25">
        <v>5.9096126474458099</v>
      </c>
    </row>
    <row r="2348" spans="1:11" ht="15.75" customHeight="1">
      <c r="A2348" s="77" t="s">
        <v>37</v>
      </c>
      <c r="B2348" s="26">
        <v>142.76528031648002</v>
      </c>
      <c r="C2348" s="25">
        <v>2.06</v>
      </c>
      <c r="D2348" s="26"/>
      <c r="E2348" s="25">
        <v>1E-3</v>
      </c>
      <c r="F2348" s="25">
        <v>1000</v>
      </c>
      <c r="G2348" s="76"/>
      <c r="H2348" s="78">
        <v>25</v>
      </c>
      <c r="I2348" s="77" t="s">
        <v>12</v>
      </c>
      <c r="J2348" s="14"/>
      <c r="K2348" s="25">
        <v>5.9153514409684096</v>
      </c>
    </row>
    <row r="2349" spans="1:11" ht="15.75" customHeight="1">
      <c r="A2349" s="77" t="s">
        <v>37</v>
      </c>
      <c r="B2349" s="26">
        <v>149.32478383176661</v>
      </c>
      <c r="C2349" s="25">
        <v>2.06</v>
      </c>
      <c r="D2349" s="26"/>
      <c r="E2349" s="25">
        <v>1E-3</v>
      </c>
      <c r="F2349" s="25">
        <v>1000</v>
      </c>
      <c r="G2349" s="76"/>
      <c r="H2349" s="78">
        <v>25</v>
      </c>
      <c r="I2349" s="77" t="s">
        <v>12</v>
      </c>
      <c r="J2349" s="14"/>
      <c r="K2349" s="25">
        <v>5.9555234334684499</v>
      </c>
    </row>
    <row r="2350" spans="1:11" ht="15.75" customHeight="1">
      <c r="A2350" s="77" t="s">
        <v>37</v>
      </c>
      <c r="B2350" s="26">
        <v>156.65595035152859</v>
      </c>
      <c r="C2350" s="25">
        <v>2.06</v>
      </c>
      <c r="D2350" s="26"/>
      <c r="E2350" s="25">
        <v>1E-3</v>
      </c>
      <c r="F2350" s="25">
        <v>1000</v>
      </c>
      <c r="G2350" s="76"/>
      <c r="H2350" s="78">
        <v>25</v>
      </c>
      <c r="I2350" s="77" t="s">
        <v>12</v>
      </c>
      <c r="J2350" s="14"/>
      <c r="K2350" s="25">
        <v>6.0129122443781604</v>
      </c>
    </row>
    <row r="2351" spans="1:11" ht="15.75" customHeight="1">
      <c r="A2351" s="77" t="s">
        <v>37</v>
      </c>
      <c r="B2351" s="26">
        <v>163.21545386681521</v>
      </c>
      <c r="C2351" s="25">
        <v>2.06</v>
      </c>
      <c r="D2351" s="26"/>
      <c r="E2351" s="25">
        <v>1E-3</v>
      </c>
      <c r="F2351" s="25">
        <v>1000</v>
      </c>
      <c r="G2351" s="76"/>
      <c r="H2351" s="78">
        <v>25</v>
      </c>
      <c r="I2351" s="77" t="s">
        <v>12</v>
      </c>
      <c r="J2351" s="14"/>
      <c r="K2351" s="25">
        <v>6.0703010552878602</v>
      </c>
    </row>
    <row r="2352" spans="1:11" ht="15.75" customHeight="1">
      <c r="A2352" s="77" t="s">
        <v>37</v>
      </c>
      <c r="B2352" s="26">
        <v>168.6173892799392</v>
      </c>
      <c r="C2352" s="25">
        <v>2.06</v>
      </c>
      <c r="D2352" s="26"/>
      <c r="E2352" s="25">
        <v>1E-3</v>
      </c>
      <c r="F2352" s="25">
        <v>1000</v>
      </c>
      <c r="G2352" s="76"/>
      <c r="H2352" s="78">
        <v>25</v>
      </c>
      <c r="I2352" s="77" t="s">
        <v>12</v>
      </c>
      <c r="J2352" s="14"/>
      <c r="K2352" s="25">
        <v>6.1506455875902999</v>
      </c>
    </row>
    <row r="2353" spans="1:11" ht="15.75" customHeight="1">
      <c r="A2353" s="77" t="s">
        <v>37</v>
      </c>
      <c r="B2353" s="26">
        <v>174.79101713571902</v>
      </c>
      <c r="C2353" s="25">
        <v>2.06</v>
      </c>
      <c r="D2353" s="26"/>
      <c r="E2353" s="25">
        <v>1E-3</v>
      </c>
      <c r="F2353" s="25">
        <v>1000</v>
      </c>
      <c r="G2353" s="76"/>
      <c r="H2353" s="78">
        <v>25</v>
      </c>
      <c r="I2353" s="77" t="s">
        <v>12</v>
      </c>
      <c r="J2353" s="14"/>
      <c r="K2353" s="25">
        <v>6.1506455875902999</v>
      </c>
    </row>
    <row r="2354" spans="1:11" ht="15.75" customHeight="1">
      <c r="A2354" s="77" t="s">
        <v>37</v>
      </c>
      <c r="B2354" s="26">
        <v>181.3504912128258</v>
      </c>
      <c r="C2354" s="25">
        <v>2.06</v>
      </c>
      <c r="D2354" s="26"/>
      <c r="E2354" s="25">
        <v>1E-3</v>
      </c>
      <c r="F2354" s="25">
        <v>1000</v>
      </c>
      <c r="G2354" s="76"/>
      <c r="H2354" s="78">
        <v>25</v>
      </c>
      <c r="I2354" s="77" t="s">
        <v>12</v>
      </c>
      <c r="J2354" s="14"/>
      <c r="K2354" s="25">
        <v>6.2309899009717897</v>
      </c>
    </row>
    <row r="2355" spans="1:11" ht="15.75" customHeight="1">
      <c r="A2355" s="77" t="s">
        <v>37</v>
      </c>
      <c r="B2355" s="26">
        <v>186.75242662594979</v>
      </c>
      <c r="C2355" s="25">
        <v>2.06</v>
      </c>
      <c r="D2355" s="26"/>
      <c r="E2355" s="25">
        <v>1E-3</v>
      </c>
      <c r="F2355" s="25">
        <v>1000</v>
      </c>
      <c r="G2355" s="76"/>
      <c r="H2355" s="78">
        <v>25</v>
      </c>
      <c r="I2355" s="77" t="s">
        <v>12</v>
      </c>
      <c r="J2355" s="14"/>
      <c r="K2355" s="25">
        <v>6.2654232094097102</v>
      </c>
    </row>
    <row r="2356" spans="1:11" ht="15.75" customHeight="1">
      <c r="A2356" s="77" t="s">
        <v>37</v>
      </c>
      <c r="B2356" s="26">
        <v>192.92605448172961</v>
      </c>
      <c r="C2356" s="25">
        <v>2.06</v>
      </c>
      <c r="D2356" s="26"/>
      <c r="E2356" s="25">
        <v>1E-3</v>
      </c>
      <c r="F2356" s="25">
        <v>1000</v>
      </c>
      <c r="G2356" s="76"/>
      <c r="H2356" s="78">
        <v>25</v>
      </c>
      <c r="I2356" s="77" t="s">
        <v>12</v>
      </c>
      <c r="J2356" s="14"/>
      <c r="K2356" s="25">
        <v>6.3113342143532902</v>
      </c>
    </row>
    <row r="2357" spans="1:11" ht="15.75" customHeight="1">
      <c r="A2357" s="77" t="s">
        <v>37</v>
      </c>
      <c r="B2357" s="26">
        <v>199.0996823375088</v>
      </c>
      <c r="C2357" s="25">
        <v>2.06</v>
      </c>
      <c r="D2357" s="26"/>
      <c r="E2357" s="25">
        <v>1E-3</v>
      </c>
      <c r="F2357" s="25">
        <v>1000</v>
      </c>
      <c r="G2357" s="76"/>
      <c r="H2357" s="78">
        <v>25</v>
      </c>
      <c r="I2357" s="77" t="s">
        <v>12</v>
      </c>
      <c r="J2357" s="14"/>
      <c r="K2357" s="25">
        <v>6.3572451098363896</v>
      </c>
    </row>
    <row r="2358" spans="1:11" ht="15.75" customHeight="1">
      <c r="A2358" s="77" t="s">
        <v>37</v>
      </c>
      <c r="B2358" s="26">
        <v>50.628008450567101</v>
      </c>
      <c r="C2358" s="25">
        <v>1.55</v>
      </c>
      <c r="D2358" s="26"/>
      <c r="E2358" s="25">
        <v>1E-3</v>
      </c>
      <c r="F2358" s="25">
        <v>1000</v>
      </c>
      <c r="G2358" s="76"/>
      <c r="H2358" s="78">
        <v>25</v>
      </c>
      <c r="I2358" s="77" t="s">
        <v>12</v>
      </c>
      <c r="J2358" s="14"/>
      <c r="K2358" s="25">
        <v>4.8160919436281997</v>
      </c>
    </row>
    <row r="2359" spans="1:11" ht="15.75" customHeight="1">
      <c r="A2359" s="77" t="s">
        <v>37</v>
      </c>
      <c r="B2359" s="26">
        <v>61.835742714727203</v>
      </c>
      <c r="C2359" s="25">
        <v>1.55</v>
      </c>
      <c r="D2359" s="26"/>
      <c r="E2359" s="25">
        <v>1E-3</v>
      </c>
      <c r="F2359" s="25">
        <v>1000</v>
      </c>
      <c r="G2359" s="76"/>
      <c r="H2359" s="78">
        <v>25</v>
      </c>
      <c r="I2359" s="77" t="s">
        <v>12</v>
      </c>
      <c r="J2359" s="14"/>
      <c r="K2359" s="25">
        <v>4.9022988373449801</v>
      </c>
    </row>
    <row r="2360" spans="1:11" ht="15.75" customHeight="1">
      <c r="A2360" s="77" t="s">
        <v>37</v>
      </c>
      <c r="B2360" s="26">
        <v>75.362311433573993</v>
      </c>
      <c r="C2360" s="25">
        <v>1.55</v>
      </c>
      <c r="D2360" s="26"/>
      <c r="E2360" s="25">
        <v>1E-3</v>
      </c>
      <c r="F2360" s="25">
        <v>1000</v>
      </c>
      <c r="G2360" s="76"/>
      <c r="H2360" s="78">
        <v>25</v>
      </c>
      <c r="I2360" s="77" t="s">
        <v>12</v>
      </c>
      <c r="J2360" s="14"/>
      <c r="K2360" s="25">
        <v>5.02298851047202</v>
      </c>
    </row>
    <row r="2361" spans="1:11" ht="15.75" customHeight="1">
      <c r="A2361" s="77" t="s">
        <v>37</v>
      </c>
      <c r="B2361" s="26">
        <v>87.729477667867201</v>
      </c>
      <c r="C2361" s="25">
        <v>1.55</v>
      </c>
      <c r="D2361" s="26"/>
      <c r="E2361" s="25">
        <v>1E-3</v>
      </c>
      <c r="F2361" s="25">
        <v>1000</v>
      </c>
      <c r="G2361" s="76"/>
      <c r="H2361" s="78">
        <v>25</v>
      </c>
      <c r="I2361" s="77" t="s">
        <v>12</v>
      </c>
      <c r="J2361" s="14"/>
      <c r="K2361" s="25">
        <v>5.0402299549860201</v>
      </c>
    </row>
    <row r="2362" spans="1:11" ht="15.75" customHeight="1">
      <c r="A2362" s="77" t="s">
        <v>37</v>
      </c>
      <c r="B2362" s="26">
        <v>100.483081911432</v>
      </c>
      <c r="C2362" s="25">
        <v>1.55</v>
      </c>
      <c r="D2362" s="26"/>
      <c r="E2362" s="25">
        <v>1E-3</v>
      </c>
      <c r="F2362" s="25">
        <v>1000</v>
      </c>
      <c r="G2362" s="76"/>
      <c r="H2362" s="78">
        <v>25</v>
      </c>
      <c r="I2362" s="77" t="s">
        <v>12</v>
      </c>
      <c r="J2362" s="14"/>
      <c r="K2362" s="25">
        <v>5.1724138148379897</v>
      </c>
    </row>
    <row r="2363" spans="1:11" ht="15.75" customHeight="1">
      <c r="A2363" s="77" t="s">
        <v>37</v>
      </c>
      <c r="B2363" s="26">
        <v>112.8502481457252</v>
      </c>
      <c r="C2363" s="25">
        <v>1.55</v>
      </c>
      <c r="D2363" s="26"/>
      <c r="E2363" s="25">
        <v>1E-3</v>
      </c>
      <c r="F2363" s="25">
        <v>1000</v>
      </c>
      <c r="G2363" s="76"/>
      <c r="H2363" s="78">
        <v>25</v>
      </c>
      <c r="I2363" s="77" t="s">
        <v>12</v>
      </c>
      <c r="J2363" s="14"/>
      <c r="K2363" s="25">
        <v>5.33620693482343</v>
      </c>
    </row>
    <row r="2364" spans="1:11" ht="15.75" customHeight="1">
      <c r="A2364" s="77" t="s">
        <v>37</v>
      </c>
      <c r="B2364" s="26">
        <v>125.21738489443861</v>
      </c>
      <c r="C2364" s="25">
        <v>1.55</v>
      </c>
      <c r="D2364" s="26"/>
      <c r="E2364" s="25">
        <v>1E-3</v>
      </c>
      <c r="F2364" s="25">
        <v>1000</v>
      </c>
      <c r="G2364" s="76"/>
      <c r="H2364" s="78">
        <v>25</v>
      </c>
      <c r="I2364" s="77" t="s">
        <v>12</v>
      </c>
      <c r="J2364" s="14"/>
      <c r="K2364" s="25">
        <v>5.4482759405023398</v>
      </c>
    </row>
    <row r="2365" spans="1:11" ht="15.75" customHeight="1">
      <c r="A2365" s="77" t="s">
        <v>37</v>
      </c>
      <c r="B2365" s="26">
        <v>137.97101862358321</v>
      </c>
      <c r="C2365" s="25">
        <v>1.55</v>
      </c>
      <c r="D2365" s="26"/>
      <c r="E2365" s="25">
        <v>1E-3</v>
      </c>
      <c r="F2365" s="25">
        <v>1000</v>
      </c>
      <c r="G2365" s="76"/>
      <c r="H2365" s="78">
        <v>25</v>
      </c>
      <c r="I2365" s="77" t="s">
        <v>12</v>
      </c>
      <c r="J2365" s="14"/>
      <c r="K2365" s="25">
        <v>5.5373563534959196</v>
      </c>
    </row>
    <row r="2366" spans="1:11" ht="15.75" customHeight="1">
      <c r="A2366" s="77" t="s">
        <v>37</v>
      </c>
      <c r="B2366" s="80">
        <v>150.72462286714799</v>
      </c>
      <c r="C2366" s="25">
        <v>1.55</v>
      </c>
      <c r="D2366" s="26"/>
      <c r="E2366" s="25">
        <v>1E-3</v>
      </c>
      <c r="F2366" s="25">
        <v>1000</v>
      </c>
      <c r="G2366" s="76"/>
      <c r="H2366" s="78">
        <v>25</v>
      </c>
      <c r="I2366" s="77" t="s">
        <v>12</v>
      </c>
      <c r="J2366" s="14"/>
      <c r="K2366" s="25">
        <v>5.6494253591748302</v>
      </c>
    </row>
    <row r="2367" spans="1:11" ht="15.75" customHeight="1">
      <c r="A2367" s="77" t="s">
        <v>37</v>
      </c>
      <c r="B2367" s="26">
        <v>37.101439731720539</v>
      </c>
      <c r="C2367" s="25">
        <v>1.55</v>
      </c>
      <c r="D2367" s="26"/>
      <c r="E2367" s="25">
        <v>5.0000000000000001E-3</v>
      </c>
      <c r="F2367" s="25">
        <v>1122</v>
      </c>
      <c r="G2367" s="26"/>
      <c r="H2367" s="25">
        <v>25</v>
      </c>
      <c r="I2367" s="25" t="s">
        <v>12</v>
      </c>
      <c r="J2367" s="26"/>
      <c r="K2367" s="25">
        <v>4.5545977432010503</v>
      </c>
    </row>
    <row r="2368" spans="1:11" ht="15.75" customHeight="1">
      <c r="A2368" s="77" t="s">
        <v>37</v>
      </c>
      <c r="B2368" s="26">
        <v>49.855073460864965</v>
      </c>
      <c r="C2368" s="25">
        <v>1.55</v>
      </c>
      <c r="D2368" s="26"/>
      <c r="E2368" s="25">
        <v>5.0000000000000001E-3</v>
      </c>
      <c r="F2368" s="25">
        <v>1122</v>
      </c>
      <c r="G2368" s="26"/>
      <c r="H2368" s="25">
        <v>25</v>
      </c>
      <c r="I2368" s="25" t="s">
        <v>12</v>
      </c>
      <c r="J2368" s="26"/>
      <c r="K2368" s="25">
        <v>4.6522989332605</v>
      </c>
    </row>
    <row r="2369" spans="1:11" ht="15.75" customHeight="1">
      <c r="A2369" s="77" t="s">
        <v>37</v>
      </c>
      <c r="B2369" s="26">
        <v>62.608707190009198</v>
      </c>
      <c r="C2369" s="25">
        <v>1.55</v>
      </c>
      <c r="D2369" s="26"/>
      <c r="E2369" s="25">
        <v>5.0000000000000001E-3</v>
      </c>
      <c r="F2369" s="25">
        <v>1122</v>
      </c>
      <c r="G2369" s="26"/>
      <c r="H2369" s="25">
        <v>25</v>
      </c>
      <c r="I2369" s="25" t="s">
        <v>12</v>
      </c>
      <c r="J2369" s="26"/>
      <c r="K2369" s="25">
        <v>4.73563230770048</v>
      </c>
    </row>
    <row r="2370" spans="1:11" ht="15.75" customHeight="1">
      <c r="A2370" s="77" t="s">
        <v>37</v>
      </c>
      <c r="B2370" s="26">
        <v>74.589376443871799</v>
      </c>
      <c r="C2370" s="25">
        <v>1.55</v>
      </c>
      <c r="D2370" s="26"/>
      <c r="E2370" s="25">
        <v>5.0000000000000001E-3</v>
      </c>
      <c r="F2370" s="25">
        <v>1122</v>
      </c>
      <c r="G2370" s="26"/>
      <c r="H2370" s="25">
        <v>25</v>
      </c>
      <c r="I2370" s="25" t="s">
        <v>12</v>
      </c>
      <c r="J2370" s="26"/>
      <c r="K2370" s="25">
        <v>4.8448275748671303</v>
      </c>
    </row>
    <row r="2371" spans="1:11" ht="15.75" customHeight="1">
      <c r="A2371" s="77" t="s">
        <v>37</v>
      </c>
      <c r="B2371" s="26">
        <v>87.342980687436608</v>
      </c>
      <c r="C2371" s="25">
        <v>1.55</v>
      </c>
      <c r="D2371" s="26"/>
      <c r="E2371" s="25">
        <v>5.0000000000000001E-3</v>
      </c>
      <c r="F2371" s="25">
        <v>1122</v>
      </c>
      <c r="G2371" s="26"/>
      <c r="H2371" s="25">
        <v>25</v>
      </c>
      <c r="I2371" s="25" t="s">
        <v>12</v>
      </c>
      <c r="J2371" s="26"/>
      <c r="K2371" s="25">
        <v>4.9655173576119003</v>
      </c>
    </row>
    <row r="2372" spans="1:11" ht="15.75" customHeight="1">
      <c r="A2372" s="77" t="s">
        <v>37</v>
      </c>
      <c r="B2372" s="26">
        <v>99.710146921729802</v>
      </c>
      <c r="C2372" s="25">
        <v>1.55</v>
      </c>
      <c r="D2372" s="26"/>
      <c r="E2372" s="25">
        <v>5.0000000000000001E-3</v>
      </c>
      <c r="F2372" s="25">
        <v>1122</v>
      </c>
      <c r="G2372" s="26"/>
      <c r="H2372" s="25">
        <v>25</v>
      </c>
      <c r="I2372" s="25" t="s">
        <v>12</v>
      </c>
      <c r="J2372" s="26"/>
      <c r="K2372" s="25">
        <v>5.0804597729498804</v>
      </c>
    </row>
    <row r="2373" spans="1:11" ht="15.75" customHeight="1">
      <c r="A2373" s="77" t="s">
        <v>37</v>
      </c>
      <c r="B2373" s="26">
        <v>112.8502481457252</v>
      </c>
      <c r="C2373" s="25">
        <v>1.55</v>
      </c>
      <c r="D2373" s="26"/>
      <c r="E2373" s="25">
        <v>5.0000000000000001E-3</v>
      </c>
      <c r="F2373" s="25">
        <v>1122</v>
      </c>
      <c r="G2373" s="26"/>
      <c r="H2373" s="25">
        <v>25</v>
      </c>
      <c r="I2373" s="25" t="s">
        <v>12</v>
      </c>
      <c r="J2373" s="26"/>
      <c r="K2373" s="25">
        <v>5.1666666666666599</v>
      </c>
    </row>
    <row r="2374" spans="1:11" ht="15.75" customHeight="1">
      <c r="A2374" s="77" t="s">
        <v>37</v>
      </c>
      <c r="B2374" s="26">
        <v>124.8309173995878</v>
      </c>
      <c r="C2374" s="25">
        <v>1.55</v>
      </c>
      <c r="D2374" s="26"/>
      <c r="E2374" s="25">
        <v>5.0000000000000001E-3</v>
      </c>
      <c r="F2374" s="25">
        <v>1122</v>
      </c>
      <c r="G2374" s="26"/>
      <c r="H2374" s="25">
        <v>25</v>
      </c>
      <c r="I2374" s="25" t="s">
        <v>12</v>
      </c>
      <c r="J2374" s="26"/>
      <c r="K2374" s="25">
        <v>5.2327587062103804</v>
      </c>
    </row>
    <row r="2375" spans="1:11" ht="15.75" customHeight="1">
      <c r="A2375" s="77" t="s">
        <v>37</v>
      </c>
      <c r="B2375" s="26">
        <v>137.1980541483012</v>
      </c>
      <c r="C2375" s="25">
        <v>1.55</v>
      </c>
      <c r="D2375" s="26"/>
      <c r="E2375" s="25">
        <v>5.0000000000000001E-3</v>
      </c>
      <c r="F2375" s="25">
        <v>1122</v>
      </c>
      <c r="G2375" s="26"/>
      <c r="H2375" s="25">
        <v>25</v>
      </c>
      <c r="I2375" s="25" t="s">
        <v>12</v>
      </c>
      <c r="J2375" s="26"/>
      <c r="K2375" s="25">
        <v>5.3189655999271697</v>
      </c>
    </row>
    <row r="2376" spans="1:11" ht="15.75" customHeight="1">
      <c r="A2376" s="77" t="s">
        <v>37</v>
      </c>
      <c r="B2376" s="26">
        <v>149.56522038259499</v>
      </c>
      <c r="C2376" s="25">
        <v>1.55</v>
      </c>
      <c r="D2376" s="26"/>
      <c r="E2376" s="25">
        <v>5.0000000000000001E-3</v>
      </c>
      <c r="F2376" s="25">
        <v>1122</v>
      </c>
      <c r="G2376" s="26"/>
      <c r="H2376" s="25">
        <v>25</v>
      </c>
      <c r="I2376" s="25" t="s">
        <v>12</v>
      </c>
      <c r="J2376" s="26"/>
      <c r="K2376" s="25">
        <v>5.3908046780244803</v>
      </c>
    </row>
    <row r="2377" spans="1:11" ht="15.75" customHeight="1">
      <c r="A2377" s="77" t="s">
        <v>37</v>
      </c>
      <c r="B2377" s="80">
        <v>37.874404207002485</v>
      </c>
      <c r="C2377" s="25">
        <v>1.55</v>
      </c>
      <c r="D2377" s="26"/>
      <c r="E2377" s="25">
        <v>0.01</v>
      </c>
      <c r="F2377" s="25">
        <v>1153</v>
      </c>
      <c r="G2377" s="76"/>
      <c r="H2377" s="78">
        <v>25</v>
      </c>
      <c r="I2377" s="77" t="s">
        <v>12</v>
      </c>
      <c r="J2377" s="14"/>
      <c r="K2377" s="25">
        <v>4.6005747093362404</v>
      </c>
    </row>
    <row r="2378" spans="1:11" ht="15.75" customHeight="1">
      <c r="A2378" s="77" t="s">
        <v>37</v>
      </c>
      <c r="B2378" s="80">
        <v>50.241540955716118</v>
      </c>
      <c r="C2378" s="25">
        <v>1.55</v>
      </c>
      <c r="D2378" s="26"/>
      <c r="E2378" s="25">
        <v>0.01</v>
      </c>
      <c r="F2378" s="25">
        <v>1153</v>
      </c>
      <c r="G2378" s="76"/>
      <c r="H2378" s="78">
        <v>25</v>
      </c>
      <c r="I2378" s="77" t="s">
        <v>12</v>
      </c>
      <c r="J2378" s="14"/>
      <c r="K2378" s="25">
        <v>4.6494254139836997</v>
      </c>
    </row>
    <row r="2379" spans="1:11" ht="15.75" customHeight="1">
      <c r="A2379" s="77" t="s">
        <v>37</v>
      </c>
      <c r="B2379" s="26">
        <v>62.995174684860004</v>
      </c>
      <c r="C2379" s="25">
        <v>1.55</v>
      </c>
      <c r="D2379" s="26"/>
      <c r="E2379" s="25">
        <v>0.01</v>
      </c>
      <c r="F2379" s="25">
        <v>1153</v>
      </c>
      <c r="G2379" s="76"/>
      <c r="H2379" s="78">
        <v>25</v>
      </c>
      <c r="I2379" s="77" t="s">
        <v>12</v>
      </c>
      <c r="J2379" s="26"/>
      <c r="K2379" s="25">
        <v>4.7413793462540799</v>
      </c>
    </row>
    <row r="2380" spans="1:11" ht="15.75" customHeight="1">
      <c r="A2380" s="77" t="s">
        <v>37</v>
      </c>
      <c r="B2380" s="26">
        <v>74.975843938722591</v>
      </c>
      <c r="C2380" s="25">
        <v>1.55</v>
      </c>
      <c r="D2380" s="26"/>
      <c r="E2380" s="25">
        <v>0.01</v>
      </c>
      <c r="F2380" s="25">
        <v>1153</v>
      </c>
      <c r="G2380" s="76"/>
      <c r="H2380" s="78">
        <v>25</v>
      </c>
      <c r="I2380" s="77" t="s">
        <v>12</v>
      </c>
      <c r="J2380" s="26"/>
      <c r="K2380" s="25">
        <v>4.8275862399708602</v>
      </c>
    </row>
    <row r="2381" spans="1:11" ht="15.75" customHeight="1">
      <c r="A2381" s="77" t="s">
        <v>37</v>
      </c>
      <c r="B2381" s="26">
        <v>86.956513192585206</v>
      </c>
      <c r="C2381" s="25">
        <v>1.55</v>
      </c>
      <c r="D2381" s="26"/>
      <c r="E2381" s="25">
        <v>0.01</v>
      </c>
      <c r="F2381" s="25">
        <v>1153</v>
      </c>
      <c r="G2381" s="76"/>
      <c r="H2381" s="78">
        <v>25</v>
      </c>
      <c r="I2381" s="77" t="s">
        <v>12</v>
      </c>
      <c r="J2381" s="26"/>
      <c r="K2381" s="25">
        <v>4.9425287649265703</v>
      </c>
    </row>
    <row r="2382" spans="1:11" ht="15.75" customHeight="1">
      <c r="A2382" s="77" t="s">
        <v>37</v>
      </c>
      <c r="B2382" s="26">
        <v>100.8695494062828</v>
      </c>
      <c r="C2382" s="25">
        <v>1.55</v>
      </c>
      <c r="D2382" s="26"/>
      <c r="E2382" s="25">
        <v>0.01</v>
      </c>
      <c r="F2382" s="25">
        <v>1153</v>
      </c>
      <c r="G2382" s="76"/>
      <c r="H2382" s="78">
        <v>25</v>
      </c>
      <c r="I2382" s="77" t="s">
        <v>12</v>
      </c>
      <c r="J2382" s="26"/>
      <c r="K2382" s="25">
        <v>5.0660919573304204</v>
      </c>
    </row>
    <row r="2383" spans="1:11" ht="15.75" customHeight="1">
      <c r="A2383" s="77" t="s">
        <v>37</v>
      </c>
      <c r="B2383" s="26">
        <v>112.8502481457252</v>
      </c>
      <c r="C2383" s="25">
        <v>1.55</v>
      </c>
      <c r="D2383" s="26"/>
      <c r="E2383" s="25">
        <v>0.01</v>
      </c>
      <c r="F2383" s="25">
        <v>1153</v>
      </c>
      <c r="G2383" s="76"/>
      <c r="H2383" s="78">
        <v>25</v>
      </c>
      <c r="I2383" s="77" t="s">
        <v>12</v>
      </c>
      <c r="J2383" s="26"/>
      <c r="K2383" s="25">
        <v>5.1637929281543897</v>
      </c>
    </row>
    <row r="2384" spans="1:11" ht="15.75" customHeight="1">
      <c r="A2384" s="77" t="s">
        <v>37</v>
      </c>
      <c r="B2384" s="26">
        <v>125.60385238929</v>
      </c>
      <c r="C2384" s="25">
        <v>1.55</v>
      </c>
      <c r="D2384" s="26"/>
      <c r="E2384" s="25">
        <v>0.01</v>
      </c>
      <c r="F2384" s="25">
        <v>1153</v>
      </c>
      <c r="G2384" s="76"/>
      <c r="H2384" s="78">
        <v>25</v>
      </c>
      <c r="I2384" s="77" t="s">
        <v>12</v>
      </c>
      <c r="J2384" s="26"/>
      <c r="K2384" s="25">
        <v>5.2241379291445202</v>
      </c>
    </row>
    <row r="2385" spans="1:11" ht="15.75" customHeight="1">
      <c r="A2385" s="77" t="s">
        <v>37</v>
      </c>
      <c r="B2385" s="26">
        <v>137.58452164315261</v>
      </c>
      <c r="C2385" s="25">
        <v>1.55</v>
      </c>
      <c r="D2385" s="26"/>
      <c r="E2385" s="25">
        <v>0.01</v>
      </c>
      <c r="F2385" s="25">
        <v>1153</v>
      </c>
      <c r="G2385" s="76"/>
      <c r="H2385" s="78">
        <v>25</v>
      </c>
      <c r="I2385" s="77" t="s">
        <v>12</v>
      </c>
      <c r="J2385" s="26"/>
      <c r="K2385" s="25">
        <v>5.3247126384807597</v>
      </c>
    </row>
    <row r="2386" spans="1:11" ht="15.75" customHeight="1">
      <c r="A2386" s="84" t="s">
        <v>38</v>
      </c>
      <c r="B2386" s="85">
        <v>9.6742534407760203</v>
      </c>
      <c r="C2386" s="84">
        <v>1.1200000000000001</v>
      </c>
      <c r="D2386" s="84">
        <v>2.1399999999999999E-2</v>
      </c>
      <c r="E2386" s="84">
        <v>0.34799999999999998</v>
      </c>
      <c r="F2386" s="84">
        <v>976</v>
      </c>
      <c r="H2386" s="84">
        <v>9.85</v>
      </c>
      <c r="I2386" s="12" t="s">
        <v>14</v>
      </c>
      <c r="J2386" s="84">
        <v>1.2250000000000001</v>
      </c>
      <c r="K2386" s="84">
        <v>4.3749997071150997</v>
      </c>
    </row>
    <row r="2387" spans="1:11" ht="15.75" customHeight="1">
      <c r="A2387" s="84" t="s">
        <v>38</v>
      </c>
      <c r="B2387" s="85">
        <v>32.540688964130759</v>
      </c>
      <c r="C2387" s="84">
        <v>1.1200000000000001</v>
      </c>
      <c r="D2387" s="84">
        <v>2.1399999999999999E-2</v>
      </c>
      <c r="E2387" s="84">
        <v>0.34799999999999998</v>
      </c>
      <c r="F2387" s="84">
        <v>976</v>
      </c>
      <c r="H2387" s="84">
        <v>9.85</v>
      </c>
      <c r="I2387" s="12" t="s">
        <v>14</v>
      </c>
      <c r="J2387" s="84">
        <v>1.2250000000000001</v>
      </c>
      <c r="K2387" s="84">
        <v>5.40948247424061</v>
      </c>
    </row>
    <row r="2388" spans="1:11" ht="15.75" customHeight="1">
      <c r="A2388" s="84" t="s">
        <v>38</v>
      </c>
      <c r="B2388" s="85">
        <v>62.442981771089997</v>
      </c>
      <c r="C2388" s="84">
        <v>1.1200000000000001</v>
      </c>
      <c r="D2388" s="84">
        <v>2.1399999999999999E-2</v>
      </c>
      <c r="E2388" s="84">
        <v>0.34799999999999998</v>
      </c>
      <c r="F2388" s="84">
        <v>976</v>
      </c>
      <c r="H2388" s="84">
        <v>9.85</v>
      </c>
      <c r="I2388" s="12" t="s">
        <v>14</v>
      </c>
      <c r="J2388" s="84">
        <v>1.2250000000000001</v>
      </c>
      <c r="K2388" s="84">
        <v>6.6249999229250198</v>
      </c>
    </row>
    <row r="2389" spans="1:11" ht="15.75" customHeight="1">
      <c r="A2389" s="84" t="s">
        <v>38</v>
      </c>
      <c r="B2389" s="85">
        <v>94.104205349497192</v>
      </c>
      <c r="C2389" s="84">
        <v>1.1200000000000001</v>
      </c>
      <c r="D2389" s="84">
        <v>2.1399999999999999E-2</v>
      </c>
      <c r="E2389" s="84">
        <v>0.34799999999999998</v>
      </c>
      <c r="F2389" s="84">
        <v>976</v>
      </c>
      <c r="H2389" s="84">
        <v>9.85</v>
      </c>
      <c r="I2389" s="12" t="s">
        <v>14</v>
      </c>
      <c r="J2389" s="84">
        <v>1.2250000000000001</v>
      </c>
      <c r="K2389" s="84">
        <v>7.32327598804667</v>
      </c>
    </row>
    <row r="2390" spans="1:11" ht="15.75" customHeight="1">
      <c r="A2390" s="84" t="s">
        <v>38</v>
      </c>
      <c r="B2390" s="85">
        <v>126.64496141253599</v>
      </c>
      <c r="C2390" s="84">
        <v>1.1200000000000001</v>
      </c>
      <c r="D2390" s="84">
        <v>2.1399999999999999E-2</v>
      </c>
      <c r="E2390" s="84">
        <v>0.34799999999999998</v>
      </c>
      <c r="F2390" s="84">
        <v>976</v>
      </c>
      <c r="H2390" s="84">
        <v>9.85</v>
      </c>
      <c r="I2390" s="12" t="s">
        <v>14</v>
      </c>
      <c r="J2390" s="84">
        <v>1.2250000000000001</v>
      </c>
      <c r="K2390" s="84">
        <v>7.9051725445547802</v>
      </c>
    </row>
    <row r="2391" spans="1:11" ht="15.75" customHeight="1">
      <c r="A2391" s="84" t="s">
        <v>38</v>
      </c>
      <c r="B2391" s="85">
        <v>194.36480259687661</v>
      </c>
      <c r="C2391" s="84">
        <v>1.1200000000000001</v>
      </c>
      <c r="D2391" s="84">
        <v>2.1399999999999999E-2</v>
      </c>
      <c r="E2391" s="84">
        <v>0.34799999999999998</v>
      </c>
      <c r="F2391" s="84">
        <v>976</v>
      </c>
      <c r="H2391" s="84">
        <v>9.85</v>
      </c>
      <c r="I2391" s="12" t="s">
        <v>14</v>
      </c>
      <c r="J2391" s="84">
        <v>1.2250000000000001</v>
      </c>
      <c r="K2391" s="84">
        <v>8.8491379709008395</v>
      </c>
    </row>
    <row r="2392" spans="1:11" ht="15.75" customHeight="1">
      <c r="A2392" s="84" t="s">
        <v>38</v>
      </c>
      <c r="B2392" s="85">
        <v>255.04885359651959</v>
      </c>
      <c r="C2392" s="84">
        <v>1.1200000000000001</v>
      </c>
      <c r="D2392" s="84">
        <v>2.1399999999999999E-2</v>
      </c>
      <c r="E2392" s="84">
        <v>0.34799999999999998</v>
      </c>
      <c r="F2392" s="84">
        <v>976</v>
      </c>
      <c r="H2392" s="84">
        <v>9.85</v>
      </c>
      <c r="I2392" s="12" t="s">
        <v>14</v>
      </c>
      <c r="J2392" s="84">
        <v>1.2250000000000001</v>
      </c>
      <c r="K2392" s="84">
        <v>9.4698275325201902</v>
      </c>
    </row>
    <row r="2393" spans="1:11" ht="15.75" customHeight="1">
      <c r="A2393" s="84" t="s">
        <v>38</v>
      </c>
      <c r="B2393" s="85">
        <v>320.13029862368938</v>
      </c>
      <c r="C2393" s="84">
        <v>1.1200000000000001</v>
      </c>
      <c r="D2393" s="84">
        <v>2.1399999999999999E-2</v>
      </c>
      <c r="E2393" s="84">
        <v>0.34799999999999998</v>
      </c>
      <c r="F2393" s="84">
        <v>976</v>
      </c>
      <c r="H2393" s="84">
        <v>9.85</v>
      </c>
      <c r="I2393" s="12" t="s">
        <v>14</v>
      </c>
      <c r="J2393" s="84">
        <v>1.2250000000000001</v>
      </c>
      <c r="K2393" s="84">
        <v>10.1034481780565</v>
      </c>
    </row>
    <row r="2394" spans="1:11" ht="15.75" customHeight="1">
      <c r="A2394" s="84" t="s">
        <v>38</v>
      </c>
      <c r="B2394" s="85">
        <v>38.697080862012179</v>
      </c>
      <c r="C2394" s="84">
        <v>2.5</v>
      </c>
      <c r="D2394" s="84">
        <v>2.1399999999999999E-2</v>
      </c>
      <c r="E2394" s="84">
        <v>0.34799999999999998</v>
      </c>
      <c r="F2394" s="84">
        <v>976</v>
      </c>
      <c r="H2394" s="84">
        <v>9.85</v>
      </c>
      <c r="I2394" s="12" t="s">
        <v>14</v>
      </c>
      <c r="J2394" s="84">
        <v>1.2250000000000001</v>
      </c>
      <c r="K2394" s="84">
        <v>6.2887932209211597</v>
      </c>
    </row>
    <row r="2395" spans="1:11" ht="15.75" customHeight="1">
      <c r="A2395" s="84" t="s">
        <v>38</v>
      </c>
      <c r="B2395" s="85">
        <v>65.960910412893</v>
      </c>
      <c r="C2395" s="84">
        <v>2.5</v>
      </c>
      <c r="D2395" s="84">
        <v>2.1399999999999999E-2</v>
      </c>
      <c r="E2395" s="84">
        <v>0.34799999999999998</v>
      </c>
      <c r="F2395" s="84">
        <v>976</v>
      </c>
      <c r="H2395" s="84">
        <v>9.85</v>
      </c>
      <c r="I2395" s="12" t="s">
        <v>14</v>
      </c>
      <c r="J2395" s="84">
        <v>1.2250000000000001</v>
      </c>
      <c r="K2395" s="84">
        <v>7.1293104692106404</v>
      </c>
    </row>
    <row r="2396" spans="1:11" ht="15.75" customHeight="1">
      <c r="A2396" s="84" t="s">
        <v>38</v>
      </c>
      <c r="B2396" s="85">
        <v>102.01952801882639</v>
      </c>
      <c r="C2396" s="84">
        <v>2.5</v>
      </c>
      <c r="D2396" s="84">
        <v>2.1399999999999999E-2</v>
      </c>
      <c r="E2396" s="84">
        <v>0.34799999999999998</v>
      </c>
      <c r="F2396" s="84">
        <v>976</v>
      </c>
      <c r="H2396" s="84">
        <v>9.85</v>
      </c>
      <c r="I2396" s="12" t="s">
        <v>14</v>
      </c>
      <c r="J2396" s="84">
        <v>1.2250000000000001</v>
      </c>
      <c r="K2396" s="84">
        <v>7.9051725445547802</v>
      </c>
    </row>
    <row r="2397" spans="1:11" ht="15.75" customHeight="1">
      <c r="A2397" s="84" t="s">
        <v>38</v>
      </c>
      <c r="B2397" s="85">
        <v>144.23453752264081</v>
      </c>
      <c r="C2397" s="84">
        <v>2.5</v>
      </c>
      <c r="D2397" s="84">
        <v>2.1399999999999999E-2</v>
      </c>
      <c r="E2397" s="84">
        <v>0.34799999999999998</v>
      </c>
      <c r="F2397" s="84">
        <v>976</v>
      </c>
      <c r="H2397" s="84">
        <v>9.85</v>
      </c>
      <c r="I2397" s="12" t="s">
        <v>14</v>
      </c>
      <c r="J2397" s="84">
        <v>1.2250000000000001</v>
      </c>
      <c r="K2397" s="84">
        <v>8.7456895462043391</v>
      </c>
    </row>
    <row r="2398" spans="1:11" ht="15.75" customHeight="1">
      <c r="A2398" s="84" t="s">
        <v>38</v>
      </c>
      <c r="B2398" s="85">
        <v>216.35177273450759</v>
      </c>
      <c r="C2398" s="84">
        <v>2.5</v>
      </c>
      <c r="D2398" s="84">
        <v>2.1399999999999999E-2</v>
      </c>
      <c r="E2398" s="84">
        <v>0.34799999999999998</v>
      </c>
      <c r="F2398" s="84">
        <v>976</v>
      </c>
      <c r="H2398" s="84">
        <v>9.85</v>
      </c>
      <c r="I2398" s="12" t="s">
        <v>14</v>
      </c>
      <c r="J2398" s="84">
        <v>1.2250000000000001</v>
      </c>
      <c r="K2398" s="84">
        <v>9.6379308835221202</v>
      </c>
    </row>
    <row r="2399" spans="1:11" ht="15.75" customHeight="1">
      <c r="A2399" s="84" t="s">
        <v>38</v>
      </c>
      <c r="B2399" s="85">
        <v>276.15635834842737</v>
      </c>
      <c r="C2399" s="84">
        <v>2.5</v>
      </c>
      <c r="D2399" s="84">
        <v>2.1399999999999999E-2</v>
      </c>
      <c r="E2399" s="84">
        <v>0.34799999999999998</v>
      </c>
      <c r="F2399" s="84">
        <v>976</v>
      </c>
      <c r="H2399" s="84">
        <v>9.85</v>
      </c>
      <c r="I2399" s="12" t="s">
        <v>14</v>
      </c>
      <c r="J2399" s="84">
        <v>1.2250000000000001</v>
      </c>
      <c r="K2399" s="84">
        <v>10.232758523947201</v>
      </c>
    </row>
    <row r="2400" spans="1:11" ht="15.75" customHeight="1">
      <c r="A2400" s="84" t="s">
        <v>38</v>
      </c>
      <c r="B2400" s="85">
        <v>294.62539984425541</v>
      </c>
      <c r="C2400" s="84">
        <v>2.5</v>
      </c>
      <c r="D2400" s="84">
        <v>2.1399999999999999E-2</v>
      </c>
      <c r="E2400" s="84">
        <v>0.34799999999999998</v>
      </c>
      <c r="F2400" s="84">
        <v>976</v>
      </c>
      <c r="H2400" s="84">
        <v>9.85</v>
      </c>
      <c r="I2400" s="12" t="s">
        <v>14</v>
      </c>
      <c r="J2400" s="84">
        <v>1.2250000000000001</v>
      </c>
      <c r="K2400" s="84">
        <v>10.387931037672001</v>
      </c>
    </row>
    <row r="2401" spans="1:11" ht="15.75" customHeight="1">
      <c r="A2401" s="84" t="s">
        <v>38</v>
      </c>
      <c r="B2401" s="85">
        <v>3.6082476118814339</v>
      </c>
      <c r="C2401" s="84">
        <v>1.1200000000000001</v>
      </c>
      <c r="D2401" s="84">
        <v>1.9400000000000001E-2</v>
      </c>
      <c r="E2401" s="84">
        <v>0.38</v>
      </c>
      <c r="F2401" s="84">
        <v>976</v>
      </c>
      <c r="H2401" s="84">
        <v>9.85</v>
      </c>
      <c r="I2401" s="12" t="s">
        <v>14</v>
      </c>
      <c r="J2401" s="84">
        <v>1.2250000000000001</v>
      </c>
      <c r="K2401" s="84">
        <v>3.2725401230153901</v>
      </c>
    </row>
    <row r="2402" spans="1:11" ht="15.75" customHeight="1">
      <c r="A2402" s="84" t="s">
        <v>38</v>
      </c>
      <c r="B2402" s="85">
        <v>9.3814107563980791</v>
      </c>
      <c r="C2402" s="84">
        <v>1.1200000000000001</v>
      </c>
      <c r="D2402" s="84">
        <v>1.9400000000000001E-2</v>
      </c>
      <c r="E2402" s="84">
        <v>0.38</v>
      </c>
      <c r="F2402" s="84">
        <v>976</v>
      </c>
      <c r="H2402" s="84">
        <v>9.85</v>
      </c>
      <c r="I2402" s="12" t="s">
        <v>14</v>
      </c>
      <c r="J2402" s="84">
        <v>1.2250000000000001</v>
      </c>
      <c r="K2402" s="84">
        <v>3.9897527298244801</v>
      </c>
    </row>
    <row r="2403" spans="1:11" ht="15.75" customHeight="1">
      <c r="A2403" s="84" t="s">
        <v>38</v>
      </c>
      <c r="B2403" s="85">
        <v>13.71135193664718</v>
      </c>
      <c r="C2403" s="84">
        <v>1.1200000000000001</v>
      </c>
      <c r="D2403" s="84">
        <v>1.9400000000000001E-2</v>
      </c>
      <c r="E2403" s="84">
        <v>0.38</v>
      </c>
      <c r="F2403" s="84">
        <v>976</v>
      </c>
      <c r="H2403" s="84">
        <v>9.85</v>
      </c>
      <c r="I2403" s="12" t="s">
        <v>14</v>
      </c>
      <c r="J2403" s="84">
        <v>1.2250000000000001</v>
      </c>
      <c r="K2403" s="84">
        <v>4.4774589878005102</v>
      </c>
    </row>
    <row r="2404" spans="1:11" ht="15.75" customHeight="1">
      <c r="A2404" s="84" t="s">
        <v>38</v>
      </c>
      <c r="B2404" s="85">
        <v>28.86598089505128</v>
      </c>
      <c r="C2404" s="84">
        <v>1.1200000000000001</v>
      </c>
      <c r="D2404" s="84">
        <v>1.9400000000000001E-2</v>
      </c>
      <c r="E2404" s="84">
        <v>0.38</v>
      </c>
      <c r="F2404" s="84">
        <v>976</v>
      </c>
      <c r="H2404" s="84">
        <v>9.85</v>
      </c>
      <c r="I2404" s="12" t="s">
        <v>14</v>
      </c>
      <c r="J2404" s="84">
        <v>1.2250000000000001</v>
      </c>
      <c r="K2404" s="84">
        <v>5.3668028610074696</v>
      </c>
    </row>
    <row r="2405" spans="1:11" ht="15.75" customHeight="1">
      <c r="A2405" s="84" t="s">
        <v>38</v>
      </c>
      <c r="B2405" s="85">
        <v>41.855639263330801</v>
      </c>
      <c r="C2405" s="84">
        <v>1.1200000000000001</v>
      </c>
      <c r="D2405" s="84">
        <v>1.9400000000000001E-2</v>
      </c>
      <c r="E2405" s="84">
        <v>0.38</v>
      </c>
      <c r="F2405" s="84">
        <v>976</v>
      </c>
      <c r="H2405" s="84">
        <v>9.85</v>
      </c>
      <c r="I2405" s="12" t="s">
        <v>14</v>
      </c>
      <c r="J2405" s="84">
        <v>1.2250000000000001</v>
      </c>
      <c r="K2405" s="84">
        <v>5.7971307534070498</v>
      </c>
    </row>
    <row r="2406" spans="1:11" ht="15.75" customHeight="1">
      <c r="A2406" s="84" t="s">
        <v>38</v>
      </c>
      <c r="B2406" s="85">
        <v>57.010323279224039</v>
      </c>
      <c r="C2406" s="84">
        <v>1.1200000000000001</v>
      </c>
      <c r="D2406" s="84">
        <v>1.9400000000000001E-2</v>
      </c>
      <c r="E2406" s="84">
        <v>0.38</v>
      </c>
      <c r="F2406" s="84">
        <v>976</v>
      </c>
      <c r="H2406" s="84">
        <v>9.85</v>
      </c>
      <c r="I2406" s="12" t="s">
        <v>14</v>
      </c>
      <c r="J2406" s="84">
        <v>1.2250000000000001</v>
      </c>
      <c r="K2406" s="84">
        <v>6.3709012766064896</v>
      </c>
    </row>
    <row r="2407" spans="1:11" ht="15.75" customHeight="1">
      <c r="A2407" s="84" t="s">
        <v>38</v>
      </c>
      <c r="B2407" s="85">
        <v>89.484551786156402</v>
      </c>
      <c r="C2407" s="84">
        <v>1.1200000000000001</v>
      </c>
      <c r="D2407" s="84">
        <v>1.9400000000000001E-2</v>
      </c>
      <c r="E2407" s="84">
        <v>0.38</v>
      </c>
      <c r="F2407" s="84">
        <v>976</v>
      </c>
      <c r="H2407" s="84">
        <v>9.85</v>
      </c>
      <c r="I2407" s="12" t="s">
        <v>14</v>
      </c>
      <c r="J2407" s="84">
        <v>1.2250000000000001</v>
      </c>
      <c r="K2407" s="84">
        <v>6.97336043540394</v>
      </c>
    </row>
    <row r="2408" spans="1:11" ht="15.75" customHeight="1">
      <c r="A2408" s="84" t="s">
        <v>38</v>
      </c>
      <c r="B2408" s="85">
        <v>108.247428356442</v>
      </c>
      <c r="C2408" s="84">
        <v>1.1200000000000001</v>
      </c>
      <c r="D2408" s="84">
        <v>1.9400000000000001E-2</v>
      </c>
      <c r="E2408" s="84">
        <v>0.38</v>
      </c>
      <c r="F2408" s="84">
        <v>976</v>
      </c>
      <c r="H2408" s="84">
        <v>9.85</v>
      </c>
      <c r="I2408" s="12" t="s">
        <v>14</v>
      </c>
      <c r="J2408" s="84">
        <v>1.2250000000000001</v>
      </c>
      <c r="K2408" s="84">
        <v>7.1024590219999002</v>
      </c>
    </row>
    <row r="2409" spans="1:11" ht="15.75" customHeight="1">
      <c r="A2409" s="84" t="s">
        <v>38</v>
      </c>
      <c r="B2409" s="85">
        <v>1.443277021756878</v>
      </c>
      <c r="C2409" s="84">
        <v>2.5</v>
      </c>
      <c r="D2409" s="84">
        <v>1.9400000000000001E-2</v>
      </c>
      <c r="E2409" s="84">
        <v>0.38</v>
      </c>
      <c r="F2409" s="84">
        <v>976</v>
      </c>
      <c r="H2409" s="84">
        <v>9.85</v>
      </c>
      <c r="I2409" s="12" t="s">
        <v>14</v>
      </c>
      <c r="J2409" s="84">
        <v>1.2250000000000001</v>
      </c>
      <c r="K2409" s="84">
        <v>4.1475404992086604</v>
      </c>
    </row>
    <row r="2410" spans="1:11" ht="15.75" customHeight="1">
      <c r="A2410" s="84" t="s">
        <v>38</v>
      </c>
      <c r="B2410" s="85">
        <v>18.041238059407018</v>
      </c>
      <c r="C2410" s="84">
        <v>2.5</v>
      </c>
      <c r="D2410" s="84">
        <v>1.9400000000000001E-2</v>
      </c>
      <c r="E2410" s="84">
        <v>0.38</v>
      </c>
      <c r="F2410" s="84">
        <v>976</v>
      </c>
      <c r="H2410" s="84">
        <v>9.85</v>
      </c>
      <c r="I2410" s="12" t="s">
        <v>14</v>
      </c>
      <c r="J2410" s="84">
        <v>1.2250000000000001</v>
      </c>
      <c r="K2410" s="84">
        <v>5.2233602302076099</v>
      </c>
    </row>
    <row r="2411" spans="1:11" ht="15.75" customHeight="1">
      <c r="A2411" s="84" t="s">
        <v>38</v>
      </c>
      <c r="B2411" s="85">
        <v>28.86598089505128</v>
      </c>
      <c r="C2411" s="84">
        <v>2.5</v>
      </c>
      <c r="D2411" s="84">
        <v>1.9400000000000001E-2</v>
      </c>
      <c r="E2411" s="84">
        <v>0.38</v>
      </c>
      <c r="F2411" s="84">
        <v>976</v>
      </c>
      <c r="H2411" s="84">
        <v>9.85</v>
      </c>
      <c r="I2411" s="12" t="s">
        <v>14</v>
      </c>
      <c r="J2411" s="84">
        <v>1.2250000000000001</v>
      </c>
      <c r="K2411" s="84">
        <v>5.8114753448011598</v>
      </c>
    </row>
    <row r="2412" spans="1:11" ht="15.75" customHeight="1">
      <c r="A2412" s="84" t="s">
        <v>38</v>
      </c>
      <c r="B2412" s="85">
        <v>71.44331372674921</v>
      </c>
      <c r="C2412" s="84">
        <v>2.5</v>
      </c>
      <c r="D2412" s="84">
        <v>1.9400000000000001E-2</v>
      </c>
      <c r="E2412" s="84">
        <v>0.38</v>
      </c>
      <c r="F2412" s="84">
        <v>976</v>
      </c>
      <c r="H2412" s="84">
        <v>9.85</v>
      </c>
      <c r="I2412" s="12" t="s">
        <v>14</v>
      </c>
      <c r="J2412" s="84">
        <v>1.2250000000000001</v>
      </c>
      <c r="K2412" s="84">
        <v>7.28893433260167</v>
      </c>
    </row>
    <row r="2413" spans="1:11" ht="15.75" customHeight="1">
      <c r="A2413" s="84" t="s">
        <v>38</v>
      </c>
      <c r="B2413" s="85">
        <v>96.701047009919392</v>
      </c>
      <c r="C2413" s="84">
        <v>2.5</v>
      </c>
      <c r="D2413" s="84">
        <v>1.9400000000000001E-2</v>
      </c>
      <c r="E2413" s="84">
        <v>0.38</v>
      </c>
      <c r="F2413" s="84">
        <v>976</v>
      </c>
      <c r="H2413" s="84">
        <v>9.85</v>
      </c>
      <c r="I2413" s="12" t="s">
        <v>14</v>
      </c>
      <c r="J2413" s="84">
        <v>1.2250000000000001</v>
      </c>
      <c r="K2413" s="84">
        <v>7.8483608115972103</v>
      </c>
    </row>
    <row r="2414" spans="1:11" ht="15.75" customHeight="1">
      <c r="A2414" s="84" t="s">
        <v>38</v>
      </c>
      <c r="B2414" s="85">
        <v>141.44329537425301</v>
      </c>
      <c r="C2414" s="84">
        <v>2.5</v>
      </c>
      <c r="D2414" s="84">
        <v>1.9400000000000001E-2</v>
      </c>
      <c r="E2414" s="84">
        <v>0.38</v>
      </c>
      <c r="F2414" s="84">
        <v>976</v>
      </c>
      <c r="H2414" s="84">
        <v>9.85</v>
      </c>
      <c r="I2414" s="12" t="s">
        <v>14</v>
      </c>
      <c r="J2414" s="84">
        <v>1.2250000000000001</v>
      </c>
      <c r="K2414" s="84">
        <v>8.5368853299984906</v>
      </c>
    </row>
    <row r="2415" spans="1:11" ht="15.75" customHeight="1">
      <c r="A2415" s="84" t="s">
        <v>38</v>
      </c>
      <c r="B2415" s="85">
        <v>189.79379135046841</v>
      </c>
      <c r="C2415" s="84">
        <v>2.5</v>
      </c>
      <c r="D2415" s="84">
        <v>1.9400000000000001E-2</v>
      </c>
      <c r="E2415" s="84">
        <v>0.38</v>
      </c>
      <c r="F2415" s="84">
        <v>976</v>
      </c>
      <c r="H2415" s="84">
        <v>9.85</v>
      </c>
      <c r="I2415" s="12" t="s">
        <v>14</v>
      </c>
      <c r="J2415" s="84">
        <v>1.2250000000000001</v>
      </c>
      <c r="K2415" s="84">
        <v>9.0532788555970107</v>
      </c>
    </row>
    <row r="2416" spans="1:11" ht="15.75" customHeight="1">
      <c r="A2416" s="84" t="s">
        <v>38</v>
      </c>
      <c r="B2416" s="86">
        <v>211.44327702175681</v>
      </c>
      <c r="C2416" s="84">
        <v>2.5</v>
      </c>
      <c r="D2416" s="84">
        <v>1.9400000000000001E-2</v>
      </c>
      <c r="E2416" s="84">
        <v>0.38</v>
      </c>
      <c r="F2416" s="84">
        <v>976</v>
      </c>
      <c r="H2416" s="84">
        <v>9.85</v>
      </c>
      <c r="I2416" s="12" t="s">
        <v>14</v>
      </c>
      <c r="J2416" s="84">
        <v>1.2250000000000001</v>
      </c>
      <c r="K2416" s="84">
        <v>9.02458967280878</v>
      </c>
    </row>
    <row r="2417" spans="1:11" ht="15.75" customHeight="1">
      <c r="A2417" s="84" t="s">
        <v>38</v>
      </c>
      <c r="B2417" s="86">
        <v>313.19590372280339</v>
      </c>
      <c r="C2417" s="84">
        <v>2.5</v>
      </c>
      <c r="D2417" s="84">
        <v>1.9400000000000001E-2</v>
      </c>
      <c r="E2417" s="84">
        <v>0.38</v>
      </c>
      <c r="F2417" s="84">
        <v>976</v>
      </c>
      <c r="H2417" s="84">
        <v>9.85</v>
      </c>
      <c r="I2417" s="12" t="s">
        <v>14</v>
      </c>
      <c r="J2417" s="84">
        <v>1.2250000000000001</v>
      </c>
      <c r="K2417" s="84">
        <v>9.6987704206012708</v>
      </c>
    </row>
    <row r="2418" spans="1:11" ht="15.75" customHeight="1">
      <c r="A2418" s="84" t="s">
        <v>38</v>
      </c>
      <c r="B2418" s="86">
        <v>457.5257531405706</v>
      </c>
      <c r="C2418" s="84">
        <v>2.5</v>
      </c>
      <c r="D2418" s="84">
        <v>1.9400000000000001E-2</v>
      </c>
      <c r="E2418" s="84">
        <v>0.38</v>
      </c>
      <c r="F2418" s="84">
        <v>976</v>
      </c>
      <c r="H2418" s="84">
        <v>9.85</v>
      </c>
      <c r="I2418" s="12" t="s">
        <v>14</v>
      </c>
      <c r="J2418" s="84">
        <v>1.2250000000000001</v>
      </c>
      <c r="K2418" s="84">
        <v>10.473360845796501</v>
      </c>
    </row>
    <row r="2419" spans="1:11" ht="15.75" customHeight="1">
      <c r="A2419" s="84" t="s">
        <v>38</v>
      </c>
      <c r="B2419" s="86">
        <v>46.461066864337319</v>
      </c>
      <c r="C2419" s="84">
        <v>1.1200000000000001</v>
      </c>
      <c r="D2419" s="84">
        <v>1.2500000000000001E-2</v>
      </c>
      <c r="E2419" s="84">
        <v>3.9800000000000002E-2</v>
      </c>
      <c r="F2419" s="84">
        <v>860</v>
      </c>
      <c r="G2419" s="87"/>
      <c r="H2419" s="12">
        <v>199.85</v>
      </c>
      <c r="I2419" s="12" t="s">
        <v>14</v>
      </c>
      <c r="J2419" s="84">
        <v>1.2250000000000001</v>
      </c>
      <c r="K2419" s="84">
        <v>3.62035004228408</v>
      </c>
    </row>
    <row r="2420" spans="1:11" ht="15.75" customHeight="1">
      <c r="A2420" s="84" t="s">
        <v>38</v>
      </c>
      <c r="B2420" s="86">
        <v>60.487027861533605</v>
      </c>
      <c r="C2420" s="84">
        <v>1.1200000000000001</v>
      </c>
      <c r="D2420" s="84">
        <v>1.2500000000000001E-2</v>
      </c>
      <c r="E2420" s="84">
        <v>3.9800000000000002E-2</v>
      </c>
      <c r="F2420" s="84">
        <v>860</v>
      </c>
      <c r="G2420" s="87"/>
      <c r="H2420" s="12">
        <v>199.85</v>
      </c>
      <c r="I2420" s="12" t="s">
        <v>14</v>
      </c>
      <c r="J2420" s="84">
        <v>1.2250000000000001</v>
      </c>
      <c r="K2420" s="84">
        <v>3.8435453832617599</v>
      </c>
    </row>
    <row r="2421" spans="1:11" ht="15.75" customHeight="1">
      <c r="A2421" s="84" t="s">
        <v>38</v>
      </c>
      <c r="B2421" s="86">
        <v>87.662339833800004</v>
      </c>
      <c r="C2421" s="84">
        <v>1.1200000000000001</v>
      </c>
      <c r="D2421" s="84">
        <v>1.2500000000000001E-2</v>
      </c>
      <c r="E2421" s="84">
        <v>3.9800000000000002E-2</v>
      </c>
      <c r="F2421" s="84">
        <v>860</v>
      </c>
      <c r="G2421" s="87"/>
      <c r="H2421" s="12">
        <v>199.85</v>
      </c>
      <c r="I2421" s="12" t="s">
        <v>14</v>
      </c>
      <c r="J2421" s="84">
        <v>1.2250000000000001</v>
      </c>
      <c r="K2421" s="84">
        <v>4.3030634647278703</v>
      </c>
    </row>
    <row r="2422" spans="1:11" ht="15.75" customHeight="1">
      <c r="A2422" s="84" t="s">
        <v>38</v>
      </c>
      <c r="B2422" s="86">
        <v>141.136353756207</v>
      </c>
      <c r="C2422" s="84">
        <v>1.1200000000000001</v>
      </c>
      <c r="D2422" s="84">
        <v>1.2500000000000001E-2</v>
      </c>
      <c r="E2422" s="84">
        <v>3.9800000000000002E-2</v>
      </c>
      <c r="F2422" s="84">
        <v>860</v>
      </c>
      <c r="G2422" s="87"/>
      <c r="H2422" s="12">
        <v>199.85</v>
      </c>
      <c r="I2422" s="12" t="s">
        <v>14</v>
      </c>
      <c r="J2422" s="84">
        <v>1.2250000000000001</v>
      </c>
      <c r="K2422" s="84">
        <v>5.07767970212808</v>
      </c>
    </row>
    <row r="2423" spans="1:11" ht="15.75" customHeight="1">
      <c r="A2423" s="84" t="s">
        <v>38</v>
      </c>
      <c r="B2423" s="86">
        <v>198.99348467030399</v>
      </c>
      <c r="C2423" s="84">
        <v>1.1200000000000001</v>
      </c>
      <c r="D2423" s="84">
        <v>1.2500000000000001E-2</v>
      </c>
      <c r="E2423" s="84">
        <v>3.9800000000000002E-2</v>
      </c>
      <c r="F2423" s="84">
        <v>860</v>
      </c>
      <c r="G2423" s="87"/>
      <c r="H2423" s="12">
        <v>199.85</v>
      </c>
      <c r="I2423" s="12" t="s">
        <v>14</v>
      </c>
      <c r="J2423" s="84">
        <v>1.2250000000000001</v>
      </c>
      <c r="K2423" s="84">
        <v>5.60284479785809</v>
      </c>
    </row>
    <row r="2424" spans="1:11" ht="15.75" customHeight="1">
      <c r="A2424" s="84" t="s">
        <v>38</v>
      </c>
      <c r="B2424" s="86">
        <v>276.13637047647182</v>
      </c>
      <c r="C2424" s="84">
        <v>1.1200000000000001</v>
      </c>
      <c r="D2424" s="84">
        <v>1.2500000000000001E-2</v>
      </c>
      <c r="E2424" s="84">
        <v>3.9800000000000002E-2</v>
      </c>
      <c r="F2424" s="84">
        <v>860</v>
      </c>
      <c r="G2424" s="87"/>
      <c r="H2424" s="12">
        <v>199.85</v>
      </c>
      <c r="I2424" s="12" t="s">
        <v>14</v>
      </c>
      <c r="J2424" s="84">
        <v>1.2250000000000001</v>
      </c>
      <c r="K2424" s="84">
        <v>6.1936544036744596</v>
      </c>
    </row>
    <row r="2425" spans="1:11" ht="15.75" customHeight="1">
      <c r="A2425" s="84" t="s">
        <v>38</v>
      </c>
      <c r="B2425" s="86">
        <v>359.41559331858241</v>
      </c>
      <c r="C2425" s="84">
        <v>1.1200000000000001</v>
      </c>
      <c r="D2425" s="84">
        <v>1.2500000000000001E-2</v>
      </c>
      <c r="E2425" s="84">
        <v>3.9800000000000002E-2</v>
      </c>
      <c r="F2425" s="84">
        <v>860</v>
      </c>
      <c r="G2425" s="87"/>
      <c r="H2425" s="12">
        <v>199.85</v>
      </c>
      <c r="I2425" s="12" t="s">
        <v>14</v>
      </c>
      <c r="J2425" s="84">
        <v>1.2250000000000001</v>
      </c>
      <c r="K2425" s="84">
        <v>6.6400440839588102</v>
      </c>
    </row>
    <row r="2426" spans="1:11" ht="15.75" customHeight="1">
      <c r="A2426" s="84" t="s">
        <v>38</v>
      </c>
      <c r="B2426" s="86">
        <v>425.16234819393236</v>
      </c>
      <c r="C2426" s="84">
        <v>1.1200000000000001</v>
      </c>
      <c r="D2426" s="84">
        <v>1.2500000000000001E-2</v>
      </c>
      <c r="E2426" s="84">
        <v>3.9800000000000002E-2</v>
      </c>
      <c r="F2426" s="84">
        <v>860</v>
      </c>
      <c r="G2426" s="87"/>
      <c r="H2426" s="12">
        <v>199.85</v>
      </c>
      <c r="I2426" s="12" t="s">
        <v>14</v>
      </c>
      <c r="J2426" s="84">
        <v>1.2250000000000001</v>
      </c>
      <c r="K2426" s="84">
        <v>7.1389498731477499</v>
      </c>
    </row>
    <row r="2427" spans="1:11" ht="15.75" customHeight="1">
      <c r="A2427" s="84" t="s">
        <v>38</v>
      </c>
      <c r="B2427" s="86">
        <v>24.5454819058872</v>
      </c>
      <c r="C2427" s="84">
        <v>2.5</v>
      </c>
      <c r="G2427" s="87"/>
      <c r="H2427" s="12">
        <v>199.85</v>
      </c>
      <c r="I2427" s="12" t="s">
        <v>14</v>
      </c>
      <c r="J2427" s="84">
        <v>1.2250000000000001</v>
      </c>
      <c r="K2427" s="84">
        <v>3.9879653087937799</v>
      </c>
    </row>
    <row r="2428" spans="1:11" ht="15.75" customHeight="1">
      <c r="A2428" s="84" t="s">
        <v>38</v>
      </c>
      <c r="B2428" s="86">
        <v>69.253261844913609</v>
      </c>
      <c r="C2428" s="84">
        <v>2.5</v>
      </c>
      <c r="G2428" s="87"/>
      <c r="H2428" s="12">
        <v>199.85</v>
      </c>
      <c r="I2428" s="12" t="s">
        <v>14</v>
      </c>
      <c r="J2428" s="84">
        <v>1.2250000000000001</v>
      </c>
      <c r="K2428" s="84">
        <v>4.6050332194801999</v>
      </c>
    </row>
    <row r="2429" spans="1:11" ht="15.75" customHeight="1">
      <c r="A2429" s="84" t="s">
        <v>38</v>
      </c>
      <c r="B2429" s="86">
        <v>137.62984678664341</v>
      </c>
      <c r="C2429" s="84">
        <v>2.5</v>
      </c>
      <c r="G2429" s="87"/>
      <c r="H2429" s="12">
        <v>199.85</v>
      </c>
      <c r="I2429" s="12" t="s">
        <v>14</v>
      </c>
      <c r="J2429" s="84">
        <v>1.2250000000000001</v>
      </c>
      <c r="K2429" s="84">
        <v>5.5765864929880404</v>
      </c>
    </row>
    <row r="2430" spans="1:11" ht="15.75" customHeight="1">
      <c r="A2430" s="84" t="s">
        <v>38</v>
      </c>
      <c r="B2430" s="86">
        <v>234.058420603824</v>
      </c>
      <c r="C2430" s="84">
        <v>2.5</v>
      </c>
      <c r="G2430" s="87"/>
      <c r="H2430" s="12">
        <v>199.85</v>
      </c>
      <c r="I2430" s="12" t="s">
        <v>14</v>
      </c>
      <c r="J2430" s="84">
        <v>1.2250000000000001</v>
      </c>
      <c r="K2430" s="84">
        <v>6.4431075486866796</v>
      </c>
    </row>
    <row r="2431" spans="1:11" ht="15.75" customHeight="1">
      <c r="A2431" s="84" t="s">
        <v>38</v>
      </c>
      <c r="B2431" s="86">
        <v>287.53250140728841</v>
      </c>
      <c r="C2431" s="84">
        <v>2.5</v>
      </c>
      <c r="G2431" s="87"/>
      <c r="H2431" s="12">
        <v>199.85</v>
      </c>
      <c r="I2431" s="12" t="s">
        <v>14</v>
      </c>
      <c r="J2431" s="84">
        <v>1.2250000000000001</v>
      </c>
      <c r="K2431" s="84">
        <v>6.9288839350228502</v>
      </c>
    </row>
    <row r="2432" spans="1:11" ht="15.75" customHeight="1">
      <c r="A2432" s="84" t="s">
        <v>38</v>
      </c>
      <c r="B2432" s="86">
        <v>457.5973871800158</v>
      </c>
      <c r="C2432" s="84">
        <v>2.5</v>
      </c>
      <c r="G2432" s="87"/>
      <c r="H2432" s="12">
        <v>199.85</v>
      </c>
      <c r="I2432" s="12" t="s">
        <v>14</v>
      </c>
      <c r="J2432" s="84">
        <v>1.2250000000000001</v>
      </c>
      <c r="K2432" s="84">
        <v>7.9529543191062997</v>
      </c>
    </row>
    <row r="2433" spans="1:11" ht="15.75" customHeight="1">
      <c r="A2433" s="84" t="s">
        <v>38</v>
      </c>
      <c r="B2433" s="86"/>
      <c r="C2433" s="84">
        <v>1.1200000000000001</v>
      </c>
      <c r="D2433" s="84">
        <v>3.1E-2</v>
      </c>
      <c r="E2433" s="84">
        <v>0.41799999999999998</v>
      </c>
      <c r="F2433" s="84">
        <v>880</v>
      </c>
      <c r="G2433" s="87"/>
      <c r="H2433" s="86">
        <v>19.850000000000023</v>
      </c>
      <c r="I2433" s="84" t="s">
        <v>14</v>
      </c>
      <c r="J2433" s="84">
        <v>1.2250000000000001</v>
      </c>
      <c r="K2433" s="12">
        <v>6.6506022453630997</v>
      </c>
    </row>
    <row r="2434" spans="1:11" ht="15.75" customHeight="1">
      <c r="A2434" s="84" t="s">
        <v>38</v>
      </c>
      <c r="B2434" s="86"/>
      <c r="C2434" s="84">
        <v>1.1200000000000001</v>
      </c>
      <c r="D2434" s="84">
        <v>3.1E-2</v>
      </c>
      <c r="E2434" s="84">
        <v>0.41799999999999998</v>
      </c>
      <c r="F2434" s="84">
        <v>880</v>
      </c>
      <c r="G2434" s="87"/>
      <c r="H2434" s="86">
        <v>19.850000000000023</v>
      </c>
      <c r="I2434" s="84" t="s">
        <v>14</v>
      </c>
      <c r="J2434" s="84">
        <v>1.2250000000000001</v>
      </c>
      <c r="K2434" s="12">
        <v>7.3574296844207199</v>
      </c>
    </row>
    <row r="2435" spans="1:11" ht="15.75" customHeight="1">
      <c r="A2435" s="84" t="s">
        <v>38</v>
      </c>
      <c r="B2435" s="86"/>
      <c r="C2435" s="84">
        <v>1.1200000000000001</v>
      </c>
      <c r="D2435" s="84">
        <v>3.1E-2</v>
      </c>
      <c r="E2435" s="84">
        <v>0.41799999999999998</v>
      </c>
      <c r="F2435" s="84">
        <v>880</v>
      </c>
      <c r="G2435" s="87"/>
      <c r="H2435" s="86">
        <v>19.850000000000023</v>
      </c>
      <c r="I2435" s="84" t="s">
        <v>14</v>
      </c>
      <c r="J2435" s="84">
        <v>1.2250000000000001</v>
      </c>
      <c r="K2435" s="12">
        <v>7.9518071956914103</v>
      </c>
    </row>
    <row r="2436" spans="1:11" ht="15.75" customHeight="1">
      <c r="A2436" s="84" t="s">
        <v>38</v>
      </c>
      <c r="B2436" s="86"/>
      <c r="C2436" s="84">
        <v>1.1200000000000001</v>
      </c>
      <c r="D2436" s="84">
        <v>1.6500000000000001E-2</v>
      </c>
      <c r="E2436" s="84">
        <v>9.9400000000000002E-2</v>
      </c>
      <c r="F2436" s="84">
        <v>921</v>
      </c>
      <c r="G2436" s="87"/>
      <c r="H2436" s="86">
        <v>99.850000000000023</v>
      </c>
      <c r="I2436" s="84" t="s">
        <v>14</v>
      </c>
      <c r="J2436" s="84">
        <v>1.2250000000000001</v>
      </c>
      <c r="K2436" s="12">
        <v>4.6265059964095103</v>
      </c>
    </row>
    <row r="2437" spans="1:11" ht="15.75" customHeight="1">
      <c r="A2437" s="84" t="s">
        <v>38</v>
      </c>
      <c r="B2437" s="86"/>
      <c r="C2437" s="84">
        <v>1.1200000000000001</v>
      </c>
      <c r="D2437" s="84">
        <v>1.6500000000000001E-2</v>
      </c>
      <c r="E2437" s="84">
        <v>9.9400000000000002E-2</v>
      </c>
      <c r="F2437" s="84">
        <v>921</v>
      </c>
      <c r="G2437" s="87"/>
      <c r="H2437" s="86">
        <v>99.850000000000023</v>
      </c>
      <c r="I2437" s="84" t="s">
        <v>14</v>
      </c>
      <c r="J2437" s="84">
        <v>1.2250000000000001</v>
      </c>
      <c r="K2437" s="12">
        <v>5.1566257713990398</v>
      </c>
    </row>
    <row r="2438" spans="1:11" ht="15.75" customHeight="1">
      <c r="A2438" s="84" t="s">
        <v>38</v>
      </c>
      <c r="B2438" s="86"/>
      <c r="C2438" s="84">
        <v>1.1200000000000001</v>
      </c>
      <c r="D2438" s="84">
        <v>1.6500000000000001E-2</v>
      </c>
      <c r="E2438" s="84">
        <v>9.9400000000000002E-2</v>
      </c>
      <c r="F2438" s="84">
        <v>921</v>
      </c>
      <c r="G2438" s="87"/>
      <c r="H2438" s="86">
        <v>99.850000000000023</v>
      </c>
      <c r="I2438" s="84" t="s">
        <v>14</v>
      </c>
      <c r="J2438" s="84">
        <v>1.2250000000000001</v>
      </c>
      <c r="K2438" s="12">
        <v>5.6867467719941898</v>
      </c>
    </row>
    <row r="2439" spans="1:11" ht="15.75" customHeight="1">
      <c r="A2439" s="84" t="s">
        <v>38</v>
      </c>
      <c r="B2439" s="86"/>
      <c r="C2439" s="84">
        <v>1.1200000000000001</v>
      </c>
      <c r="D2439" s="84">
        <v>1.43E-2</v>
      </c>
      <c r="E2439" s="84">
        <v>5.96E-2</v>
      </c>
      <c r="F2439" s="84">
        <v>890</v>
      </c>
      <c r="G2439" s="87"/>
      <c r="H2439" s="86">
        <v>149.85000000000002</v>
      </c>
      <c r="I2439" s="84" t="s">
        <v>14</v>
      </c>
      <c r="J2439" s="84">
        <v>1.2250000000000001</v>
      </c>
      <c r="K2439" s="12">
        <v>5.0763044819516301</v>
      </c>
    </row>
    <row r="2440" spans="1:11" ht="15.75" customHeight="1">
      <c r="A2440" s="84" t="s">
        <v>38</v>
      </c>
      <c r="B2440" s="86"/>
      <c r="C2440" s="84">
        <v>1.1200000000000001</v>
      </c>
      <c r="D2440" s="84">
        <v>1.43E-2</v>
      </c>
      <c r="E2440" s="84">
        <v>5.96E-2</v>
      </c>
      <c r="F2440" s="84">
        <v>890</v>
      </c>
      <c r="G2440" s="87"/>
      <c r="H2440" s="86">
        <v>149.85000000000002</v>
      </c>
      <c r="I2440" s="84" t="s">
        <v>14</v>
      </c>
      <c r="J2440" s="84">
        <v>1.2250000000000001</v>
      </c>
      <c r="K2440" s="12">
        <v>4.6746980347145897</v>
      </c>
    </row>
    <row r="2441" spans="1:11" ht="15.75" customHeight="1">
      <c r="A2441" s="84" t="s">
        <v>38</v>
      </c>
      <c r="B2441" s="86"/>
      <c r="C2441" s="84">
        <v>1.1200000000000001</v>
      </c>
      <c r="D2441" s="84">
        <v>1.43E-2</v>
      </c>
      <c r="E2441" s="84">
        <v>5.96E-2</v>
      </c>
      <c r="F2441" s="84">
        <v>890</v>
      </c>
      <c r="G2441" s="87"/>
      <c r="H2441" s="86">
        <v>149.85000000000002</v>
      </c>
      <c r="I2441" s="84" t="s">
        <v>14</v>
      </c>
      <c r="J2441" s="84">
        <v>1.2250000000000001</v>
      </c>
      <c r="K2441" s="12">
        <v>4.1445779533236502</v>
      </c>
    </row>
    <row r="2442" spans="1:11" ht="15.75" customHeight="1">
      <c r="A2442" s="84" t="s">
        <v>38</v>
      </c>
      <c r="B2442" s="86"/>
      <c r="C2442" s="84">
        <v>1.1200000000000001</v>
      </c>
      <c r="D2442" s="84">
        <v>1.2500000000000001E-2</v>
      </c>
      <c r="E2442" s="84">
        <v>3.9800000000000002E-2</v>
      </c>
      <c r="F2442" s="84">
        <v>860</v>
      </c>
      <c r="G2442" s="87"/>
      <c r="H2442" s="86">
        <v>199.85000000000002</v>
      </c>
      <c r="I2442" s="84" t="s">
        <v>14</v>
      </c>
      <c r="J2442" s="84">
        <v>1.2250000000000001</v>
      </c>
      <c r="K2442" s="12">
        <v>3.7911641571944901</v>
      </c>
    </row>
    <row r="2443" spans="1:11" ht="15.75" customHeight="1">
      <c r="A2443" s="84" t="s">
        <v>38</v>
      </c>
      <c r="B2443" s="86"/>
      <c r="C2443" s="84">
        <v>1.1200000000000001</v>
      </c>
      <c r="D2443" s="84">
        <v>1.2500000000000001E-2</v>
      </c>
      <c r="E2443" s="84">
        <v>3.9800000000000002E-2</v>
      </c>
      <c r="F2443" s="84">
        <v>860</v>
      </c>
      <c r="G2443" s="87"/>
      <c r="H2443" s="86">
        <v>199.85000000000002</v>
      </c>
      <c r="I2443" s="84" t="s">
        <v>14</v>
      </c>
      <c r="J2443" s="84">
        <v>1.2250000000000001</v>
      </c>
      <c r="K2443" s="12">
        <v>4.2891565194501098</v>
      </c>
    </row>
    <row r="2444" spans="1:11" ht="15.75" customHeight="1">
      <c r="A2444" s="84" t="s">
        <v>38</v>
      </c>
      <c r="B2444" s="86"/>
      <c r="C2444" s="84">
        <v>1.1200000000000001</v>
      </c>
      <c r="D2444" s="84">
        <v>1.2500000000000001E-2</v>
      </c>
      <c r="E2444" s="84">
        <v>3.9800000000000002E-2</v>
      </c>
      <c r="F2444" s="84">
        <v>860</v>
      </c>
      <c r="G2444" s="87"/>
      <c r="H2444" s="86">
        <v>199.85000000000002</v>
      </c>
      <c r="I2444" s="84" t="s">
        <v>14</v>
      </c>
      <c r="J2444" s="84">
        <v>1.2250000000000001</v>
      </c>
      <c r="K2444" s="12">
        <v>4.7550193241619896</v>
      </c>
    </row>
    <row r="2445" spans="1:11" ht="15.75" customHeight="1">
      <c r="A2445" s="84" t="s">
        <v>38</v>
      </c>
      <c r="B2445" s="86"/>
      <c r="C2445" s="84">
        <v>2.5</v>
      </c>
      <c r="D2445" s="84">
        <v>3.1E-2</v>
      </c>
      <c r="E2445" s="84">
        <v>0.41799999999999998</v>
      </c>
      <c r="F2445" s="84">
        <v>880</v>
      </c>
      <c r="G2445" s="87"/>
      <c r="H2445" s="86">
        <v>19.850000000000023</v>
      </c>
      <c r="I2445" s="84" t="s">
        <v>14</v>
      </c>
      <c r="J2445" s="84">
        <v>1.2250000000000001</v>
      </c>
      <c r="K2445" s="12">
        <v>10.3348213487437</v>
      </c>
    </row>
    <row r="2446" spans="1:11" ht="15.75" customHeight="1">
      <c r="A2446" s="84" t="s">
        <v>38</v>
      </c>
      <c r="B2446" s="86"/>
      <c r="C2446" s="84">
        <v>2.5</v>
      </c>
      <c r="D2446" s="84">
        <v>3.1E-2</v>
      </c>
      <c r="E2446" s="84">
        <v>0.41799999999999998</v>
      </c>
      <c r="F2446" s="84">
        <v>880</v>
      </c>
      <c r="G2446" s="87"/>
      <c r="H2446" s="86">
        <v>19.850000000000023</v>
      </c>
      <c r="I2446" s="84" t="s">
        <v>14</v>
      </c>
      <c r="J2446" s="84">
        <v>1.2250000000000001</v>
      </c>
      <c r="K2446" s="12">
        <v>8.7053567703281995</v>
      </c>
    </row>
    <row r="2447" spans="1:11" ht="15.75" customHeight="1">
      <c r="A2447" s="84" t="s">
        <v>38</v>
      </c>
      <c r="B2447" s="86"/>
      <c r="C2447" s="84">
        <v>2.5</v>
      </c>
      <c r="D2447" s="84">
        <v>1.6500000000000001E-2</v>
      </c>
      <c r="E2447" s="84">
        <v>9.9400000000000002E-2</v>
      </c>
      <c r="F2447" s="84">
        <v>921</v>
      </c>
      <c r="G2447" s="87"/>
      <c r="H2447" s="86">
        <v>99.850000000000023</v>
      </c>
      <c r="I2447" s="84" t="s">
        <v>14</v>
      </c>
      <c r="J2447" s="84">
        <v>1.2250000000000001</v>
      </c>
      <c r="K2447" s="12">
        <v>7.7232146582432204</v>
      </c>
    </row>
    <row r="2448" spans="1:11" ht="15.75" customHeight="1">
      <c r="A2448" s="84" t="s">
        <v>38</v>
      </c>
      <c r="B2448" s="86"/>
      <c r="C2448" s="84">
        <v>2.5</v>
      </c>
      <c r="D2448" s="84">
        <v>1.43E-2</v>
      </c>
      <c r="E2448" s="84">
        <v>5.96E-2</v>
      </c>
      <c r="F2448" s="84">
        <v>890</v>
      </c>
      <c r="G2448" s="87"/>
      <c r="H2448" s="86">
        <v>149.85000000000002</v>
      </c>
      <c r="I2448" s="84" t="s">
        <v>14</v>
      </c>
      <c r="J2448" s="84">
        <v>1.2250000000000001</v>
      </c>
      <c r="K2448" s="12">
        <v>7.1428579943518598</v>
      </c>
    </row>
    <row r="2449" spans="1:11" ht="15.75" customHeight="1">
      <c r="A2449" s="84" t="s">
        <v>38</v>
      </c>
      <c r="B2449" s="86"/>
      <c r="C2449" s="84">
        <v>2.5</v>
      </c>
      <c r="D2449" s="84">
        <v>1.2500000000000001E-2</v>
      </c>
      <c r="E2449" s="84">
        <v>3.9800000000000002E-2</v>
      </c>
      <c r="F2449" s="84">
        <v>860</v>
      </c>
      <c r="G2449" s="87"/>
      <c r="H2449" s="86">
        <v>199.85000000000002</v>
      </c>
      <c r="I2449" s="84" t="s">
        <v>14</v>
      </c>
      <c r="J2449" s="84">
        <v>1.2250000000000001</v>
      </c>
      <c r="K2449" s="12">
        <v>6.8526788109114598</v>
      </c>
    </row>
    <row r="2450" spans="1:11" ht="15.75" customHeight="1">
      <c r="A2450" s="84" t="s">
        <v>38</v>
      </c>
      <c r="B2450" s="86"/>
      <c r="C2450" s="84">
        <v>1.1200000000000001</v>
      </c>
      <c r="G2450" s="87"/>
      <c r="H2450" s="86">
        <v>19.850000000000023</v>
      </c>
      <c r="I2450" s="84" t="s">
        <v>14</v>
      </c>
      <c r="J2450" s="84">
        <v>1.2250000000000001</v>
      </c>
      <c r="K2450" s="12">
        <v>5.4705883437197604</v>
      </c>
    </row>
    <row r="2451" spans="1:11" ht="15.75" customHeight="1">
      <c r="A2451" s="84" t="s">
        <v>38</v>
      </c>
      <c r="B2451" s="86"/>
      <c r="C2451" s="84">
        <v>1.1200000000000001</v>
      </c>
      <c r="G2451" s="87"/>
      <c r="H2451" s="86">
        <v>19.850000000000023</v>
      </c>
      <c r="I2451" s="84" t="s">
        <v>14</v>
      </c>
      <c r="J2451" s="84">
        <v>1.2250000000000001</v>
      </c>
      <c r="K2451" s="12">
        <v>6.3949580842109599</v>
      </c>
    </row>
    <row r="2452" spans="1:11" ht="15.75" customHeight="1">
      <c r="A2452" s="84" t="s">
        <v>38</v>
      </c>
      <c r="B2452" s="86"/>
      <c r="C2452" s="84">
        <v>1.1200000000000001</v>
      </c>
      <c r="G2452" s="87"/>
      <c r="H2452" s="86">
        <v>19.850000000000023</v>
      </c>
      <c r="I2452" s="84" t="s">
        <v>14</v>
      </c>
      <c r="J2452" s="84">
        <v>1.2250000000000001</v>
      </c>
      <c r="K2452" s="12">
        <v>7.0504201997194302</v>
      </c>
    </row>
    <row r="2453" spans="1:11" ht="15.75" customHeight="1">
      <c r="A2453" s="84" t="s">
        <v>38</v>
      </c>
      <c r="B2453" s="86"/>
      <c r="C2453" s="84">
        <v>1.1200000000000001</v>
      </c>
      <c r="G2453" s="87"/>
      <c r="H2453" s="86">
        <v>99.850000000000023</v>
      </c>
      <c r="I2453" s="84" t="s">
        <v>14</v>
      </c>
      <c r="J2453" s="84">
        <v>1.2250000000000001</v>
      </c>
      <c r="K2453" s="12">
        <v>5.0336128520676002</v>
      </c>
    </row>
    <row r="2454" spans="1:11" ht="15.75" customHeight="1">
      <c r="A2454" s="84" t="s">
        <v>38</v>
      </c>
      <c r="B2454" s="86"/>
      <c r="C2454" s="84">
        <v>1.1200000000000001</v>
      </c>
      <c r="G2454" s="87"/>
      <c r="H2454" s="86">
        <v>99.850000000000023</v>
      </c>
      <c r="I2454" s="84" t="s">
        <v>14</v>
      </c>
      <c r="J2454" s="84">
        <v>1.2250000000000001</v>
      </c>
      <c r="K2454" s="12">
        <v>4.41176463045581</v>
      </c>
    </row>
    <row r="2455" spans="1:11" ht="15.75" customHeight="1">
      <c r="A2455" s="84" t="s">
        <v>38</v>
      </c>
      <c r="B2455" s="86"/>
      <c r="C2455" s="84">
        <v>1.1200000000000001</v>
      </c>
      <c r="G2455" s="87"/>
      <c r="H2455" s="86">
        <v>99.850000000000023</v>
      </c>
      <c r="I2455" s="84" t="s">
        <v>14</v>
      </c>
      <c r="J2455" s="84">
        <v>1.2250000000000001</v>
      </c>
      <c r="K2455" s="12">
        <v>3.7563025149473401</v>
      </c>
    </row>
    <row r="2456" spans="1:11" ht="15.75" customHeight="1">
      <c r="A2456" s="84" t="s">
        <v>38</v>
      </c>
      <c r="B2456" s="86"/>
      <c r="C2456" s="84">
        <v>1.1200000000000001</v>
      </c>
      <c r="G2456" s="87"/>
      <c r="H2456" s="86">
        <v>149.85000000000002</v>
      </c>
      <c r="I2456" s="84" t="s">
        <v>14</v>
      </c>
      <c r="J2456" s="84">
        <v>1.2250000000000001</v>
      </c>
      <c r="K2456" s="12">
        <v>3.3865544905257399</v>
      </c>
    </row>
    <row r="2457" spans="1:11" ht="15.75" customHeight="1">
      <c r="A2457" s="84" t="s">
        <v>38</v>
      </c>
      <c r="B2457" s="86"/>
      <c r="C2457" s="84">
        <v>1.1200000000000001</v>
      </c>
      <c r="G2457" s="87"/>
      <c r="H2457" s="86">
        <v>149.85000000000002</v>
      </c>
      <c r="I2457" s="84" t="s">
        <v>14</v>
      </c>
      <c r="J2457" s="84">
        <v>1.2250000000000001</v>
      </c>
      <c r="K2457" s="12">
        <v>3.9747901004920201</v>
      </c>
    </row>
    <row r="2458" spans="1:11" ht="15.75" customHeight="1">
      <c r="A2458" s="84" t="s">
        <v>38</v>
      </c>
      <c r="B2458" s="86"/>
      <c r="C2458" s="84">
        <v>1.1200000000000001</v>
      </c>
      <c r="G2458" s="87"/>
      <c r="H2458" s="86">
        <v>149.85000000000002</v>
      </c>
      <c r="I2458" s="84" t="s">
        <v>14</v>
      </c>
      <c r="J2458" s="84">
        <v>1.2250000000000001</v>
      </c>
      <c r="K2458" s="12">
        <v>4.46218499045664</v>
      </c>
    </row>
    <row r="2459" spans="1:11" ht="15.75" customHeight="1">
      <c r="A2459" s="84" t="s">
        <v>38</v>
      </c>
      <c r="B2459" s="86"/>
      <c r="C2459" s="84">
        <v>1.1200000000000001</v>
      </c>
      <c r="G2459" s="87"/>
      <c r="H2459" s="86">
        <v>199.85000000000002</v>
      </c>
      <c r="I2459" s="84" t="s">
        <v>14</v>
      </c>
      <c r="J2459" s="84">
        <v>1.2250000000000001</v>
      </c>
      <c r="K2459" s="12">
        <v>4.1092431115763999</v>
      </c>
    </row>
    <row r="2460" spans="1:11" ht="15.75" customHeight="1">
      <c r="A2460" s="84" t="s">
        <v>38</v>
      </c>
      <c r="B2460" s="86"/>
      <c r="C2460" s="84">
        <v>1.1200000000000001</v>
      </c>
      <c r="G2460" s="87"/>
      <c r="H2460" s="86">
        <v>199.85000000000002</v>
      </c>
      <c r="I2460" s="84" t="s">
        <v>14</v>
      </c>
      <c r="J2460" s="84">
        <v>1.2250000000000001</v>
      </c>
      <c r="K2460" s="12">
        <v>3.4705881032976702</v>
      </c>
    </row>
    <row r="2461" spans="1:11" ht="15.75" customHeight="1">
      <c r="A2461" s="84" t="s">
        <v>38</v>
      </c>
      <c r="B2461" s="86"/>
      <c r="C2461" s="84">
        <v>1.1200000000000001</v>
      </c>
      <c r="G2461" s="87"/>
      <c r="H2461" s="86">
        <v>199.85000000000002</v>
      </c>
      <c r="I2461" s="84" t="s">
        <v>14</v>
      </c>
      <c r="J2461" s="84">
        <v>1.2250000000000001</v>
      </c>
      <c r="K2461" s="12">
        <v>3.1848736916479998</v>
      </c>
    </row>
    <row r="2462" spans="1:11" ht="15.75" customHeight="1">
      <c r="A2462" s="84" t="s">
        <v>38</v>
      </c>
      <c r="B2462" s="86"/>
      <c r="C2462" s="84">
        <v>2.5</v>
      </c>
      <c r="G2462" s="87"/>
      <c r="H2462" s="86">
        <v>19.850000000000023</v>
      </c>
      <c r="I2462" s="84" t="s">
        <v>14</v>
      </c>
      <c r="J2462" s="84">
        <v>1.2250000000000001</v>
      </c>
      <c r="K2462" s="12">
        <v>9.6930691498703503</v>
      </c>
    </row>
    <row r="2463" spans="1:11" ht="15.75" customHeight="1">
      <c r="A2463" s="84" t="s">
        <v>38</v>
      </c>
      <c r="B2463" s="86"/>
      <c r="C2463" s="84">
        <v>2.5</v>
      </c>
      <c r="G2463" s="87"/>
      <c r="H2463" s="86">
        <v>19.850000000000023</v>
      </c>
      <c r="I2463" s="84" t="s">
        <v>14</v>
      </c>
      <c r="J2463" s="84">
        <v>1.2250000000000001</v>
      </c>
      <c r="K2463" s="12">
        <v>8.4851481782936204</v>
      </c>
    </row>
    <row r="2464" spans="1:11" ht="15.75" customHeight="1">
      <c r="A2464" s="84" t="s">
        <v>38</v>
      </c>
      <c r="B2464" s="86"/>
      <c r="C2464" s="84">
        <v>2.5</v>
      </c>
      <c r="G2464" s="87"/>
      <c r="H2464" s="86">
        <v>19.850000000000023</v>
      </c>
      <c r="I2464" s="84" t="s">
        <v>14</v>
      </c>
      <c r="J2464" s="84">
        <v>1.2250000000000001</v>
      </c>
      <c r="K2464" s="12">
        <v>7.2970296356587196</v>
      </c>
    </row>
    <row r="2465" spans="1:11" ht="15.75" customHeight="1">
      <c r="A2465" s="84" t="s">
        <v>38</v>
      </c>
      <c r="B2465" s="86"/>
      <c r="C2465" s="84">
        <v>2.5</v>
      </c>
      <c r="G2465" s="87"/>
      <c r="H2465" s="86">
        <v>99.850000000000023</v>
      </c>
      <c r="I2465" s="84" t="s">
        <v>14</v>
      </c>
      <c r="J2465" s="84">
        <v>1.2250000000000001</v>
      </c>
      <c r="K2465" s="12">
        <v>5.1188130628801698</v>
      </c>
    </row>
    <row r="2466" spans="1:11" ht="15.75" customHeight="1">
      <c r="A2466" s="84" t="s">
        <v>38</v>
      </c>
      <c r="B2466" s="86"/>
      <c r="C2466" s="84">
        <v>2.5</v>
      </c>
      <c r="G2466" s="87"/>
      <c r="H2466" s="86">
        <v>99.850000000000023</v>
      </c>
      <c r="I2466" s="84" t="s">
        <v>14</v>
      </c>
      <c r="J2466" s="84">
        <v>1.2250000000000001</v>
      </c>
      <c r="K2466" s="12">
        <v>6.0297036434127502</v>
      </c>
    </row>
    <row r="2467" spans="1:11" ht="15.75" customHeight="1">
      <c r="A2467" s="84" t="s">
        <v>38</v>
      </c>
      <c r="B2467" s="86"/>
      <c r="C2467" s="84">
        <v>2.5</v>
      </c>
      <c r="G2467" s="87"/>
      <c r="H2467" s="86">
        <v>99.850000000000023</v>
      </c>
      <c r="I2467" s="84" t="s">
        <v>14</v>
      </c>
      <c r="J2467" s="84">
        <v>1.2250000000000001</v>
      </c>
      <c r="K2467" s="12">
        <v>7.1584164099929897</v>
      </c>
    </row>
    <row r="2468" spans="1:11" ht="15.75" customHeight="1">
      <c r="A2468" s="84" t="s">
        <v>38</v>
      </c>
      <c r="B2468" s="86"/>
      <c r="C2468" s="84">
        <v>2.5</v>
      </c>
      <c r="G2468" s="87"/>
      <c r="H2468" s="86">
        <v>149.85000000000002</v>
      </c>
      <c r="I2468" s="84" t="s">
        <v>14</v>
      </c>
      <c r="J2468" s="84">
        <v>1.2250000000000001</v>
      </c>
      <c r="K2468" s="12">
        <v>6.4653465047372096</v>
      </c>
    </row>
    <row r="2469" spans="1:11" ht="15.75" customHeight="1">
      <c r="A2469" s="84" t="s">
        <v>38</v>
      </c>
      <c r="B2469" s="86"/>
      <c r="C2469" s="84">
        <v>2.5</v>
      </c>
      <c r="G2469" s="87"/>
      <c r="H2469" s="86">
        <v>149.85000000000002</v>
      </c>
      <c r="I2469" s="84" t="s">
        <v>14</v>
      </c>
      <c r="J2469" s="84">
        <v>1.2250000000000001</v>
      </c>
      <c r="K2469" s="12">
        <v>5.3168328199859802</v>
      </c>
    </row>
    <row r="2470" spans="1:11" ht="15.75" customHeight="1">
      <c r="A2470" s="84" t="s">
        <v>38</v>
      </c>
      <c r="B2470" s="86"/>
      <c r="C2470" s="84">
        <v>2.5</v>
      </c>
      <c r="G2470" s="87"/>
      <c r="H2470" s="86">
        <v>149.85000000000002</v>
      </c>
      <c r="I2470" s="84" t="s">
        <v>14</v>
      </c>
      <c r="J2470" s="84">
        <v>1.2250000000000001</v>
      </c>
      <c r="K2470" s="12">
        <v>4.7227735486685303</v>
      </c>
    </row>
    <row r="2471" spans="1:11" ht="15.75" customHeight="1">
      <c r="A2471" s="84" t="s">
        <v>38</v>
      </c>
      <c r="B2471" s="86"/>
      <c r="C2471" s="84">
        <v>2.5</v>
      </c>
      <c r="G2471" s="87"/>
      <c r="H2471" s="86">
        <v>199.85000000000002</v>
      </c>
      <c r="I2471" s="84" t="s">
        <v>14</v>
      </c>
      <c r="J2471" s="84">
        <v>1.2250000000000001</v>
      </c>
      <c r="K2471" s="12">
        <v>4.4653472601226296</v>
      </c>
    </row>
    <row r="2472" spans="1:11" ht="15.75" customHeight="1">
      <c r="A2472" s="84" t="s">
        <v>38</v>
      </c>
      <c r="B2472" s="86"/>
      <c r="C2472" s="84">
        <v>2.5</v>
      </c>
      <c r="G2472" s="87"/>
      <c r="H2472" s="86">
        <v>199.85000000000002</v>
      </c>
      <c r="I2472" s="84" t="s">
        <v>14</v>
      </c>
      <c r="J2472" s="84">
        <v>1.2250000000000001</v>
      </c>
      <c r="K2472" s="12">
        <v>5.1584164099929897</v>
      </c>
    </row>
    <row r="2473" spans="1:11" ht="15.75" customHeight="1">
      <c r="A2473" s="84" t="s">
        <v>38</v>
      </c>
      <c r="B2473" s="86"/>
      <c r="C2473" s="84">
        <v>2.5</v>
      </c>
      <c r="G2473" s="87"/>
      <c r="H2473" s="86">
        <v>199.85000000000002</v>
      </c>
      <c r="I2473" s="84" t="s">
        <v>14</v>
      </c>
      <c r="J2473" s="84">
        <v>1.2250000000000001</v>
      </c>
      <c r="K2473" s="12">
        <v>6.2277234005185704</v>
      </c>
    </row>
    <row r="2474" spans="1:11" ht="15.75" customHeight="1">
      <c r="A2474" s="84" t="s">
        <v>38</v>
      </c>
      <c r="B2474" s="86"/>
      <c r="C2474" s="84">
        <v>2.5</v>
      </c>
      <c r="D2474" s="84">
        <v>1.55E-2</v>
      </c>
      <c r="E2474" s="84">
        <v>2.5999999999999998E-4</v>
      </c>
      <c r="F2474" s="84">
        <v>669.6</v>
      </c>
      <c r="G2474" s="87"/>
      <c r="H2474" s="86">
        <v>149.85000000000002</v>
      </c>
      <c r="I2474" s="84" t="s">
        <v>14</v>
      </c>
      <c r="J2474" s="84">
        <v>1.2250000000000001</v>
      </c>
      <c r="K2474" s="88">
        <v>4.5056603807535502</v>
      </c>
    </row>
    <row r="2475" spans="1:11" ht="15.75" customHeight="1">
      <c r="A2475" s="84" t="s">
        <v>38</v>
      </c>
      <c r="B2475" s="86"/>
      <c r="C2475" s="84">
        <v>1.1200000000000001</v>
      </c>
      <c r="D2475" s="84">
        <v>1.9599999999999999E-2</v>
      </c>
      <c r="E2475" s="85">
        <f t="shared" ref="E2475:E2476" si="1">0.69/1000</f>
        <v>6.8999999999999997E-4</v>
      </c>
      <c r="F2475" s="84">
        <v>706.9</v>
      </c>
      <c r="G2475" s="87"/>
      <c r="H2475" s="86">
        <v>99.850000000000023</v>
      </c>
      <c r="I2475" s="84" t="s">
        <v>14</v>
      </c>
      <c r="J2475" s="84">
        <v>1.2250000000000001</v>
      </c>
      <c r="K2475" s="12">
        <v>3.7220339415916501</v>
      </c>
    </row>
    <row r="2476" spans="1:11" ht="15.75" customHeight="1">
      <c r="A2476" s="84" t="s">
        <v>38</v>
      </c>
      <c r="B2476" s="86"/>
      <c r="C2476" s="84">
        <v>1.1200000000000001</v>
      </c>
      <c r="D2476" s="84">
        <v>1.9599999999999999E-2</v>
      </c>
      <c r="E2476" s="85">
        <f t="shared" si="1"/>
        <v>6.8999999999999997E-4</v>
      </c>
      <c r="F2476" s="84">
        <v>706.9</v>
      </c>
      <c r="G2476" s="87"/>
      <c r="H2476" s="86">
        <v>99.850000000000023</v>
      </c>
      <c r="I2476" s="84" t="s">
        <v>14</v>
      </c>
      <c r="J2476" s="84">
        <v>1.2250000000000001</v>
      </c>
      <c r="K2476" s="12">
        <v>3.2338983045368099</v>
      </c>
    </row>
    <row r="2477" spans="1:11" ht="15.75" customHeight="1">
      <c r="A2477" s="84" t="s">
        <v>38</v>
      </c>
      <c r="B2477" s="86"/>
      <c r="C2477" s="84">
        <v>1.1200000000000001</v>
      </c>
      <c r="D2477" s="84">
        <v>1.55E-2</v>
      </c>
      <c r="E2477" s="84">
        <v>2.5999999999999998E-4</v>
      </c>
      <c r="F2477" s="84">
        <v>669.6</v>
      </c>
      <c r="G2477" s="87"/>
      <c r="H2477" s="86">
        <v>149.85000000000002</v>
      </c>
      <c r="I2477" s="84" t="s">
        <v>14</v>
      </c>
      <c r="J2477" s="84">
        <v>1.2250000000000001</v>
      </c>
      <c r="K2477" s="12">
        <v>3.1118644599289902</v>
      </c>
    </row>
    <row r="2478" spans="1:11" ht="15.75" customHeight="1">
      <c r="A2478" s="84" t="s">
        <v>38</v>
      </c>
      <c r="B2478" s="86"/>
      <c r="C2478" s="84">
        <v>1.1200000000000001</v>
      </c>
      <c r="D2478" s="84">
        <v>1.55E-2</v>
      </c>
      <c r="E2478" s="84">
        <v>2.5999999999999998E-4</v>
      </c>
      <c r="F2478" s="84">
        <v>669.6</v>
      </c>
      <c r="G2478" s="87"/>
      <c r="H2478" s="86">
        <v>149.85000000000002</v>
      </c>
      <c r="I2478" s="84" t="s">
        <v>14</v>
      </c>
      <c r="J2478" s="84">
        <v>1.2250000000000001</v>
      </c>
      <c r="K2478" s="12">
        <v>3.64745738712476</v>
      </c>
    </row>
    <row r="2479" spans="1:11" ht="15.75" customHeight="1">
      <c r="A2479" s="84" t="s">
        <v>38</v>
      </c>
      <c r="B2479" s="86"/>
      <c r="C2479" s="84">
        <v>1.1200000000000001</v>
      </c>
      <c r="D2479" s="84">
        <v>2.6599999999999999E-2</v>
      </c>
      <c r="E2479" s="85">
        <f t="shared" ref="E2479:E2481" si="2">2.32/1000</f>
        <v>2.32E-3</v>
      </c>
      <c r="F2479" s="84">
        <v>762.2</v>
      </c>
      <c r="G2479" s="87"/>
      <c r="H2479" s="86">
        <v>19.850000000000023</v>
      </c>
      <c r="I2479" s="84" t="s">
        <v>14</v>
      </c>
      <c r="J2479" s="84">
        <v>1.2250000000000001</v>
      </c>
      <c r="K2479" s="12">
        <v>3.3694915226840698</v>
      </c>
    </row>
    <row r="2480" spans="1:11" ht="15.75" customHeight="1">
      <c r="A2480" s="84" t="s">
        <v>38</v>
      </c>
      <c r="B2480" s="86"/>
      <c r="C2480" s="84">
        <v>1.1200000000000001</v>
      </c>
      <c r="D2480" s="84">
        <v>2.6599999999999999E-2</v>
      </c>
      <c r="E2480" s="85">
        <f t="shared" si="2"/>
        <v>2.32E-3</v>
      </c>
      <c r="F2480" s="84">
        <v>762.2</v>
      </c>
      <c r="G2480" s="87"/>
      <c r="H2480" s="86">
        <v>19.850000000000023</v>
      </c>
      <c r="I2480" s="84" t="s">
        <v>14</v>
      </c>
      <c r="J2480" s="84">
        <v>1.2250000000000001</v>
      </c>
      <c r="K2480" s="12">
        <v>3.7694914903561298</v>
      </c>
    </row>
    <row r="2481" spans="1:11" ht="15.75" customHeight="1">
      <c r="A2481" s="84" t="s">
        <v>38</v>
      </c>
      <c r="B2481" s="86"/>
      <c r="C2481" s="84">
        <v>1.1200000000000001</v>
      </c>
      <c r="D2481" s="84">
        <v>2.6599999999999999E-2</v>
      </c>
      <c r="E2481" s="85">
        <f t="shared" si="2"/>
        <v>2.32E-3</v>
      </c>
      <c r="F2481" s="84">
        <v>762.2</v>
      </c>
      <c r="G2481" s="87"/>
      <c r="H2481" s="86">
        <v>19.850000000000023</v>
      </c>
      <c r="I2481" s="84" t="s">
        <v>14</v>
      </c>
      <c r="J2481" s="84">
        <v>1.2250000000000001</v>
      </c>
      <c r="K2481" s="12">
        <v>4.6101694816626599</v>
      </c>
    </row>
    <row r="2482" spans="1:11" ht="15.75" customHeight="1">
      <c r="A2482" s="84" t="s">
        <v>38</v>
      </c>
      <c r="B2482" s="86"/>
      <c r="C2482" s="84">
        <v>1.1200000000000001</v>
      </c>
      <c r="D2482" s="84">
        <v>1.17E-2</v>
      </c>
      <c r="E2482" s="85">
        <f t="shared" ref="E2482:E2483" si="3">0.26/1000</f>
        <v>2.6000000000000003E-4</v>
      </c>
      <c r="F2482" s="84">
        <v>629.29999999999995</v>
      </c>
      <c r="G2482" s="87"/>
      <c r="H2482" s="86">
        <v>199.85000000000002</v>
      </c>
      <c r="I2482" s="84" t="s">
        <v>14</v>
      </c>
      <c r="J2482" s="84">
        <v>1.2250000000000001</v>
      </c>
      <c r="K2482" s="12">
        <v>3.8372880994297498</v>
      </c>
    </row>
    <row r="2483" spans="1:11" ht="15.75" customHeight="1">
      <c r="A2483" s="84" t="s">
        <v>38</v>
      </c>
      <c r="B2483" s="86"/>
      <c r="C2483" s="84">
        <v>1.1200000000000001</v>
      </c>
      <c r="D2483" s="84">
        <v>1.17E-2</v>
      </c>
      <c r="E2483" s="85">
        <f t="shared" si="3"/>
        <v>2.6000000000000003E-4</v>
      </c>
      <c r="F2483" s="84">
        <v>629.29999999999995</v>
      </c>
      <c r="G2483" s="87"/>
      <c r="H2483" s="86">
        <v>199.85000000000002</v>
      </c>
      <c r="I2483" s="84" t="s">
        <v>14</v>
      </c>
      <c r="J2483" s="84">
        <v>1.2250000000000001</v>
      </c>
      <c r="K2483" s="12">
        <v>3.30847447106839</v>
      </c>
    </row>
    <row r="2484" spans="1:11" ht="15.75" customHeight="1">
      <c r="A2484" s="84" t="s">
        <v>38</v>
      </c>
      <c r="B2484" s="86"/>
      <c r="C2484" s="84">
        <v>2.5</v>
      </c>
      <c r="D2484" s="84">
        <v>2.6599999999999999E-2</v>
      </c>
      <c r="E2484" s="85">
        <f t="shared" ref="E2484:E2485" si="4">2.32/1000</f>
        <v>2.32E-3</v>
      </c>
      <c r="F2484" s="84">
        <v>762.2</v>
      </c>
      <c r="G2484" s="87"/>
      <c r="H2484" s="85">
        <v>19.850000000000023</v>
      </c>
      <c r="I2484" s="84" t="s">
        <v>14</v>
      </c>
      <c r="J2484" s="84">
        <v>1.2250000000000001</v>
      </c>
      <c r="K2484" s="84">
        <v>4.6568722486950902</v>
      </c>
    </row>
    <row r="2485" spans="1:11" ht="15.75" customHeight="1">
      <c r="A2485" s="84" t="s">
        <v>38</v>
      </c>
      <c r="B2485" s="86"/>
      <c r="C2485" s="84">
        <v>2.5</v>
      </c>
      <c r="D2485" s="84">
        <v>2.6599999999999999E-2</v>
      </c>
      <c r="E2485" s="85">
        <f t="shared" si="4"/>
        <v>2.32E-3</v>
      </c>
      <c r="F2485" s="84">
        <v>762.2</v>
      </c>
      <c r="G2485" s="87"/>
      <c r="H2485" s="85">
        <v>19.850000000000023</v>
      </c>
      <c r="I2485" s="84" t="s">
        <v>14</v>
      </c>
      <c r="J2485" s="84">
        <v>1.2250000000000001</v>
      </c>
      <c r="K2485" s="84">
        <v>5.4388626851958399</v>
      </c>
    </row>
    <row r="2486" spans="1:11" ht="15.75" customHeight="1">
      <c r="A2486" s="84" t="s">
        <v>38</v>
      </c>
      <c r="B2486" s="86"/>
      <c r="C2486" s="84">
        <v>2.5</v>
      </c>
      <c r="D2486" s="84">
        <v>1.9599999999999999E-2</v>
      </c>
      <c r="E2486" s="85">
        <f t="shared" ref="E2486:E2487" si="5">0.69/1000</f>
        <v>6.8999999999999997E-4</v>
      </c>
      <c r="F2486" s="84">
        <v>706.9</v>
      </c>
      <c r="G2486" s="87"/>
      <c r="H2486" s="85">
        <v>99.850000000000023</v>
      </c>
      <c r="I2486" s="84" t="s">
        <v>14</v>
      </c>
      <c r="J2486" s="84">
        <v>1.2250000000000001</v>
      </c>
      <c r="K2486" s="84">
        <v>4.59526073633773</v>
      </c>
    </row>
    <row r="2487" spans="1:11" ht="15.75" customHeight="1">
      <c r="A2487" s="84" t="s">
        <v>38</v>
      </c>
      <c r="B2487" s="86"/>
      <c r="C2487" s="84">
        <v>2.5</v>
      </c>
      <c r="D2487" s="84">
        <v>1.9599999999999999E-2</v>
      </c>
      <c r="E2487" s="85">
        <f t="shared" si="5"/>
        <v>6.8999999999999997E-4</v>
      </c>
      <c r="F2487" s="84">
        <v>706.9</v>
      </c>
      <c r="G2487" s="87"/>
      <c r="H2487" s="85">
        <v>99.850000000000023</v>
      </c>
      <c r="I2487" s="84" t="s">
        <v>14</v>
      </c>
      <c r="J2487" s="84">
        <v>1.2250000000000001</v>
      </c>
      <c r="K2487" s="84">
        <v>5.4199052689641496</v>
      </c>
    </row>
    <row r="2488" spans="1:11" ht="15.75" customHeight="1">
      <c r="A2488" s="84" t="s">
        <v>38</v>
      </c>
      <c r="B2488" s="86"/>
      <c r="C2488" s="84">
        <v>2.5</v>
      </c>
      <c r="D2488" s="84">
        <v>1.55E-2</v>
      </c>
      <c r="E2488" s="84">
        <v>2.5999999999999998E-4</v>
      </c>
      <c r="F2488" s="84">
        <v>669.6</v>
      </c>
      <c r="G2488" s="87"/>
      <c r="H2488" s="85">
        <v>149.85000000000002</v>
      </c>
      <c r="I2488" s="84" t="s">
        <v>14</v>
      </c>
      <c r="J2488" s="84">
        <v>1.2250000000000001</v>
      </c>
      <c r="K2488" s="84">
        <v>5.3819902557094297</v>
      </c>
    </row>
    <row r="2489" spans="1:11" ht="15.75" customHeight="1">
      <c r="A2489" s="84" t="s">
        <v>38</v>
      </c>
      <c r="B2489" s="86"/>
      <c r="C2489" s="84">
        <v>2.5</v>
      </c>
      <c r="D2489" s="84">
        <v>1.55E-2</v>
      </c>
      <c r="E2489" s="84">
        <v>2.5999999999999998E-4</v>
      </c>
      <c r="F2489" s="84">
        <v>669.6</v>
      </c>
      <c r="G2489" s="87"/>
      <c r="H2489" s="85">
        <v>149.85000000000002</v>
      </c>
      <c r="I2489" s="84" t="s">
        <v>14</v>
      </c>
      <c r="J2489" s="84">
        <v>1.2250000000000001</v>
      </c>
      <c r="K2489" s="84">
        <v>4.50521328042415</v>
      </c>
    </row>
    <row r="2490" spans="1:11" ht="15.75" customHeight="1">
      <c r="A2490" s="84" t="s">
        <v>38</v>
      </c>
      <c r="B2490" s="86"/>
      <c r="C2490" s="84">
        <v>2.5</v>
      </c>
      <c r="D2490" s="84">
        <v>1.17E-2</v>
      </c>
      <c r="E2490" s="85">
        <f t="shared" ref="E2490:E2491" si="6">0.26/1000</f>
        <v>2.6000000000000003E-4</v>
      </c>
      <c r="F2490" s="84">
        <v>629.29999999999995</v>
      </c>
      <c r="G2490" s="87"/>
      <c r="H2490" s="85">
        <v>199.85000000000002</v>
      </c>
      <c r="I2490" s="84" t="s">
        <v>14</v>
      </c>
      <c r="J2490" s="84">
        <v>1.2250000000000001</v>
      </c>
      <c r="K2490" s="84">
        <v>4.6047396252448998</v>
      </c>
    </row>
    <row r="2491" spans="1:11" ht="15.75" customHeight="1">
      <c r="A2491" s="84" t="s">
        <v>38</v>
      </c>
      <c r="B2491" s="86"/>
      <c r="C2491" s="84">
        <v>2.5</v>
      </c>
      <c r="D2491" s="84">
        <v>1.17E-2</v>
      </c>
      <c r="E2491" s="85">
        <f t="shared" si="6"/>
        <v>2.6000000000000003E-4</v>
      </c>
      <c r="F2491" s="84">
        <v>629.29999999999995</v>
      </c>
      <c r="G2491" s="87"/>
      <c r="H2491" s="85">
        <v>199.85000000000002</v>
      </c>
      <c r="I2491" s="84" t="s">
        <v>14</v>
      </c>
      <c r="J2491" s="84">
        <v>1.2250000000000001</v>
      </c>
      <c r="K2491" s="84">
        <v>5.7137441358075396</v>
      </c>
    </row>
    <row r="2492" spans="1:11" ht="15.75" customHeight="1">
      <c r="A2492" s="84" t="s">
        <v>38</v>
      </c>
      <c r="B2492" s="86">
        <v>1.4621183925958201</v>
      </c>
      <c r="C2492" s="84">
        <v>1.1200000000000001</v>
      </c>
      <c r="D2492" s="84">
        <v>2.6599999999999999E-2</v>
      </c>
      <c r="E2492" s="85">
        <f t="shared" ref="E2492:E2518" si="7">2.32/1000</f>
        <v>2.32E-3</v>
      </c>
      <c r="F2492" s="84">
        <v>762.2</v>
      </c>
      <c r="G2492" s="87"/>
      <c r="H2492" s="85">
        <v>19.850000000000023</v>
      </c>
      <c r="I2492" s="12" t="s">
        <v>14</v>
      </c>
      <c r="J2492" s="88">
        <v>1.2250000000000001</v>
      </c>
      <c r="K2492" s="84">
        <v>2.75536461240445</v>
      </c>
    </row>
    <row r="2493" spans="1:11" ht="15.75" customHeight="1">
      <c r="A2493" s="84" t="s">
        <v>38</v>
      </c>
      <c r="B2493" s="86">
        <v>14.3466961451697</v>
      </c>
      <c r="C2493" s="84">
        <v>1.1200000000000001</v>
      </c>
      <c r="D2493" s="84">
        <v>2.6599999999999999E-2</v>
      </c>
      <c r="E2493" s="85">
        <f t="shared" si="7"/>
        <v>2.32E-3</v>
      </c>
      <c r="F2493" s="84">
        <v>762.2</v>
      </c>
      <c r="G2493" s="87"/>
      <c r="H2493" s="85">
        <v>19.850000000000023</v>
      </c>
      <c r="I2493" s="12" t="s">
        <v>14</v>
      </c>
      <c r="J2493" s="88">
        <v>1.2250000000000001</v>
      </c>
      <c r="K2493" s="84">
        <v>3.10300370160701</v>
      </c>
    </row>
    <row r="2494" spans="1:11" ht="15.75" customHeight="1">
      <c r="A2494" s="84" t="s">
        <v>38</v>
      </c>
      <c r="B2494" s="86">
        <v>27.849519579406142</v>
      </c>
      <c r="C2494" s="84">
        <v>1.1200000000000001</v>
      </c>
      <c r="D2494" s="84">
        <v>2.6599999999999999E-2</v>
      </c>
      <c r="E2494" s="85">
        <f t="shared" si="7"/>
        <v>2.32E-3</v>
      </c>
      <c r="F2494" s="84">
        <v>762.2</v>
      </c>
      <c r="G2494" s="87"/>
      <c r="H2494" s="85">
        <v>19.850000000000023</v>
      </c>
      <c r="I2494" s="12" t="s">
        <v>14</v>
      </c>
      <c r="J2494" s="88">
        <v>1.2250000000000001</v>
      </c>
      <c r="K2494" s="84">
        <v>3.3605139379500102</v>
      </c>
    </row>
    <row r="2495" spans="1:11" ht="15.75" customHeight="1">
      <c r="A2495" s="84" t="s">
        <v>38</v>
      </c>
      <c r="B2495" s="86">
        <v>38.801687305738319</v>
      </c>
      <c r="C2495" s="84">
        <v>1.1200000000000001</v>
      </c>
      <c r="D2495" s="84">
        <v>2.6599999999999999E-2</v>
      </c>
      <c r="E2495" s="85">
        <f t="shared" si="7"/>
        <v>2.32E-3</v>
      </c>
      <c r="F2495" s="84">
        <v>762.2</v>
      </c>
      <c r="G2495" s="87"/>
      <c r="H2495" s="85">
        <v>19.850000000000023</v>
      </c>
      <c r="I2495" s="12" t="s">
        <v>14</v>
      </c>
      <c r="J2495" s="88">
        <v>1.2250000000000001</v>
      </c>
      <c r="K2495" s="84">
        <v>3.5793991368879099</v>
      </c>
    </row>
    <row r="2496" spans="1:11" ht="15.75" customHeight="1">
      <c r="A2496" s="84" t="s">
        <v>38</v>
      </c>
      <c r="B2496" s="86">
        <v>59.434111323372726</v>
      </c>
      <c r="C2496" s="84">
        <v>1.1200000000000001</v>
      </c>
      <c r="D2496" s="84">
        <v>2.6599999999999999E-2</v>
      </c>
      <c r="E2496" s="85">
        <f t="shared" si="7"/>
        <v>2.32E-3</v>
      </c>
      <c r="F2496" s="84">
        <v>762.2</v>
      </c>
      <c r="G2496" s="87"/>
      <c r="H2496" s="85">
        <v>19.850000000000023</v>
      </c>
      <c r="I2496" s="12" t="s">
        <v>14</v>
      </c>
      <c r="J2496" s="88">
        <v>1.2250000000000001</v>
      </c>
      <c r="K2496" s="84">
        <v>3.79828335350033</v>
      </c>
    </row>
    <row r="2497" spans="1:11" ht="15.75" customHeight="1">
      <c r="A2497" s="84" t="s">
        <v>38</v>
      </c>
      <c r="B2497" s="86">
        <v>86.825002845287401</v>
      </c>
      <c r="C2497" s="84">
        <v>1.1200000000000001</v>
      </c>
      <c r="D2497" s="84">
        <v>2.6599999999999999E-2</v>
      </c>
      <c r="E2497" s="85">
        <f t="shared" si="7"/>
        <v>2.32E-3</v>
      </c>
      <c r="F2497" s="84">
        <v>762.2</v>
      </c>
      <c r="G2497" s="87"/>
      <c r="H2497" s="85">
        <v>19.850000000000023</v>
      </c>
      <c r="I2497" s="12" t="s">
        <v>14</v>
      </c>
      <c r="J2497" s="88">
        <v>1.2250000000000001</v>
      </c>
      <c r="K2497" s="84">
        <v>4.2231759556522599</v>
      </c>
    </row>
    <row r="2498" spans="1:11" ht="15.75" customHeight="1">
      <c r="A2498" s="84" t="s">
        <v>38</v>
      </c>
      <c r="B2498" s="86">
        <v>115.3723080377742</v>
      </c>
      <c r="C2498" s="84">
        <v>1.1200000000000001</v>
      </c>
      <c r="D2498" s="84">
        <v>2.6599999999999999E-2</v>
      </c>
      <c r="E2498" s="85">
        <f t="shared" si="7"/>
        <v>2.32E-3</v>
      </c>
      <c r="F2498" s="84">
        <v>762.2</v>
      </c>
      <c r="G2498" s="87"/>
      <c r="H2498" s="85">
        <v>19.850000000000023</v>
      </c>
      <c r="I2498" s="12" t="s">
        <v>14</v>
      </c>
      <c r="J2498" s="88">
        <v>1.2250000000000001</v>
      </c>
      <c r="K2498" s="84">
        <v>4.5965662158379397</v>
      </c>
    </row>
    <row r="2499" spans="1:11" ht="15.75" customHeight="1">
      <c r="A2499" s="84" t="s">
        <v>38</v>
      </c>
      <c r="B2499" s="86">
        <v>149.0091256448124</v>
      </c>
      <c r="C2499" s="84">
        <v>1.1200000000000001</v>
      </c>
      <c r="D2499" s="84">
        <v>2.6599999999999999E-2</v>
      </c>
      <c r="E2499" s="85">
        <f t="shared" si="7"/>
        <v>2.32E-3</v>
      </c>
      <c r="F2499" s="84">
        <v>762.2</v>
      </c>
      <c r="G2499" s="87"/>
      <c r="H2499" s="85">
        <v>19.850000000000023</v>
      </c>
      <c r="I2499" s="12" t="s">
        <v>14</v>
      </c>
      <c r="J2499" s="88">
        <v>1.2250000000000001</v>
      </c>
      <c r="K2499" s="84">
        <v>4.7124452573551503</v>
      </c>
    </row>
    <row r="2500" spans="1:11" ht="15.75" customHeight="1">
      <c r="A2500" s="84" t="s">
        <v>38</v>
      </c>
      <c r="B2500" s="86">
        <v>221.84631807986219</v>
      </c>
      <c r="C2500" s="84">
        <v>1.1200000000000001</v>
      </c>
      <c r="D2500" s="84">
        <v>2.6599999999999999E-2</v>
      </c>
      <c r="E2500" s="85">
        <f t="shared" si="7"/>
        <v>2.32E-3</v>
      </c>
      <c r="F2500" s="84">
        <v>762.2</v>
      </c>
      <c r="G2500" s="87"/>
      <c r="H2500" s="85">
        <v>19.850000000000023</v>
      </c>
      <c r="I2500" s="12" t="s">
        <v>14</v>
      </c>
      <c r="J2500" s="88">
        <v>1.2250000000000001</v>
      </c>
      <c r="K2500" s="84">
        <v>5.4592272512147098</v>
      </c>
    </row>
    <row r="2501" spans="1:11" ht="15.75" customHeight="1">
      <c r="A2501" s="84" t="s">
        <v>38</v>
      </c>
      <c r="B2501" s="86">
        <v>286.52544573887883</v>
      </c>
      <c r="C2501" s="84">
        <v>1.1200000000000001</v>
      </c>
      <c r="D2501" s="84">
        <v>2.6599999999999999E-2</v>
      </c>
      <c r="E2501" s="85">
        <f t="shared" si="7"/>
        <v>2.32E-3</v>
      </c>
      <c r="F2501" s="84">
        <v>762.2</v>
      </c>
      <c r="G2501" s="87"/>
      <c r="H2501" s="85">
        <v>19.850000000000023</v>
      </c>
      <c r="I2501" s="12" t="s">
        <v>14</v>
      </c>
      <c r="J2501" s="88">
        <v>1.2250000000000001</v>
      </c>
      <c r="K2501" s="84">
        <v>5.8841198533666397</v>
      </c>
    </row>
    <row r="2502" spans="1:11" ht="15.75" customHeight="1">
      <c r="A2502" s="84" t="s">
        <v>38</v>
      </c>
      <c r="B2502" s="86">
        <v>27.069000409497779</v>
      </c>
      <c r="C2502" s="84">
        <v>2.5</v>
      </c>
      <c r="D2502" s="84">
        <v>2.6599999999999999E-2</v>
      </c>
      <c r="E2502" s="85">
        <f t="shared" si="7"/>
        <v>2.32E-3</v>
      </c>
      <c r="F2502" s="84">
        <v>762.2</v>
      </c>
      <c r="G2502" s="87"/>
      <c r="H2502" s="85">
        <v>19.850000000000023</v>
      </c>
      <c r="I2502" s="12" t="s">
        <v>14</v>
      </c>
      <c r="J2502" s="88">
        <v>1.2250000000000001</v>
      </c>
      <c r="K2502" s="84">
        <v>4.1845494447589404</v>
      </c>
    </row>
    <row r="2503" spans="1:11" ht="15.75" customHeight="1">
      <c r="A2503" s="84" t="s">
        <v>38</v>
      </c>
      <c r="B2503" s="86">
        <v>64.114713441155999</v>
      </c>
      <c r="C2503" s="84">
        <v>2.5</v>
      </c>
      <c r="D2503" s="84">
        <v>2.6599999999999999E-2</v>
      </c>
      <c r="E2503" s="85">
        <f t="shared" si="7"/>
        <v>2.32E-3</v>
      </c>
      <c r="F2503" s="84">
        <v>762.2</v>
      </c>
      <c r="G2503" s="87"/>
      <c r="H2503" s="85">
        <v>19.850000000000023</v>
      </c>
      <c r="I2503" s="12" t="s">
        <v>14</v>
      </c>
      <c r="J2503" s="88">
        <v>1.2250000000000001</v>
      </c>
      <c r="K2503" s="84">
        <v>4.7253215795908101</v>
      </c>
    </row>
    <row r="2504" spans="1:11" ht="15.75" customHeight="1">
      <c r="A2504" s="84" t="s">
        <v>38</v>
      </c>
      <c r="B2504" s="86">
        <v>130.49673386783158</v>
      </c>
      <c r="C2504" s="84">
        <v>2.5</v>
      </c>
      <c r="D2504" s="84">
        <v>2.6599999999999999E-2</v>
      </c>
      <c r="E2504" s="85">
        <f t="shared" si="7"/>
        <v>2.32E-3</v>
      </c>
      <c r="F2504" s="84">
        <v>762.2</v>
      </c>
      <c r="G2504" s="87"/>
      <c r="H2504" s="85">
        <v>19.850000000000023</v>
      </c>
      <c r="I2504" s="12" t="s">
        <v>14</v>
      </c>
      <c r="J2504" s="88">
        <v>1.2250000000000001</v>
      </c>
      <c r="K2504" s="84">
        <v>5.3948495693382803</v>
      </c>
    </row>
    <row r="2505" spans="1:11" ht="15.75" customHeight="1">
      <c r="A2505" s="84" t="s">
        <v>38</v>
      </c>
      <c r="B2505" s="86">
        <v>205.65074782000198</v>
      </c>
      <c r="C2505" s="84">
        <v>2.5</v>
      </c>
      <c r="D2505" s="84">
        <v>2.6599999999999999E-2</v>
      </c>
      <c r="E2505" s="85">
        <f t="shared" si="7"/>
        <v>2.32E-3</v>
      </c>
      <c r="F2505" s="84">
        <v>762.2</v>
      </c>
      <c r="G2505" s="87"/>
      <c r="H2505" s="85">
        <v>19.850000000000023</v>
      </c>
      <c r="I2505" s="12" t="s">
        <v>14</v>
      </c>
      <c r="J2505" s="88">
        <v>1.2250000000000001</v>
      </c>
      <c r="K2505" s="84">
        <v>5.9613733663159998</v>
      </c>
    </row>
    <row r="2506" spans="1:11" ht="15.75" customHeight="1">
      <c r="A2506" s="84" t="s">
        <v>38</v>
      </c>
      <c r="B2506" s="86">
        <v>270.6898084036884</v>
      </c>
      <c r="C2506" s="84">
        <v>2.5</v>
      </c>
      <c r="D2506" s="84">
        <v>2.6599999999999999E-2</v>
      </c>
      <c r="E2506" s="85">
        <f t="shared" si="7"/>
        <v>2.32E-3</v>
      </c>
      <c r="F2506" s="84">
        <v>762.2</v>
      </c>
      <c r="G2506" s="87"/>
      <c r="H2506" s="85">
        <v>19.850000000000023</v>
      </c>
      <c r="I2506" s="12" t="s">
        <v>14</v>
      </c>
      <c r="J2506" s="88">
        <v>1.2250000000000001</v>
      </c>
      <c r="K2506" s="84">
        <v>6.5021459923106004</v>
      </c>
    </row>
    <row r="2507" spans="1:11" ht="15.75" customHeight="1">
      <c r="A2507" s="84" t="s">
        <v>38</v>
      </c>
      <c r="B2507" s="86">
        <v>414.6265104401262</v>
      </c>
      <c r="C2507" s="84">
        <v>2.5</v>
      </c>
      <c r="D2507" s="84">
        <v>2.6599999999999999E-2</v>
      </c>
      <c r="E2507" s="85">
        <f t="shared" si="7"/>
        <v>2.32E-3</v>
      </c>
      <c r="F2507" s="84">
        <v>762.2</v>
      </c>
      <c r="G2507" s="87"/>
      <c r="H2507" s="85">
        <v>19.850000000000023</v>
      </c>
      <c r="I2507" s="12" t="s">
        <v>14</v>
      </c>
      <c r="J2507" s="88">
        <v>1.2250000000000001</v>
      </c>
      <c r="K2507" s="84">
        <v>7.4291842184010699</v>
      </c>
    </row>
    <row r="2508" spans="1:11" ht="15.75" customHeight="1">
      <c r="A2508" s="84" t="s">
        <v>38</v>
      </c>
      <c r="B2508" s="86">
        <v>566.83889700860095</v>
      </c>
      <c r="C2508" s="84">
        <v>2.5</v>
      </c>
      <c r="D2508" s="84">
        <v>2.6599999999999999E-2</v>
      </c>
      <c r="E2508" s="85">
        <f t="shared" si="7"/>
        <v>2.32E-3</v>
      </c>
      <c r="F2508" s="84">
        <v>762.2</v>
      </c>
      <c r="G2508" s="87"/>
      <c r="H2508" s="85">
        <v>19.850000000000023</v>
      </c>
      <c r="I2508" s="12" t="s">
        <v>14</v>
      </c>
      <c r="J2508" s="88">
        <v>1.2250000000000001</v>
      </c>
      <c r="K2508" s="84">
        <v>8.3819741066374007</v>
      </c>
    </row>
    <row r="2509" spans="1:11" ht="15.75" customHeight="1">
      <c r="A2509" s="84" t="s">
        <v>38</v>
      </c>
      <c r="B2509" s="86">
        <v>6.6091568473174194</v>
      </c>
      <c r="C2509" s="84">
        <v>1.1200000000000001</v>
      </c>
      <c r="D2509" s="84">
        <v>2.6599999999999999E-2</v>
      </c>
      <c r="E2509" s="85">
        <f t="shared" si="7"/>
        <v>2.32E-3</v>
      </c>
      <c r="F2509" s="84">
        <v>762.2</v>
      </c>
      <c r="G2509" s="87"/>
      <c r="H2509" s="85">
        <v>19.850000000000023</v>
      </c>
      <c r="I2509" s="12" t="s">
        <v>14</v>
      </c>
      <c r="J2509" s="88">
        <v>1.2250000000000001</v>
      </c>
      <c r="K2509" s="84">
        <v>2.90987164199215</v>
      </c>
    </row>
    <row r="2510" spans="1:11" ht="15.75" customHeight="1">
      <c r="A2510" s="84" t="s">
        <v>38</v>
      </c>
      <c r="B2510" s="86">
        <v>12.771306282260459</v>
      </c>
      <c r="C2510" s="84">
        <v>1.1200000000000001</v>
      </c>
      <c r="D2510" s="84">
        <v>2.6599999999999999E-2</v>
      </c>
      <c r="E2510" s="85">
        <f t="shared" si="7"/>
        <v>2.32E-3</v>
      </c>
      <c r="F2510" s="84">
        <v>762.2</v>
      </c>
      <c r="G2510" s="87"/>
      <c r="H2510" s="85">
        <v>19.850000000000023</v>
      </c>
      <c r="I2510" s="12" t="s">
        <v>14</v>
      </c>
      <c r="J2510" s="88">
        <v>1.2250000000000001</v>
      </c>
      <c r="K2510" s="84">
        <v>2.9613739818503899</v>
      </c>
    </row>
    <row r="2511" spans="1:11" ht="15.75" customHeight="1">
      <c r="A2511" s="84" t="s">
        <v>38</v>
      </c>
      <c r="B2511" s="86">
        <v>29.944288487097779</v>
      </c>
      <c r="C2511" s="84">
        <v>1.1200000000000001</v>
      </c>
      <c r="D2511" s="84">
        <v>2.6599999999999999E-2</v>
      </c>
      <c r="E2511" s="85">
        <f t="shared" si="7"/>
        <v>2.32E-3</v>
      </c>
      <c r="F2511" s="84">
        <v>762.2</v>
      </c>
      <c r="G2511" s="87"/>
      <c r="H2511" s="85">
        <v>19.850000000000023</v>
      </c>
      <c r="I2511" s="12" t="s">
        <v>14</v>
      </c>
      <c r="J2511" s="88">
        <v>1.2250000000000001</v>
      </c>
      <c r="K2511" s="84">
        <v>3.1287558496455898</v>
      </c>
    </row>
    <row r="2512" spans="1:11" ht="15.75" customHeight="1">
      <c r="A2512" s="84" t="s">
        <v>38</v>
      </c>
      <c r="B2512" s="86">
        <v>85.188759161873406</v>
      </c>
      <c r="C2512" s="84">
        <v>1.1200000000000001</v>
      </c>
      <c r="D2512" s="84">
        <v>2.6599999999999999E-2</v>
      </c>
      <c r="E2512" s="85">
        <f t="shared" si="7"/>
        <v>2.32E-3</v>
      </c>
      <c r="F2512" s="84">
        <v>762.2</v>
      </c>
      <c r="G2512" s="87"/>
      <c r="H2512" s="85">
        <v>19.850000000000023</v>
      </c>
      <c r="I2512" s="12" t="s">
        <v>14</v>
      </c>
      <c r="J2512" s="88">
        <v>1.2250000000000001</v>
      </c>
      <c r="K2512" s="84">
        <v>3.5793996043356899</v>
      </c>
    </row>
    <row r="2513" spans="1:11" ht="15.75" customHeight="1">
      <c r="A2513" s="84" t="s">
        <v>38</v>
      </c>
      <c r="B2513" s="86">
        <v>117.3518054313204</v>
      </c>
      <c r="C2513" s="84">
        <v>1.1200000000000001</v>
      </c>
      <c r="D2513" s="84">
        <v>2.6599999999999999E-2</v>
      </c>
      <c r="E2513" s="85">
        <f t="shared" si="7"/>
        <v>2.32E-3</v>
      </c>
      <c r="F2513" s="84">
        <v>762.2</v>
      </c>
      <c r="G2513" s="87"/>
      <c r="H2513" s="85">
        <v>19.850000000000023</v>
      </c>
      <c r="I2513" s="12" t="s">
        <v>14</v>
      </c>
      <c r="J2513" s="88">
        <v>1.2250000000000001</v>
      </c>
      <c r="K2513" s="84">
        <v>3.68240379288945</v>
      </c>
    </row>
    <row r="2514" spans="1:11" ht="15.75" customHeight="1">
      <c r="A2514" s="84" t="s">
        <v>38</v>
      </c>
      <c r="B2514" s="86">
        <v>29.763867770550238</v>
      </c>
      <c r="C2514" s="84">
        <v>2.5</v>
      </c>
      <c r="D2514" s="84">
        <v>2.6599999999999999E-2</v>
      </c>
      <c r="E2514" s="85">
        <f t="shared" si="7"/>
        <v>2.32E-3</v>
      </c>
      <c r="F2514" s="84">
        <v>762.2</v>
      </c>
      <c r="G2514" s="87"/>
      <c r="H2514" s="85">
        <v>19.850000000000023</v>
      </c>
      <c r="I2514" s="12" t="s">
        <v>14</v>
      </c>
      <c r="J2514" s="88">
        <v>1.2250000000000001</v>
      </c>
      <c r="K2514" s="84">
        <v>3.9914163585507398</v>
      </c>
    </row>
    <row r="2515" spans="1:11" ht="15.75" customHeight="1">
      <c r="A2515" s="84" t="s">
        <v>38</v>
      </c>
      <c r="B2515" s="86">
        <v>73.686873536801997</v>
      </c>
      <c r="C2515" s="84">
        <v>2.5</v>
      </c>
      <c r="D2515" s="84">
        <v>2.6599999999999999E-2</v>
      </c>
      <c r="E2515" s="85">
        <f t="shared" si="7"/>
        <v>2.32E-3</v>
      </c>
      <c r="F2515" s="84">
        <v>762.2</v>
      </c>
      <c r="G2515" s="87"/>
      <c r="H2515" s="85">
        <v>19.850000000000023</v>
      </c>
      <c r="I2515" s="12" t="s">
        <v>14</v>
      </c>
      <c r="J2515" s="88">
        <v>1.2250000000000001</v>
      </c>
      <c r="K2515" s="84">
        <v>4.5708154717237202</v>
      </c>
    </row>
    <row r="2516" spans="1:11" ht="15.75" customHeight="1">
      <c r="A2516" s="84" t="s">
        <v>38</v>
      </c>
      <c r="B2516" s="86">
        <v>142.38996783722402</v>
      </c>
      <c r="C2516" s="84">
        <v>2.5</v>
      </c>
      <c r="D2516" s="84">
        <v>2.6599999999999999E-2</v>
      </c>
      <c r="E2516" s="85">
        <f t="shared" si="7"/>
        <v>2.32E-3</v>
      </c>
      <c r="F2516" s="84">
        <v>762.2</v>
      </c>
      <c r="G2516" s="87"/>
      <c r="H2516" s="85">
        <v>19.850000000000023</v>
      </c>
      <c r="I2516" s="12" t="s">
        <v>14</v>
      </c>
      <c r="J2516" s="88">
        <v>1.2250000000000001</v>
      </c>
      <c r="K2516" s="84">
        <v>5.3047211133087</v>
      </c>
    </row>
    <row r="2517" spans="1:11" ht="15.75" customHeight="1">
      <c r="A2517" s="84" t="s">
        <v>38</v>
      </c>
      <c r="B2517" s="86">
        <v>209.63231206709997</v>
      </c>
      <c r="C2517" s="84">
        <v>2.5</v>
      </c>
      <c r="D2517" s="84">
        <v>2.6599999999999999E-2</v>
      </c>
      <c r="E2517" s="85">
        <f t="shared" si="7"/>
        <v>2.32E-3</v>
      </c>
      <c r="F2517" s="84">
        <v>762.2</v>
      </c>
      <c r="G2517" s="87"/>
      <c r="H2517" s="85">
        <v>19.850000000000023</v>
      </c>
      <c r="I2517" s="12" t="s">
        <v>14</v>
      </c>
      <c r="J2517" s="88">
        <v>1.2250000000000001</v>
      </c>
      <c r="K2517" s="84">
        <v>5.7296136980696701</v>
      </c>
    </row>
    <row r="2518" spans="1:11" ht="15.75" customHeight="1">
      <c r="A2518" s="84" t="s">
        <v>38</v>
      </c>
      <c r="B2518" s="86">
        <v>327.85663296090956</v>
      </c>
      <c r="C2518" s="84">
        <v>2.5</v>
      </c>
      <c r="D2518" s="84">
        <v>2.6599999999999999E-2</v>
      </c>
      <c r="E2518" s="85">
        <f t="shared" si="7"/>
        <v>2.32E-3</v>
      </c>
      <c r="F2518" s="84">
        <v>762.2</v>
      </c>
      <c r="G2518" s="87"/>
      <c r="H2518" s="85">
        <v>19.850000000000023</v>
      </c>
      <c r="I2518" s="12" t="s">
        <v>14</v>
      </c>
      <c r="J2518" s="88">
        <v>1.2250000000000001</v>
      </c>
      <c r="K2518" s="84">
        <v>6.077253264206</v>
      </c>
    </row>
    <row r="2519" spans="1:11" ht="15.75" customHeight="1">
      <c r="A2519" s="84" t="s">
        <v>38</v>
      </c>
      <c r="B2519" s="86">
        <v>4.7347158677425147</v>
      </c>
      <c r="C2519" s="84">
        <v>1.1200000000000001</v>
      </c>
      <c r="D2519" s="84">
        <v>1.17E-2</v>
      </c>
      <c r="E2519" s="85">
        <f t="shared" ref="E2519:E2561" si="8">0.26/1000</f>
        <v>2.6000000000000003E-4</v>
      </c>
      <c r="F2519" s="84">
        <v>629.29999999999995</v>
      </c>
      <c r="G2519" s="87"/>
      <c r="H2519" s="86">
        <v>199.85000000000002</v>
      </c>
      <c r="I2519" s="12" t="s">
        <v>14</v>
      </c>
      <c r="J2519" s="88">
        <v>1.2250000000000001</v>
      </c>
      <c r="K2519" s="84">
        <v>2.5499995095389201</v>
      </c>
    </row>
    <row r="2520" spans="1:11" ht="15.75" customHeight="1">
      <c r="A2520" s="84" t="s">
        <v>38</v>
      </c>
      <c r="B2520" s="86">
        <v>20.131003252491841</v>
      </c>
      <c r="C2520" s="84">
        <v>1.1200000000000001</v>
      </c>
      <c r="D2520" s="84">
        <v>1.17E-2</v>
      </c>
      <c r="E2520" s="85">
        <f t="shared" si="8"/>
        <v>2.6000000000000003E-4</v>
      </c>
      <c r="F2520" s="84">
        <v>629.29999999999995</v>
      </c>
      <c r="G2520" s="87"/>
      <c r="H2520" s="86">
        <v>199.85000000000002</v>
      </c>
      <c r="I2520" s="12" t="s">
        <v>14</v>
      </c>
      <c r="J2520" s="88">
        <v>1.2250000000000001</v>
      </c>
      <c r="K2520" s="84">
        <v>2.8499982016427099</v>
      </c>
    </row>
    <row r="2521" spans="1:11" ht="15.75" customHeight="1">
      <c r="A2521" s="84" t="s">
        <v>38</v>
      </c>
      <c r="B2521" s="86">
        <v>40.96726474097202</v>
      </c>
      <c r="C2521" s="84">
        <v>1.1200000000000001</v>
      </c>
      <c r="D2521" s="84">
        <v>1.17E-2</v>
      </c>
      <c r="E2521" s="85">
        <f t="shared" si="8"/>
        <v>2.6000000000000003E-4</v>
      </c>
      <c r="F2521" s="84">
        <v>629.29999999999995</v>
      </c>
      <c r="G2521" s="87"/>
      <c r="H2521" s="86">
        <v>199.85000000000002</v>
      </c>
      <c r="I2521" s="12" t="s">
        <v>14</v>
      </c>
      <c r="J2521" s="88">
        <v>1.2250000000000001</v>
      </c>
      <c r="K2521" s="84">
        <v>3.3642858777727298</v>
      </c>
    </row>
    <row r="2522" spans="1:11" ht="15.75" customHeight="1">
      <c r="A2522" s="84" t="s">
        <v>38</v>
      </c>
      <c r="B2522" s="86">
        <v>59.999984942288705</v>
      </c>
      <c r="C2522" s="84">
        <v>1.1200000000000001</v>
      </c>
      <c r="D2522" s="84">
        <v>1.17E-2</v>
      </c>
      <c r="E2522" s="85">
        <f t="shared" si="8"/>
        <v>2.6000000000000003E-4</v>
      </c>
      <c r="F2522" s="84">
        <v>629.29999999999995</v>
      </c>
      <c r="G2522" s="87"/>
      <c r="H2522" s="86">
        <v>199.85000000000002</v>
      </c>
      <c r="I2522" s="12" t="s">
        <v>14</v>
      </c>
      <c r="J2522" s="88">
        <v>1.2250000000000001</v>
      </c>
      <c r="K2522" s="84">
        <v>3.7499999999999898</v>
      </c>
    </row>
    <row r="2523" spans="1:11" ht="15.75" customHeight="1">
      <c r="A2523" s="84" t="s">
        <v>38</v>
      </c>
      <c r="B2523" s="86">
        <v>74.059379931026996</v>
      </c>
      <c r="C2523" s="84">
        <v>1.1200000000000001</v>
      </c>
      <c r="D2523" s="84">
        <v>1.17E-2</v>
      </c>
      <c r="E2523" s="85">
        <f t="shared" si="8"/>
        <v>2.6000000000000003E-4</v>
      </c>
      <c r="F2523" s="84">
        <v>629.29999999999995</v>
      </c>
      <c r="G2523" s="87"/>
      <c r="H2523" s="86">
        <v>199.85000000000002</v>
      </c>
      <c r="I2523" s="12" t="s">
        <v>14</v>
      </c>
      <c r="J2523" s="88">
        <v>1.2250000000000001</v>
      </c>
      <c r="K2523" s="84">
        <v>3.8357137952531999</v>
      </c>
    </row>
    <row r="2524" spans="1:11" ht="15.75" customHeight="1">
      <c r="A2524" s="84" t="s">
        <v>38</v>
      </c>
      <c r="B2524" s="86">
        <v>104.2680926393538</v>
      </c>
      <c r="C2524" s="84">
        <v>1.1200000000000001</v>
      </c>
      <c r="D2524" s="84">
        <v>1.17E-2</v>
      </c>
      <c r="E2524" s="85">
        <f t="shared" si="8"/>
        <v>2.6000000000000003E-4</v>
      </c>
      <c r="F2524" s="84">
        <v>629.29999999999995</v>
      </c>
      <c r="G2524" s="87"/>
      <c r="H2524" s="86">
        <v>199.85000000000002</v>
      </c>
      <c r="I2524" s="12" t="s">
        <v>14</v>
      </c>
      <c r="J2524" s="88">
        <v>1.2250000000000001</v>
      </c>
      <c r="K2524" s="84">
        <v>4.1142858777727396</v>
      </c>
    </row>
    <row r="2525" spans="1:11" ht="15.75" customHeight="1">
      <c r="A2525" s="84" t="s">
        <v>38</v>
      </c>
      <c r="B2525" s="86">
        <v>144.880050123459</v>
      </c>
      <c r="C2525" s="84">
        <v>1.1200000000000001</v>
      </c>
      <c r="D2525" s="84">
        <v>1.17E-2</v>
      </c>
      <c r="E2525" s="85">
        <f t="shared" si="8"/>
        <v>2.6000000000000003E-4</v>
      </c>
      <c r="F2525" s="84">
        <v>629.29999999999995</v>
      </c>
      <c r="G2525" s="87"/>
      <c r="H2525" s="86">
        <v>199.85000000000002</v>
      </c>
      <c r="I2525" s="12" t="s">
        <v>14</v>
      </c>
      <c r="J2525" s="88">
        <v>1.2250000000000001</v>
      </c>
      <c r="K2525" s="84">
        <v>4.8857141222272604</v>
      </c>
    </row>
    <row r="2526" spans="1:11" ht="15.75" customHeight="1">
      <c r="A2526" s="84" t="s">
        <v>38</v>
      </c>
      <c r="B2526" s="86">
        <v>226.61800407848099</v>
      </c>
      <c r="C2526" s="84">
        <v>1.1200000000000001</v>
      </c>
      <c r="D2526" s="84">
        <v>1.17E-2</v>
      </c>
      <c r="E2526" s="85">
        <f t="shared" si="8"/>
        <v>2.6000000000000003E-4</v>
      </c>
      <c r="F2526" s="84">
        <v>629.29999999999995</v>
      </c>
      <c r="G2526" s="87"/>
      <c r="H2526" s="86">
        <v>199.85000000000002</v>
      </c>
      <c r="I2526" s="12" t="s">
        <v>14</v>
      </c>
      <c r="J2526" s="88">
        <v>1.2250000000000001</v>
      </c>
      <c r="K2526" s="84">
        <v>5.4000001634870198</v>
      </c>
    </row>
    <row r="2527" spans="1:11" ht="15.75" customHeight="1">
      <c r="A2527" s="84" t="s">
        <v>38</v>
      </c>
      <c r="B2527" s="86">
        <v>223.65559916359621</v>
      </c>
      <c r="C2527" s="84">
        <v>1.1200000000000001</v>
      </c>
      <c r="D2527" s="84">
        <v>1.17E-2</v>
      </c>
      <c r="E2527" s="85">
        <f t="shared" si="8"/>
        <v>2.6000000000000003E-4</v>
      </c>
      <c r="F2527" s="84">
        <v>629.29999999999995</v>
      </c>
      <c r="G2527" s="87"/>
      <c r="H2527" s="86">
        <v>199.85000000000002</v>
      </c>
      <c r="I2527" s="12" t="s">
        <v>14</v>
      </c>
      <c r="J2527" s="88">
        <v>1.2250000000000001</v>
      </c>
      <c r="K2527" s="84">
        <v>5.7428569793701101</v>
      </c>
    </row>
    <row r="2528" spans="1:11" ht="15.75" customHeight="1">
      <c r="A2528" s="84" t="s">
        <v>38</v>
      </c>
      <c r="B2528" s="86">
        <v>18.602863019087099</v>
      </c>
      <c r="C2528" s="84">
        <v>2.5</v>
      </c>
      <c r="D2528" s="84">
        <v>1.17E-2</v>
      </c>
      <c r="E2528" s="85">
        <f t="shared" si="8"/>
        <v>2.6000000000000003E-4</v>
      </c>
      <c r="F2528" s="84">
        <v>629.29999999999995</v>
      </c>
      <c r="G2528" s="87"/>
      <c r="H2528" s="86">
        <v>199.85000000000002</v>
      </c>
      <c r="I2528" s="12" t="s">
        <v>14</v>
      </c>
      <c r="J2528" s="88">
        <v>1.2250000000000001</v>
      </c>
      <c r="K2528" s="84">
        <v>3.5999982016427099</v>
      </c>
    </row>
    <row r="2529" spans="1:11" ht="15.75" customHeight="1">
      <c r="A2529" s="84" t="s">
        <v>38</v>
      </c>
      <c r="B2529" s="86">
        <v>34.075079087350922</v>
      </c>
      <c r="C2529" s="84">
        <v>2.5</v>
      </c>
      <c r="D2529" s="84">
        <v>1.17E-2</v>
      </c>
      <c r="E2529" s="85">
        <f t="shared" si="8"/>
        <v>2.6000000000000003E-4</v>
      </c>
      <c r="F2529" s="84">
        <v>629.29999999999995</v>
      </c>
      <c r="G2529" s="87"/>
      <c r="H2529" s="86">
        <v>199.85000000000002</v>
      </c>
      <c r="I2529" s="12" t="s">
        <v>14</v>
      </c>
      <c r="J2529" s="88">
        <v>1.2250000000000001</v>
      </c>
      <c r="K2529" s="84">
        <v>3.8357137952531999</v>
      </c>
    </row>
    <row r="2530" spans="1:11" ht="15.75" customHeight="1">
      <c r="A2530" s="84" t="s">
        <v>38</v>
      </c>
      <c r="B2530" s="86">
        <v>87.875039321323797</v>
      </c>
      <c r="C2530" s="84">
        <v>2.5</v>
      </c>
      <c r="D2530" s="84">
        <v>1.17E-2</v>
      </c>
      <c r="E2530" s="85">
        <f t="shared" si="8"/>
        <v>2.6000000000000003E-4</v>
      </c>
      <c r="F2530" s="84">
        <v>629.29999999999995</v>
      </c>
      <c r="G2530" s="87"/>
      <c r="H2530" s="86">
        <v>199.85000000000002</v>
      </c>
      <c r="I2530" s="12" t="s">
        <v>14</v>
      </c>
      <c r="J2530" s="88">
        <v>1.2250000000000001</v>
      </c>
      <c r="K2530" s="84">
        <v>4.6714284079415398</v>
      </c>
    </row>
    <row r="2531" spans="1:11" ht="15.75" customHeight="1">
      <c r="A2531" s="84" t="s">
        <v>38</v>
      </c>
      <c r="B2531" s="86">
        <v>169.6601510084148</v>
      </c>
      <c r="C2531" s="84">
        <v>2.5</v>
      </c>
      <c r="D2531" s="84">
        <v>1.17E-2</v>
      </c>
      <c r="E2531" s="85">
        <f t="shared" si="8"/>
        <v>2.6000000000000003E-4</v>
      </c>
      <c r="F2531" s="84">
        <v>629.29999999999995</v>
      </c>
      <c r="G2531" s="87"/>
      <c r="H2531" s="86">
        <v>199.85000000000002</v>
      </c>
      <c r="I2531" s="12" t="s">
        <v>14</v>
      </c>
      <c r="J2531" s="88">
        <v>1.2250000000000001</v>
      </c>
      <c r="K2531" s="84">
        <v>5.6999996730259399</v>
      </c>
    </row>
    <row r="2532" spans="1:11" ht="15.75" customHeight="1">
      <c r="A2532" s="84" t="s">
        <v>38</v>
      </c>
      <c r="B2532" s="86">
        <v>248.48160304484043</v>
      </c>
      <c r="C2532" s="84">
        <v>2.5</v>
      </c>
      <c r="D2532" s="84">
        <v>1.17E-2</v>
      </c>
      <c r="E2532" s="85">
        <f t="shared" si="8"/>
        <v>2.6000000000000003E-4</v>
      </c>
      <c r="F2532" s="84">
        <v>629.29999999999995</v>
      </c>
      <c r="G2532" s="87"/>
      <c r="H2532" s="86">
        <v>199.85000000000002</v>
      </c>
      <c r="I2532" s="12" t="s">
        <v>14</v>
      </c>
      <c r="J2532" s="88">
        <v>1.2250000000000001</v>
      </c>
      <c r="K2532" s="84">
        <v>6.21428571428571</v>
      </c>
    </row>
    <row r="2533" spans="1:11" ht="15.75" customHeight="1">
      <c r="A2533" s="84" t="s">
        <v>38</v>
      </c>
      <c r="B2533" s="86">
        <v>368.7421896760506</v>
      </c>
      <c r="C2533" s="84">
        <v>2.5</v>
      </c>
      <c r="D2533" s="84">
        <v>1.17E-2</v>
      </c>
      <c r="E2533" s="85">
        <f t="shared" si="8"/>
        <v>2.6000000000000003E-4</v>
      </c>
      <c r="F2533" s="84">
        <v>629.29999999999995</v>
      </c>
      <c r="G2533" s="87"/>
      <c r="H2533" s="86">
        <v>199.85000000000002</v>
      </c>
      <c r="I2533" s="12" t="s">
        <v>14</v>
      </c>
      <c r="J2533" s="88">
        <v>1.2250000000000001</v>
      </c>
      <c r="K2533" s="84">
        <v>7.5642855507986804</v>
      </c>
    </row>
    <row r="2534" spans="1:11" ht="15.75" customHeight="1">
      <c r="A2534" s="84" t="s">
        <v>38</v>
      </c>
      <c r="B2534" s="86">
        <v>640.80026410350001</v>
      </c>
      <c r="C2534" s="84">
        <v>2.5</v>
      </c>
      <c r="D2534" s="84">
        <v>1.17E-2</v>
      </c>
      <c r="E2534" s="85">
        <f t="shared" si="8"/>
        <v>2.6000000000000003E-4</v>
      </c>
      <c r="F2534" s="84">
        <v>629.29999999999995</v>
      </c>
      <c r="G2534" s="87"/>
      <c r="H2534" s="86">
        <v>199.85000000000002</v>
      </c>
      <c r="I2534" s="12" t="s">
        <v>14</v>
      </c>
      <c r="J2534" s="88">
        <v>1.2250000000000001</v>
      </c>
      <c r="K2534" s="84">
        <v>8.7642848151070698</v>
      </c>
    </row>
    <row r="2535" spans="1:11" ht="15.75" customHeight="1">
      <c r="A2535" s="84" t="s">
        <v>38</v>
      </c>
      <c r="B2535" s="86">
        <v>7.2189250134040197</v>
      </c>
      <c r="C2535" s="84">
        <v>1.1200000000000001</v>
      </c>
      <c r="D2535" s="84">
        <v>1.17E-2</v>
      </c>
      <c r="E2535" s="85">
        <f t="shared" si="8"/>
        <v>2.6000000000000003E-4</v>
      </c>
      <c r="F2535" s="84">
        <v>629.29999999999995</v>
      </c>
      <c r="G2535" s="87"/>
      <c r="H2535" s="86">
        <v>199.85000000000002</v>
      </c>
      <c r="I2535" s="12" t="s">
        <v>14</v>
      </c>
      <c r="J2535" s="88">
        <v>1.2250000000000001</v>
      </c>
      <c r="K2535" s="84">
        <v>2.3937278798224102</v>
      </c>
    </row>
    <row r="2536" spans="1:11" ht="15.75" customHeight="1">
      <c r="A2536" s="84" t="s">
        <v>38</v>
      </c>
      <c r="B2536" s="86">
        <v>13.290245409880621</v>
      </c>
      <c r="C2536" s="84">
        <v>1.1200000000000001</v>
      </c>
      <c r="D2536" s="84">
        <v>1.17E-2</v>
      </c>
      <c r="E2536" s="85">
        <f t="shared" si="8"/>
        <v>2.6000000000000003E-4</v>
      </c>
      <c r="F2536" s="84">
        <v>629.29999999999995</v>
      </c>
      <c r="G2536" s="87"/>
      <c r="H2536" s="86">
        <v>199.85000000000002</v>
      </c>
      <c r="I2536" s="12" t="s">
        <v>14</v>
      </c>
      <c r="J2536" s="88">
        <v>1.2250000000000001</v>
      </c>
      <c r="K2536" s="84">
        <v>2.58188151642862</v>
      </c>
    </row>
    <row r="2537" spans="1:11" ht="15.75" customHeight="1">
      <c r="A2537" s="84" t="s">
        <v>38</v>
      </c>
      <c r="B2537" s="86">
        <v>15.267712052622299</v>
      </c>
      <c r="C2537" s="84">
        <v>1.1200000000000001</v>
      </c>
      <c r="D2537" s="84">
        <v>1.17E-2</v>
      </c>
      <c r="E2537" s="85">
        <f t="shared" si="8"/>
        <v>2.6000000000000003E-4</v>
      </c>
      <c r="F2537" s="84">
        <v>629.29999999999995</v>
      </c>
      <c r="G2537" s="87"/>
      <c r="H2537" s="86">
        <v>199.85000000000002</v>
      </c>
      <c r="I2537" s="12" t="s">
        <v>14</v>
      </c>
      <c r="J2537" s="88">
        <v>1.2250000000000001</v>
      </c>
      <c r="K2537" s="84">
        <v>2.66550473464426</v>
      </c>
    </row>
    <row r="2538" spans="1:11" ht="15.75" customHeight="1">
      <c r="A2538" s="84" t="s">
        <v>38</v>
      </c>
      <c r="B2538" s="86">
        <v>23.579188076430661</v>
      </c>
      <c r="C2538" s="84">
        <v>1.1200000000000001</v>
      </c>
      <c r="D2538" s="84">
        <v>1.17E-2</v>
      </c>
      <c r="E2538" s="85">
        <f t="shared" si="8"/>
        <v>2.6000000000000003E-4</v>
      </c>
      <c r="F2538" s="84">
        <v>629.29999999999995</v>
      </c>
      <c r="G2538" s="87"/>
      <c r="H2538" s="86">
        <v>199.85000000000002</v>
      </c>
      <c r="I2538" s="12" t="s">
        <v>14</v>
      </c>
      <c r="J2538" s="88">
        <v>1.2250000000000001</v>
      </c>
      <c r="K2538" s="84">
        <v>2.72822314517814</v>
      </c>
    </row>
    <row r="2539" spans="1:11" ht="15.75" customHeight="1">
      <c r="A2539" s="84" t="s">
        <v>38</v>
      </c>
      <c r="B2539" s="86">
        <v>29.987927317475759</v>
      </c>
      <c r="C2539" s="84">
        <v>1.1200000000000001</v>
      </c>
      <c r="D2539" s="84">
        <v>1.17E-2</v>
      </c>
      <c r="E2539" s="85">
        <f t="shared" si="8"/>
        <v>2.6000000000000003E-4</v>
      </c>
      <c r="F2539" s="84">
        <v>629.29999999999995</v>
      </c>
      <c r="G2539" s="87"/>
      <c r="H2539" s="86">
        <v>199.85000000000002</v>
      </c>
      <c r="I2539" s="12" t="s">
        <v>14</v>
      </c>
      <c r="J2539" s="88">
        <v>1.2250000000000001</v>
      </c>
      <c r="K2539" s="84">
        <v>2.7491271553621899</v>
      </c>
    </row>
    <row r="2540" spans="1:11" ht="15.75" customHeight="1">
      <c r="A2540" s="84" t="s">
        <v>38</v>
      </c>
      <c r="B2540" s="86">
        <v>46.743114341708882</v>
      </c>
      <c r="C2540" s="84">
        <v>1.1200000000000001</v>
      </c>
      <c r="D2540" s="84">
        <v>1.17E-2</v>
      </c>
      <c r="E2540" s="85">
        <f t="shared" si="8"/>
        <v>2.6000000000000003E-4</v>
      </c>
      <c r="F2540" s="84">
        <v>629.29999999999995</v>
      </c>
      <c r="G2540" s="87"/>
      <c r="H2540" s="86">
        <v>199.85000000000002</v>
      </c>
      <c r="I2540" s="12" t="s">
        <v>14</v>
      </c>
      <c r="J2540" s="88">
        <v>1.2250000000000001</v>
      </c>
      <c r="K2540" s="84">
        <v>3</v>
      </c>
    </row>
    <row r="2541" spans="1:11" ht="15.75" customHeight="1">
      <c r="A2541" s="84" t="s">
        <v>38</v>
      </c>
      <c r="B2541" s="86">
        <v>54.700413618543656</v>
      </c>
      <c r="C2541" s="84">
        <v>1.1200000000000001</v>
      </c>
      <c r="D2541" s="84">
        <v>1.17E-2</v>
      </c>
      <c r="E2541" s="85">
        <f t="shared" si="8"/>
        <v>2.6000000000000003E-4</v>
      </c>
      <c r="F2541" s="84">
        <v>629.29999999999995</v>
      </c>
      <c r="G2541" s="87"/>
      <c r="H2541" s="86">
        <v>199.85000000000002</v>
      </c>
      <c r="I2541" s="12" t="s">
        <v>14</v>
      </c>
      <c r="J2541" s="88">
        <v>1.2250000000000001</v>
      </c>
      <c r="K2541" s="84">
        <v>3.1045296208928401</v>
      </c>
    </row>
    <row r="2542" spans="1:11" ht="15.75" customHeight="1">
      <c r="A2542" s="84" t="s">
        <v>38</v>
      </c>
      <c r="B2542" s="86">
        <v>96.154753766451009</v>
      </c>
      <c r="C2542" s="84">
        <v>1.1200000000000001</v>
      </c>
      <c r="D2542" s="84">
        <v>1.17E-2</v>
      </c>
      <c r="E2542" s="85">
        <f t="shared" si="8"/>
        <v>2.6000000000000003E-4</v>
      </c>
      <c r="F2542" s="84">
        <v>629.29999999999995</v>
      </c>
      <c r="G2542" s="87"/>
      <c r="H2542" s="86">
        <v>199.85000000000002</v>
      </c>
      <c r="I2542" s="12" t="s">
        <v>14</v>
      </c>
      <c r="J2542" s="88">
        <v>1.2250000000000001</v>
      </c>
      <c r="K2542" s="84">
        <v>3.29268246000133</v>
      </c>
    </row>
    <row r="2543" spans="1:11" ht="15.75" customHeight="1">
      <c r="A2543" s="84" t="s">
        <v>38</v>
      </c>
      <c r="B2543" s="86">
        <v>114.624045215517</v>
      </c>
      <c r="C2543" s="84">
        <v>1.1200000000000001</v>
      </c>
      <c r="D2543" s="84">
        <v>1.17E-2</v>
      </c>
      <c r="E2543" s="85">
        <f t="shared" si="8"/>
        <v>2.6000000000000003E-4</v>
      </c>
      <c r="F2543" s="84">
        <v>629.29999999999995</v>
      </c>
      <c r="G2543" s="87"/>
      <c r="H2543" s="86">
        <v>199.85000000000002</v>
      </c>
      <c r="I2543" s="12" t="s">
        <v>14</v>
      </c>
      <c r="J2543" s="88">
        <v>1.2250000000000001</v>
      </c>
      <c r="K2543" s="84">
        <v>3.29268246000133</v>
      </c>
    </row>
    <row r="2544" spans="1:11" ht="15.75" customHeight="1">
      <c r="A2544" s="84" t="s">
        <v>38</v>
      </c>
      <c r="B2544" s="86">
        <v>22.722940393243441</v>
      </c>
      <c r="C2544" s="84">
        <v>2.5</v>
      </c>
      <c r="D2544" s="84">
        <v>1.17E-2</v>
      </c>
      <c r="E2544" s="85">
        <f t="shared" si="8"/>
        <v>2.6000000000000003E-4</v>
      </c>
      <c r="F2544" s="84">
        <v>629.29999999999995</v>
      </c>
      <c r="G2544" s="87"/>
      <c r="H2544" s="86">
        <v>199.85000000000002</v>
      </c>
      <c r="I2544" s="12" t="s">
        <v>14</v>
      </c>
      <c r="J2544" s="88">
        <v>1.2250000000000001</v>
      </c>
      <c r="K2544" s="84">
        <v>3.4808345016121098</v>
      </c>
    </row>
    <row r="2545" spans="1:11" ht="15.75" customHeight="1">
      <c r="A2545" s="84" t="s">
        <v>38</v>
      </c>
      <c r="B2545" s="86">
        <v>36.753613301542202</v>
      </c>
      <c r="C2545" s="84">
        <v>2.5</v>
      </c>
      <c r="D2545" s="84">
        <v>1.17E-2</v>
      </c>
      <c r="E2545" s="85">
        <f t="shared" si="8"/>
        <v>2.6000000000000003E-4</v>
      </c>
      <c r="F2545" s="84">
        <v>629.29999999999995</v>
      </c>
      <c r="G2545" s="87"/>
      <c r="H2545" s="86">
        <v>199.85000000000002</v>
      </c>
      <c r="I2545" s="12" t="s">
        <v>14</v>
      </c>
      <c r="J2545" s="88">
        <v>1.2250000000000001</v>
      </c>
      <c r="K2545" s="84">
        <v>3.7317073462499102</v>
      </c>
    </row>
    <row r="2546" spans="1:11" ht="15.75" customHeight="1">
      <c r="A2546" s="84" t="s">
        <v>38</v>
      </c>
      <c r="B2546" s="86">
        <v>73.536767610942604</v>
      </c>
      <c r="C2546" s="84">
        <v>2.5</v>
      </c>
      <c r="D2546" s="84">
        <v>1.17E-2</v>
      </c>
      <c r="E2546" s="85">
        <f t="shared" si="8"/>
        <v>2.6000000000000003E-4</v>
      </c>
      <c r="F2546" s="84">
        <v>629.29999999999995</v>
      </c>
      <c r="G2546" s="87"/>
      <c r="H2546" s="86">
        <v>199.85000000000002</v>
      </c>
      <c r="I2546" s="12" t="s">
        <v>14</v>
      </c>
      <c r="J2546" s="88">
        <v>1.2250000000000001</v>
      </c>
      <c r="K2546" s="84">
        <v>4.3170714687548699</v>
      </c>
    </row>
    <row r="2547" spans="1:11" ht="15.75" customHeight="1">
      <c r="A2547" s="84" t="s">
        <v>38</v>
      </c>
      <c r="B2547" s="86">
        <v>129.26611180164599</v>
      </c>
      <c r="C2547" s="84">
        <v>2.5</v>
      </c>
      <c r="D2547" s="84">
        <v>1.17E-2</v>
      </c>
      <c r="E2547" s="85">
        <f t="shared" si="8"/>
        <v>2.6000000000000003E-4</v>
      </c>
      <c r="F2547" s="84">
        <v>629.29999999999995</v>
      </c>
      <c r="G2547" s="87"/>
      <c r="H2547" s="86">
        <v>199.85000000000002</v>
      </c>
      <c r="I2547" s="12" t="s">
        <v>14</v>
      </c>
      <c r="J2547" s="88">
        <v>1.2250000000000001</v>
      </c>
      <c r="K2547" s="84">
        <v>5.0487804100002203</v>
      </c>
    </row>
    <row r="2548" spans="1:11" ht="15.75" customHeight="1">
      <c r="A2548" s="84" t="s">
        <v>38</v>
      </c>
      <c r="B2548" s="86">
        <v>209.08356277979698</v>
      </c>
      <c r="C2548" s="84">
        <v>2.5</v>
      </c>
      <c r="D2548" s="84">
        <v>1.17E-2</v>
      </c>
      <c r="E2548" s="85">
        <f t="shared" si="8"/>
        <v>2.6000000000000003E-4</v>
      </c>
      <c r="F2548" s="84">
        <v>629.29999999999995</v>
      </c>
      <c r="G2548" s="87"/>
      <c r="H2548" s="86">
        <v>199.85000000000002</v>
      </c>
      <c r="I2548" s="12" t="s">
        <v>14</v>
      </c>
      <c r="J2548" s="88">
        <v>1.2250000000000001</v>
      </c>
      <c r="K2548" s="84">
        <v>5.6968637405367701</v>
      </c>
    </row>
    <row r="2549" spans="1:11" ht="15.75" customHeight="1">
      <c r="A2549" s="84" t="s">
        <v>38</v>
      </c>
      <c r="B2549" s="86">
        <v>270.87555036261961</v>
      </c>
      <c r="C2549" s="84">
        <v>2.5</v>
      </c>
      <c r="D2549" s="84">
        <v>1.17E-2</v>
      </c>
      <c r="E2549" s="85">
        <f t="shared" si="8"/>
        <v>2.6000000000000003E-4</v>
      </c>
      <c r="F2549" s="84">
        <v>629.29999999999995</v>
      </c>
      <c r="G2549" s="87"/>
      <c r="H2549" s="86">
        <v>199.85000000000002</v>
      </c>
      <c r="I2549" s="12" t="s">
        <v>14</v>
      </c>
      <c r="J2549" s="88">
        <v>1.2250000000000001</v>
      </c>
      <c r="K2549" s="84">
        <v>5.9477349901791401</v>
      </c>
    </row>
    <row r="2550" spans="1:11" ht="15.75" customHeight="1">
      <c r="A2550" s="84" t="s">
        <v>38</v>
      </c>
      <c r="B2550" s="86">
        <v>17.5222237390815</v>
      </c>
      <c r="C2550" s="84">
        <v>1.1200000000000001</v>
      </c>
      <c r="D2550" s="84">
        <v>1.17E-2</v>
      </c>
      <c r="E2550" s="85">
        <f t="shared" si="8"/>
        <v>2.6000000000000003E-4</v>
      </c>
      <c r="F2550" s="84">
        <v>629.29999999999995</v>
      </c>
      <c r="G2550" s="87"/>
      <c r="H2550" s="86">
        <v>199.85000000000002</v>
      </c>
      <c r="I2550" s="12" t="s">
        <v>34</v>
      </c>
      <c r="J2550" s="88"/>
      <c r="K2550" s="84">
        <v>2.78217775636343</v>
      </c>
    </row>
    <row r="2551" spans="1:11" ht="15.75" customHeight="1">
      <c r="A2551" s="84" t="s">
        <v>38</v>
      </c>
      <c r="B2551" s="86">
        <v>34.924349749303744</v>
      </c>
      <c r="C2551" s="84">
        <v>1.1200000000000001</v>
      </c>
      <c r="D2551" s="84">
        <v>1.17E-2</v>
      </c>
      <c r="E2551" s="85">
        <f t="shared" si="8"/>
        <v>2.6000000000000003E-4</v>
      </c>
      <c r="F2551" s="84">
        <v>629.29999999999995</v>
      </c>
      <c r="G2551" s="87"/>
      <c r="H2551" s="86">
        <v>199.85000000000002</v>
      </c>
      <c r="I2551" s="12" t="s">
        <v>34</v>
      </c>
      <c r="J2551" s="88"/>
      <c r="K2551" s="84">
        <v>3.1782177529747702</v>
      </c>
    </row>
    <row r="2552" spans="1:11" ht="15.75" customHeight="1">
      <c r="A2552" s="84" t="s">
        <v>38</v>
      </c>
      <c r="B2552" s="86">
        <v>64.970088010456806</v>
      </c>
      <c r="C2552" s="84">
        <v>1.1200000000000001</v>
      </c>
      <c r="D2552" s="84">
        <v>1.17E-2</v>
      </c>
      <c r="E2552" s="85">
        <f t="shared" si="8"/>
        <v>2.6000000000000003E-4</v>
      </c>
      <c r="F2552" s="84">
        <v>629.29999999999995</v>
      </c>
      <c r="G2552" s="87"/>
      <c r="H2552" s="86">
        <v>199.85000000000002</v>
      </c>
      <c r="I2552" s="12" t="s">
        <v>34</v>
      </c>
      <c r="J2552" s="88"/>
      <c r="K2552" s="84">
        <v>3.6435640030497898</v>
      </c>
    </row>
    <row r="2553" spans="1:11" ht="15.75" customHeight="1">
      <c r="A2553" s="84" t="s">
        <v>38</v>
      </c>
      <c r="B2553" s="86">
        <v>78.643477872191994</v>
      </c>
      <c r="C2553" s="84">
        <v>1.1200000000000001</v>
      </c>
      <c r="D2553" s="84">
        <v>1.17E-2</v>
      </c>
      <c r="E2553" s="85">
        <f t="shared" si="8"/>
        <v>2.6000000000000003E-4</v>
      </c>
      <c r="F2553" s="84">
        <v>629.29999999999995</v>
      </c>
      <c r="G2553" s="87"/>
      <c r="H2553" s="86">
        <v>199.85000000000002</v>
      </c>
      <c r="I2553" s="12" t="s">
        <v>34</v>
      </c>
      <c r="J2553" s="88"/>
      <c r="K2553" s="84">
        <v>3.8514850295977001</v>
      </c>
    </row>
    <row r="2554" spans="1:11" ht="15.75" customHeight="1">
      <c r="A2554" s="84" t="s">
        <v>38</v>
      </c>
      <c r="B2554" s="86">
        <v>124.11363407287259</v>
      </c>
      <c r="C2554" s="84">
        <v>1.1200000000000001</v>
      </c>
      <c r="D2554" s="84">
        <v>1.17E-2</v>
      </c>
      <c r="E2554" s="85">
        <f t="shared" si="8"/>
        <v>2.6000000000000003E-4</v>
      </c>
      <c r="F2554" s="84">
        <v>629.29999999999995</v>
      </c>
      <c r="G2554" s="87"/>
      <c r="H2554" s="86">
        <v>199.85000000000002</v>
      </c>
      <c r="I2554" s="12" t="s">
        <v>34</v>
      </c>
      <c r="J2554" s="88"/>
      <c r="K2554" s="84">
        <v>4.5544552021009697</v>
      </c>
    </row>
    <row r="2555" spans="1:11" ht="15.75" customHeight="1">
      <c r="A2555" s="84" t="s">
        <v>38</v>
      </c>
      <c r="B2555" s="86">
        <v>155.9185210501158</v>
      </c>
      <c r="C2555" s="84">
        <v>1.1200000000000001</v>
      </c>
      <c r="D2555" s="84">
        <v>1.17E-2</v>
      </c>
      <c r="E2555" s="85">
        <f t="shared" si="8"/>
        <v>2.6000000000000003E-4</v>
      </c>
      <c r="F2555" s="84">
        <v>629.29999999999995</v>
      </c>
      <c r="G2555" s="87"/>
      <c r="H2555" s="86">
        <v>199.85000000000002</v>
      </c>
      <c r="I2555" s="12" t="s">
        <v>34</v>
      </c>
      <c r="J2555" s="88"/>
      <c r="K2555" s="84">
        <v>4.9108910857433301</v>
      </c>
    </row>
    <row r="2556" spans="1:11" ht="15.75" customHeight="1">
      <c r="A2556" s="84" t="s">
        <v>38</v>
      </c>
      <c r="B2556" s="86">
        <v>238.35785307862858</v>
      </c>
      <c r="C2556" s="84">
        <v>1.1200000000000001</v>
      </c>
      <c r="D2556" s="84">
        <v>1.17E-2</v>
      </c>
      <c r="E2556" s="85">
        <f t="shared" si="8"/>
        <v>2.6000000000000003E-4</v>
      </c>
      <c r="F2556" s="84">
        <v>629.29999999999995</v>
      </c>
      <c r="G2556" s="87"/>
      <c r="H2556" s="86">
        <v>199.85000000000002</v>
      </c>
      <c r="I2556" s="12" t="s">
        <v>34</v>
      </c>
      <c r="J2556" s="88"/>
      <c r="K2556" s="84">
        <v>5.6336633147310797</v>
      </c>
    </row>
    <row r="2557" spans="1:11" ht="15.75" customHeight="1">
      <c r="A2557" s="84" t="s">
        <v>38</v>
      </c>
      <c r="B2557" s="86">
        <v>25.673656937958299</v>
      </c>
      <c r="C2557" s="84">
        <v>2.5</v>
      </c>
      <c r="D2557" s="84">
        <v>1.17E-2</v>
      </c>
      <c r="E2557" s="85">
        <f t="shared" si="8"/>
        <v>2.6000000000000003E-4</v>
      </c>
      <c r="F2557" s="84">
        <v>629.29999999999995</v>
      </c>
      <c r="G2557" s="87"/>
      <c r="H2557" s="86">
        <v>199.85000000000002</v>
      </c>
      <c r="I2557" s="12" t="s">
        <v>34</v>
      </c>
      <c r="J2557" s="88"/>
      <c r="K2557" s="84">
        <v>3.5841574559035099</v>
      </c>
    </row>
    <row r="2558" spans="1:11" ht="15.75" customHeight="1">
      <c r="A2558" s="84" t="s">
        <v>38</v>
      </c>
      <c r="B2558" s="86">
        <v>79.905233037394794</v>
      </c>
      <c r="C2558" s="84">
        <v>2.5</v>
      </c>
      <c r="D2558" s="84">
        <v>1.17E-2</v>
      </c>
      <c r="E2558" s="85">
        <f t="shared" si="8"/>
        <v>2.6000000000000003E-4</v>
      </c>
      <c r="F2558" s="84">
        <v>629.29999999999995</v>
      </c>
      <c r="G2558" s="87"/>
      <c r="H2558" s="86">
        <v>199.85000000000002</v>
      </c>
      <c r="I2558" s="12" t="s">
        <v>34</v>
      </c>
      <c r="J2558" s="88"/>
      <c r="K2558" s="84">
        <v>4.5346531456164803</v>
      </c>
    </row>
    <row r="2559" spans="1:11" ht="15.75" customHeight="1">
      <c r="A2559" s="84" t="s">
        <v>38</v>
      </c>
      <c r="B2559" s="86">
        <v>172.4552954454108</v>
      </c>
      <c r="C2559" s="84">
        <v>2.5</v>
      </c>
      <c r="D2559" s="84">
        <v>1.17E-2</v>
      </c>
      <c r="E2559" s="85">
        <f t="shared" si="8"/>
        <v>2.6000000000000003E-4</v>
      </c>
      <c r="F2559" s="84">
        <v>629.29999999999995</v>
      </c>
      <c r="G2559" s="87"/>
      <c r="H2559" s="86">
        <v>199.85000000000002</v>
      </c>
      <c r="I2559" s="12" t="s">
        <v>34</v>
      </c>
      <c r="J2559" s="88"/>
      <c r="K2559" s="84">
        <v>5.6336633147310797</v>
      </c>
    </row>
    <row r="2560" spans="1:11" ht="15.75" customHeight="1">
      <c r="A2560" s="84" t="s">
        <v>38</v>
      </c>
      <c r="B2560" s="86">
        <v>347.39524154995502</v>
      </c>
      <c r="C2560" s="84">
        <v>2.5</v>
      </c>
      <c r="D2560" s="84">
        <v>1.17E-2</v>
      </c>
      <c r="E2560" s="85">
        <f t="shared" si="8"/>
        <v>2.6000000000000003E-4</v>
      </c>
      <c r="F2560" s="84">
        <v>629.29999999999995</v>
      </c>
      <c r="G2560" s="87"/>
      <c r="H2560" s="86">
        <v>199.85000000000002</v>
      </c>
      <c r="I2560" s="12" t="s">
        <v>34</v>
      </c>
      <c r="J2560" s="88"/>
      <c r="K2560" s="84">
        <v>7.0891088009488197</v>
      </c>
    </row>
    <row r="2561" spans="1:11" ht="15.75" customHeight="1">
      <c r="A2561" s="84" t="s">
        <v>38</v>
      </c>
      <c r="B2561" s="86">
        <v>443.41947873326524</v>
      </c>
      <c r="C2561" s="84">
        <v>2.5</v>
      </c>
      <c r="D2561" s="84">
        <v>1.17E-2</v>
      </c>
      <c r="E2561" s="85">
        <f t="shared" si="8"/>
        <v>2.6000000000000003E-4</v>
      </c>
      <c r="F2561" s="84">
        <v>629.29999999999995</v>
      </c>
      <c r="G2561" s="87"/>
      <c r="H2561" s="86">
        <v>199.85000000000002</v>
      </c>
      <c r="I2561" s="12" t="s">
        <v>34</v>
      </c>
      <c r="J2561" s="88"/>
      <c r="K2561" s="84">
        <v>7.8217822470252196</v>
      </c>
    </row>
    <row r="2562" spans="1:11" ht="15.75" customHeight="1">
      <c r="A2562" s="84" t="s">
        <v>38</v>
      </c>
      <c r="B2562" s="86"/>
      <c r="C2562" s="84">
        <v>1.1200000000000001</v>
      </c>
      <c r="D2562" s="84">
        <v>7.2800000000000004E-2</v>
      </c>
      <c r="E2562" s="84">
        <v>1E-3</v>
      </c>
      <c r="F2562" s="84">
        <v>998</v>
      </c>
      <c r="G2562" s="87"/>
      <c r="H2562" s="86">
        <v>19.850000000000023</v>
      </c>
      <c r="I2562" s="12" t="s">
        <v>14</v>
      </c>
      <c r="J2562" s="88">
        <v>1.2250000000000001</v>
      </c>
      <c r="K2562" s="12">
        <v>3.92</v>
      </c>
    </row>
    <row r="2563" spans="1:11" ht="15.75" customHeight="1">
      <c r="A2563" s="84" t="s">
        <v>38</v>
      </c>
      <c r="B2563" s="86"/>
      <c r="C2563" s="84">
        <v>1.1200000000000001</v>
      </c>
      <c r="D2563" s="84">
        <v>7.2800000000000004E-2</v>
      </c>
      <c r="E2563" s="84">
        <v>1E-3</v>
      </c>
      <c r="F2563" s="84">
        <v>998</v>
      </c>
      <c r="G2563" s="87"/>
      <c r="H2563" s="86">
        <v>19.850000000000023</v>
      </c>
      <c r="I2563" s="12" t="s">
        <v>14</v>
      </c>
      <c r="J2563" s="88">
        <v>1.2250000000000001</v>
      </c>
      <c r="K2563" s="12">
        <v>4.29</v>
      </c>
    </row>
    <row r="2564" spans="1:11" ht="15.75" customHeight="1">
      <c r="A2564" s="84" t="s">
        <v>38</v>
      </c>
      <c r="B2564" s="86"/>
      <c r="C2564" s="84">
        <v>1.1200000000000001</v>
      </c>
      <c r="D2564" s="84">
        <v>7.2800000000000004E-2</v>
      </c>
      <c r="E2564" s="84">
        <v>1E-3</v>
      </c>
      <c r="F2564" s="84">
        <v>998</v>
      </c>
      <c r="G2564" s="87"/>
      <c r="H2564" s="86">
        <v>19.850000000000023</v>
      </c>
      <c r="I2564" s="12" t="s">
        <v>14</v>
      </c>
      <c r="J2564" s="88">
        <v>1.2250000000000001</v>
      </c>
      <c r="K2564" s="12">
        <v>4.8</v>
      </c>
    </row>
    <row r="2565" spans="1:11" ht="15.75" customHeight="1">
      <c r="A2565" s="84" t="s">
        <v>38</v>
      </c>
      <c r="B2565" s="86"/>
      <c r="C2565" s="84">
        <v>1.1200000000000001</v>
      </c>
      <c r="D2565" s="84">
        <v>6.6199999999999995E-2</v>
      </c>
      <c r="E2565" s="84">
        <v>4.66E-4</v>
      </c>
      <c r="F2565" s="84">
        <v>988</v>
      </c>
      <c r="G2565" s="87"/>
      <c r="H2565" s="86">
        <v>49.850000000000023</v>
      </c>
      <c r="I2565" s="12" t="s">
        <v>14</v>
      </c>
      <c r="J2565" s="88">
        <v>1.2250000000000001</v>
      </c>
      <c r="K2565" s="12">
        <v>3.93</v>
      </c>
    </row>
    <row r="2566" spans="1:11" ht="15.75" customHeight="1">
      <c r="A2566" s="84" t="s">
        <v>38</v>
      </c>
      <c r="B2566" s="86"/>
      <c r="C2566" s="84">
        <v>1.1200000000000001</v>
      </c>
      <c r="D2566" s="84">
        <v>6.6199999999999995E-2</v>
      </c>
      <c r="E2566" s="84">
        <v>4.66E-4</v>
      </c>
      <c r="F2566" s="84">
        <v>988</v>
      </c>
      <c r="G2566" s="87"/>
      <c r="H2566" s="86">
        <v>49.850000000000023</v>
      </c>
      <c r="I2566" s="12" t="s">
        <v>14</v>
      </c>
      <c r="J2566" s="88">
        <v>1.2250000000000001</v>
      </c>
      <c r="K2566" s="12">
        <v>4.29</v>
      </c>
    </row>
    <row r="2567" spans="1:11" ht="15.75" customHeight="1">
      <c r="A2567" s="84" t="s">
        <v>38</v>
      </c>
      <c r="B2567" s="86"/>
      <c r="C2567" s="84">
        <v>1.1200000000000001</v>
      </c>
      <c r="D2567" s="84">
        <v>6.6199999999999995E-2</v>
      </c>
      <c r="E2567" s="84">
        <v>4.66E-4</v>
      </c>
      <c r="F2567" s="84">
        <v>988</v>
      </c>
      <c r="G2567" s="87"/>
      <c r="H2567" s="86">
        <v>49.850000000000023</v>
      </c>
      <c r="I2567" s="12" t="s">
        <v>14</v>
      </c>
      <c r="J2567" s="88">
        <v>1.2250000000000001</v>
      </c>
      <c r="K2567" s="12">
        <v>5.08</v>
      </c>
    </row>
    <row r="2568" spans="1:11" ht="15.75" customHeight="1">
      <c r="A2568" s="84" t="s">
        <v>38</v>
      </c>
      <c r="B2568" s="86"/>
      <c r="C2568" s="84">
        <v>1.1200000000000001</v>
      </c>
      <c r="D2568" s="84">
        <v>6.2700000000000006E-2</v>
      </c>
      <c r="E2568" s="84">
        <v>3.5399999999999999E-4</v>
      </c>
      <c r="F2568" s="84">
        <v>971</v>
      </c>
      <c r="G2568" s="87"/>
      <c r="H2568" s="86">
        <v>79.850000000000023</v>
      </c>
      <c r="I2568" s="12" t="s">
        <v>14</v>
      </c>
      <c r="J2568" s="88">
        <v>1.2250000000000001</v>
      </c>
      <c r="K2568" s="12">
        <v>4.1500000000000004</v>
      </c>
    </row>
    <row r="2569" spans="1:11" ht="15.75" customHeight="1">
      <c r="A2569" s="84" t="s">
        <v>38</v>
      </c>
      <c r="B2569" s="86"/>
      <c r="C2569" s="84">
        <v>1.1200000000000001</v>
      </c>
      <c r="D2569" s="84">
        <v>6.2700000000000006E-2</v>
      </c>
      <c r="E2569" s="84">
        <v>3.5399999999999999E-4</v>
      </c>
      <c r="F2569" s="84">
        <v>971</v>
      </c>
      <c r="G2569" s="87"/>
      <c r="H2569" s="86">
        <v>79.850000000000023</v>
      </c>
      <c r="I2569" s="12" t="s">
        <v>14</v>
      </c>
      <c r="J2569" s="88">
        <v>1.2250000000000001</v>
      </c>
      <c r="K2569" s="12">
        <v>4.72</v>
      </c>
    </row>
    <row r="2570" spans="1:11" ht="15.75" customHeight="1">
      <c r="A2570" s="84" t="s">
        <v>38</v>
      </c>
      <c r="B2570" s="86"/>
      <c r="C2570" s="84">
        <v>1.1200000000000001</v>
      </c>
      <c r="D2570" s="84">
        <v>6.2700000000000006E-2</v>
      </c>
      <c r="E2570" s="84">
        <v>3.5399999999999999E-4</v>
      </c>
      <c r="F2570" s="84">
        <v>971</v>
      </c>
      <c r="G2570" s="87"/>
      <c r="H2570" s="86">
        <v>79.850000000000023</v>
      </c>
      <c r="I2570" s="12" t="s">
        <v>14</v>
      </c>
      <c r="J2570" s="88">
        <v>1.2250000000000001</v>
      </c>
      <c r="K2570" s="12">
        <v>5.8</v>
      </c>
    </row>
    <row r="2571" spans="1:11" ht="15.75" customHeight="1">
      <c r="A2571" s="84" t="s">
        <v>38</v>
      </c>
      <c r="B2571" s="86"/>
      <c r="C2571" s="84">
        <v>1.1200000000000001</v>
      </c>
      <c r="D2571" s="84">
        <v>6.08E-2</v>
      </c>
      <c r="E2571" s="84">
        <v>3.1399999999999999E-4</v>
      </c>
      <c r="F2571" s="84">
        <v>963</v>
      </c>
      <c r="G2571" s="87"/>
      <c r="H2571" s="86">
        <v>89.850000000000023</v>
      </c>
      <c r="I2571" s="12" t="s">
        <v>14</v>
      </c>
      <c r="J2571" s="88">
        <v>1.2250000000000001</v>
      </c>
      <c r="K2571" s="84">
        <v>4.3899999999999997</v>
      </c>
    </row>
    <row r="2572" spans="1:11" ht="15.75" customHeight="1">
      <c r="A2572" s="84" t="s">
        <v>38</v>
      </c>
      <c r="B2572" s="86"/>
      <c r="C2572" s="84">
        <v>1.1200000000000001</v>
      </c>
      <c r="D2572" s="84">
        <v>6.08E-2</v>
      </c>
      <c r="E2572" s="84">
        <v>3.1399999999999999E-4</v>
      </c>
      <c r="F2572" s="84">
        <v>963</v>
      </c>
      <c r="G2572" s="87"/>
      <c r="H2572" s="86">
        <v>89.850000000000023</v>
      </c>
      <c r="I2572" s="12" t="s">
        <v>14</v>
      </c>
      <c r="J2572" s="88">
        <v>1.2250000000000001</v>
      </c>
      <c r="K2572" s="84">
        <v>5.12</v>
      </c>
    </row>
    <row r="2573" spans="1:11" ht="15.75" customHeight="1">
      <c r="A2573" s="84" t="s">
        <v>38</v>
      </c>
      <c r="B2573" s="86"/>
      <c r="C2573" s="84">
        <v>1.1200000000000001</v>
      </c>
      <c r="D2573" s="84">
        <v>6.08E-2</v>
      </c>
      <c r="E2573" s="84">
        <v>3.1399999999999999E-4</v>
      </c>
      <c r="F2573" s="84">
        <v>963</v>
      </c>
      <c r="G2573" s="87"/>
      <c r="H2573" s="86">
        <v>89.850000000000023</v>
      </c>
      <c r="I2573" s="12" t="s">
        <v>14</v>
      </c>
      <c r="J2573" s="88">
        <v>1.2250000000000001</v>
      </c>
      <c r="K2573" s="84">
        <v>5.18</v>
      </c>
    </row>
    <row r="2574" spans="1:11" ht="15.75" customHeight="1">
      <c r="A2574" s="84" t="s">
        <v>38</v>
      </c>
      <c r="B2574" s="86"/>
      <c r="C2574" s="84">
        <v>1.1200000000000001</v>
      </c>
      <c r="D2574" s="84">
        <v>7.2800000000000004E-2</v>
      </c>
      <c r="E2574" s="84">
        <v>1E-3</v>
      </c>
      <c r="F2574" s="84">
        <v>998</v>
      </c>
      <c r="G2574" s="87"/>
      <c r="H2574" s="86">
        <v>19.850000000000023</v>
      </c>
      <c r="I2574" s="12" t="s">
        <v>14</v>
      </c>
      <c r="J2574" s="88">
        <v>1.2250000000000001</v>
      </c>
      <c r="K2574" s="12">
        <v>3.75</v>
      </c>
    </row>
    <row r="2575" spans="1:11" ht="15.75" customHeight="1">
      <c r="A2575" s="84" t="s">
        <v>38</v>
      </c>
      <c r="B2575" s="86"/>
      <c r="C2575" s="84">
        <v>1.1200000000000001</v>
      </c>
      <c r="D2575" s="84">
        <v>6.6199999999999995E-2</v>
      </c>
      <c r="E2575" s="84">
        <v>4.66E-4</v>
      </c>
      <c r="F2575" s="84">
        <v>988</v>
      </c>
      <c r="G2575" s="87"/>
      <c r="H2575" s="86">
        <v>49.850000000000023</v>
      </c>
      <c r="I2575" s="12" t="s">
        <v>14</v>
      </c>
      <c r="J2575" s="88">
        <v>1.2250000000000001</v>
      </c>
      <c r="K2575" s="12">
        <v>3.7</v>
      </c>
    </row>
    <row r="2576" spans="1:11" ht="15.75" customHeight="1">
      <c r="A2576" s="84" t="s">
        <v>38</v>
      </c>
      <c r="B2576" s="86"/>
      <c r="C2576" s="84">
        <v>1.1200000000000001</v>
      </c>
      <c r="D2576" s="84">
        <v>6.2700000000000006E-2</v>
      </c>
      <c r="E2576" s="84">
        <v>3.5399999999999999E-4</v>
      </c>
      <c r="F2576" s="84">
        <v>971</v>
      </c>
      <c r="G2576" s="87"/>
      <c r="H2576" s="86">
        <v>79.850000000000023</v>
      </c>
      <c r="I2576" s="12" t="s">
        <v>14</v>
      </c>
      <c r="J2576" s="88">
        <v>1.2250000000000001</v>
      </c>
      <c r="K2576" s="12">
        <v>3.7</v>
      </c>
    </row>
    <row r="2577" spans="1:11" ht="15.75" customHeight="1">
      <c r="A2577" s="84" t="s">
        <v>38</v>
      </c>
      <c r="B2577" s="86"/>
      <c r="C2577" s="84">
        <v>1.1200000000000001</v>
      </c>
      <c r="D2577" s="84">
        <v>6.2700000000000006E-2</v>
      </c>
      <c r="E2577" s="84">
        <v>3.5399999999999999E-4</v>
      </c>
      <c r="F2577" s="84">
        <v>971</v>
      </c>
      <c r="G2577" s="87"/>
      <c r="H2577" s="86">
        <v>79.850000000000023</v>
      </c>
      <c r="I2577" s="12" t="s">
        <v>14</v>
      </c>
      <c r="J2577" s="88">
        <v>1.2250000000000001</v>
      </c>
      <c r="K2577" s="12">
        <v>3.75</v>
      </c>
    </row>
    <row r="2578" spans="1:11" ht="15.75" customHeight="1">
      <c r="A2578" s="84" t="s">
        <v>38</v>
      </c>
      <c r="B2578" s="86"/>
      <c r="C2578" s="89">
        <v>1.1200000000000001</v>
      </c>
      <c r="D2578" s="90">
        <v>6.2700000000000006E-2</v>
      </c>
      <c r="E2578" s="90">
        <v>3.5399999999999999E-4</v>
      </c>
      <c r="F2578" s="90">
        <v>971</v>
      </c>
      <c r="G2578" s="91"/>
      <c r="H2578" s="86">
        <v>79.850000000000023</v>
      </c>
      <c r="I2578" s="12" t="s">
        <v>14</v>
      </c>
      <c r="J2578" s="88">
        <v>1.2250000000000001</v>
      </c>
      <c r="K2578" s="12">
        <v>4.0599999999999996</v>
      </c>
    </row>
    <row r="2579" spans="1:11" ht="15.75" customHeight="1">
      <c r="A2579" s="84" t="s">
        <v>38</v>
      </c>
      <c r="B2579" s="86"/>
      <c r="C2579" s="84">
        <v>1.1200000000000001</v>
      </c>
      <c r="G2579" s="87"/>
      <c r="H2579" s="86">
        <v>119.85000000000002</v>
      </c>
      <c r="I2579" s="12" t="s">
        <v>14</v>
      </c>
      <c r="J2579" s="88">
        <v>1.2250000000000001</v>
      </c>
      <c r="K2579" s="12">
        <v>3.6</v>
      </c>
    </row>
    <row r="2580" spans="1:11" ht="15.75" customHeight="1">
      <c r="A2580" s="84" t="s">
        <v>38</v>
      </c>
      <c r="B2580" s="86"/>
      <c r="C2580" s="84">
        <v>1.1200000000000001</v>
      </c>
      <c r="D2580" s="84"/>
      <c r="E2580" s="84"/>
      <c r="F2580" s="84"/>
      <c r="G2580" s="87"/>
      <c r="H2580" s="86">
        <v>119.85000000000002</v>
      </c>
      <c r="I2580" s="12" t="s">
        <v>14</v>
      </c>
      <c r="J2580" s="88">
        <v>1.2250000000000001</v>
      </c>
      <c r="K2580" s="12">
        <v>3.61</v>
      </c>
    </row>
    <row r="2581" spans="1:11" ht="15.75" customHeight="1">
      <c r="A2581" s="84" t="s">
        <v>38</v>
      </c>
      <c r="B2581" s="86"/>
      <c r="C2581" s="84">
        <v>1.1200000000000001</v>
      </c>
      <c r="D2581" s="84"/>
      <c r="E2581" s="84"/>
      <c r="F2581" s="84"/>
      <c r="G2581" s="87"/>
      <c r="H2581" s="86">
        <v>119.85000000000002</v>
      </c>
      <c r="I2581" s="12" t="s">
        <v>14</v>
      </c>
      <c r="J2581" s="88">
        <v>1.2250000000000001</v>
      </c>
      <c r="K2581" s="12">
        <v>4</v>
      </c>
    </row>
    <row r="2582" spans="1:11" ht="15.75" customHeight="1">
      <c r="A2582" s="84" t="s">
        <v>38</v>
      </c>
      <c r="B2582" s="86"/>
      <c r="C2582" s="84">
        <v>1.1200000000000001</v>
      </c>
      <c r="D2582" s="84">
        <v>7.2800000000000004E-2</v>
      </c>
      <c r="E2582" s="84">
        <v>1E-3</v>
      </c>
      <c r="F2582" s="84">
        <v>998</v>
      </c>
      <c r="G2582" s="87"/>
      <c r="H2582" s="86">
        <v>19.850000000000023</v>
      </c>
      <c r="I2582" s="12" t="s">
        <v>14</v>
      </c>
      <c r="J2582" s="88">
        <v>1.2250000000000001</v>
      </c>
      <c r="K2582" s="12">
        <v>3.91</v>
      </c>
    </row>
    <row r="2583" spans="1:11" ht="15.75" customHeight="1">
      <c r="A2583" s="84" t="s">
        <v>38</v>
      </c>
      <c r="B2583" s="86"/>
      <c r="C2583" s="84">
        <v>1.1200000000000001</v>
      </c>
      <c r="D2583" s="84">
        <v>7.2800000000000004E-2</v>
      </c>
      <c r="E2583" s="84">
        <v>1E-3</v>
      </c>
      <c r="F2583" s="84">
        <v>998</v>
      </c>
      <c r="G2583" s="87"/>
      <c r="H2583" s="86">
        <v>19.850000000000023</v>
      </c>
      <c r="I2583" s="12" t="s">
        <v>14</v>
      </c>
      <c r="J2583" s="88">
        <v>1.2250000000000001</v>
      </c>
      <c r="K2583" s="12">
        <v>4.13</v>
      </c>
    </row>
    <row r="2584" spans="1:11" ht="15.75" customHeight="1">
      <c r="A2584" s="84" t="s">
        <v>38</v>
      </c>
      <c r="B2584" s="86"/>
      <c r="C2584" s="84">
        <v>1.1200000000000001</v>
      </c>
      <c r="D2584" s="84">
        <v>6.6199999999999995E-2</v>
      </c>
      <c r="E2584" s="84">
        <v>4.66E-4</v>
      </c>
      <c r="F2584" s="84">
        <v>988</v>
      </c>
      <c r="G2584" s="87"/>
      <c r="H2584" s="86">
        <v>49.850000000000023</v>
      </c>
      <c r="I2584" s="12" t="s">
        <v>14</v>
      </c>
      <c r="J2584" s="88">
        <v>1.2250000000000001</v>
      </c>
      <c r="K2584" s="12">
        <v>3.82</v>
      </c>
    </row>
    <row r="2585" spans="1:11" ht="15.75" customHeight="1">
      <c r="A2585" s="84" t="s">
        <v>38</v>
      </c>
      <c r="B2585" s="86"/>
      <c r="C2585" s="84">
        <v>1.1200000000000001</v>
      </c>
      <c r="D2585" s="84">
        <v>6.6199999999999995E-2</v>
      </c>
      <c r="E2585" s="84">
        <v>4.66E-4</v>
      </c>
      <c r="F2585" s="84">
        <v>988</v>
      </c>
      <c r="G2585" s="87"/>
      <c r="H2585" s="86">
        <v>49.850000000000023</v>
      </c>
      <c r="I2585" s="12" t="s">
        <v>14</v>
      </c>
      <c r="J2585" s="88">
        <v>1.2250000000000001</v>
      </c>
      <c r="K2585" s="12">
        <v>4.13</v>
      </c>
    </row>
    <row r="2586" spans="1:11" ht="15.75" customHeight="1">
      <c r="A2586" s="84" t="s">
        <v>38</v>
      </c>
      <c r="B2586" s="86">
        <v>6.1451409257628606</v>
      </c>
      <c r="C2586" s="84">
        <v>1.1200000000000001</v>
      </c>
      <c r="D2586" s="84">
        <v>7.2800000000000004E-2</v>
      </c>
      <c r="E2586" s="84">
        <v>1E-3</v>
      </c>
      <c r="F2586" s="84">
        <v>998</v>
      </c>
      <c r="G2586" s="87"/>
      <c r="H2586" s="86">
        <v>19.850000000000023</v>
      </c>
      <c r="I2586" s="84" t="s">
        <v>14</v>
      </c>
      <c r="J2586" s="84">
        <v>1.2250000000000001</v>
      </c>
      <c r="K2586" s="84">
        <v>3.7094346276972501</v>
      </c>
    </row>
    <row r="2587" spans="1:11" ht="15.75" customHeight="1">
      <c r="A2587" s="84" t="s">
        <v>38</v>
      </c>
      <c r="B2587" s="86">
        <v>7.8043740590986204</v>
      </c>
      <c r="C2587" s="84">
        <v>1.1200000000000001</v>
      </c>
      <c r="D2587" s="84">
        <v>7.2800000000000004E-2</v>
      </c>
      <c r="E2587" s="84">
        <v>1E-3</v>
      </c>
      <c r="F2587" s="84">
        <v>998</v>
      </c>
      <c r="G2587" s="87"/>
      <c r="H2587" s="86">
        <v>19.850000000000023</v>
      </c>
      <c r="I2587" s="84" t="s">
        <v>14</v>
      </c>
      <c r="J2587" s="84">
        <v>1.2250000000000001</v>
      </c>
      <c r="K2587" s="84">
        <v>3.67924525857438</v>
      </c>
    </row>
    <row r="2588" spans="1:11" ht="15.75" customHeight="1">
      <c r="A2588" s="84" t="s">
        <v>38</v>
      </c>
      <c r="B2588" s="86">
        <v>11.623808852705881</v>
      </c>
      <c r="C2588" s="84">
        <v>1.1200000000000001</v>
      </c>
      <c r="D2588" s="84">
        <v>7.2800000000000004E-2</v>
      </c>
      <c r="E2588" s="84">
        <v>1E-3</v>
      </c>
      <c r="F2588" s="84">
        <v>998</v>
      </c>
      <c r="G2588" s="87"/>
      <c r="H2588" s="86">
        <v>19.850000000000023</v>
      </c>
      <c r="I2588" s="84" t="s">
        <v>14</v>
      </c>
      <c r="J2588" s="84">
        <v>1.2250000000000001</v>
      </c>
      <c r="K2588" s="84">
        <v>3.8000004318524998</v>
      </c>
    </row>
    <row r="2589" spans="1:11" ht="15.75" customHeight="1">
      <c r="A2589" s="84" t="s">
        <v>38</v>
      </c>
      <c r="B2589" s="86">
        <v>24.386410350823439</v>
      </c>
      <c r="C2589" s="84">
        <v>1.1200000000000001</v>
      </c>
      <c r="D2589" s="84">
        <v>7.2800000000000004E-2</v>
      </c>
      <c r="E2589" s="84">
        <v>1E-3</v>
      </c>
      <c r="F2589" s="84">
        <v>998</v>
      </c>
      <c r="G2589" s="87"/>
      <c r="H2589" s="86">
        <v>19.850000000000023</v>
      </c>
      <c r="I2589" s="84" t="s">
        <v>14</v>
      </c>
      <c r="J2589" s="84">
        <v>1.2250000000000001</v>
      </c>
      <c r="K2589" s="84">
        <v>3.8603780184915601</v>
      </c>
    </row>
    <row r="2590" spans="1:11" ht="15.75" customHeight="1">
      <c r="A2590" s="84" t="s">
        <v>38</v>
      </c>
      <c r="B2590" s="86">
        <v>36.321038737392357</v>
      </c>
      <c r="C2590" s="84">
        <v>1.1200000000000001</v>
      </c>
      <c r="D2590" s="84">
        <v>7.2800000000000004E-2</v>
      </c>
      <c r="E2590" s="84">
        <v>1E-3</v>
      </c>
      <c r="F2590" s="84">
        <v>998</v>
      </c>
      <c r="G2590" s="87"/>
      <c r="H2590" s="86">
        <v>19.850000000000023</v>
      </c>
      <c r="I2590" s="84" t="s">
        <v>14</v>
      </c>
      <c r="J2590" s="84">
        <v>1.2250000000000001</v>
      </c>
      <c r="K2590" s="84">
        <v>3.9811326159663398</v>
      </c>
    </row>
    <row r="2591" spans="1:11" ht="15.75" customHeight="1">
      <c r="A2591" s="84" t="s">
        <v>38</v>
      </c>
      <c r="B2591" s="86">
        <v>59.051491953359822</v>
      </c>
      <c r="C2591" s="84">
        <v>1.1200000000000001</v>
      </c>
      <c r="D2591" s="84">
        <v>7.2800000000000004E-2</v>
      </c>
      <c r="E2591" s="84">
        <v>1E-3</v>
      </c>
      <c r="F2591" s="84">
        <v>998</v>
      </c>
      <c r="G2591" s="87"/>
      <c r="H2591" s="86">
        <v>19.850000000000023</v>
      </c>
      <c r="I2591" s="84" t="s">
        <v>14</v>
      </c>
      <c r="J2591" s="84">
        <v>1.2250000000000001</v>
      </c>
      <c r="K2591" s="84">
        <v>4.31320761507114</v>
      </c>
    </row>
    <row r="2592" spans="1:11" ht="15.75" customHeight="1">
      <c r="A2592" s="84" t="s">
        <v>38</v>
      </c>
      <c r="B2592" s="86">
        <v>119.04996009816061</v>
      </c>
      <c r="C2592" s="84">
        <v>1.1200000000000001</v>
      </c>
      <c r="D2592" s="84">
        <v>7.2800000000000004E-2</v>
      </c>
      <c r="E2592" s="84">
        <v>1E-3</v>
      </c>
      <c r="F2592" s="84">
        <v>998</v>
      </c>
      <c r="G2592" s="87"/>
      <c r="H2592" s="86">
        <v>19.850000000000023</v>
      </c>
      <c r="I2592" s="84" t="s">
        <v>14</v>
      </c>
      <c r="J2592" s="84">
        <v>1.2250000000000001</v>
      </c>
      <c r="K2592" s="84">
        <v>4.8113212653350299</v>
      </c>
    </row>
    <row r="2593" spans="1:11" ht="15.75" customHeight="1">
      <c r="A2593" s="84" t="s">
        <v>38</v>
      </c>
      <c r="B2593" s="86">
        <v>174.50949565335779</v>
      </c>
      <c r="C2593" s="84">
        <v>1.1200000000000001</v>
      </c>
      <c r="D2593" s="84">
        <v>7.2800000000000004E-2</v>
      </c>
      <c r="E2593" s="84">
        <v>1E-3</v>
      </c>
      <c r="F2593" s="84">
        <v>998</v>
      </c>
      <c r="G2593" s="87"/>
      <c r="H2593" s="86">
        <v>19.850000000000023</v>
      </c>
      <c r="I2593" s="84" t="s">
        <v>14</v>
      </c>
      <c r="J2593" s="84">
        <v>1.2250000000000001</v>
      </c>
      <c r="K2593" s="84">
        <v>5.3396231331151096</v>
      </c>
    </row>
    <row r="2594" spans="1:11" ht="15.75" customHeight="1">
      <c r="A2594" s="84" t="s">
        <v>38</v>
      </c>
      <c r="B2594" s="86">
        <v>236.21477563265401</v>
      </c>
      <c r="C2594" s="84">
        <v>1.1200000000000001</v>
      </c>
      <c r="D2594" s="84">
        <v>7.2800000000000004E-2</v>
      </c>
      <c r="E2594" s="84">
        <v>1E-3</v>
      </c>
      <c r="F2594" s="84">
        <v>998</v>
      </c>
      <c r="G2594" s="87"/>
      <c r="H2594" s="86">
        <v>19.850000000000023</v>
      </c>
      <c r="I2594" s="84" t="s">
        <v>14</v>
      </c>
      <c r="J2594" s="84">
        <v>1.2250000000000001</v>
      </c>
      <c r="K2594" s="84">
        <v>5.8377362075756603</v>
      </c>
    </row>
    <row r="2595" spans="1:11" ht="15.75" customHeight="1">
      <c r="A2595" s="84" t="s">
        <v>38</v>
      </c>
      <c r="B2595" s="86">
        <v>338.07760616240097</v>
      </c>
      <c r="C2595" s="84">
        <v>1.1200000000000001</v>
      </c>
      <c r="D2595" s="84">
        <v>7.2800000000000004E-2</v>
      </c>
      <c r="E2595" s="84">
        <v>1E-3</v>
      </c>
      <c r="F2595" s="84">
        <v>998</v>
      </c>
      <c r="G2595" s="87"/>
      <c r="H2595" s="86">
        <v>19.850000000000023</v>
      </c>
      <c r="I2595" s="84" t="s">
        <v>14</v>
      </c>
      <c r="J2595" s="84">
        <v>1.2250000000000001</v>
      </c>
      <c r="K2595" s="84">
        <v>6.33584928203621</v>
      </c>
    </row>
    <row r="2596" spans="1:11" ht="15.75" customHeight="1">
      <c r="A2596" s="84" t="s">
        <v>38</v>
      </c>
      <c r="B2596" s="86">
        <v>483.86671613737553</v>
      </c>
      <c r="C2596" s="84">
        <v>1.1200000000000001</v>
      </c>
      <c r="D2596" s="84">
        <v>7.2800000000000004E-2</v>
      </c>
      <c r="E2596" s="84">
        <v>1E-3</v>
      </c>
      <c r="F2596" s="84">
        <v>998</v>
      </c>
      <c r="G2596" s="87"/>
      <c r="H2596" s="86">
        <v>19.850000000000023</v>
      </c>
      <c r="I2596" s="84" t="s">
        <v>14</v>
      </c>
      <c r="J2596" s="84">
        <v>1.2250000000000001</v>
      </c>
      <c r="K2596" s="84">
        <v>7.0603774426882202</v>
      </c>
    </row>
    <row r="2597" spans="1:11" ht="15.75" customHeight="1">
      <c r="A2597" s="84" t="s">
        <v>38</v>
      </c>
      <c r="B2597" s="86">
        <v>571.99213504029899</v>
      </c>
      <c r="C2597" s="84">
        <v>1.1200000000000001</v>
      </c>
      <c r="D2597" s="84">
        <v>7.2800000000000004E-2</v>
      </c>
      <c r="E2597" s="84">
        <v>1E-3</v>
      </c>
      <c r="F2597" s="84">
        <v>998</v>
      </c>
      <c r="G2597" s="87"/>
      <c r="H2597" s="86">
        <v>19.850000000000023</v>
      </c>
      <c r="I2597" s="84" t="s">
        <v>14</v>
      </c>
      <c r="J2597" s="84">
        <v>1.2250000000000001</v>
      </c>
      <c r="K2597" s="84">
        <v>7.5886793104682999</v>
      </c>
    </row>
    <row r="2598" spans="1:11" ht="15.75" customHeight="1">
      <c r="A2598" s="84" t="s">
        <v>38</v>
      </c>
      <c r="B2598" s="86">
        <v>698.06401155932406</v>
      </c>
      <c r="C2598" s="84">
        <v>1.1200000000000001</v>
      </c>
      <c r="D2598" s="84">
        <v>7.2800000000000004E-2</v>
      </c>
      <c r="E2598" s="84">
        <v>1E-3</v>
      </c>
      <c r="F2598" s="84">
        <v>998</v>
      </c>
      <c r="G2598" s="87"/>
      <c r="H2598" s="86">
        <v>19.850000000000023</v>
      </c>
      <c r="I2598" s="84" t="s">
        <v>14</v>
      </c>
      <c r="J2598" s="84">
        <v>1.2250000000000001</v>
      </c>
      <c r="K2598" s="84">
        <v>8.2226416669650604</v>
      </c>
    </row>
    <row r="2599" spans="1:11" ht="15.75" customHeight="1">
      <c r="A2599" s="84" t="s">
        <v>38</v>
      </c>
      <c r="B2599" s="86">
        <v>9.4489404793662608</v>
      </c>
      <c r="C2599" s="84">
        <v>2.5</v>
      </c>
      <c r="D2599" s="84">
        <v>7.2800000000000004E-2</v>
      </c>
      <c r="E2599" s="84">
        <v>1E-3</v>
      </c>
      <c r="F2599" s="84">
        <v>998</v>
      </c>
      <c r="G2599" s="87"/>
      <c r="H2599" s="86">
        <v>19.850000000000023</v>
      </c>
      <c r="I2599" s="84" t="s">
        <v>14</v>
      </c>
      <c r="J2599" s="84">
        <v>1.2250000000000001</v>
      </c>
      <c r="K2599" s="84">
        <v>4.5849061791435703</v>
      </c>
    </row>
    <row r="2600" spans="1:11" ht="15.75" customHeight="1">
      <c r="A2600" s="84" t="s">
        <v>38</v>
      </c>
      <c r="B2600" s="86">
        <v>18.74825790331608</v>
      </c>
      <c r="C2600" s="84">
        <v>2.5</v>
      </c>
      <c r="D2600" s="84">
        <v>7.2800000000000004E-2</v>
      </c>
      <c r="E2600" s="84">
        <v>1E-3</v>
      </c>
      <c r="F2600" s="84">
        <v>998</v>
      </c>
      <c r="G2600" s="87"/>
      <c r="H2600" s="86">
        <v>19.850000000000023</v>
      </c>
      <c r="I2600" s="84" t="s">
        <v>14</v>
      </c>
      <c r="J2600" s="84">
        <v>1.2250000000000001</v>
      </c>
      <c r="K2600" s="84">
        <v>4.7207548853764401</v>
      </c>
    </row>
    <row r="2601" spans="1:11" ht="15.75" customHeight="1">
      <c r="A2601" s="84" t="s">
        <v>38</v>
      </c>
      <c r="B2601" s="86">
        <v>35.463168188014322</v>
      </c>
      <c r="C2601" s="84">
        <v>2.5</v>
      </c>
      <c r="D2601" s="84">
        <v>7.2800000000000004E-2</v>
      </c>
      <c r="E2601" s="84">
        <v>1E-3</v>
      </c>
      <c r="F2601" s="84">
        <v>998</v>
      </c>
      <c r="G2601" s="87"/>
      <c r="H2601" s="86">
        <v>19.850000000000023</v>
      </c>
      <c r="I2601" s="84" t="s">
        <v>14</v>
      </c>
      <c r="J2601" s="84">
        <v>1.2250000000000001</v>
      </c>
      <c r="K2601" s="84">
        <v>4.8867929607321896</v>
      </c>
    </row>
    <row r="2602" spans="1:11" ht="15.75" customHeight="1">
      <c r="A2602" s="84" t="s">
        <v>38</v>
      </c>
      <c r="B2602" s="86">
        <v>70.36478054967661</v>
      </c>
      <c r="C2602" s="84">
        <v>2.5</v>
      </c>
      <c r="D2602" s="84">
        <v>7.2800000000000004E-2</v>
      </c>
      <c r="E2602" s="84">
        <v>1E-3</v>
      </c>
      <c r="F2602" s="84">
        <v>998</v>
      </c>
      <c r="G2602" s="87"/>
      <c r="H2602" s="86">
        <v>19.850000000000023</v>
      </c>
      <c r="I2602" s="84" t="s">
        <v>14</v>
      </c>
      <c r="J2602" s="84">
        <v>1.2250000000000001</v>
      </c>
      <c r="K2602" s="84">
        <v>5.3094343397955797</v>
      </c>
    </row>
    <row r="2603" spans="1:11" ht="15.75" customHeight="1">
      <c r="A2603" s="84" t="s">
        <v>38</v>
      </c>
      <c r="B2603" s="86">
        <v>109.0603177662132</v>
      </c>
      <c r="C2603" s="84">
        <v>2.5</v>
      </c>
      <c r="D2603" s="84">
        <v>7.2800000000000004E-2</v>
      </c>
      <c r="E2603" s="84">
        <v>1E-3</v>
      </c>
      <c r="F2603" s="84">
        <v>998</v>
      </c>
      <c r="G2603" s="87"/>
      <c r="H2603" s="86">
        <v>19.850000000000023</v>
      </c>
      <c r="I2603" s="84" t="s">
        <v>14</v>
      </c>
      <c r="J2603" s="84">
        <v>1.2250000000000001</v>
      </c>
      <c r="K2603" s="84">
        <v>5.7471698276170704</v>
      </c>
    </row>
    <row r="2604" spans="1:11" ht="15.75" customHeight="1">
      <c r="A2604" s="84" t="s">
        <v>38</v>
      </c>
      <c r="B2604" s="86">
        <v>144.1365181543392</v>
      </c>
      <c r="C2604" s="84">
        <v>2.5</v>
      </c>
      <c r="D2604" s="84">
        <v>7.2800000000000004E-2</v>
      </c>
      <c r="E2604" s="84">
        <v>1E-3</v>
      </c>
      <c r="F2604" s="84">
        <v>998</v>
      </c>
      <c r="G2604" s="87"/>
      <c r="H2604" s="86">
        <v>19.850000000000023</v>
      </c>
      <c r="I2604" s="84" t="s">
        <v>14</v>
      </c>
      <c r="J2604" s="84">
        <v>1.2250000000000001</v>
      </c>
      <c r="K2604" s="84">
        <v>5.89811321841138</v>
      </c>
    </row>
    <row r="2605" spans="1:11" ht="15.75" customHeight="1">
      <c r="A2605" s="84" t="s">
        <v>38</v>
      </c>
      <c r="B2605" s="86">
        <v>180.1606527973548</v>
      </c>
      <c r="C2605" s="84">
        <v>2.5</v>
      </c>
      <c r="D2605" s="84">
        <v>7.2800000000000004E-2</v>
      </c>
      <c r="E2605" s="84">
        <v>1E-3</v>
      </c>
      <c r="F2605" s="84">
        <v>998</v>
      </c>
      <c r="G2605" s="87"/>
      <c r="H2605" s="86">
        <v>19.850000000000023</v>
      </c>
      <c r="I2605" s="84" t="s">
        <v>14</v>
      </c>
      <c r="J2605" s="84">
        <v>1.2250000000000001</v>
      </c>
      <c r="K2605" s="84">
        <v>6.1849058912419004</v>
      </c>
    </row>
    <row r="2606" spans="1:11" ht="15.75" customHeight="1">
      <c r="A2606" s="84" t="s">
        <v>38</v>
      </c>
      <c r="B2606" s="86">
        <v>351.81750379298285</v>
      </c>
      <c r="C2606" s="84">
        <v>2.5</v>
      </c>
      <c r="D2606" s="84">
        <v>7.2800000000000004E-2</v>
      </c>
      <c r="E2606" s="84">
        <v>1E-3</v>
      </c>
      <c r="F2606" s="84">
        <v>998</v>
      </c>
      <c r="G2606" s="87"/>
      <c r="H2606" s="86">
        <v>19.850000000000023</v>
      </c>
      <c r="I2606" s="84" t="s">
        <v>14</v>
      </c>
      <c r="J2606" s="84">
        <v>1.2250000000000001</v>
      </c>
      <c r="K2606" s="84">
        <v>7.2566037355601498</v>
      </c>
    </row>
    <row r="2607" spans="1:11" ht="15.75" customHeight="1">
      <c r="A2607" s="84" t="s">
        <v>38</v>
      </c>
      <c r="B2607" s="86">
        <v>732.24504547791605</v>
      </c>
      <c r="C2607" s="84">
        <v>2.5</v>
      </c>
      <c r="D2607" s="84">
        <v>7.2800000000000004E-2</v>
      </c>
      <c r="E2607" s="84">
        <v>1E-3</v>
      </c>
      <c r="F2607" s="84">
        <v>998</v>
      </c>
      <c r="G2607" s="87"/>
      <c r="H2607" s="86">
        <v>19.850000000000023</v>
      </c>
      <c r="I2607" s="84" t="s">
        <v>14</v>
      </c>
      <c r="J2607" s="84">
        <v>1.2250000000000001</v>
      </c>
      <c r="K2607" s="84">
        <v>9.2188675279844894</v>
      </c>
    </row>
    <row r="2608" spans="1:11" ht="15.75" customHeight="1">
      <c r="A2608" s="84" t="s">
        <v>38</v>
      </c>
      <c r="B2608" s="86">
        <v>1108.1215439546399</v>
      </c>
      <c r="C2608" s="84">
        <v>2.5</v>
      </c>
      <c r="D2608" s="84">
        <v>7.2800000000000004E-2</v>
      </c>
      <c r="E2608" s="84">
        <v>1E-3</v>
      </c>
      <c r="F2608" s="84">
        <v>998</v>
      </c>
      <c r="G2608" s="87"/>
      <c r="H2608" s="86">
        <v>19.850000000000023</v>
      </c>
      <c r="I2608" s="84" t="s">
        <v>14</v>
      </c>
      <c r="J2608" s="84">
        <v>1.2250000000000001</v>
      </c>
      <c r="K2608" s="84">
        <v>10.6075474142561</v>
      </c>
    </row>
    <row r="2609" spans="1:11" ht="15.75" customHeight="1">
      <c r="A2609" s="84" t="s">
        <v>38</v>
      </c>
      <c r="B2609" s="86">
        <v>1476.2327006923681</v>
      </c>
      <c r="C2609" s="84">
        <v>2.5</v>
      </c>
      <c r="D2609" s="84">
        <v>7.2800000000000004E-2</v>
      </c>
      <c r="E2609" s="84">
        <v>1E-3</v>
      </c>
      <c r="F2609" s="84">
        <v>998</v>
      </c>
      <c r="G2609" s="87"/>
      <c r="H2609" s="86">
        <v>19.850000000000023</v>
      </c>
      <c r="I2609" s="84" t="s">
        <v>14</v>
      </c>
      <c r="J2609" s="84">
        <v>1.2250000000000001</v>
      </c>
      <c r="K2609" s="84">
        <v>11.558490661099601</v>
      </c>
    </row>
    <row r="2610" spans="1:11" ht="15.75" customHeight="1">
      <c r="A2610" s="84" t="s">
        <v>38</v>
      </c>
      <c r="B2610" s="86">
        <v>1.0305728039356981</v>
      </c>
      <c r="C2610" s="84">
        <v>1.1200000000000001</v>
      </c>
      <c r="D2610" s="84">
        <v>7.2800000000000004E-2</v>
      </c>
      <c r="E2610" s="84">
        <v>1E-3</v>
      </c>
      <c r="F2610" s="84">
        <v>998</v>
      </c>
      <c r="G2610" s="87"/>
      <c r="H2610" s="86">
        <v>19.850000000000023</v>
      </c>
      <c r="I2610" s="12" t="s">
        <v>34</v>
      </c>
      <c r="J2610" s="88"/>
      <c r="K2610" s="84">
        <v>3.64179081411943</v>
      </c>
    </row>
    <row r="2611" spans="1:11" ht="15.75" customHeight="1">
      <c r="A2611" s="84" t="s">
        <v>38</v>
      </c>
      <c r="B2611" s="86">
        <v>4.3329071311495619</v>
      </c>
      <c r="C2611" s="84">
        <v>1.1200000000000001</v>
      </c>
      <c r="D2611" s="84">
        <v>7.2800000000000004E-2</v>
      </c>
      <c r="E2611" s="84">
        <v>1E-3</v>
      </c>
      <c r="F2611" s="84">
        <v>998</v>
      </c>
      <c r="G2611" s="87"/>
      <c r="H2611" s="86">
        <v>19.850000000000023</v>
      </c>
      <c r="I2611" s="12" t="s">
        <v>34</v>
      </c>
      <c r="J2611" s="88"/>
      <c r="K2611" s="84">
        <v>3.6865673893728599</v>
      </c>
    </row>
    <row r="2612" spans="1:11" ht="15.75" customHeight="1">
      <c r="A2612" s="84" t="s">
        <v>38</v>
      </c>
      <c r="B2612" s="86">
        <v>6.0577243561191603</v>
      </c>
      <c r="C2612" s="84">
        <v>1.1200000000000001</v>
      </c>
      <c r="D2612" s="84">
        <v>7.2800000000000004E-2</v>
      </c>
      <c r="E2612" s="84">
        <v>1E-3</v>
      </c>
      <c r="F2612" s="84">
        <v>998</v>
      </c>
      <c r="G2612" s="87"/>
      <c r="H2612" s="86">
        <v>19.850000000000023</v>
      </c>
      <c r="I2612" s="12" t="s">
        <v>34</v>
      </c>
      <c r="J2612" s="88"/>
      <c r="K2612" s="84">
        <v>3.7313428259106698</v>
      </c>
    </row>
    <row r="2613" spans="1:11" ht="15.75" customHeight="1">
      <c r="A2613" s="84" t="s">
        <v>38</v>
      </c>
      <c r="B2613" s="86">
        <v>11.727663720836521</v>
      </c>
      <c r="C2613" s="84">
        <v>1.1200000000000001</v>
      </c>
      <c r="D2613" s="84">
        <v>7.2800000000000004E-2</v>
      </c>
      <c r="E2613" s="84">
        <v>1E-3</v>
      </c>
      <c r="F2613" s="84">
        <v>998</v>
      </c>
      <c r="G2613" s="87"/>
      <c r="H2613" s="86">
        <v>19.850000000000023</v>
      </c>
      <c r="I2613" s="12" t="s">
        <v>34</v>
      </c>
      <c r="J2613" s="88"/>
      <c r="K2613" s="84">
        <v>3.7761194011641002</v>
      </c>
    </row>
    <row r="2614" spans="1:11" ht="15.75" customHeight="1">
      <c r="A2614" s="84" t="s">
        <v>38</v>
      </c>
      <c r="B2614" s="86">
        <v>16.713131458576438</v>
      </c>
      <c r="C2614" s="84">
        <v>1.1200000000000001</v>
      </c>
      <c r="D2614" s="84">
        <v>7.2800000000000004E-2</v>
      </c>
      <c r="E2614" s="84">
        <v>1E-3</v>
      </c>
      <c r="F2614" s="84">
        <v>998</v>
      </c>
      <c r="G2614" s="87"/>
      <c r="H2614" s="86">
        <v>19.850000000000023</v>
      </c>
      <c r="I2614" s="12" t="s">
        <v>34</v>
      </c>
      <c r="J2614" s="88"/>
      <c r="K2614" s="84">
        <v>3.8507462674427302</v>
      </c>
    </row>
    <row r="2615" spans="1:11" ht="15.75" customHeight="1">
      <c r="A2615" s="84" t="s">
        <v>38</v>
      </c>
      <c r="B2615" s="86">
        <v>22.06175197970844</v>
      </c>
      <c r="C2615" s="84">
        <v>1.1200000000000001</v>
      </c>
      <c r="D2615" s="84">
        <v>7.2800000000000004E-2</v>
      </c>
      <c r="E2615" s="84">
        <v>1E-3</v>
      </c>
      <c r="F2615" s="84">
        <v>998</v>
      </c>
      <c r="G2615" s="87"/>
      <c r="H2615" s="86">
        <v>19.850000000000023</v>
      </c>
      <c r="I2615" s="12" t="s">
        <v>34</v>
      </c>
      <c r="J2615" s="88"/>
      <c r="K2615" s="84">
        <v>3.9104479882087602</v>
      </c>
    </row>
    <row r="2616" spans="1:11" ht="15.75" customHeight="1">
      <c r="A2616" s="84" t="s">
        <v>38</v>
      </c>
      <c r="B2616" s="86">
        <v>51.725186737068718</v>
      </c>
      <c r="C2616" s="84">
        <v>1.1200000000000001</v>
      </c>
      <c r="D2616" s="84">
        <v>7.2800000000000004E-2</v>
      </c>
      <c r="E2616" s="84">
        <v>1E-3</v>
      </c>
      <c r="F2616" s="84">
        <v>998</v>
      </c>
      <c r="G2616" s="87"/>
      <c r="H2616" s="86">
        <v>19.850000000000023</v>
      </c>
      <c r="I2616" s="12" t="s">
        <v>34</v>
      </c>
      <c r="J2616" s="88"/>
      <c r="K2616" s="84">
        <v>4.2537314592189102</v>
      </c>
    </row>
    <row r="2617" spans="1:11" ht="15.75" customHeight="1">
      <c r="A2617" s="84" t="s">
        <v>38</v>
      </c>
      <c r="B2617" s="86">
        <v>100.13926078358161</v>
      </c>
      <c r="C2617" s="84">
        <v>1.1200000000000001</v>
      </c>
      <c r="D2617" s="84">
        <v>7.2800000000000004E-2</v>
      </c>
      <c r="E2617" s="84">
        <v>1E-3</v>
      </c>
      <c r="F2617" s="84">
        <v>998</v>
      </c>
      <c r="G2617" s="87"/>
      <c r="H2617" s="86">
        <v>19.850000000000023</v>
      </c>
      <c r="I2617" s="12" t="s">
        <v>34</v>
      </c>
      <c r="J2617" s="88"/>
      <c r="K2617" s="84">
        <v>4.7611938082989296</v>
      </c>
    </row>
    <row r="2618" spans="1:11" ht="15.75" customHeight="1">
      <c r="A2618" s="84" t="s">
        <v>38</v>
      </c>
      <c r="B2618" s="86">
        <v>154.06874485361581</v>
      </c>
      <c r="C2618" s="84">
        <v>1.1200000000000001</v>
      </c>
      <c r="D2618" s="84">
        <v>7.2800000000000004E-2</v>
      </c>
      <c r="E2618" s="84">
        <v>1E-3</v>
      </c>
      <c r="F2618" s="84">
        <v>998</v>
      </c>
      <c r="G2618" s="87"/>
      <c r="H2618" s="86">
        <v>19.850000000000023</v>
      </c>
      <c r="I2618" s="12" t="s">
        <v>34</v>
      </c>
      <c r="J2618" s="88"/>
      <c r="K2618" s="84">
        <v>5.2537310118663498</v>
      </c>
    </row>
    <row r="2619" spans="1:11" ht="15.75" customHeight="1">
      <c r="A2619" s="84" t="s">
        <v>38</v>
      </c>
      <c r="B2619" s="86">
        <v>207.30634448968681</v>
      </c>
      <c r="C2619" s="84">
        <v>1.1200000000000001</v>
      </c>
      <c r="D2619" s="84">
        <v>7.2800000000000004E-2</v>
      </c>
      <c r="E2619" s="84">
        <v>1E-3</v>
      </c>
      <c r="F2619" s="84">
        <v>998</v>
      </c>
      <c r="G2619" s="87"/>
      <c r="H2619" s="86">
        <v>19.850000000000023</v>
      </c>
      <c r="I2619" s="12" t="s">
        <v>34</v>
      </c>
      <c r="J2619" s="88"/>
      <c r="K2619" s="84">
        <v>5.7313430699211603</v>
      </c>
    </row>
    <row r="2620" spans="1:11" ht="15.75" customHeight="1">
      <c r="A2620" s="84" t="s">
        <v>38</v>
      </c>
      <c r="B2620" s="86">
        <v>255.91094694560698</v>
      </c>
      <c r="C2620" s="84">
        <v>1.1200000000000001</v>
      </c>
      <c r="D2620" s="84">
        <v>7.2800000000000004E-2</v>
      </c>
      <c r="E2620" s="84">
        <v>1E-3</v>
      </c>
      <c r="F2620" s="84">
        <v>998</v>
      </c>
      <c r="G2620" s="87"/>
      <c r="H2620" s="86">
        <v>19.850000000000023</v>
      </c>
      <c r="I2620" s="12" t="s">
        <v>34</v>
      </c>
      <c r="J2620" s="88"/>
      <c r="K2620" s="84">
        <v>6.1044774013143197</v>
      </c>
    </row>
    <row r="2621" spans="1:11" ht="15.75" customHeight="1">
      <c r="A2621" s="84" t="s">
        <v>38</v>
      </c>
      <c r="B2621" s="86">
        <v>301.14440492242858</v>
      </c>
      <c r="C2621" s="84">
        <v>1.1200000000000001</v>
      </c>
      <c r="D2621" s="84">
        <v>7.2800000000000004E-2</v>
      </c>
      <c r="E2621" s="84">
        <v>1E-3</v>
      </c>
      <c r="F2621" s="84">
        <v>998</v>
      </c>
      <c r="G2621" s="87"/>
      <c r="H2621" s="86">
        <v>19.850000000000023</v>
      </c>
      <c r="I2621" s="12" t="s">
        <v>34</v>
      </c>
      <c r="J2621" s="88"/>
      <c r="K2621" s="84">
        <v>6.4626865871948898</v>
      </c>
    </row>
    <row r="2622" spans="1:11" ht="15.75" customHeight="1">
      <c r="A2622" s="84" t="s">
        <v>38</v>
      </c>
      <c r="B2622" s="86">
        <v>350.99650600100762</v>
      </c>
      <c r="C2622" s="84">
        <v>1.1200000000000001</v>
      </c>
      <c r="D2622" s="84">
        <v>7.2800000000000004E-2</v>
      </c>
      <c r="E2622" s="84">
        <v>1E-3</v>
      </c>
      <c r="F2622" s="84">
        <v>998</v>
      </c>
      <c r="G2622" s="87"/>
      <c r="H2622" s="86">
        <v>19.850000000000023</v>
      </c>
      <c r="I2622" s="12" t="s">
        <v>34</v>
      </c>
      <c r="J2622" s="88"/>
      <c r="K2622" s="84">
        <v>6.8507460641006599</v>
      </c>
    </row>
    <row r="2623" spans="1:11" ht="15.75" customHeight="1">
      <c r="A2623" s="84" t="s">
        <v>38</v>
      </c>
      <c r="B2623" s="86">
        <v>421.02213160604521</v>
      </c>
      <c r="C2623" s="84">
        <v>1.1200000000000001</v>
      </c>
      <c r="D2623" s="84">
        <v>7.2800000000000004E-2</v>
      </c>
      <c r="E2623" s="84">
        <v>1E-3</v>
      </c>
      <c r="F2623" s="84">
        <v>998</v>
      </c>
      <c r="G2623" s="87"/>
      <c r="H2623" s="86">
        <v>19.850000000000023</v>
      </c>
      <c r="I2623" s="12" t="s">
        <v>34</v>
      </c>
      <c r="J2623" s="88"/>
      <c r="K2623" s="84">
        <v>7.1343283837025799</v>
      </c>
    </row>
    <row r="2624" spans="1:11" ht="15.75" customHeight="1">
      <c r="A2624" s="84" t="s">
        <v>38</v>
      </c>
      <c r="B2624" s="86">
        <v>534.87834624074162</v>
      </c>
      <c r="C2624" s="84">
        <v>1.1200000000000001</v>
      </c>
      <c r="D2624" s="84">
        <v>7.2800000000000004E-2</v>
      </c>
      <c r="E2624" s="84">
        <v>1E-3</v>
      </c>
      <c r="F2624" s="84">
        <v>998</v>
      </c>
      <c r="G2624" s="87"/>
      <c r="H2624" s="86">
        <v>19.850000000000023</v>
      </c>
      <c r="I2624" s="12" t="s">
        <v>34</v>
      </c>
      <c r="J2624" s="88"/>
      <c r="K2624" s="84">
        <v>7.3582089825384802</v>
      </c>
    </row>
    <row r="2625" spans="1:11" ht="15.75" customHeight="1">
      <c r="A2625" s="84" t="s">
        <v>38</v>
      </c>
      <c r="B2625" s="86">
        <v>571.95417202713782</v>
      </c>
      <c r="C2625" s="84">
        <v>1.1200000000000001</v>
      </c>
      <c r="D2625" s="84">
        <v>7.2800000000000004E-2</v>
      </c>
      <c r="E2625" s="84">
        <v>1E-3</v>
      </c>
      <c r="F2625" s="84">
        <v>998</v>
      </c>
      <c r="G2625" s="87"/>
      <c r="H2625" s="86">
        <v>19.850000000000023</v>
      </c>
      <c r="I2625" s="12" t="s">
        <v>34</v>
      </c>
      <c r="J2625" s="88"/>
      <c r="K2625" s="84">
        <v>7.5522387209913697</v>
      </c>
    </row>
    <row r="2626" spans="1:11" ht="15.75" customHeight="1">
      <c r="A2626" s="84" t="s">
        <v>38</v>
      </c>
      <c r="B2626" s="86">
        <v>7.5499382735645399</v>
      </c>
      <c r="C2626" s="84">
        <v>2.5</v>
      </c>
      <c r="D2626" s="84">
        <v>7.2800000000000004E-2</v>
      </c>
      <c r="E2626" s="84">
        <v>1E-3</v>
      </c>
      <c r="F2626" s="84">
        <v>998</v>
      </c>
      <c r="G2626" s="87"/>
      <c r="H2626" s="86">
        <v>19.850000000000023</v>
      </c>
      <c r="I2626" s="12" t="s">
        <v>34</v>
      </c>
      <c r="J2626" s="88"/>
      <c r="K2626" s="84">
        <v>4.6567160816372803</v>
      </c>
    </row>
    <row r="2627" spans="1:11" ht="15.75" customHeight="1">
      <c r="A2627" s="84" t="s">
        <v>38</v>
      </c>
      <c r="B2627" s="86">
        <v>10.5553716206316</v>
      </c>
      <c r="C2627" s="84">
        <v>2.5</v>
      </c>
      <c r="D2627" s="84">
        <v>7.2800000000000004E-2</v>
      </c>
      <c r="E2627" s="84">
        <v>1E-3</v>
      </c>
      <c r="F2627" s="84">
        <v>998</v>
      </c>
      <c r="G2627" s="87"/>
      <c r="H2627" s="86">
        <v>19.850000000000023</v>
      </c>
      <c r="I2627" s="12" t="s">
        <v>34</v>
      </c>
      <c r="J2627" s="88"/>
      <c r="K2627" s="84">
        <v>4.6716417965076902</v>
      </c>
    </row>
    <row r="2628" spans="1:11" ht="15.75" customHeight="1">
      <c r="A2628" s="84" t="s">
        <v>38</v>
      </c>
      <c r="B2628" s="86">
        <v>14.75718953090634</v>
      </c>
      <c r="C2628" s="84">
        <v>2.5</v>
      </c>
      <c r="D2628" s="84">
        <v>7.2800000000000004E-2</v>
      </c>
      <c r="E2628" s="84">
        <v>1E-3</v>
      </c>
      <c r="F2628" s="84">
        <v>998</v>
      </c>
      <c r="G2628" s="87"/>
      <c r="H2628" s="86">
        <v>19.850000000000023</v>
      </c>
      <c r="I2628" s="12" t="s">
        <v>34</v>
      </c>
      <c r="J2628" s="88"/>
      <c r="K2628" s="84">
        <v>4.7164166636877001</v>
      </c>
    </row>
    <row r="2629" spans="1:11" ht="15.75" customHeight="1">
      <c r="A2629" s="84" t="s">
        <v>38</v>
      </c>
      <c r="B2629" s="86">
        <v>31.1406780919155</v>
      </c>
      <c r="C2629" s="84">
        <v>2.5</v>
      </c>
      <c r="D2629" s="84">
        <v>7.2800000000000004E-2</v>
      </c>
      <c r="E2629" s="84">
        <v>1E-3</v>
      </c>
      <c r="F2629" s="84">
        <v>998</v>
      </c>
      <c r="G2629" s="87"/>
      <c r="H2629" s="86">
        <v>19.850000000000023</v>
      </c>
      <c r="I2629" s="12" t="s">
        <v>34</v>
      </c>
      <c r="J2629" s="88"/>
      <c r="K2629" s="84">
        <v>4.9253732557266101</v>
      </c>
    </row>
    <row r="2630" spans="1:11" ht="15.75" customHeight="1">
      <c r="A2630" s="84" t="s">
        <v>38</v>
      </c>
      <c r="B2630" s="86">
        <v>45.236632752150662</v>
      </c>
      <c r="C2630" s="84">
        <v>2.5</v>
      </c>
      <c r="D2630" s="84">
        <v>7.2800000000000004E-2</v>
      </c>
      <c r="E2630" s="84">
        <v>1E-3</v>
      </c>
      <c r="F2630" s="84">
        <v>998</v>
      </c>
      <c r="G2630" s="87"/>
      <c r="H2630" s="86">
        <v>19.850000000000023</v>
      </c>
      <c r="I2630" s="12" t="s">
        <v>34</v>
      </c>
      <c r="J2630" s="88"/>
      <c r="K2630" s="84">
        <v>5.0895509950808702</v>
      </c>
    </row>
    <row r="2631" spans="1:11" ht="15.75" customHeight="1">
      <c r="A2631" s="84" t="s">
        <v>38</v>
      </c>
      <c r="B2631" s="86">
        <v>62.044630090132202</v>
      </c>
      <c r="C2631" s="84">
        <v>2.5</v>
      </c>
      <c r="D2631" s="84">
        <v>7.2800000000000004E-2</v>
      </c>
      <c r="E2631" s="84">
        <v>1E-3</v>
      </c>
      <c r="F2631" s="84">
        <v>998</v>
      </c>
      <c r="G2631" s="87"/>
      <c r="H2631" s="86">
        <v>19.850000000000023</v>
      </c>
      <c r="I2631" s="12" t="s">
        <v>34</v>
      </c>
      <c r="J2631" s="88"/>
      <c r="K2631" s="84">
        <v>5.22388072084114</v>
      </c>
    </row>
    <row r="2632" spans="1:11" ht="15.75" customHeight="1">
      <c r="A2632" s="84" t="s">
        <v>38</v>
      </c>
      <c r="B2632" s="86">
        <v>75.861637424807398</v>
      </c>
      <c r="C2632" s="84">
        <v>2.5</v>
      </c>
      <c r="D2632" s="84">
        <v>7.2800000000000004E-2</v>
      </c>
      <c r="E2632" s="84">
        <v>1E-3</v>
      </c>
      <c r="F2632" s="84">
        <v>998</v>
      </c>
      <c r="G2632" s="87"/>
      <c r="H2632" s="86">
        <v>19.850000000000023</v>
      </c>
      <c r="I2632" s="12" t="s">
        <v>34</v>
      </c>
      <c r="J2632" s="88"/>
      <c r="K2632" s="84">
        <v>5.3731344533984</v>
      </c>
    </row>
    <row r="2633" spans="1:11" ht="15.75" customHeight="1">
      <c r="A2633" s="84" t="s">
        <v>38</v>
      </c>
      <c r="B2633" s="86">
        <v>151.14669809857202</v>
      </c>
      <c r="C2633" s="84">
        <v>2.5</v>
      </c>
      <c r="D2633" s="84">
        <v>7.2800000000000004E-2</v>
      </c>
      <c r="E2633" s="84">
        <v>1E-3</v>
      </c>
      <c r="F2633" s="84">
        <v>998</v>
      </c>
      <c r="G2633" s="87"/>
      <c r="H2633" s="86">
        <v>19.850000000000023</v>
      </c>
      <c r="I2633" s="12" t="s">
        <v>34</v>
      </c>
      <c r="J2633" s="88"/>
      <c r="K2633" s="84">
        <v>6.1194031161847304</v>
      </c>
    </row>
    <row r="2634" spans="1:11" ht="15.75" customHeight="1">
      <c r="A2634" s="84" t="s">
        <v>38</v>
      </c>
      <c r="B2634" s="86">
        <v>289.8295888146672</v>
      </c>
      <c r="C2634" s="84">
        <v>2.5</v>
      </c>
      <c r="D2634" s="84">
        <v>7.2800000000000004E-2</v>
      </c>
      <c r="E2634" s="84">
        <v>1E-3</v>
      </c>
      <c r="F2634" s="84">
        <v>998</v>
      </c>
      <c r="G2634" s="87"/>
      <c r="H2634" s="86">
        <v>19.850000000000023</v>
      </c>
      <c r="I2634" s="12" t="s">
        <v>34</v>
      </c>
      <c r="J2634" s="88"/>
      <c r="K2634" s="84">
        <v>7.0597015174239504</v>
      </c>
    </row>
    <row r="2635" spans="1:11" ht="15.75" customHeight="1">
      <c r="A2635" s="84" t="s">
        <v>38</v>
      </c>
      <c r="B2635" s="86">
        <v>433.29039661777324</v>
      </c>
      <c r="C2635" s="84">
        <v>2.5</v>
      </c>
      <c r="D2635" s="84">
        <v>7.2800000000000004E-2</v>
      </c>
      <c r="E2635" s="84">
        <v>1E-3</v>
      </c>
      <c r="F2635" s="84">
        <v>998</v>
      </c>
      <c r="G2635" s="87"/>
      <c r="H2635" s="86">
        <v>19.850000000000023</v>
      </c>
      <c r="I2635" s="12" t="s">
        <v>34</v>
      </c>
      <c r="J2635" s="88"/>
      <c r="K2635" s="84">
        <v>7.6865673080360297</v>
      </c>
    </row>
    <row r="2636" spans="1:11" ht="15.75" customHeight="1">
      <c r="A2636" s="84" t="s">
        <v>38</v>
      </c>
      <c r="B2636" s="86">
        <v>830.85155546979001</v>
      </c>
      <c r="C2636" s="84">
        <v>2.5</v>
      </c>
      <c r="D2636" s="84">
        <v>7.2800000000000004E-2</v>
      </c>
      <c r="E2636" s="84">
        <v>1E-3</v>
      </c>
      <c r="F2636" s="84">
        <v>998</v>
      </c>
      <c r="G2636" s="87"/>
      <c r="H2636" s="86">
        <v>19.850000000000023</v>
      </c>
      <c r="I2636" s="12" t="s">
        <v>34</v>
      </c>
      <c r="J2636" s="88"/>
      <c r="K2636" s="84">
        <v>9.9253730117161201</v>
      </c>
    </row>
    <row r="2637" spans="1:11" ht="15.75" customHeight="1">
      <c r="A2637" s="84" t="s">
        <v>38</v>
      </c>
      <c r="B2637" s="86">
        <v>1006.1981392861859</v>
      </c>
      <c r="C2637" s="84">
        <v>2.5</v>
      </c>
      <c r="D2637" s="84">
        <v>7.2800000000000004E-2</v>
      </c>
      <c r="E2637" s="84">
        <v>1E-3</v>
      </c>
      <c r="F2637" s="84">
        <v>998</v>
      </c>
      <c r="G2637" s="87"/>
      <c r="H2637" s="86">
        <v>19.850000000000023</v>
      </c>
      <c r="I2637" s="12" t="s">
        <v>34</v>
      </c>
      <c r="J2637" s="88"/>
      <c r="K2637" s="84">
        <v>10.402984500413099</v>
      </c>
    </row>
    <row r="2638" spans="1:11" ht="15.75" customHeight="1">
      <c r="A2638" s="84" t="s">
        <v>38</v>
      </c>
      <c r="B2638" s="86">
        <v>4.6076572942448459</v>
      </c>
      <c r="C2638" s="84">
        <v>1.1200000000000001</v>
      </c>
      <c r="D2638" s="84">
        <v>7.2800000000000004E-2</v>
      </c>
      <c r="E2638" s="84">
        <v>1E-3</v>
      </c>
      <c r="F2638" s="84">
        <v>998</v>
      </c>
      <c r="G2638" s="87"/>
      <c r="H2638" s="86">
        <v>19.850000000000023</v>
      </c>
      <c r="I2638" s="12" t="s">
        <v>14</v>
      </c>
      <c r="J2638" s="88">
        <v>1.2250000000000001</v>
      </c>
      <c r="K2638" s="84">
        <v>3.4863731532956099</v>
      </c>
    </row>
    <row r="2639" spans="1:11" ht="15.75" customHeight="1">
      <c r="A2639" s="84" t="s">
        <v>38</v>
      </c>
      <c r="B2639" s="86">
        <v>11.43099106478466</v>
      </c>
      <c r="C2639" s="84">
        <v>1.1200000000000001</v>
      </c>
      <c r="D2639" s="84">
        <v>7.2800000000000004E-2</v>
      </c>
      <c r="E2639" s="84">
        <v>1E-3</v>
      </c>
      <c r="F2639" s="84">
        <v>998</v>
      </c>
      <c r="G2639" s="87"/>
      <c r="H2639" s="86">
        <v>19.850000000000023</v>
      </c>
      <c r="I2639" s="12" t="s">
        <v>14</v>
      </c>
      <c r="J2639" s="88">
        <v>1.2250000000000001</v>
      </c>
      <c r="K2639" s="84">
        <v>3.6037729036288599</v>
      </c>
    </row>
    <row r="2640" spans="1:11" ht="15.75" customHeight="1">
      <c r="A2640" s="84" t="s">
        <v>38</v>
      </c>
      <c r="B2640" s="86">
        <v>16.3390636568862</v>
      </c>
      <c r="C2640" s="84">
        <v>1.1200000000000001</v>
      </c>
      <c r="D2640" s="84">
        <v>7.2800000000000004E-2</v>
      </c>
      <c r="E2640" s="84">
        <v>1E-3</v>
      </c>
      <c r="F2640" s="84">
        <v>998</v>
      </c>
      <c r="G2640" s="87"/>
      <c r="H2640" s="86">
        <v>19.850000000000023</v>
      </c>
      <c r="I2640" s="12" t="s">
        <v>14</v>
      </c>
      <c r="J2640" s="88">
        <v>1.2250000000000001</v>
      </c>
      <c r="K2640" s="84">
        <v>3.6624733386043302</v>
      </c>
    </row>
    <row r="2641" spans="1:11" ht="15.75" customHeight="1">
      <c r="A2641" s="84" t="s">
        <v>38</v>
      </c>
      <c r="B2641" s="86">
        <v>28.57986030230418</v>
      </c>
      <c r="C2641" s="84">
        <v>1.1200000000000001</v>
      </c>
      <c r="D2641" s="84">
        <v>7.2800000000000004E-2</v>
      </c>
      <c r="E2641" s="84">
        <v>1E-3</v>
      </c>
      <c r="F2641" s="84">
        <v>998</v>
      </c>
      <c r="G2641" s="87"/>
      <c r="H2641" s="86">
        <v>19.850000000000023</v>
      </c>
      <c r="I2641" s="12" t="s">
        <v>14</v>
      </c>
      <c r="J2641" s="88">
        <v>1.2250000000000001</v>
      </c>
      <c r="K2641" s="84">
        <v>3.6918241159009</v>
      </c>
    </row>
    <row r="2642" spans="1:11" ht="15.75" customHeight="1">
      <c r="A2642" s="84" t="s">
        <v>38</v>
      </c>
      <c r="B2642" s="86">
        <v>38.390351337184981</v>
      </c>
      <c r="C2642" s="84">
        <v>1.1200000000000001</v>
      </c>
      <c r="D2642" s="84">
        <v>7.2800000000000004E-2</v>
      </c>
      <c r="E2642" s="84">
        <v>1E-3</v>
      </c>
      <c r="F2642" s="84">
        <v>998</v>
      </c>
      <c r="G2642" s="87"/>
      <c r="H2642" s="86">
        <v>19.850000000000023</v>
      </c>
      <c r="I2642" s="12" t="s">
        <v>14</v>
      </c>
      <c r="J2642" s="88">
        <v>1.2250000000000001</v>
      </c>
      <c r="K2642" s="84">
        <v>3.9266247361850799</v>
      </c>
    </row>
    <row r="2643" spans="1:11" ht="15.75" customHeight="1">
      <c r="A2643" s="84" t="s">
        <v>38</v>
      </c>
      <c r="B2643" s="86">
        <v>48.839943128142181</v>
      </c>
      <c r="C2643" s="84">
        <v>1.1200000000000001</v>
      </c>
      <c r="D2643" s="84">
        <v>7.2800000000000004E-2</v>
      </c>
      <c r="E2643" s="84">
        <v>1E-3</v>
      </c>
      <c r="F2643" s="84">
        <v>998</v>
      </c>
      <c r="G2643" s="87"/>
      <c r="H2643" s="86">
        <v>19.850000000000023</v>
      </c>
      <c r="I2643" s="12" t="s">
        <v>14</v>
      </c>
      <c r="J2643" s="88">
        <v>1.2250000000000001</v>
      </c>
      <c r="K2643" s="84">
        <v>3.9853251711605502</v>
      </c>
    </row>
    <row r="2644" spans="1:11" ht="15.75" customHeight="1">
      <c r="A2644" s="84" t="s">
        <v>38</v>
      </c>
      <c r="B2644" s="86">
        <v>63.106446956676592</v>
      </c>
      <c r="C2644" s="84">
        <v>1.1200000000000001</v>
      </c>
      <c r="D2644" s="84">
        <v>7.2800000000000004E-2</v>
      </c>
      <c r="E2644" s="84">
        <v>1E-3</v>
      </c>
      <c r="F2644" s="84">
        <v>998</v>
      </c>
      <c r="G2644" s="87"/>
      <c r="H2644" s="86">
        <v>19.850000000000023</v>
      </c>
      <c r="I2644" s="12" t="s">
        <v>14</v>
      </c>
      <c r="J2644" s="88">
        <v>1.2250000000000001</v>
      </c>
      <c r="K2644" s="84">
        <v>4</v>
      </c>
    </row>
    <row r="2645" spans="1:11" ht="15.75" customHeight="1">
      <c r="A2645" s="84" t="s">
        <v>38</v>
      </c>
      <c r="B2645" s="86">
        <v>132.9998232949026</v>
      </c>
      <c r="C2645" s="84">
        <v>1.1200000000000001</v>
      </c>
      <c r="D2645" s="84">
        <v>7.2800000000000004E-2</v>
      </c>
      <c r="E2645" s="84">
        <v>1E-3</v>
      </c>
      <c r="F2645" s="84">
        <v>998</v>
      </c>
      <c r="G2645" s="87"/>
      <c r="H2645" s="86">
        <v>19.850000000000023</v>
      </c>
      <c r="I2645" s="12" t="s">
        <v>14</v>
      </c>
      <c r="J2645" s="88">
        <v>1.2250000000000001</v>
      </c>
      <c r="K2645" s="84">
        <v>4.2054504027964503</v>
      </c>
    </row>
    <row r="2646" spans="1:11" ht="15.75" customHeight="1">
      <c r="A2646" s="84" t="s">
        <v>38</v>
      </c>
      <c r="B2646" s="86">
        <v>3.3511986104784541</v>
      </c>
      <c r="C2646" s="84">
        <v>2.5</v>
      </c>
      <c r="D2646" s="84">
        <v>7.2800000000000004E-2</v>
      </c>
      <c r="E2646" s="84">
        <v>1E-3</v>
      </c>
      <c r="F2646" s="84">
        <v>998</v>
      </c>
      <c r="G2646" s="87"/>
      <c r="H2646" s="86">
        <v>19.850000000000023</v>
      </c>
      <c r="I2646" s="12" t="s">
        <v>14</v>
      </c>
      <c r="J2646" s="88">
        <v>1.2250000000000001</v>
      </c>
      <c r="K2646" s="84">
        <v>4.4255761942411898</v>
      </c>
    </row>
    <row r="2647" spans="1:11" ht="15.75" customHeight="1">
      <c r="A2647" s="84" t="s">
        <v>38</v>
      </c>
      <c r="B2647" s="86">
        <v>8.57619268405608</v>
      </c>
      <c r="C2647" s="84">
        <v>2.5</v>
      </c>
      <c r="D2647" s="84">
        <v>7.2800000000000004E-2</v>
      </c>
      <c r="E2647" s="84">
        <v>1E-3</v>
      </c>
      <c r="F2647" s="84">
        <v>998</v>
      </c>
      <c r="G2647" s="87"/>
      <c r="H2647" s="86">
        <v>19.850000000000023</v>
      </c>
      <c r="I2647" s="12" t="s">
        <v>14</v>
      </c>
      <c r="J2647" s="88">
        <v>1.2250000000000001</v>
      </c>
      <c r="K2647" s="84">
        <v>4.4696018003772</v>
      </c>
    </row>
    <row r="2648" spans="1:11" ht="15.75" customHeight="1">
      <c r="A2648" s="84" t="s">
        <v>38</v>
      </c>
      <c r="B2648" s="86">
        <v>17.79617244904092</v>
      </c>
      <c r="C2648" s="84">
        <v>2.5</v>
      </c>
      <c r="D2648" s="84">
        <v>7.2800000000000004E-2</v>
      </c>
      <c r="E2648" s="84">
        <v>1E-3</v>
      </c>
      <c r="F2648" s="84">
        <v>998</v>
      </c>
      <c r="G2648" s="87"/>
      <c r="H2648" s="86">
        <v>19.850000000000023</v>
      </c>
      <c r="I2648" s="12" t="s">
        <v>14</v>
      </c>
      <c r="J2648" s="88">
        <v>1.2250000000000001</v>
      </c>
      <c r="K2648" s="84">
        <v>4.55765077341389</v>
      </c>
    </row>
    <row r="2649" spans="1:11" ht="15.75" customHeight="1">
      <c r="A2649" s="84" t="s">
        <v>38</v>
      </c>
      <c r="B2649" s="86">
        <v>33.642372158557265</v>
      </c>
      <c r="C2649" s="84">
        <v>2.5</v>
      </c>
      <c r="D2649" s="84">
        <v>7.2800000000000004E-2</v>
      </c>
      <c r="E2649" s="84">
        <v>1E-3</v>
      </c>
      <c r="F2649" s="84">
        <v>998</v>
      </c>
      <c r="G2649" s="87"/>
      <c r="H2649" s="86">
        <v>19.850000000000023</v>
      </c>
      <c r="I2649" s="12" t="s">
        <v>14</v>
      </c>
      <c r="J2649" s="88">
        <v>1.2250000000000001</v>
      </c>
      <c r="K2649" s="84">
        <v>4.71907724950084</v>
      </c>
    </row>
    <row r="2650" spans="1:11" ht="15.75" customHeight="1">
      <c r="A2650" s="84" t="s">
        <v>38</v>
      </c>
      <c r="B2650" s="86">
        <v>65.0975291798526</v>
      </c>
      <c r="C2650" s="84">
        <v>2.5</v>
      </c>
      <c r="D2650" s="84">
        <v>7.2800000000000004E-2</v>
      </c>
      <c r="E2650" s="84">
        <v>1E-3</v>
      </c>
      <c r="F2650" s="84">
        <v>998</v>
      </c>
      <c r="G2650" s="87"/>
      <c r="H2650" s="86">
        <v>19.850000000000023</v>
      </c>
      <c r="I2650" s="12" t="s">
        <v>14</v>
      </c>
      <c r="J2650" s="88">
        <v>1.2250000000000001</v>
      </c>
      <c r="K2650" s="84">
        <v>5.0125783047604902</v>
      </c>
    </row>
    <row r="2651" spans="1:11" ht="15.75" customHeight="1">
      <c r="A2651" s="84" t="s">
        <v>38</v>
      </c>
      <c r="B2651" s="86">
        <v>101.34614301817381</v>
      </c>
      <c r="C2651" s="84">
        <v>2.5</v>
      </c>
      <c r="D2651" s="84">
        <v>7.2800000000000004E-2</v>
      </c>
      <c r="E2651" s="84">
        <v>1E-3</v>
      </c>
      <c r="F2651" s="84">
        <v>998</v>
      </c>
      <c r="G2651" s="87"/>
      <c r="H2651" s="86">
        <v>19.850000000000023</v>
      </c>
      <c r="I2651" s="12" t="s">
        <v>14</v>
      </c>
      <c r="J2651" s="88">
        <v>1.2250000000000001</v>
      </c>
      <c r="K2651" s="84">
        <v>5.3060793600201404</v>
      </c>
    </row>
    <row r="2652" spans="1:11" ht="15.75" customHeight="1">
      <c r="A2652" s="84" t="s">
        <v>38</v>
      </c>
      <c r="B2652" s="86">
        <v>130.95009103225081</v>
      </c>
      <c r="C2652" s="84">
        <v>2.5</v>
      </c>
      <c r="D2652" s="84">
        <v>7.2800000000000004E-2</v>
      </c>
      <c r="E2652" s="84">
        <v>1E-3</v>
      </c>
      <c r="F2652" s="84">
        <v>998</v>
      </c>
      <c r="G2652" s="87"/>
      <c r="H2652" s="86">
        <v>19.850000000000023</v>
      </c>
      <c r="I2652" s="12" t="s">
        <v>14</v>
      </c>
      <c r="J2652" s="88">
        <v>1.2250000000000001</v>
      </c>
      <c r="K2652" s="84">
        <v>5.5555553689526098</v>
      </c>
    </row>
    <row r="2653" spans="1:11" ht="15.75" customHeight="1">
      <c r="A2653" s="84" t="s">
        <v>38</v>
      </c>
      <c r="B2653" s="86">
        <v>166.59381266056261</v>
      </c>
      <c r="C2653" s="84">
        <v>2.5</v>
      </c>
      <c r="D2653" s="84">
        <v>7.2800000000000004E-2</v>
      </c>
      <c r="E2653" s="84">
        <v>1E-3</v>
      </c>
      <c r="F2653" s="84">
        <v>998</v>
      </c>
      <c r="G2653" s="87"/>
      <c r="H2653" s="86">
        <v>19.850000000000023</v>
      </c>
      <c r="I2653" s="12" t="s">
        <v>14</v>
      </c>
      <c r="J2653" s="88">
        <v>1.2250000000000001</v>
      </c>
      <c r="K2653" s="84">
        <v>5.6729556790947004</v>
      </c>
    </row>
    <row r="2654" spans="1:11" ht="15.75" customHeight="1">
      <c r="A2654" s="84" t="s">
        <v>38</v>
      </c>
      <c r="B2654" s="86">
        <v>188.63475564490079</v>
      </c>
      <c r="C2654" s="84">
        <v>2.5</v>
      </c>
      <c r="D2654" s="84">
        <v>7.2800000000000004E-2</v>
      </c>
      <c r="E2654" s="84">
        <v>1E-3</v>
      </c>
      <c r="F2654" s="84">
        <v>998</v>
      </c>
      <c r="G2654" s="87"/>
      <c r="H2654" s="86">
        <v>19.850000000000023</v>
      </c>
      <c r="I2654" s="12" t="s">
        <v>14</v>
      </c>
      <c r="J2654" s="88">
        <v>1.2250000000000001</v>
      </c>
      <c r="K2654" s="84">
        <v>5.84905642421226</v>
      </c>
    </row>
    <row r="2655" spans="1:11" ht="15.75" customHeight="1">
      <c r="A2655" s="84" t="s">
        <v>38</v>
      </c>
      <c r="B2655" s="86">
        <v>327.402522411669</v>
      </c>
      <c r="C2655" s="84">
        <v>2.5</v>
      </c>
      <c r="D2655" s="84">
        <v>7.2800000000000004E-2</v>
      </c>
      <c r="E2655" s="84">
        <v>1E-3</v>
      </c>
      <c r="F2655" s="84">
        <v>998</v>
      </c>
      <c r="G2655" s="87"/>
      <c r="H2655" s="86">
        <v>19.850000000000023</v>
      </c>
      <c r="I2655" s="12" t="s">
        <v>14</v>
      </c>
      <c r="J2655" s="88">
        <v>1.2250000000000001</v>
      </c>
      <c r="K2655" s="84">
        <v>6.4360585347315498</v>
      </c>
    </row>
    <row r="2656" spans="1:11" ht="15.75" customHeight="1">
      <c r="A2656" s="84" t="s">
        <v>38</v>
      </c>
      <c r="B2656" s="86">
        <v>400.65602536914423</v>
      </c>
      <c r="C2656" s="84">
        <v>2.5</v>
      </c>
      <c r="D2656" s="84">
        <v>7.2800000000000004E-2</v>
      </c>
      <c r="E2656" s="84">
        <v>1E-3</v>
      </c>
      <c r="F2656" s="84">
        <v>998</v>
      </c>
      <c r="G2656" s="87"/>
      <c r="H2656" s="86">
        <v>19.850000000000023</v>
      </c>
      <c r="I2656" s="12" t="s">
        <v>14</v>
      </c>
      <c r="J2656" s="88">
        <v>1.2250000000000001</v>
      </c>
      <c r="K2656" s="84">
        <v>6.6855345436640299</v>
      </c>
    </row>
    <row r="2657" spans="1:11" ht="15.75" customHeight="1">
      <c r="A2657" s="84" t="s">
        <v>39</v>
      </c>
      <c r="B2657" s="12">
        <v>5</v>
      </c>
      <c r="C2657" s="84">
        <v>0.84</v>
      </c>
      <c r="D2657" s="84">
        <v>7.1999999999999995E-2</v>
      </c>
      <c r="E2657" s="84">
        <v>8.9400000000000005E-4</v>
      </c>
      <c r="F2657" s="84">
        <v>997.1</v>
      </c>
      <c r="G2657" s="87"/>
      <c r="H2657" s="12">
        <v>25</v>
      </c>
      <c r="I2657" s="12" t="s">
        <v>12</v>
      </c>
      <c r="J2657" s="88"/>
      <c r="K2657" s="84">
        <v>3.72</v>
      </c>
    </row>
    <row r="2658" spans="1:11" ht="15.75" customHeight="1">
      <c r="A2658" s="84" t="s">
        <v>39</v>
      </c>
      <c r="B2658" s="12">
        <v>15</v>
      </c>
      <c r="C2658" s="84">
        <v>0.84</v>
      </c>
      <c r="D2658" s="84">
        <v>7.1999999999999995E-2</v>
      </c>
      <c r="E2658" s="84">
        <v>8.9400000000000005E-4</v>
      </c>
      <c r="F2658" s="84">
        <v>997.1</v>
      </c>
      <c r="G2658" s="87"/>
      <c r="H2658" s="12">
        <v>25</v>
      </c>
      <c r="I2658" s="12" t="s">
        <v>12</v>
      </c>
      <c r="J2658" s="88"/>
      <c r="K2658" s="84">
        <v>3.95</v>
      </c>
    </row>
    <row r="2659" spans="1:11" ht="15.75" customHeight="1">
      <c r="A2659" s="84" t="s">
        <v>39</v>
      </c>
      <c r="B2659" s="12">
        <v>5</v>
      </c>
      <c r="C2659" s="84">
        <v>1.36</v>
      </c>
      <c r="D2659" s="84">
        <v>7.1999999999999995E-2</v>
      </c>
      <c r="E2659" s="84">
        <v>8.9400000000000005E-4</v>
      </c>
      <c r="F2659" s="84">
        <v>997.1</v>
      </c>
      <c r="G2659" s="87"/>
      <c r="H2659" s="12">
        <v>25</v>
      </c>
      <c r="I2659" s="12" t="s">
        <v>12</v>
      </c>
      <c r="J2659" s="88"/>
      <c r="K2659" s="84">
        <v>4.38</v>
      </c>
    </row>
    <row r="2660" spans="1:11" ht="15.75" customHeight="1">
      <c r="A2660" s="84" t="s">
        <v>39</v>
      </c>
      <c r="B2660" s="12">
        <v>50</v>
      </c>
      <c r="C2660" s="84">
        <v>0.84</v>
      </c>
      <c r="D2660" s="84">
        <v>7.1999999999999995E-2</v>
      </c>
      <c r="E2660" s="84">
        <v>8.9400000000000005E-4</v>
      </c>
      <c r="F2660" s="84">
        <v>997.1</v>
      </c>
      <c r="G2660" s="87"/>
      <c r="H2660" s="12">
        <v>25</v>
      </c>
      <c r="I2660" s="12" t="s">
        <v>12</v>
      </c>
      <c r="J2660" s="88"/>
      <c r="K2660" s="84">
        <v>4.24</v>
      </c>
    </row>
    <row r="2661" spans="1:11" ht="15.75" customHeight="1">
      <c r="A2661" s="84" t="s">
        <v>39</v>
      </c>
      <c r="B2661" s="12">
        <v>15</v>
      </c>
      <c r="C2661" s="84">
        <v>1.36</v>
      </c>
      <c r="D2661" s="84">
        <v>7.1999999999999995E-2</v>
      </c>
      <c r="E2661" s="84">
        <v>8.9400000000000005E-4</v>
      </c>
      <c r="F2661" s="84">
        <v>997.1</v>
      </c>
      <c r="G2661" s="87"/>
      <c r="H2661" s="12">
        <v>25</v>
      </c>
      <c r="I2661" s="12" t="s">
        <v>12</v>
      </c>
      <c r="J2661" s="88"/>
      <c r="K2661" s="84">
        <v>4.43</v>
      </c>
    </row>
    <row r="2662" spans="1:11" ht="15.75" customHeight="1">
      <c r="A2662" s="84" t="s">
        <v>39</v>
      </c>
      <c r="B2662" s="12">
        <v>50</v>
      </c>
      <c r="C2662" s="84">
        <v>1.36</v>
      </c>
      <c r="D2662" s="84">
        <v>7.1999999999999995E-2</v>
      </c>
      <c r="E2662" s="84">
        <v>8.9400000000000005E-4</v>
      </c>
      <c r="F2662" s="84">
        <v>997.1</v>
      </c>
      <c r="G2662" s="87"/>
      <c r="H2662" s="12">
        <v>25</v>
      </c>
      <c r="I2662" s="12" t="s">
        <v>12</v>
      </c>
      <c r="J2662" s="88"/>
      <c r="K2662" s="84">
        <v>4.62</v>
      </c>
    </row>
    <row r="2663" spans="1:11" ht="15.75" customHeight="1">
      <c r="A2663" s="84" t="s">
        <v>39</v>
      </c>
      <c r="B2663" s="12">
        <v>15</v>
      </c>
      <c r="C2663" s="84">
        <v>1.53</v>
      </c>
      <c r="D2663" s="84">
        <v>7.1999999999999995E-2</v>
      </c>
      <c r="E2663" s="84">
        <v>8.9400000000000005E-4</v>
      </c>
      <c r="F2663" s="84">
        <v>997.1</v>
      </c>
      <c r="G2663" s="87"/>
      <c r="H2663" s="12">
        <v>25</v>
      </c>
      <c r="I2663" s="12" t="s">
        <v>12</v>
      </c>
      <c r="J2663" s="88"/>
      <c r="K2663" s="84">
        <v>4.5199999999999996</v>
      </c>
    </row>
    <row r="2664" spans="1:11" ht="15.75" customHeight="1">
      <c r="A2664" s="84" t="s">
        <v>39</v>
      </c>
      <c r="B2664" s="12">
        <v>5</v>
      </c>
      <c r="C2664" s="92">
        <v>0.84</v>
      </c>
      <c r="D2664" s="84">
        <v>7.1999999999999995E-2</v>
      </c>
      <c r="E2664" s="84">
        <v>8.9400000000000005E-4</v>
      </c>
      <c r="F2664" s="84">
        <v>997.1</v>
      </c>
      <c r="G2664" s="87"/>
      <c r="H2664" s="12">
        <v>25</v>
      </c>
      <c r="I2664" s="12" t="s">
        <v>12</v>
      </c>
      <c r="J2664" s="88"/>
      <c r="K2664" s="92">
        <v>3.7771145223759701</v>
      </c>
    </row>
    <row r="2665" spans="1:11" ht="15.75" customHeight="1">
      <c r="A2665" s="84" t="s">
        <v>39</v>
      </c>
      <c r="B2665" s="12">
        <v>5</v>
      </c>
      <c r="C2665" s="88">
        <v>1.36</v>
      </c>
      <c r="D2665" s="84">
        <v>7.1999999999999995E-2</v>
      </c>
      <c r="E2665" s="84">
        <v>8.9400000000000005E-4</v>
      </c>
      <c r="F2665" s="84">
        <v>997.1</v>
      </c>
      <c r="G2665" s="87"/>
      <c r="H2665" s="12">
        <v>25</v>
      </c>
      <c r="I2665" s="12" t="s">
        <v>12</v>
      </c>
      <c r="J2665" s="88"/>
      <c r="K2665" s="88">
        <v>4.3343284157112496</v>
      </c>
    </row>
    <row r="2666" spans="1:11" ht="15.75" customHeight="1">
      <c r="A2666" s="84" t="s">
        <v>39</v>
      </c>
      <c r="B2666" s="12">
        <v>5</v>
      </c>
      <c r="C2666" s="92">
        <v>1.54</v>
      </c>
      <c r="D2666" s="84">
        <v>7.1999999999999995E-2</v>
      </c>
      <c r="E2666" s="84">
        <v>8.9400000000000005E-4</v>
      </c>
      <c r="F2666" s="84">
        <v>997.1</v>
      </c>
      <c r="G2666" s="87"/>
      <c r="H2666" s="12">
        <v>25</v>
      </c>
      <c r="I2666" s="12" t="s">
        <v>12</v>
      </c>
      <c r="J2666" s="88"/>
      <c r="K2666" s="92">
        <v>4.41791040102287</v>
      </c>
    </row>
    <row r="2667" spans="1:11" ht="15.75" customHeight="1">
      <c r="A2667" s="84" t="s">
        <v>39</v>
      </c>
      <c r="B2667" s="12">
        <v>15</v>
      </c>
      <c r="C2667" s="92">
        <v>0.84</v>
      </c>
      <c r="D2667" s="84">
        <v>7.1999999999999995E-2</v>
      </c>
      <c r="E2667" s="84">
        <v>8.9400000000000005E-4</v>
      </c>
      <c r="F2667" s="84">
        <v>997.1</v>
      </c>
      <c r="G2667" s="87"/>
      <c r="H2667" s="12">
        <v>25</v>
      </c>
      <c r="I2667" s="12" t="s">
        <v>12</v>
      </c>
      <c r="J2667" s="88"/>
      <c r="K2667" s="92">
        <v>3.95820885551545</v>
      </c>
    </row>
    <row r="2668" spans="1:11" ht="15.75" customHeight="1">
      <c r="A2668" s="84" t="s">
        <v>39</v>
      </c>
      <c r="B2668" s="12">
        <v>15</v>
      </c>
      <c r="C2668" s="88">
        <v>1.36</v>
      </c>
      <c r="D2668" s="84">
        <v>7.1999999999999995E-2</v>
      </c>
      <c r="E2668" s="84">
        <v>8.9400000000000005E-4</v>
      </c>
      <c r="F2668" s="84">
        <v>997.1</v>
      </c>
      <c r="G2668" s="87"/>
      <c r="H2668" s="12">
        <v>25</v>
      </c>
      <c r="I2668" s="12" t="s">
        <v>12</v>
      </c>
      <c r="J2668" s="88"/>
      <c r="K2668" s="92">
        <v>4.4616915837393103</v>
      </c>
    </row>
    <row r="2669" spans="1:11" ht="15.75" customHeight="1">
      <c r="A2669" s="84" t="s">
        <v>39</v>
      </c>
      <c r="B2669" s="12">
        <v>15</v>
      </c>
      <c r="C2669" s="92">
        <v>1.54</v>
      </c>
      <c r="D2669" s="84">
        <v>7.1999999999999995E-2</v>
      </c>
      <c r="E2669" s="84">
        <v>8.9400000000000005E-4</v>
      </c>
      <c r="F2669" s="84">
        <v>997.1</v>
      </c>
      <c r="G2669" s="87"/>
      <c r="H2669" s="12">
        <v>25</v>
      </c>
      <c r="I2669" s="12" t="s">
        <v>12</v>
      </c>
      <c r="J2669" s="88"/>
      <c r="K2669" s="92">
        <v>4.5631840839453401</v>
      </c>
    </row>
    <row r="2670" spans="1:11" ht="15.75" customHeight="1">
      <c r="A2670" s="84" t="s">
        <v>39</v>
      </c>
      <c r="B2670" s="12">
        <v>50</v>
      </c>
      <c r="C2670" s="92">
        <v>0.84</v>
      </c>
      <c r="D2670" s="84">
        <v>7.1999999999999995E-2</v>
      </c>
      <c r="E2670" s="84">
        <v>8.9400000000000005E-4</v>
      </c>
      <c r="F2670" s="84">
        <v>997.1</v>
      </c>
      <c r="G2670" s="87"/>
      <c r="H2670" s="12">
        <v>25</v>
      </c>
      <c r="I2670" s="12" t="s">
        <v>12</v>
      </c>
      <c r="J2670" s="88"/>
      <c r="K2670" s="92">
        <v>4.21890547707459</v>
      </c>
    </row>
    <row r="2671" spans="1:11" ht="15.75" customHeight="1">
      <c r="A2671" s="84" t="s">
        <v>39</v>
      </c>
      <c r="B2671" s="12">
        <v>50</v>
      </c>
      <c r="C2671" s="88">
        <v>1.36</v>
      </c>
      <c r="D2671" s="84">
        <v>7.1999999999999995E-2</v>
      </c>
      <c r="E2671" s="84">
        <v>8.9400000000000005E-4</v>
      </c>
      <c r="F2671" s="84">
        <v>997.1</v>
      </c>
      <c r="G2671" s="87"/>
      <c r="H2671" s="12">
        <v>25</v>
      </c>
      <c r="I2671" s="12" t="s">
        <v>12</v>
      </c>
      <c r="J2671" s="88"/>
      <c r="K2671" s="92">
        <v>4.6288557441484599</v>
      </c>
    </row>
    <row r="2672" spans="1:11" ht="15.75" customHeight="1">
      <c r="A2672" s="84" t="s">
        <v>39</v>
      </c>
      <c r="B2672" s="12">
        <v>50</v>
      </c>
      <c r="C2672" s="92">
        <v>1.54</v>
      </c>
      <c r="D2672" s="84">
        <v>7.1999999999999995E-2</v>
      </c>
      <c r="E2672" s="84">
        <v>8.9400000000000005E-4</v>
      </c>
      <c r="F2672" s="84">
        <v>997.1</v>
      </c>
      <c r="G2672" s="87"/>
      <c r="H2672" s="12">
        <v>25</v>
      </c>
      <c r="I2672" s="12" t="s">
        <v>12</v>
      </c>
      <c r="J2672" s="88"/>
      <c r="K2672" s="92">
        <v>4.4318408394534901</v>
      </c>
    </row>
    <row r="2673" spans="1:11" ht="15.75" customHeight="1">
      <c r="A2673" s="84" t="s">
        <v>39</v>
      </c>
      <c r="B2673" s="12">
        <v>15</v>
      </c>
      <c r="C2673" s="92">
        <v>1.54</v>
      </c>
      <c r="D2673" s="84">
        <v>6.7699999999999996E-2</v>
      </c>
      <c r="E2673" s="84">
        <v>0.93400000000000005</v>
      </c>
      <c r="F2673" s="84">
        <v>1257</v>
      </c>
      <c r="G2673" s="87"/>
      <c r="H2673" s="12">
        <v>25</v>
      </c>
      <c r="I2673" s="12" t="s">
        <v>12</v>
      </c>
      <c r="J2673" s="88"/>
      <c r="K2673" s="92">
        <v>7.3797470493741297</v>
      </c>
    </row>
    <row r="2674" spans="1:11" ht="15.75" customHeight="1">
      <c r="A2674" s="84" t="s">
        <v>39</v>
      </c>
      <c r="B2674" s="12">
        <v>20</v>
      </c>
      <c r="C2674" s="92">
        <v>0.84</v>
      </c>
      <c r="D2674" s="84">
        <v>6.7699999999999996E-2</v>
      </c>
      <c r="E2674" s="84">
        <v>0.93400000000000005</v>
      </c>
      <c r="F2674" s="84">
        <v>1257</v>
      </c>
      <c r="G2674" s="87"/>
      <c r="H2674" s="12">
        <v>25</v>
      </c>
      <c r="I2674" s="12" t="s">
        <v>12</v>
      </c>
      <c r="J2674" s="88"/>
      <c r="K2674" s="92">
        <v>7.3006331310537904</v>
      </c>
    </row>
    <row r="2675" spans="1:11" ht="15.75" customHeight="1">
      <c r="A2675" s="84" t="s">
        <v>39</v>
      </c>
      <c r="B2675" s="12">
        <v>20</v>
      </c>
      <c r="C2675" s="88">
        <v>1.36</v>
      </c>
      <c r="D2675" s="84">
        <v>6.7699999999999996E-2</v>
      </c>
      <c r="E2675" s="84">
        <v>0.93400000000000005</v>
      </c>
      <c r="F2675" s="84">
        <v>1257</v>
      </c>
      <c r="G2675" s="87"/>
      <c r="H2675" s="12">
        <v>25</v>
      </c>
      <c r="I2675" s="12" t="s">
        <v>12</v>
      </c>
      <c r="J2675" s="88"/>
      <c r="K2675" s="92">
        <v>8.7879747351169701</v>
      </c>
    </row>
    <row r="2676" spans="1:11" ht="15.75" customHeight="1">
      <c r="A2676" s="84" t="s">
        <v>39</v>
      </c>
      <c r="B2676" s="12">
        <v>20</v>
      </c>
      <c r="C2676" s="92">
        <v>1.54</v>
      </c>
      <c r="D2676" s="84">
        <v>6.7699999999999996E-2</v>
      </c>
      <c r="E2676" s="84">
        <v>0.93400000000000005</v>
      </c>
      <c r="F2676" s="84">
        <v>1257</v>
      </c>
      <c r="G2676" s="87"/>
      <c r="H2676" s="12">
        <v>25</v>
      </c>
      <c r="I2676" s="12" t="s">
        <v>12</v>
      </c>
      <c r="J2676" s="88"/>
      <c r="K2676" s="92">
        <v>4.7531652025754996</v>
      </c>
    </row>
    <row r="2677" spans="1:11" ht="15.75" customHeight="1">
      <c r="A2677" s="84" t="s">
        <v>39</v>
      </c>
      <c r="B2677" s="12">
        <v>50</v>
      </c>
      <c r="C2677" s="84">
        <v>0.84</v>
      </c>
      <c r="D2677" s="84">
        <v>6.7699999999999996E-2</v>
      </c>
      <c r="E2677" s="84">
        <v>0.93400000000000005</v>
      </c>
      <c r="F2677" s="84">
        <v>1257</v>
      </c>
      <c r="G2677" s="87"/>
      <c r="H2677" s="12">
        <v>25</v>
      </c>
      <c r="I2677" s="12" t="s">
        <v>12</v>
      </c>
      <c r="J2677" s="88"/>
      <c r="K2677" s="84">
        <v>7.5379748860148004</v>
      </c>
    </row>
    <row r="2678" spans="1:11" ht="15.75" customHeight="1">
      <c r="A2678" s="84" t="s">
        <v>39</v>
      </c>
      <c r="B2678" s="12">
        <v>50</v>
      </c>
      <c r="C2678" s="84">
        <v>1.36</v>
      </c>
      <c r="D2678" s="84">
        <v>6.7699999999999996E-2</v>
      </c>
      <c r="E2678" s="84">
        <v>0.93400000000000005</v>
      </c>
      <c r="F2678" s="84">
        <v>1257</v>
      </c>
      <c r="G2678" s="87"/>
      <c r="H2678" s="12">
        <v>25</v>
      </c>
      <c r="I2678" s="12" t="s">
        <v>12</v>
      </c>
      <c r="J2678" s="88"/>
      <c r="K2678" s="84">
        <v>7.8227848712497501</v>
      </c>
    </row>
    <row r="2679" spans="1:11" ht="15.75" customHeight="1">
      <c r="A2679" s="84" t="s">
        <v>39</v>
      </c>
      <c r="B2679" s="12">
        <v>80</v>
      </c>
      <c r="C2679" s="88">
        <v>0.84</v>
      </c>
      <c r="D2679" s="84">
        <v>6.7699999999999996E-2</v>
      </c>
      <c r="E2679" s="84">
        <v>0.93400000000000005</v>
      </c>
      <c r="F2679" s="84">
        <v>1257</v>
      </c>
      <c r="G2679" s="87"/>
      <c r="H2679" s="12">
        <v>25</v>
      </c>
      <c r="I2679" s="12" t="s">
        <v>12</v>
      </c>
      <c r="J2679" s="88"/>
      <c r="K2679" s="88">
        <v>6.6993674725375003</v>
      </c>
    </row>
    <row r="2680" spans="1:11" ht="15.75" customHeight="1">
      <c r="A2680" s="84" t="s">
        <v>39</v>
      </c>
      <c r="B2680" s="12">
        <v>80</v>
      </c>
      <c r="C2680" s="92">
        <v>1.36</v>
      </c>
      <c r="D2680" s="84">
        <v>6.7699999999999996E-2</v>
      </c>
      <c r="E2680" s="84">
        <v>0.93400000000000005</v>
      </c>
      <c r="F2680" s="84">
        <v>1257</v>
      </c>
      <c r="G2680" s="87"/>
      <c r="H2680" s="12">
        <v>25</v>
      </c>
      <c r="I2680" s="12" t="s">
        <v>12</v>
      </c>
      <c r="J2680" s="88"/>
      <c r="K2680" s="92">
        <v>8.6455697424995002</v>
      </c>
    </row>
    <row r="2681" spans="1:11" ht="15.75" customHeight="1">
      <c r="A2681" s="84" t="s">
        <v>39</v>
      </c>
      <c r="B2681" s="12">
        <v>80</v>
      </c>
      <c r="C2681" s="92">
        <v>1.54</v>
      </c>
      <c r="D2681" s="84">
        <v>6.7699999999999996E-2</v>
      </c>
      <c r="E2681" s="84">
        <v>0.93400000000000005</v>
      </c>
      <c r="F2681" s="84">
        <v>1257</v>
      </c>
      <c r="G2681" s="87"/>
      <c r="H2681" s="12">
        <v>25</v>
      </c>
      <c r="I2681" s="12" t="s">
        <v>12</v>
      </c>
      <c r="J2681" s="88"/>
      <c r="K2681" s="92">
        <v>9.3734172478144195</v>
      </c>
    </row>
    <row r="2682" spans="1:11" ht="15.75" customHeight="1">
      <c r="A2682" s="84"/>
      <c r="B2682" s="86"/>
      <c r="C2682" s="84"/>
      <c r="D2682" s="84"/>
      <c r="E2682" s="84"/>
      <c r="F2682" s="84"/>
      <c r="G2682" s="87"/>
      <c r="H2682" s="86"/>
      <c r="I2682" s="12"/>
      <c r="J2682" s="88"/>
      <c r="K2682" s="84"/>
    </row>
    <row r="2683" spans="1:11" ht="15.75" customHeight="1">
      <c r="A2683" s="84"/>
      <c r="B2683" s="86"/>
      <c r="C2683" s="84"/>
      <c r="D2683" s="84"/>
      <c r="E2683" s="84"/>
      <c r="F2683" s="84"/>
      <c r="G2683" s="87"/>
      <c r="H2683" s="86"/>
      <c r="I2683" s="12"/>
      <c r="J2683" s="88"/>
      <c r="K2683" s="84"/>
    </row>
    <row r="2684" spans="1:11" ht="15.75" customHeight="1">
      <c r="A2684" s="84"/>
      <c r="B2684" s="86"/>
      <c r="C2684" s="84"/>
      <c r="D2684" s="84"/>
      <c r="E2684" s="84"/>
      <c r="F2684" s="84"/>
      <c r="G2684" s="87"/>
      <c r="H2684" s="86"/>
      <c r="I2684" s="12"/>
      <c r="J2684" s="88"/>
      <c r="K2684" s="84"/>
    </row>
    <row r="2685" spans="1:11" ht="15.75" customHeight="1">
      <c r="A2685" s="84"/>
      <c r="B2685" s="86"/>
      <c r="C2685" s="84"/>
      <c r="D2685" s="84"/>
      <c r="E2685" s="84"/>
      <c r="F2685" s="84"/>
      <c r="G2685" s="87"/>
      <c r="H2685" s="86"/>
      <c r="I2685" s="12"/>
      <c r="J2685" s="88"/>
      <c r="K2685" s="84"/>
    </row>
    <row r="2686" spans="1:11" ht="15.75" customHeight="1">
      <c r="A2686" s="84"/>
      <c r="B2686" s="86"/>
      <c r="C2686" s="84"/>
      <c r="D2686" s="84"/>
      <c r="E2686" s="84"/>
      <c r="F2686" s="84"/>
      <c r="G2686" s="87"/>
      <c r="H2686" s="86"/>
      <c r="I2686" s="12"/>
      <c r="J2686" s="88"/>
      <c r="K2686" s="84"/>
    </row>
    <row r="2687" spans="1:11" ht="15.75" customHeight="1">
      <c r="A2687" s="84"/>
      <c r="B2687" s="86"/>
      <c r="C2687" s="84"/>
      <c r="D2687" s="84"/>
      <c r="E2687" s="84"/>
      <c r="F2687" s="84"/>
      <c r="G2687" s="87"/>
      <c r="H2687" s="86"/>
      <c r="I2687" s="12"/>
      <c r="J2687" s="88"/>
      <c r="K2687" s="84"/>
    </row>
    <row r="2688" spans="1:11" ht="15.75" customHeight="1">
      <c r="A2688" s="84"/>
      <c r="B2688" s="86"/>
      <c r="C2688" s="84"/>
      <c r="D2688" s="84"/>
      <c r="E2688" s="84"/>
      <c r="F2688" s="84"/>
      <c r="G2688" s="87"/>
      <c r="H2688" s="86"/>
      <c r="I2688" s="12"/>
      <c r="J2688" s="88"/>
      <c r="K2688" s="84"/>
    </row>
    <row r="2689" spans="1:11" ht="15.75" customHeight="1">
      <c r="A2689" s="84"/>
      <c r="B2689" s="86"/>
      <c r="C2689" s="84"/>
      <c r="D2689" s="84"/>
      <c r="E2689" s="84"/>
      <c r="F2689" s="84"/>
      <c r="G2689" s="87"/>
      <c r="H2689" s="86"/>
      <c r="I2689" s="12"/>
      <c r="J2689" s="88"/>
      <c r="K2689" s="84"/>
    </row>
    <row r="2690" spans="1:11" ht="15.75" customHeight="1">
      <c r="A2690" s="84"/>
      <c r="B2690" s="86"/>
      <c r="C2690" s="84"/>
      <c r="D2690" s="84"/>
      <c r="E2690" s="84"/>
      <c r="F2690" s="84"/>
      <c r="G2690" s="87"/>
      <c r="H2690" s="86"/>
      <c r="I2690" s="12"/>
      <c r="J2690" s="88"/>
      <c r="K2690" s="84"/>
    </row>
    <row r="2691" spans="1:11" ht="15.75" customHeight="1">
      <c r="A2691" s="84"/>
      <c r="B2691" s="86"/>
      <c r="C2691" s="84"/>
      <c r="D2691" s="84"/>
      <c r="E2691" s="84"/>
      <c r="F2691" s="84"/>
      <c r="G2691" s="87"/>
      <c r="H2691" s="86"/>
      <c r="I2691" s="12"/>
      <c r="J2691" s="88"/>
      <c r="K2691" s="84"/>
    </row>
    <row r="2692" spans="1:11" ht="15.75" customHeight="1">
      <c r="A2692" s="84"/>
      <c r="B2692" s="86"/>
      <c r="C2692" s="84"/>
      <c r="D2692" s="84"/>
      <c r="E2692" s="84"/>
      <c r="F2692" s="84"/>
      <c r="G2692" s="87"/>
      <c r="H2692" s="86"/>
      <c r="I2692" s="12"/>
      <c r="J2692" s="88"/>
      <c r="K2692" s="84"/>
    </row>
    <row r="2693" spans="1:11" ht="15.75" customHeight="1">
      <c r="A2693" s="84"/>
      <c r="B2693" s="86"/>
      <c r="C2693" s="84"/>
      <c r="D2693" s="84"/>
      <c r="E2693" s="84"/>
      <c r="F2693" s="84"/>
      <c r="G2693" s="87"/>
      <c r="H2693" s="86"/>
      <c r="I2693" s="12"/>
      <c r="J2693" s="88"/>
      <c r="K2693" s="84"/>
    </row>
    <row r="2694" spans="1:11" ht="15.75" customHeight="1">
      <c r="A2694" s="84"/>
      <c r="B2694" s="86"/>
      <c r="C2694" s="84"/>
      <c r="D2694" s="84"/>
      <c r="E2694" s="84"/>
      <c r="F2694" s="84"/>
      <c r="G2694" s="87"/>
      <c r="H2694" s="86"/>
      <c r="I2694" s="12"/>
      <c r="J2694" s="88"/>
      <c r="K2694" s="84"/>
    </row>
    <row r="2695" spans="1:11" ht="15.75" customHeight="1">
      <c r="A2695" s="84"/>
      <c r="B2695" s="86"/>
      <c r="C2695" s="84"/>
      <c r="D2695" s="84"/>
      <c r="E2695" s="84"/>
      <c r="F2695" s="84"/>
      <c r="G2695" s="87"/>
      <c r="H2695" s="86"/>
      <c r="I2695" s="12"/>
      <c r="J2695" s="88"/>
      <c r="K2695" s="84"/>
    </row>
    <row r="2696" spans="1:11" ht="15.75" customHeight="1">
      <c r="A2696" s="84"/>
      <c r="B2696" s="86"/>
      <c r="C2696" s="84"/>
      <c r="D2696" s="84"/>
      <c r="E2696" s="84"/>
      <c r="F2696" s="84"/>
      <c r="G2696" s="87"/>
      <c r="H2696" s="86"/>
      <c r="I2696" s="12"/>
      <c r="J2696" s="88"/>
      <c r="K2696" s="84"/>
    </row>
    <row r="2697" spans="1:11" ht="15.75" customHeight="1">
      <c r="A2697" s="84"/>
      <c r="B2697" s="86"/>
      <c r="C2697" s="84"/>
      <c r="D2697" s="84"/>
      <c r="E2697" s="84"/>
      <c r="F2697" s="84"/>
      <c r="G2697" s="87"/>
      <c r="H2697" s="86"/>
      <c r="I2697" s="12"/>
      <c r="J2697" s="88"/>
      <c r="K2697" s="84"/>
    </row>
    <row r="2698" spans="1:11" ht="15.75" customHeight="1">
      <c r="A2698" s="84"/>
      <c r="B2698" s="86"/>
      <c r="C2698" s="84"/>
      <c r="D2698" s="84"/>
      <c r="E2698" s="84"/>
      <c r="F2698" s="84"/>
      <c r="G2698" s="87"/>
      <c r="H2698" s="86"/>
      <c r="I2698" s="12"/>
      <c r="J2698" s="88"/>
      <c r="K2698" s="84"/>
    </row>
    <row r="2699" spans="1:11" ht="15.75" customHeight="1">
      <c r="A2699" s="84"/>
      <c r="B2699" s="86"/>
      <c r="C2699" s="84"/>
      <c r="D2699" s="84"/>
      <c r="E2699" s="84"/>
      <c r="F2699" s="84"/>
      <c r="G2699" s="87"/>
      <c r="H2699" s="86"/>
      <c r="I2699" s="12"/>
      <c r="J2699" s="88"/>
      <c r="K2699" s="84"/>
    </row>
    <row r="2700" spans="1:11" ht="15.75" customHeight="1">
      <c r="A2700" s="84"/>
      <c r="B2700" s="86"/>
      <c r="C2700" s="84"/>
      <c r="D2700" s="84"/>
      <c r="E2700" s="84"/>
      <c r="F2700" s="84"/>
      <c r="G2700" s="87"/>
      <c r="H2700" s="86"/>
      <c r="I2700" s="12"/>
      <c r="J2700" s="88"/>
      <c r="K2700" s="84"/>
    </row>
    <row r="2701" spans="1:11" ht="15.75" customHeight="1">
      <c r="A2701" s="84"/>
      <c r="B2701" s="86"/>
      <c r="C2701" s="84"/>
      <c r="D2701" s="84"/>
      <c r="E2701" s="84"/>
      <c r="F2701" s="84"/>
      <c r="G2701" s="87"/>
      <c r="H2701" s="86"/>
      <c r="I2701" s="12"/>
      <c r="J2701" s="88"/>
      <c r="K2701" s="84"/>
    </row>
    <row r="2702" spans="1:11" ht="15.75" customHeight="1">
      <c r="A2702" s="84"/>
      <c r="B2702" s="86"/>
      <c r="C2702" s="84"/>
      <c r="D2702" s="84"/>
      <c r="E2702" s="84"/>
      <c r="F2702" s="84"/>
      <c r="G2702" s="87"/>
      <c r="H2702" s="86"/>
      <c r="I2702" s="12"/>
      <c r="J2702" s="88"/>
      <c r="K2702" s="84"/>
    </row>
    <row r="2703" spans="1:11" ht="15.75" customHeight="1">
      <c r="A2703" s="84"/>
      <c r="B2703" s="86"/>
      <c r="C2703" s="84"/>
      <c r="D2703" s="84"/>
      <c r="E2703" s="84"/>
      <c r="F2703" s="84"/>
      <c r="G2703" s="87"/>
      <c r="H2703" s="86"/>
      <c r="I2703" s="12"/>
      <c r="J2703" s="88"/>
      <c r="K2703" s="84"/>
    </row>
    <row r="2704" spans="1:11" ht="15.75" customHeight="1">
      <c r="A2704" s="84"/>
      <c r="B2704" s="86"/>
      <c r="C2704" s="84"/>
      <c r="D2704" s="84"/>
      <c r="E2704" s="84"/>
      <c r="F2704" s="84"/>
      <c r="G2704" s="87"/>
      <c r="H2704" s="86"/>
      <c r="I2704" s="12"/>
      <c r="J2704" s="88"/>
      <c r="K2704" s="84"/>
    </row>
    <row r="2705" spans="1:11" ht="15.75" customHeight="1">
      <c r="A2705" s="84"/>
      <c r="B2705" s="86"/>
      <c r="C2705" s="84"/>
      <c r="D2705" s="84"/>
      <c r="E2705" s="84"/>
      <c r="F2705" s="84"/>
      <c r="G2705" s="87"/>
      <c r="H2705" s="86"/>
      <c r="I2705" s="12"/>
      <c r="J2705" s="88"/>
      <c r="K2705" s="84"/>
    </row>
    <row r="2706" spans="1:11" ht="15.75" customHeight="1">
      <c r="A2706" s="84"/>
      <c r="B2706" s="86"/>
      <c r="C2706" s="84"/>
      <c r="D2706" s="84"/>
      <c r="E2706" s="84"/>
      <c r="F2706" s="84"/>
      <c r="G2706" s="87"/>
      <c r="H2706" s="86"/>
      <c r="I2706" s="12"/>
      <c r="J2706" s="88"/>
      <c r="K2706" s="84"/>
    </row>
    <row r="2707" spans="1:11" ht="15.75" customHeight="1">
      <c r="A2707" s="84"/>
      <c r="B2707" s="86"/>
      <c r="C2707" s="84"/>
      <c r="D2707" s="84"/>
      <c r="E2707" s="84"/>
      <c r="F2707" s="84"/>
      <c r="G2707" s="87"/>
      <c r="H2707" s="86"/>
      <c r="I2707" s="12"/>
      <c r="J2707" s="88"/>
      <c r="K2707" s="84"/>
    </row>
    <row r="2708" spans="1:11" ht="15.75" customHeight="1">
      <c r="A2708" s="84"/>
      <c r="B2708" s="86"/>
      <c r="C2708" s="84"/>
      <c r="D2708" s="84"/>
      <c r="E2708" s="84"/>
      <c r="F2708" s="84"/>
      <c r="G2708" s="87"/>
      <c r="H2708" s="86"/>
      <c r="I2708" s="12"/>
      <c r="J2708" s="88"/>
      <c r="K2708" s="84"/>
    </row>
    <row r="2709" spans="1:11" ht="15.75" customHeight="1">
      <c r="A2709" s="84"/>
      <c r="B2709" s="86"/>
      <c r="C2709" s="84"/>
      <c r="D2709" s="84"/>
      <c r="E2709" s="84"/>
      <c r="F2709" s="84"/>
      <c r="G2709" s="87"/>
      <c r="H2709" s="86"/>
      <c r="I2709" s="12"/>
      <c r="J2709" s="88"/>
      <c r="K2709" s="84"/>
    </row>
    <row r="2710" spans="1:11" ht="15.75" customHeight="1">
      <c r="A2710" s="84"/>
      <c r="B2710" s="86"/>
      <c r="C2710" s="84"/>
      <c r="D2710" s="84"/>
      <c r="E2710" s="84"/>
      <c r="F2710" s="84"/>
      <c r="G2710" s="87"/>
      <c r="H2710" s="86"/>
      <c r="I2710" s="12"/>
      <c r="J2710" s="88"/>
      <c r="K2710" s="84"/>
    </row>
    <row r="2711" spans="1:11" ht="15.75" customHeight="1">
      <c r="A2711" s="84"/>
      <c r="B2711" s="86"/>
      <c r="C2711" s="84"/>
      <c r="D2711" s="84"/>
      <c r="E2711" s="84"/>
      <c r="F2711" s="84"/>
      <c r="G2711" s="87"/>
      <c r="H2711" s="86"/>
      <c r="I2711" s="12"/>
      <c r="J2711" s="88"/>
      <c r="K2711" s="84"/>
    </row>
    <row r="2712" spans="1:11" ht="15.75" customHeight="1">
      <c r="A2712" s="84"/>
      <c r="B2712" s="86"/>
      <c r="C2712" s="84"/>
      <c r="D2712" s="84"/>
      <c r="E2712" s="84"/>
      <c r="F2712" s="84"/>
      <c r="G2712" s="87"/>
      <c r="H2712" s="86"/>
      <c r="I2712" s="12"/>
      <c r="J2712" s="88"/>
      <c r="K2712" s="84"/>
    </row>
    <row r="2713" spans="1:11" ht="15.75" customHeight="1">
      <c r="A2713" s="84"/>
      <c r="B2713" s="86"/>
      <c r="C2713" s="84"/>
      <c r="D2713" s="84"/>
      <c r="E2713" s="84"/>
      <c r="F2713" s="84"/>
      <c r="G2713" s="87"/>
      <c r="H2713" s="86"/>
      <c r="I2713" s="12"/>
      <c r="J2713" s="88"/>
      <c r="K2713" s="84"/>
    </row>
    <row r="2714" spans="1:11" ht="15.75" customHeight="1">
      <c r="A2714" s="84"/>
      <c r="B2714" s="86"/>
      <c r="C2714" s="84"/>
      <c r="D2714" s="84"/>
      <c r="E2714" s="84"/>
      <c r="F2714" s="84"/>
      <c r="G2714" s="87"/>
      <c r="H2714" s="86"/>
      <c r="I2714" s="12"/>
      <c r="J2714" s="88"/>
      <c r="K2714" s="84"/>
    </row>
    <row r="2715" spans="1:11" ht="15.75" customHeight="1">
      <c r="A2715" s="84"/>
      <c r="B2715" s="86"/>
      <c r="C2715" s="84"/>
      <c r="D2715" s="84"/>
      <c r="E2715" s="84"/>
      <c r="F2715" s="84"/>
      <c r="G2715" s="87"/>
      <c r="H2715" s="86"/>
      <c r="I2715" s="12"/>
      <c r="J2715" s="88"/>
      <c r="K2715" s="84"/>
    </row>
    <row r="2716" spans="1:11" ht="15.75" customHeight="1">
      <c r="A2716" s="84"/>
      <c r="B2716" s="86"/>
      <c r="C2716" s="84"/>
      <c r="D2716" s="84"/>
      <c r="E2716" s="84"/>
      <c r="F2716" s="84"/>
      <c r="G2716" s="87"/>
      <c r="H2716" s="86"/>
      <c r="I2716" s="12"/>
      <c r="J2716" s="88"/>
      <c r="K2716" s="84"/>
    </row>
    <row r="2717" spans="1:11" ht="15.75" customHeight="1">
      <c r="A2717" s="84"/>
      <c r="B2717" s="86"/>
      <c r="C2717" s="84"/>
      <c r="D2717" s="84"/>
      <c r="E2717" s="84"/>
      <c r="F2717" s="84"/>
      <c r="G2717" s="87"/>
      <c r="H2717" s="86"/>
      <c r="I2717" s="12"/>
      <c r="J2717" s="88"/>
      <c r="K2717" s="84"/>
    </row>
    <row r="2718" spans="1:11" ht="15.75" customHeight="1">
      <c r="A2718" s="84"/>
      <c r="B2718" s="86"/>
      <c r="C2718" s="84"/>
      <c r="D2718" s="84"/>
      <c r="E2718" s="84"/>
      <c r="F2718" s="84"/>
      <c r="G2718" s="87"/>
      <c r="H2718" s="86"/>
      <c r="I2718" s="12"/>
      <c r="J2718" s="88"/>
      <c r="K2718" s="84"/>
    </row>
    <row r="2719" spans="1:11" ht="15.75" customHeight="1">
      <c r="A2719" s="84"/>
      <c r="B2719" s="86"/>
      <c r="C2719" s="84"/>
      <c r="D2719" s="84"/>
      <c r="E2719" s="84"/>
      <c r="F2719" s="84"/>
      <c r="G2719" s="87"/>
      <c r="H2719" s="86"/>
      <c r="I2719" s="12"/>
      <c r="J2719" s="88"/>
      <c r="K2719" s="84"/>
    </row>
    <row r="2720" spans="1:11" ht="15.75" customHeight="1">
      <c r="A2720" s="84"/>
      <c r="B2720" s="86"/>
      <c r="C2720" s="84"/>
      <c r="D2720" s="84"/>
      <c r="E2720" s="84"/>
      <c r="F2720" s="84"/>
      <c r="G2720" s="87"/>
      <c r="H2720" s="86"/>
      <c r="I2720" s="12"/>
      <c r="J2720" s="88"/>
      <c r="K2720" s="84"/>
    </row>
    <row r="2721" spans="1:11" ht="15.75" customHeight="1">
      <c r="A2721" s="84"/>
      <c r="B2721" s="86"/>
      <c r="C2721" s="84"/>
      <c r="D2721" s="84"/>
      <c r="E2721" s="84"/>
      <c r="F2721" s="84"/>
      <c r="G2721" s="87"/>
      <c r="H2721" s="86"/>
      <c r="I2721" s="12"/>
      <c r="J2721" s="88"/>
      <c r="K2721" s="84"/>
    </row>
    <row r="2722" spans="1:11" ht="15.75" customHeight="1">
      <c r="A2722" s="84"/>
      <c r="B2722" s="86"/>
      <c r="C2722" s="84"/>
      <c r="D2722" s="84"/>
      <c r="E2722" s="84"/>
      <c r="F2722" s="84"/>
      <c r="G2722" s="87"/>
      <c r="H2722" s="86"/>
      <c r="I2722" s="12"/>
      <c r="J2722" s="88"/>
      <c r="K2722" s="84"/>
    </row>
    <row r="2723" spans="1:11" ht="15.75" customHeight="1">
      <c r="A2723" s="84"/>
      <c r="B2723" s="86"/>
      <c r="C2723" s="84"/>
      <c r="D2723" s="84"/>
      <c r="E2723" s="84"/>
      <c r="F2723" s="84"/>
      <c r="G2723" s="87"/>
      <c r="H2723" s="86"/>
      <c r="I2723" s="12"/>
      <c r="J2723" s="88"/>
      <c r="K2723" s="84"/>
    </row>
    <row r="2724" spans="1:11" ht="15.75" customHeight="1">
      <c r="A2724" s="84"/>
      <c r="B2724" s="86"/>
      <c r="C2724" s="84"/>
      <c r="D2724" s="84"/>
      <c r="E2724" s="84"/>
      <c r="F2724" s="84"/>
      <c r="G2724" s="87"/>
      <c r="H2724" s="86"/>
      <c r="I2724" s="12"/>
      <c r="J2724" s="88"/>
      <c r="K2724" s="84"/>
    </row>
    <row r="2725" spans="1:11" ht="15.75" customHeight="1">
      <c r="A2725" s="84"/>
      <c r="B2725" s="86"/>
      <c r="C2725" s="84"/>
      <c r="D2725" s="84"/>
      <c r="E2725" s="84"/>
      <c r="F2725" s="84"/>
      <c r="G2725" s="87"/>
      <c r="H2725" s="86"/>
      <c r="I2725" s="12"/>
      <c r="J2725" s="88"/>
      <c r="K2725" s="84"/>
    </row>
    <row r="2726" spans="1:11" ht="15.75" customHeight="1">
      <c r="A2726" s="84"/>
      <c r="B2726" s="86"/>
      <c r="C2726" s="84"/>
      <c r="D2726" s="84"/>
      <c r="E2726" s="84"/>
      <c r="F2726" s="84"/>
      <c r="G2726" s="87"/>
      <c r="H2726" s="86"/>
      <c r="I2726" s="12"/>
      <c r="J2726" s="88"/>
      <c r="K2726" s="84"/>
    </row>
    <row r="2727" spans="1:11" ht="15.75" customHeight="1">
      <c r="A2727" s="84"/>
      <c r="B2727" s="86"/>
      <c r="C2727" s="84"/>
      <c r="D2727" s="84"/>
      <c r="E2727" s="84"/>
      <c r="F2727" s="84"/>
      <c r="G2727" s="87"/>
      <c r="H2727" s="86"/>
      <c r="I2727" s="12"/>
      <c r="J2727" s="88"/>
      <c r="K2727" s="84"/>
    </row>
    <row r="2728" spans="1:11" ht="15.75" customHeight="1">
      <c r="A2728" s="84"/>
      <c r="B2728" s="86"/>
      <c r="C2728" s="84"/>
      <c r="D2728" s="84"/>
      <c r="E2728" s="84"/>
      <c r="F2728" s="84"/>
      <c r="G2728" s="87"/>
      <c r="H2728" s="86"/>
      <c r="I2728" s="12"/>
      <c r="J2728" s="88"/>
      <c r="K2728" s="84"/>
    </row>
    <row r="2729" spans="1:11" ht="15.75" customHeight="1">
      <c r="A2729" s="84"/>
      <c r="B2729" s="86"/>
      <c r="C2729" s="84"/>
      <c r="D2729" s="84"/>
      <c r="E2729" s="84"/>
      <c r="F2729" s="84"/>
      <c r="G2729" s="87"/>
      <c r="H2729" s="86"/>
      <c r="I2729" s="12"/>
      <c r="J2729" s="88"/>
      <c r="K2729" s="84"/>
    </row>
    <row r="2730" spans="1:11" ht="15.75" customHeight="1">
      <c r="A2730" s="84"/>
      <c r="B2730" s="86"/>
      <c r="C2730" s="84"/>
      <c r="D2730" s="84"/>
      <c r="E2730" s="84"/>
      <c r="F2730" s="84"/>
      <c r="G2730" s="87"/>
      <c r="H2730" s="86"/>
      <c r="I2730" s="12"/>
      <c r="J2730" s="88"/>
      <c r="K2730" s="84"/>
    </row>
    <row r="2731" spans="1:11" ht="15.75" customHeight="1">
      <c r="A2731" s="84"/>
      <c r="B2731" s="86"/>
      <c r="C2731" s="84"/>
      <c r="D2731" s="84"/>
      <c r="E2731" s="84"/>
      <c r="F2731" s="84"/>
      <c r="G2731" s="87"/>
      <c r="H2731" s="86"/>
      <c r="I2731" s="12"/>
      <c r="J2731" s="88"/>
      <c r="K2731" s="84"/>
    </row>
    <row r="2732" spans="1:11" ht="15.75" customHeight="1">
      <c r="A2732" s="84"/>
      <c r="B2732" s="86"/>
      <c r="C2732" s="84"/>
      <c r="D2732" s="84"/>
      <c r="E2732" s="84"/>
      <c r="F2732" s="84"/>
      <c r="G2732" s="87"/>
      <c r="H2732" s="86"/>
      <c r="I2732" s="12"/>
      <c r="J2732" s="88"/>
      <c r="K2732" s="84"/>
    </row>
    <row r="2733" spans="1:11" ht="15.75" customHeight="1">
      <c r="A2733" s="84"/>
      <c r="B2733" s="86"/>
      <c r="C2733" s="84"/>
      <c r="D2733" s="84"/>
      <c r="E2733" s="84"/>
      <c r="F2733" s="84"/>
      <c r="G2733" s="87"/>
      <c r="H2733" s="86"/>
      <c r="I2733" s="12"/>
      <c r="J2733" s="88"/>
      <c r="K2733" s="84"/>
    </row>
    <row r="2734" spans="1:11" ht="15.75" customHeight="1">
      <c r="A2734" s="84"/>
      <c r="B2734" s="86"/>
      <c r="C2734" s="84"/>
      <c r="D2734" s="84"/>
      <c r="E2734" s="84"/>
      <c r="F2734" s="84"/>
      <c r="G2734" s="87"/>
      <c r="H2734" s="86"/>
      <c r="I2734" s="12"/>
      <c r="J2734" s="88"/>
      <c r="K2734" s="84"/>
    </row>
    <row r="2735" spans="1:11" ht="15.75" customHeight="1">
      <c r="A2735" s="84"/>
      <c r="B2735" s="86"/>
      <c r="C2735" s="84"/>
      <c r="D2735" s="84"/>
      <c r="E2735" s="84"/>
      <c r="F2735" s="84"/>
      <c r="G2735" s="87"/>
      <c r="H2735" s="86"/>
      <c r="I2735" s="12"/>
      <c r="J2735" s="88"/>
      <c r="K2735" s="84"/>
    </row>
    <row r="2736" spans="1:11" ht="15.75" customHeight="1">
      <c r="A2736" s="84"/>
      <c r="B2736" s="86"/>
      <c r="C2736" s="84"/>
      <c r="D2736" s="84"/>
      <c r="E2736" s="84"/>
      <c r="F2736" s="84"/>
      <c r="G2736" s="87"/>
      <c r="H2736" s="86"/>
      <c r="I2736" s="12"/>
      <c r="J2736" s="88"/>
      <c r="K2736" s="84"/>
    </row>
    <row r="2737" spans="1:11" ht="15.75" customHeight="1">
      <c r="A2737" s="84"/>
      <c r="B2737" s="86"/>
      <c r="C2737" s="84"/>
      <c r="D2737" s="84"/>
      <c r="E2737" s="84"/>
      <c r="F2737" s="84"/>
      <c r="G2737" s="87"/>
      <c r="H2737" s="86"/>
      <c r="I2737" s="12"/>
      <c r="J2737" s="88"/>
      <c r="K2737" s="84"/>
    </row>
    <row r="2738" spans="1:11" ht="15.75" customHeight="1">
      <c r="A2738" s="84"/>
      <c r="B2738" s="86"/>
      <c r="C2738" s="84"/>
      <c r="D2738" s="84"/>
      <c r="E2738" s="84"/>
      <c r="F2738" s="84"/>
      <c r="G2738" s="87"/>
      <c r="H2738" s="86"/>
      <c r="I2738" s="12"/>
      <c r="J2738" s="88"/>
      <c r="K2738" s="84"/>
    </row>
    <row r="2739" spans="1:11" ht="15.75" customHeight="1">
      <c r="A2739" s="84"/>
      <c r="B2739" s="86"/>
      <c r="C2739" s="84"/>
      <c r="D2739" s="84"/>
      <c r="E2739" s="84"/>
      <c r="F2739" s="84"/>
      <c r="G2739" s="87"/>
      <c r="H2739" s="86"/>
      <c r="I2739" s="12"/>
      <c r="J2739" s="88"/>
      <c r="K2739" s="84"/>
    </row>
    <row r="2740" spans="1:11" ht="15.75" customHeight="1">
      <c r="A2740" s="84"/>
      <c r="B2740" s="86"/>
      <c r="C2740" s="84"/>
      <c r="D2740" s="84"/>
      <c r="E2740" s="84"/>
      <c r="F2740" s="84"/>
      <c r="G2740" s="87"/>
      <c r="H2740" s="86"/>
      <c r="I2740" s="12"/>
      <c r="J2740" s="88"/>
      <c r="K2740" s="84"/>
    </row>
    <row r="2741" spans="1:11" ht="15.75" customHeight="1">
      <c r="A2741" s="84"/>
      <c r="B2741" s="86"/>
      <c r="C2741" s="84"/>
      <c r="D2741" s="84"/>
      <c r="E2741" s="84"/>
      <c r="F2741" s="84"/>
      <c r="G2741" s="87"/>
      <c r="H2741" s="86"/>
      <c r="I2741" s="12"/>
      <c r="J2741" s="88"/>
      <c r="K2741" s="84"/>
    </row>
    <row r="2742" spans="1:11" ht="15.75" customHeight="1">
      <c r="A2742" s="84"/>
      <c r="B2742" s="86"/>
      <c r="C2742" s="84"/>
      <c r="D2742" s="84"/>
      <c r="E2742" s="84"/>
      <c r="F2742" s="84"/>
      <c r="G2742" s="87"/>
      <c r="H2742" s="86"/>
      <c r="I2742" s="12"/>
      <c r="J2742" s="88"/>
      <c r="K2742" s="84"/>
    </row>
    <row r="2743" spans="1:11" ht="15.75" customHeight="1">
      <c r="A2743" s="84"/>
      <c r="B2743" s="86"/>
      <c r="C2743" s="84"/>
      <c r="D2743" s="84"/>
      <c r="E2743" s="84"/>
      <c r="F2743" s="84"/>
      <c r="G2743" s="87"/>
      <c r="H2743" s="86"/>
      <c r="I2743" s="12"/>
      <c r="J2743" s="88"/>
      <c r="K2743" s="84"/>
    </row>
    <row r="2744" spans="1:11" ht="15.75" customHeight="1">
      <c r="A2744" s="84"/>
      <c r="B2744" s="86"/>
      <c r="C2744" s="84"/>
      <c r="D2744" s="84"/>
      <c r="E2744" s="84"/>
      <c r="F2744" s="84"/>
      <c r="G2744" s="87"/>
      <c r="H2744" s="86"/>
      <c r="I2744" s="12"/>
      <c r="J2744" s="88"/>
      <c r="K2744" s="84"/>
    </row>
    <row r="2745" spans="1:11" ht="15.75" customHeight="1">
      <c r="A2745" s="84"/>
      <c r="B2745" s="86"/>
      <c r="C2745" s="84"/>
      <c r="D2745" s="84"/>
      <c r="E2745" s="84"/>
      <c r="F2745" s="84"/>
      <c r="G2745" s="87"/>
      <c r="H2745" s="86"/>
      <c r="I2745" s="12"/>
      <c r="J2745" s="88"/>
      <c r="K2745" s="84"/>
    </row>
    <row r="2746" spans="1:11" ht="15.75" customHeight="1">
      <c r="A2746" s="84"/>
      <c r="B2746" s="86"/>
      <c r="C2746" s="84"/>
      <c r="D2746" s="84"/>
      <c r="E2746" s="84"/>
      <c r="F2746" s="84"/>
      <c r="G2746" s="87"/>
      <c r="H2746" s="86"/>
      <c r="I2746" s="12"/>
      <c r="J2746" s="88"/>
      <c r="K2746" s="84"/>
    </row>
    <row r="2747" spans="1:11" ht="15.75" customHeight="1">
      <c r="A2747" s="84"/>
      <c r="B2747" s="86"/>
      <c r="C2747" s="84"/>
      <c r="D2747" s="84"/>
      <c r="E2747" s="84"/>
      <c r="F2747" s="84"/>
      <c r="G2747" s="87"/>
      <c r="H2747" s="86"/>
      <c r="I2747" s="12"/>
      <c r="J2747" s="88"/>
      <c r="K2747" s="84"/>
    </row>
    <row r="2748" spans="1:11" ht="15.75" customHeight="1">
      <c r="A2748" s="84"/>
      <c r="B2748" s="86"/>
      <c r="C2748" s="84"/>
      <c r="D2748" s="84"/>
      <c r="E2748" s="84"/>
      <c r="F2748" s="84"/>
      <c r="G2748" s="87"/>
      <c r="H2748" s="86"/>
      <c r="I2748" s="12"/>
      <c r="J2748" s="88"/>
      <c r="K2748" s="84"/>
    </row>
    <row r="2749" spans="1:11" ht="15.75" customHeight="1">
      <c r="A2749" s="84"/>
      <c r="B2749" s="86"/>
      <c r="C2749" s="84"/>
      <c r="D2749" s="84"/>
      <c r="E2749" s="84"/>
      <c r="F2749" s="84"/>
      <c r="G2749" s="87"/>
      <c r="H2749" s="86"/>
      <c r="I2749" s="12"/>
      <c r="J2749" s="88"/>
      <c r="K2749" s="84"/>
    </row>
    <row r="2750" spans="1:11" ht="15.75" customHeight="1">
      <c r="A2750" s="84"/>
      <c r="B2750" s="86"/>
      <c r="C2750" s="84"/>
      <c r="D2750" s="84"/>
      <c r="E2750" s="84"/>
      <c r="F2750" s="84"/>
      <c r="G2750" s="87"/>
      <c r="H2750" s="86"/>
      <c r="I2750" s="12"/>
      <c r="J2750" s="88"/>
      <c r="K2750" s="84"/>
    </row>
    <row r="2751" spans="1:11" ht="15.75" customHeight="1">
      <c r="A2751" s="84"/>
      <c r="B2751" s="86"/>
      <c r="C2751" s="84"/>
      <c r="D2751" s="84"/>
      <c r="E2751" s="84"/>
      <c r="F2751" s="84"/>
      <c r="G2751" s="87"/>
      <c r="H2751" s="86"/>
      <c r="I2751" s="12"/>
      <c r="J2751" s="88"/>
      <c r="K2751" s="84"/>
    </row>
    <row r="2752" spans="1:11" ht="15.75" customHeight="1">
      <c r="A2752" s="84"/>
      <c r="B2752" s="86"/>
      <c r="C2752" s="84"/>
      <c r="D2752" s="84"/>
      <c r="E2752" s="84"/>
      <c r="F2752" s="84"/>
      <c r="G2752" s="87"/>
      <c r="H2752" s="86"/>
      <c r="I2752" s="12"/>
      <c r="J2752" s="88"/>
      <c r="K2752" s="84"/>
    </row>
    <row r="2753" spans="1:11" ht="15.75" customHeight="1">
      <c r="A2753" s="84"/>
      <c r="B2753" s="86"/>
      <c r="C2753" s="84"/>
      <c r="D2753" s="84"/>
      <c r="E2753" s="84"/>
      <c r="F2753" s="84"/>
      <c r="G2753" s="87"/>
      <c r="H2753" s="86"/>
      <c r="I2753" s="12"/>
      <c r="J2753" s="88"/>
      <c r="K2753" s="84"/>
    </row>
    <row r="2754" spans="1:11" ht="15.75" customHeight="1">
      <c r="A2754" s="84"/>
      <c r="B2754" s="86"/>
      <c r="C2754" s="84"/>
      <c r="D2754" s="84"/>
      <c r="E2754" s="84"/>
      <c r="F2754" s="84"/>
      <c r="G2754" s="87"/>
      <c r="H2754" s="86"/>
      <c r="I2754" s="12"/>
      <c r="J2754" s="88"/>
      <c r="K2754" s="84"/>
    </row>
    <row r="2755" spans="1:11" ht="15.75" customHeight="1">
      <c r="A2755" s="84"/>
      <c r="B2755" s="86"/>
      <c r="C2755" s="84"/>
      <c r="D2755" s="84"/>
      <c r="E2755" s="84"/>
      <c r="F2755" s="84"/>
      <c r="G2755" s="87"/>
      <c r="H2755" s="86"/>
      <c r="I2755" s="12"/>
      <c r="J2755" s="88"/>
      <c r="K2755" s="84"/>
    </row>
    <row r="2756" spans="1:11" ht="15.75" customHeight="1">
      <c r="A2756" s="84"/>
      <c r="B2756" s="86"/>
      <c r="C2756" s="84"/>
      <c r="D2756" s="84"/>
      <c r="E2756" s="84"/>
      <c r="F2756" s="84"/>
      <c r="G2756" s="87"/>
      <c r="H2756" s="86"/>
      <c r="I2756" s="12"/>
      <c r="J2756" s="88"/>
      <c r="K2756" s="84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57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23.21875" customWidth="1"/>
    <col min="2" max="2" width="14.664062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>
      <c r="A2" s="93" t="s">
        <v>18</v>
      </c>
      <c r="B2" s="93">
        <v>33.81</v>
      </c>
      <c r="C2" s="94">
        <v>2</v>
      </c>
      <c r="D2" s="93">
        <v>7.2999999999999995E-2</v>
      </c>
      <c r="E2" s="93">
        <v>1E-3</v>
      </c>
      <c r="F2" s="93">
        <v>1000</v>
      </c>
      <c r="G2" s="95"/>
      <c r="H2" s="93">
        <v>22</v>
      </c>
      <c r="I2" s="93" t="s">
        <v>12</v>
      </c>
      <c r="J2" s="93">
        <v>1.2</v>
      </c>
      <c r="K2" s="94">
        <v>4.7699999999999996</v>
      </c>
    </row>
    <row r="3" spans="1:11">
      <c r="A3" s="93" t="s">
        <v>18</v>
      </c>
      <c r="B3" s="93">
        <v>57.56</v>
      </c>
      <c r="C3" s="94">
        <v>2</v>
      </c>
      <c r="D3" s="93">
        <v>7.2999999999999995E-2</v>
      </c>
      <c r="E3" s="93">
        <v>1E-3</v>
      </c>
      <c r="F3" s="93">
        <v>1000</v>
      </c>
      <c r="G3" s="95"/>
      <c r="H3" s="93">
        <v>22</v>
      </c>
      <c r="I3" s="93" t="s">
        <v>12</v>
      </c>
      <c r="J3" s="93">
        <v>1.2</v>
      </c>
      <c r="K3" s="94">
        <v>4.9800000000000004</v>
      </c>
    </row>
    <row r="4" spans="1:11">
      <c r="A4" s="93" t="s">
        <v>18</v>
      </c>
      <c r="B4" s="93">
        <v>74.010000000000005</v>
      </c>
      <c r="C4" s="94">
        <v>2</v>
      </c>
      <c r="D4" s="93">
        <v>7.2999999999999995E-2</v>
      </c>
      <c r="E4" s="93">
        <v>1E-3</v>
      </c>
      <c r="F4" s="93">
        <v>1000</v>
      </c>
      <c r="G4" s="95"/>
      <c r="H4" s="93">
        <v>22</v>
      </c>
      <c r="I4" s="93" t="s">
        <v>12</v>
      </c>
      <c r="J4" s="93">
        <v>1.2</v>
      </c>
      <c r="K4" s="94">
        <v>5.2</v>
      </c>
    </row>
    <row r="5" spans="1:11">
      <c r="A5" s="93" t="s">
        <v>18</v>
      </c>
      <c r="B5" s="93">
        <v>108.73</v>
      </c>
      <c r="C5" s="94">
        <v>2</v>
      </c>
      <c r="D5" s="93">
        <v>7.2999999999999995E-2</v>
      </c>
      <c r="E5" s="93">
        <v>1E-3</v>
      </c>
      <c r="F5" s="93">
        <v>1000</v>
      </c>
      <c r="G5" s="95"/>
      <c r="H5" s="93">
        <v>22</v>
      </c>
      <c r="I5" s="93" t="s">
        <v>12</v>
      </c>
      <c r="J5" s="93">
        <v>1.2</v>
      </c>
      <c r="K5" s="94">
        <v>5.4</v>
      </c>
    </row>
    <row r="6" spans="1:11">
      <c r="A6" s="93" t="s">
        <v>18</v>
      </c>
      <c r="B6" s="93">
        <v>144.37</v>
      </c>
      <c r="C6" s="94">
        <v>2</v>
      </c>
      <c r="D6" s="93">
        <v>7.2999999999999995E-2</v>
      </c>
      <c r="E6" s="93">
        <v>1E-3</v>
      </c>
      <c r="F6" s="93">
        <v>1000</v>
      </c>
      <c r="G6" s="95"/>
      <c r="H6" s="93">
        <v>22</v>
      </c>
      <c r="I6" s="93" t="s">
        <v>12</v>
      </c>
      <c r="J6" s="93">
        <v>1.2</v>
      </c>
      <c r="K6" s="94">
        <v>5.71</v>
      </c>
    </row>
    <row r="7" spans="1:11">
      <c r="A7" s="93" t="s">
        <v>18</v>
      </c>
      <c r="B7" s="93">
        <v>168.12</v>
      </c>
      <c r="C7" s="94">
        <v>2</v>
      </c>
      <c r="D7" s="93">
        <v>7.2999999999999995E-2</v>
      </c>
      <c r="E7" s="93">
        <v>1E-3</v>
      </c>
      <c r="F7" s="93">
        <v>1000</v>
      </c>
      <c r="G7" s="95"/>
      <c r="H7" s="93">
        <v>22</v>
      </c>
      <c r="I7" s="93" t="s">
        <v>12</v>
      </c>
      <c r="J7" s="93">
        <v>1.2</v>
      </c>
      <c r="K7" s="94">
        <v>6</v>
      </c>
    </row>
    <row r="8" spans="1:11">
      <c r="A8" s="93" t="s">
        <v>18</v>
      </c>
      <c r="B8" s="93">
        <v>205.58</v>
      </c>
      <c r="C8" s="94">
        <v>2</v>
      </c>
      <c r="D8" s="93">
        <v>7.2999999999999995E-2</v>
      </c>
      <c r="E8" s="93">
        <v>1E-3</v>
      </c>
      <c r="F8" s="93">
        <v>1000</v>
      </c>
      <c r="G8" s="95"/>
      <c r="H8" s="93">
        <v>22</v>
      </c>
      <c r="I8" s="93" t="s">
        <v>12</v>
      </c>
      <c r="J8" s="93">
        <v>1.2</v>
      </c>
      <c r="K8" s="94">
        <v>6.21</v>
      </c>
    </row>
    <row r="9" spans="1:11">
      <c r="A9" s="93" t="s">
        <v>18</v>
      </c>
      <c r="B9" s="93">
        <v>231.17</v>
      </c>
      <c r="C9" s="94">
        <v>2</v>
      </c>
      <c r="D9" s="93">
        <v>7.2999999999999995E-2</v>
      </c>
      <c r="E9" s="93">
        <v>1E-3</v>
      </c>
      <c r="F9" s="93">
        <v>1000</v>
      </c>
      <c r="G9" s="95"/>
      <c r="H9" s="93">
        <v>22</v>
      </c>
      <c r="I9" s="93" t="s">
        <v>12</v>
      </c>
      <c r="J9" s="93">
        <v>1.2</v>
      </c>
      <c r="K9" s="94">
        <v>6.47</v>
      </c>
    </row>
    <row r="10" spans="1:11">
      <c r="A10" s="93" t="s">
        <v>18</v>
      </c>
      <c r="B10" s="93">
        <v>269.54000000000002</v>
      </c>
      <c r="C10" s="94">
        <v>2</v>
      </c>
      <c r="D10" s="93">
        <v>7.2999999999999995E-2</v>
      </c>
      <c r="E10" s="93">
        <v>1E-3</v>
      </c>
      <c r="F10" s="93">
        <v>1000</v>
      </c>
      <c r="G10" s="95"/>
      <c r="H10" s="93">
        <v>22</v>
      </c>
      <c r="I10" s="93" t="s">
        <v>12</v>
      </c>
      <c r="J10" s="93">
        <v>1.2</v>
      </c>
      <c r="K10" s="94">
        <v>6.72</v>
      </c>
    </row>
    <row r="11" spans="1:11">
      <c r="A11" s="93" t="s">
        <v>18</v>
      </c>
      <c r="B11" s="93">
        <v>300.61</v>
      </c>
      <c r="C11" s="94">
        <v>2</v>
      </c>
      <c r="D11" s="93">
        <v>7.2999999999999995E-2</v>
      </c>
      <c r="E11" s="93">
        <v>1E-3</v>
      </c>
      <c r="F11" s="93">
        <v>1000</v>
      </c>
      <c r="G11" s="95"/>
      <c r="H11" s="93">
        <v>22</v>
      </c>
      <c r="I11" s="93" t="s">
        <v>12</v>
      </c>
      <c r="J11" s="93">
        <v>1.2</v>
      </c>
      <c r="K11" s="94">
        <v>7</v>
      </c>
    </row>
    <row r="12" spans="1:11">
      <c r="A12" s="93" t="s">
        <v>18</v>
      </c>
      <c r="B12" s="93">
        <v>345.38</v>
      </c>
      <c r="C12" s="94">
        <v>2</v>
      </c>
      <c r="D12" s="93">
        <v>7.2999999999999995E-2</v>
      </c>
      <c r="E12" s="93">
        <v>1E-3</v>
      </c>
      <c r="F12" s="93">
        <v>1000</v>
      </c>
      <c r="G12" s="95"/>
      <c r="H12" s="93">
        <v>22</v>
      </c>
      <c r="I12" s="93" t="s">
        <v>12</v>
      </c>
      <c r="J12" s="93">
        <v>1.2</v>
      </c>
      <c r="K12" s="94">
        <v>7.1</v>
      </c>
    </row>
    <row r="13" spans="1:11">
      <c r="A13" s="93" t="s">
        <v>18</v>
      </c>
      <c r="B13" s="93">
        <v>379.19</v>
      </c>
      <c r="C13" s="94">
        <v>2</v>
      </c>
      <c r="D13" s="93">
        <v>7.2999999999999995E-2</v>
      </c>
      <c r="E13" s="93">
        <v>1E-3</v>
      </c>
      <c r="F13" s="93">
        <v>1000</v>
      </c>
      <c r="G13" s="95"/>
      <c r="H13" s="93">
        <v>22</v>
      </c>
      <c r="I13" s="93" t="s">
        <v>12</v>
      </c>
      <c r="J13" s="93">
        <v>1.2</v>
      </c>
      <c r="K13" s="94">
        <v>7.31</v>
      </c>
    </row>
    <row r="14" spans="1:11">
      <c r="A14" s="93" t="s">
        <v>18</v>
      </c>
      <c r="B14" s="93">
        <v>415.74</v>
      </c>
      <c r="C14" s="94">
        <v>2</v>
      </c>
      <c r="D14" s="93">
        <v>7.2999999999999995E-2</v>
      </c>
      <c r="E14" s="93">
        <v>1E-3</v>
      </c>
      <c r="F14" s="93">
        <v>1000</v>
      </c>
      <c r="G14" s="95"/>
      <c r="H14" s="93">
        <v>22</v>
      </c>
      <c r="I14" s="93" t="s">
        <v>12</v>
      </c>
      <c r="J14" s="93">
        <v>1.2</v>
      </c>
      <c r="K14" s="94">
        <v>7.55</v>
      </c>
    </row>
    <row r="15" spans="1:11">
      <c r="A15" s="93" t="s">
        <v>18</v>
      </c>
      <c r="B15" s="93">
        <v>458.68</v>
      </c>
      <c r="C15" s="94">
        <v>2</v>
      </c>
      <c r="D15" s="93">
        <v>7.2999999999999995E-2</v>
      </c>
      <c r="E15" s="93">
        <v>1E-3</v>
      </c>
      <c r="F15" s="93">
        <v>1000</v>
      </c>
      <c r="G15" s="95"/>
      <c r="H15" s="93">
        <v>22</v>
      </c>
      <c r="I15" s="93" t="s">
        <v>12</v>
      </c>
      <c r="J15" s="93">
        <v>1.2</v>
      </c>
      <c r="K15" s="94">
        <v>7.69</v>
      </c>
    </row>
    <row r="16" spans="1:11">
      <c r="A16" s="93" t="s">
        <v>18</v>
      </c>
      <c r="B16" s="93">
        <v>488.83</v>
      </c>
      <c r="C16" s="94">
        <v>2</v>
      </c>
      <c r="D16" s="93">
        <v>7.2999999999999995E-2</v>
      </c>
      <c r="E16" s="93">
        <v>1E-3</v>
      </c>
      <c r="F16" s="93">
        <v>1000</v>
      </c>
      <c r="G16" s="95"/>
      <c r="H16" s="93">
        <v>22</v>
      </c>
      <c r="I16" s="93" t="s">
        <v>12</v>
      </c>
      <c r="J16" s="93">
        <v>1.2</v>
      </c>
      <c r="K16" s="94">
        <v>7.82</v>
      </c>
    </row>
    <row r="17" spans="1:11">
      <c r="A17" s="93" t="s">
        <v>18</v>
      </c>
      <c r="B17" s="93">
        <v>534.52</v>
      </c>
      <c r="C17" s="94">
        <v>2</v>
      </c>
      <c r="D17" s="93">
        <v>7.2999999999999995E-2</v>
      </c>
      <c r="E17" s="93">
        <v>1E-3</v>
      </c>
      <c r="F17" s="93">
        <v>1000</v>
      </c>
      <c r="G17" s="95"/>
      <c r="H17" s="93">
        <v>22</v>
      </c>
      <c r="I17" s="93" t="s">
        <v>12</v>
      </c>
      <c r="J17" s="93">
        <v>1.2</v>
      </c>
      <c r="K17" s="94">
        <v>8.06</v>
      </c>
    </row>
    <row r="18" spans="1:11">
      <c r="A18" s="93" t="s">
        <v>18</v>
      </c>
      <c r="B18" s="93">
        <v>571.97</v>
      </c>
      <c r="C18" s="94">
        <v>2</v>
      </c>
      <c r="D18" s="93">
        <v>7.2999999999999995E-2</v>
      </c>
      <c r="E18" s="93">
        <v>1E-3</v>
      </c>
      <c r="F18" s="93">
        <v>1000</v>
      </c>
      <c r="G18" s="95"/>
      <c r="H18" s="93">
        <v>22</v>
      </c>
      <c r="I18" s="93" t="s">
        <v>12</v>
      </c>
      <c r="J18" s="93">
        <v>1.2</v>
      </c>
      <c r="K18" s="94">
        <v>8.2799999999999994</v>
      </c>
    </row>
    <row r="19" spans="1:11">
      <c r="A19" s="93" t="s">
        <v>18</v>
      </c>
      <c r="B19" s="93">
        <v>578.88</v>
      </c>
      <c r="C19" s="94">
        <v>2</v>
      </c>
      <c r="D19" s="93">
        <v>7.2999999999999995E-2</v>
      </c>
      <c r="E19" s="93">
        <v>1E-3</v>
      </c>
      <c r="F19" s="93">
        <v>1000</v>
      </c>
      <c r="G19" s="95"/>
      <c r="H19" s="93">
        <v>22</v>
      </c>
      <c r="I19" s="93" t="s">
        <v>12</v>
      </c>
      <c r="J19" s="93">
        <v>1.2</v>
      </c>
      <c r="K19" s="94">
        <v>8.64</v>
      </c>
    </row>
    <row r="20" spans="1:11">
      <c r="A20" s="93" t="s">
        <v>18</v>
      </c>
      <c r="B20" s="93">
        <v>595.67999999999995</v>
      </c>
      <c r="C20" s="94">
        <v>2</v>
      </c>
      <c r="D20" s="93">
        <v>7.2999999999999995E-2</v>
      </c>
      <c r="E20" s="93">
        <v>1E-3</v>
      </c>
      <c r="F20" s="93">
        <v>1000</v>
      </c>
      <c r="G20" s="95"/>
      <c r="H20" s="93">
        <v>22</v>
      </c>
      <c r="I20" s="93" t="s">
        <v>12</v>
      </c>
      <c r="J20" s="93">
        <v>1.2</v>
      </c>
      <c r="K20" s="94">
        <v>8.4499999999999993</v>
      </c>
    </row>
    <row r="21" spans="1:11">
      <c r="A21" s="93" t="s">
        <v>18</v>
      </c>
      <c r="B21" s="93">
        <v>39</v>
      </c>
      <c r="C21" s="94">
        <v>2</v>
      </c>
      <c r="D21" s="93">
        <v>6.5000000000000002E-2</v>
      </c>
      <c r="E21" s="93">
        <v>1E-3</v>
      </c>
      <c r="F21" s="93">
        <v>995.1</v>
      </c>
      <c r="G21" s="95"/>
      <c r="H21" s="93">
        <v>22</v>
      </c>
      <c r="I21" s="93" t="s">
        <v>12</v>
      </c>
      <c r="J21" s="93">
        <v>1.2</v>
      </c>
      <c r="K21" s="94">
        <v>4.2</v>
      </c>
    </row>
    <row r="22" spans="1:11">
      <c r="A22" s="93" t="s">
        <v>18</v>
      </c>
      <c r="B22" s="93">
        <v>39</v>
      </c>
      <c r="C22" s="94">
        <v>2</v>
      </c>
      <c r="D22" s="93">
        <v>6.5000000000000002E-2</v>
      </c>
      <c r="E22" s="93">
        <v>1E-3</v>
      </c>
      <c r="F22" s="93">
        <v>995.1</v>
      </c>
      <c r="G22" s="95"/>
      <c r="H22" s="93">
        <v>22</v>
      </c>
      <c r="I22" s="93" t="s">
        <v>12</v>
      </c>
      <c r="J22" s="93">
        <v>1.2</v>
      </c>
      <c r="K22" s="94">
        <v>4.07</v>
      </c>
    </row>
    <row r="23" spans="1:11">
      <c r="A23" s="93" t="s">
        <v>18</v>
      </c>
      <c r="B23" s="93">
        <v>39</v>
      </c>
      <c r="C23" s="94">
        <v>2</v>
      </c>
      <c r="D23" s="93">
        <v>6.5000000000000002E-2</v>
      </c>
      <c r="E23" s="93">
        <v>1E-3</v>
      </c>
      <c r="F23" s="93">
        <v>995.1</v>
      </c>
      <c r="G23" s="95"/>
      <c r="H23" s="93">
        <v>22</v>
      </c>
      <c r="I23" s="93" t="s">
        <v>12</v>
      </c>
      <c r="J23" s="93">
        <v>1.2</v>
      </c>
      <c r="K23" s="94">
        <v>3.81</v>
      </c>
    </row>
    <row r="24" spans="1:11">
      <c r="A24" s="93" t="s">
        <v>18</v>
      </c>
      <c r="B24" s="93">
        <v>39</v>
      </c>
      <c r="C24" s="94">
        <v>2</v>
      </c>
      <c r="D24" s="93">
        <v>6.5000000000000002E-2</v>
      </c>
      <c r="E24" s="93">
        <v>1E-3</v>
      </c>
      <c r="F24" s="93">
        <v>995.1</v>
      </c>
      <c r="G24" s="95"/>
      <c r="H24" s="93">
        <v>22</v>
      </c>
      <c r="I24" s="93" t="s">
        <v>12</v>
      </c>
      <c r="J24" s="93">
        <v>1.2</v>
      </c>
      <c r="K24" s="94">
        <v>3.65</v>
      </c>
    </row>
    <row r="25" spans="1:11">
      <c r="A25" s="93" t="s">
        <v>18</v>
      </c>
      <c r="B25" s="93">
        <v>39</v>
      </c>
      <c r="C25" s="94">
        <v>2</v>
      </c>
      <c r="D25" s="93">
        <v>6.5000000000000002E-2</v>
      </c>
      <c r="E25" s="93">
        <v>1E-3</v>
      </c>
      <c r="F25" s="93">
        <v>995.1</v>
      </c>
      <c r="G25" s="95"/>
      <c r="H25" s="93">
        <v>22</v>
      </c>
      <c r="I25" s="93" t="s">
        <v>12</v>
      </c>
      <c r="J25" s="93">
        <v>1.2</v>
      </c>
      <c r="K25" s="94">
        <v>3.57</v>
      </c>
    </row>
    <row r="26" spans="1:11">
      <c r="A26" s="93" t="s">
        <v>18</v>
      </c>
      <c r="B26" s="93">
        <v>39</v>
      </c>
      <c r="C26" s="94">
        <v>2</v>
      </c>
      <c r="D26" s="93">
        <v>5.8999999999999997E-2</v>
      </c>
      <c r="E26" s="93">
        <v>1E-3</v>
      </c>
      <c r="F26" s="93">
        <v>985</v>
      </c>
      <c r="G26" s="95"/>
      <c r="H26" s="93">
        <v>22</v>
      </c>
      <c r="I26" s="93" t="s">
        <v>12</v>
      </c>
      <c r="J26" s="93">
        <v>1.2</v>
      </c>
      <c r="K26" s="94">
        <v>3.94</v>
      </c>
    </row>
    <row r="27" spans="1:11">
      <c r="A27" s="93" t="s">
        <v>18</v>
      </c>
      <c r="B27" s="93">
        <v>39</v>
      </c>
      <c r="C27" s="94">
        <v>2</v>
      </c>
      <c r="D27" s="93">
        <v>5.8999999999999997E-2</v>
      </c>
      <c r="E27" s="93">
        <v>1E-3</v>
      </c>
      <c r="F27" s="93">
        <v>985</v>
      </c>
      <c r="G27" s="95"/>
      <c r="H27" s="93">
        <v>22</v>
      </c>
      <c r="I27" s="93" t="s">
        <v>12</v>
      </c>
      <c r="J27" s="93">
        <v>1.2</v>
      </c>
      <c r="K27" s="94">
        <v>3.77</v>
      </c>
    </row>
    <row r="28" spans="1:11">
      <c r="A28" s="93" t="s">
        <v>18</v>
      </c>
      <c r="B28" s="93">
        <v>39</v>
      </c>
      <c r="C28" s="94">
        <v>2</v>
      </c>
      <c r="D28" s="93">
        <v>5.8999999999999997E-2</v>
      </c>
      <c r="E28" s="93">
        <v>1E-3</v>
      </c>
      <c r="F28" s="93">
        <v>985</v>
      </c>
      <c r="G28" s="95"/>
      <c r="H28" s="93">
        <v>22</v>
      </c>
      <c r="I28" s="93" t="s">
        <v>12</v>
      </c>
      <c r="J28" s="93">
        <v>1.2</v>
      </c>
      <c r="K28" s="94">
        <v>3.64</v>
      </c>
    </row>
    <row r="29" spans="1:11">
      <c r="A29" s="93" t="s">
        <v>18</v>
      </c>
      <c r="B29" s="93">
        <v>39</v>
      </c>
      <c r="C29" s="94">
        <v>2</v>
      </c>
      <c r="D29" s="93">
        <v>5.8999999999999997E-2</v>
      </c>
      <c r="E29" s="93">
        <v>1E-3</v>
      </c>
      <c r="F29" s="93">
        <v>985</v>
      </c>
      <c r="G29" s="95"/>
      <c r="H29" s="93">
        <v>22</v>
      </c>
      <c r="I29" s="93" t="s">
        <v>12</v>
      </c>
      <c r="J29" s="93">
        <v>1.2</v>
      </c>
      <c r="K29" s="94">
        <v>3.55</v>
      </c>
    </row>
    <row r="30" spans="1:11">
      <c r="A30" s="93" t="s">
        <v>18</v>
      </c>
      <c r="B30" s="93">
        <v>39</v>
      </c>
      <c r="C30" s="94">
        <v>2</v>
      </c>
      <c r="D30" s="93">
        <v>5.8999999999999997E-2</v>
      </c>
      <c r="E30" s="93">
        <v>1E-3</v>
      </c>
      <c r="F30" s="93">
        <v>985</v>
      </c>
      <c r="G30" s="95"/>
      <c r="H30" s="93">
        <v>22</v>
      </c>
      <c r="I30" s="93" t="s">
        <v>12</v>
      </c>
      <c r="J30" s="93">
        <v>1.2</v>
      </c>
      <c r="K30" s="94">
        <v>3.5</v>
      </c>
    </row>
    <row r="31" spans="1:11">
      <c r="A31" s="93" t="s">
        <v>18</v>
      </c>
      <c r="B31" s="93">
        <v>39</v>
      </c>
      <c r="C31" s="94">
        <v>2</v>
      </c>
      <c r="D31" s="93">
        <v>5.1999999999999998E-2</v>
      </c>
      <c r="E31" s="93">
        <v>1E-3</v>
      </c>
      <c r="F31" s="93">
        <v>980</v>
      </c>
      <c r="G31" s="95"/>
      <c r="H31" s="93">
        <v>22</v>
      </c>
      <c r="I31" s="93" t="s">
        <v>12</v>
      </c>
      <c r="J31" s="93">
        <v>1.2</v>
      </c>
      <c r="K31" s="94">
        <v>3.76</v>
      </c>
    </row>
    <row r="32" spans="1:11">
      <c r="A32" s="93" t="s">
        <v>18</v>
      </c>
      <c r="B32" s="93">
        <v>39</v>
      </c>
      <c r="C32" s="94">
        <v>2</v>
      </c>
      <c r="D32" s="93">
        <v>5.1999999999999998E-2</v>
      </c>
      <c r="E32" s="93">
        <v>1E-3</v>
      </c>
      <c r="F32" s="93">
        <v>980</v>
      </c>
      <c r="G32" s="95"/>
      <c r="H32" s="93">
        <v>22</v>
      </c>
      <c r="I32" s="93" t="s">
        <v>12</v>
      </c>
      <c r="J32" s="93">
        <v>1.2</v>
      </c>
      <c r="K32" s="94">
        <v>3.6</v>
      </c>
    </row>
    <row r="33" spans="1:12">
      <c r="A33" s="93" t="s">
        <v>18</v>
      </c>
      <c r="B33" s="93">
        <v>39</v>
      </c>
      <c r="C33" s="94">
        <v>2</v>
      </c>
      <c r="D33" s="93">
        <v>5.1999999999999998E-2</v>
      </c>
      <c r="E33" s="93">
        <v>1E-3</v>
      </c>
      <c r="F33" s="93">
        <v>980</v>
      </c>
      <c r="G33" s="95"/>
      <c r="H33" s="93">
        <v>22</v>
      </c>
      <c r="I33" s="93" t="s">
        <v>12</v>
      </c>
      <c r="J33" s="93">
        <v>1.2</v>
      </c>
      <c r="K33" s="94">
        <v>3.49</v>
      </c>
    </row>
    <row r="34" spans="1:12">
      <c r="A34" s="93" t="s">
        <v>18</v>
      </c>
      <c r="B34" s="93">
        <v>39</v>
      </c>
      <c r="C34" s="94">
        <v>2</v>
      </c>
      <c r="D34" s="93">
        <v>5.1999999999999998E-2</v>
      </c>
      <c r="E34" s="93">
        <v>1E-3</v>
      </c>
      <c r="F34" s="93">
        <v>980</v>
      </c>
      <c r="G34" s="95"/>
      <c r="H34" s="93">
        <v>22</v>
      </c>
      <c r="I34" s="93" t="s">
        <v>12</v>
      </c>
      <c r="J34" s="93">
        <v>1.2</v>
      </c>
      <c r="K34" s="94">
        <v>3.48</v>
      </c>
    </row>
    <row r="35" spans="1:12">
      <c r="A35" s="93" t="s">
        <v>18</v>
      </c>
      <c r="B35" s="93">
        <v>39</v>
      </c>
      <c r="C35" s="94">
        <v>2</v>
      </c>
      <c r="D35" s="93">
        <v>5.1999999999999998E-2</v>
      </c>
      <c r="E35" s="93">
        <v>1E-3</v>
      </c>
      <c r="F35" s="93">
        <v>980</v>
      </c>
      <c r="G35" s="95"/>
      <c r="H35" s="93">
        <v>22</v>
      </c>
      <c r="I35" s="93" t="s">
        <v>12</v>
      </c>
      <c r="J35" s="93">
        <v>1.2</v>
      </c>
      <c r="K35" s="94">
        <v>3.42</v>
      </c>
    </row>
    <row r="36" spans="1:12">
      <c r="A36" s="93" t="s">
        <v>18</v>
      </c>
      <c r="B36" s="93">
        <v>39</v>
      </c>
      <c r="C36" s="94">
        <v>2</v>
      </c>
      <c r="D36" s="93">
        <v>5.1999999999999998E-2</v>
      </c>
      <c r="E36" s="93">
        <v>1E-3</v>
      </c>
      <c r="F36" s="93">
        <v>980</v>
      </c>
      <c r="G36" s="95"/>
      <c r="H36" s="93">
        <v>22</v>
      </c>
      <c r="I36" s="93" t="s">
        <v>12</v>
      </c>
      <c r="J36" s="93">
        <v>1.2</v>
      </c>
      <c r="K36" s="94">
        <v>3.41</v>
      </c>
    </row>
    <row r="37" spans="1:12">
      <c r="A37" s="93" t="s">
        <v>18</v>
      </c>
      <c r="B37" s="93">
        <v>60</v>
      </c>
      <c r="C37" s="94">
        <v>0.5</v>
      </c>
      <c r="D37" s="93">
        <v>7.2999999999999995E-2</v>
      </c>
      <c r="E37" s="93">
        <v>1E-3</v>
      </c>
      <c r="F37" s="93">
        <v>1000</v>
      </c>
      <c r="G37" s="95"/>
      <c r="H37" s="93">
        <v>22</v>
      </c>
      <c r="I37" s="93" t="s">
        <v>12</v>
      </c>
      <c r="J37" s="93">
        <v>1.2</v>
      </c>
      <c r="K37" s="94">
        <v>3.48</v>
      </c>
    </row>
    <row r="38" spans="1:12">
      <c r="A38" s="93" t="s">
        <v>18</v>
      </c>
      <c r="B38" s="93">
        <v>120</v>
      </c>
      <c r="C38" s="94">
        <v>0.5</v>
      </c>
      <c r="D38" s="93">
        <v>7.2999999999999995E-2</v>
      </c>
      <c r="E38" s="93">
        <v>1E-3</v>
      </c>
      <c r="F38" s="93">
        <v>1000</v>
      </c>
      <c r="G38" s="95"/>
      <c r="H38" s="93">
        <v>22</v>
      </c>
      <c r="I38" s="93" t="s">
        <v>12</v>
      </c>
      <c r="J38" s="93">
        <v>1.2</v>
      </c>
      <c r="K38" s="94">
        <v>4.1100000000000003</v>
      </c>
    </row>
    <row r="39" spans="1:12">
      <c r="A39" s="93" t="s">
        <v>18</v>
      </c>
      <c r="B39" s="93">
        <v>180</v>
      </c>
      <c r="C39" s="94">
        <v>0.5</v>
      </c>
      <c r="D39" s="93">
        <v>7.2999999999999995E-2</v>
      </c>
      <c r="E39" s="93">
        <v>1E-3</v>
      </c>
      <c r="F39" s="93">
        <v>1000</v>
      </c>
      <c r="G39" s="95"/>
      <c r="H39" s="93">
        <v>22</v>
      </c>
      <c r="I39" s="93" t="s">
        <v>12</v>
      </c>
      <c r="J39" s="93">
        <v>1.2</v>
      </c>
      <c r="K39" s="94">
        <v>4.53</v>
      </c>
    </row>
    <row r="40" spans="1:12">
      <c r="A40" s="93" t="s">
        <v>18</v>
      </c>
      <c r="B40" s="93">
        <v>240</v>
      </c>
      <c r="C40" s="94">
        <v>0.5</v>
      </c>
      <c r="D40" s="93">
        <v>7.2999999999999995E-2</v>
      </c>
      <c r="E40" s="93">
        <v>1E-3</v>
      </c>
      <c r="F40" s="93">
        <v>1000</v>
      </c>
      <c r="G40" s="95"/>
      <c r="H40" s="93">
        <v>22</v>
      </c>
      <c r="I40" s="93" t="s">
        <v>12</v>
      </c>
      <c r="J40" s="93">
        <v>1.2</v>
      </c>
      <c r="K40" s="94">
        <v>4.95</v>
      </c>
    </row>
    <row r="41" spans="1:12">
      <c r="A41" s="93" t="s">
        <v>18</v>
      </c>
      <c r="B41" s="93">
        <v>300</v>
      </c>
      <c r="C41" s="94">
        <v>0.5</v>
      </c>
      <c r="D41" s="93">
        <v>7.2999999999999995E-2</v>
      </c>
      <c r="E41" s="93">
        <v>1E-3</v>
      </c>
      <c r="F41" s="93">
        <v>1000</v>
      </c>
      <c r="G41" s="95"/>
      <c r="H41" s="93">
        <v>22</v>
      </c>
      <c r="I41" s="93" t="s">
        <v>12</v>
      </c>
      <c r="J41" s="93">
        <v>1.2</v>
      </c>
      <c r="K41" s="94">
        <v>5.28</v>
      </c>
    </row>
    <row r="42" spans="1:12">
      <c r="A42" s="93" t="s">
        <v>18</v>
      </c>
      <c r="B42" s="93">
        <v>360</v>
      </c>
      <c r="C42" s="94">
        <v>0.5</v>
      </c>
      <c r="D42" s="93">
        <v>7.2999999999999995E-2</v>
      </c>
      <c r="E42" s="93">
        <v>1E-3</v>
      </c>
      <c r="F42" s="93">
        <v>1000</v>
      </c>
      <c r="G42" s="95"/>
      <c r="H42" s="93">
        <v>22</v>
      </c>
      <c r="I42" s="93" t="s">
        <v>12</v>
      </c>
      <c r="J42" s="93">
        <v>1.2</v>
      </c>
      <c r="K42" s="94">
        <v>5.6</v>
      </c>
    </row>
    <row r="43" spans="1:12">
      <c r="A43" s="93" t="s">
        <v>18</v>
      </c>
      <c r="B43" s="93">
        <v>420</v>
      </c>
      <c r="C43" s="94">
        <v>0.5</v>
      </c>
      <c r="D43" s="93">
        <v>7.2999999999999995E-2</v>
      </c>
      <c r="E43" s="93">
        <v>1E-3</v>
      </c>
      <c r="F43" s="93">
        <v>1000</v>
      </c>
      <c r="G43" s="95"/>
      <c r="H43" s="93">
        <v>22</v>
      </c>
      <c r="I43" s="93" t="s">
        <v>12</v>
      </c>
      <c r="J43" s="93">
        <v>1.2</v>
      </c>
      <c r="K43" s="94">
        <v>5.92</v>
      </c>
      <c r="L43" s="85" t="e">
        <f t="array" aca="1" ref="L43:L54" ca="1">_xludf.UNIQUE(A:A)</f>
        <v>#NAME?</v>
      </c>
    </row>
    <row r="44" spans="1:12">
      <c r="A44" s="93" t="s">
        <v>18</v>
      </c>
      <c r="B44" s="93">
        <v>480</v>
      </c>
      <c r="C44" s="94">
        <v>0.5</v>
      </c>
      <c r="D44" s="93">
        <v>7.2999999999999995E-2</v>
      </c>
      <c r="E44" s="93">
        <v>1E-3</v>
      </c>
      <c r="F44" s="93">
        <v>1000</v>
      </c>
      <c r="G44" s="95"/>
      <c r="H44" s="93">
        <v>22</v>
      </c>
      <c r="I44" s="93" t="s">
        <v>12</v>
      </c>
      <c r="J44" s="93">
        <v>1.2</v>
      </c>
      <c r="K44" s="94">
        <v>6.1</v>
      </c>
      <c r="L44" s="85" t="e">
        <f ca="1"/>
        <v>#NAME?</v>
      </c>
    </row>
    <row r="45" spans="1:12">
      <c r="A45" s="93" t="s">
        <v>18</v>
      </c>
      <c r="B45" s="93">
        <v>540</v>
      </c>
      <c r="C45" s="94">
        <v>0.5</v>
      </c>
      <c r="D45" s="93">
        <v>7.2999999999999995E-2</v>
      </c>
      <c r="E45" s="93">
        <v>1E-3</v>
      </c>
      <c r="F45" s="93">
        <v>1000</v>
      </c>
      <c r="G45" s="95"/>
      <c r="H45" s="93">
        <v>22</v>
      </c>
      <c r="I45" s="93" t="s">
        <v>12</v>
      </c>
      <c r="J45" s="93">
        <v>1.2</v>
      </c>
      <c r="K45" s="94">
        <v>6.4</v>
      </c>
      <c r="L45" s="85" t="e">
        <f ca="1"/>
        <v>#NAME?</v>
      </c>
    </row>
    <row r="46" spans="1:12">
      <c r="A46" s="93" t="s">
        <v>18</v>
      </c>
      <c r="B46" s="93">
        <v>600</v>
      </c>
      <c r="C46" s="94">
        <v>0.5</v>
      </c>
      <c r="D46" s="93">
        <v>7.2999999999999995E-2</v>
      </c>
      <c r="E46" s="93">
        <v>1E-3</v>
      </c>
      <c r="F46" s="93">
        <v>1000</v>
      </c>
      <c r="G46" s="95"/>
      <c r="H46" s="93">
        <v>22</v>
      </c>
      <c r="I46" s="93" t="s">
        <v>12</v>
      </c>
      <c r="J46" s="93">
        <v>1.2</v>
      </c>
      <c r="K46" s="94">
        <v>6.61</v>
      </c>
      <c r="L46" s="85" t="e">
        <f ca="1"/>
        <v>#NAME?</v>
      </c>
    </row>
    <row r="47" spans="1:12">
      <c r="A47" s="93" t="s">
        <v>18</v>
      </c>
      <c r="B47" s="93">
        <v>660</v>
      </c>
      <c r="C47" s="94">
        <v>0.5</v>
      </c>
      <c r="D47" s="93">
        <v>7.2999999999999995E-2</v>
      </c>
      <c r="E47" s="93">
        <v>1E-3</v>
      </c>
      <c r="F47" s="93">
        <v>1000</v>
      </c>
      <c r="G47" s="95"/>
      <c r="H47" s="93">
        <v>22</v>
      </c>
      <c r="I47" s="93" t="s">
        <v>12</v>
      </c>
      <c r="J47" s="93">
        <v>1.2</v>
      </c>
      <c r="K47" s="94">
        <v>6.82</v>
      </c>
      <c r="L47" s="85" t="e">
        <f ca="1"/>
        <v>#NAME?</v>
      </c>
    </row>
    <row r="48" spans="1:12">
      <c r="A48" s="93" t="s">
        <v>18</v>
      </c>
      <c r="B48" s="93">
        <v>720</v>
      </c>
      <c r="C48" s="94">
        <v>0.5</v>
      </c>
      <c r="D48" s="93">
        <v>7.2999999999999995E-2</v>
      </c>
      <c r="E48" s="93">
        <v>1E-3</v>
      </c>
      <c r="F48" s="93">
        <v>1000</v>
      </c>
      <c r="G48" s="95"/>
      <c r="H48" s="93">
        <v>22</v>
      </c>
      <c r="I48" s="93" t="s">
        <v>12</v>
      </c>
      <c r="J48" s="93">
        <v>1.2</v>
      </c>
      <c r="K48" s="94">
        <v>6.99</v>
      </c>
      <c r="L48" s="85" t="e">
        <f ca="1"/>
        <v>#NAME?</v>
      </c>
    </row>
    <row r="49" spans="1:12">
      <c r="A49" s="93" t="s">
        <v>18</v>
      </c>
      <c r="B49" s="93">
        <v>780</v>
      </c>
      <c r="C49" s="94">
        <v>0.5</v>
      </c>
      <c r="D49" s="93">
        <v>7.2999999999999995E-2</v>
      </c>
      <c r="E49" s="93">
        <v>1E-3</v>
      </c>
      <c r="F49" s="93">
        <v>1000</v>
      </c>
      <c r="G49" s="95"/>
      <c r="H49" s="93">
        <v>22</v>
      </c>
      <c r="I49" s="93" t="s">
        <v>12</v>
      </c>
      <c r="J49" s="93">
        <v>1.2</v>
      </c>
      <c r="K49" s="94">
        <v>7.22</v>
      </c>
      <c r="L49" s="85" t="e">
        <f ca="1"/>
        <v>#NAME?</v>
      </c>
    </row>
    <row r="50" spans="1:12">
      <c r="A50" s="93" t="s">
        <v>18</v>
      </c>
      <c r="B50" s="93">
        <v>840</v>
      </c>
      <c r="C50" s="94">
        <v>0.5</v>
      </c>
      <c r="D50" s="93">
        <v>7.2999999999999995E-2</v>
      </c>
      <c r="E50" s="93">
        <v>1E-3</v>
      </c>
      <c r="F50" s="93">
        <v>1000</v>
      </c>
      <c r="G50" s="95"/>
      <c r="H50" s="93">
        <v>22</v>
      </c>
      <c r="I50" s="93" t="s">
        <v>12</v>
      </c>
      <c r="J50" s="93">
        <v>1.2</v>
      </c>
      <c r="K50" s="94">
        <v>7.42</v>
      </c>
      <c r="L50" s="85" t="e">
        <f ca="1"/>
        <v>#NAME?</v>
      </c>
    </row>
    <row r="51" spans="1:12">
      <c r="A51" s="93" t="s">
        <v>18</v>
      </c>
      <c r="B51" s="93">
        <v>900</v>
      </c>
      <c r="C51" s="94">
        <v>0.5</v>
      </c>
      <c r="D51" s="93">
        <v>7.2999999999999995E-2</v>
      </c>
      <c r="E51" s="93">
        <v>1E-3</v>
      </c>
      <c r="F51" s="93">
        <v>1000</v>
      </c>
      <c r="G51" s="95"/>
      <c r="H51" s="93">
        <v>22</v>
      </c>
      <c r="I51" s="93" t="s">
        <v>12</v>
      </c>
      <c r="J51" s="93">
        <v>1.2</v>
      </c>
      <c r="K51" s="94">
        <v>7.65</v>
      </c>
      <c r="L51" s="85" t="e">
        <f ca="1"/>
        <v>#NAME?</v>
      </c>
    </row>
    <row r="52" spans="1:12">
      <c r="A52" s="93" t="s">
        <v>18</v>
      </c>
      <c r="B52" s="93">
        <v>60</v>
      </c>
      <c r="C52" s="94">
        <v>1</v>
      </c>
      <c r="D52" s="93">
        <v>7.2999999999999995E-2</v>
      </c>
      <c r="E52" s="93">
        <v>1E-3</v>
      </c>
      <c r="F52" s="93">
        <v>1000</v>
      </c>
      <c r="G52" s="95"/>
      <c r="H52" s="93">
        <v>22</v>
      </c>
      <c r="I52" s="93" t="s">
        <v>12</v>
      </c>
      <c r="J52" s="93">
        <v>1.2</v>
      </c>
      <c r="K52" s="94">
        <v>4.09</v>
      </c>
      <c r="L52" s="85" t="e">
        <f ca="1"/>
        <v>#NAME?</v>
      </c>
    </row>
    <row r="53" spans="1:12">
      <c r="A53" s="93" t="s">
        <v>18</v>
      </c>
      <c r="B53" s="93">
        <v>120</v>
      </c>
      <c r="C53" s="94">
        <v>1</v>
      </c>
      <c r="D53" s="93">
        <v>7.2999999999999995E-2</v>
      </c>
      <c r="E53" s="93">
        <v>1E-3</v>
      </c>
      <c r="F53" s="93">
        <v>1000</v>
      </c>
      <c r="G53" s="95"/>
      <c r="H53" s="93">
        <v>22</v>
      </c>
      <c r="I53" s="93" t="s">
        <v>12</v>
      </c>
      <c r="J53" s="93">
        <v>1.2</v>
      </c>
      <c r="K53" s="94">
        <v>4.67</v>
      </c>
      <c r="L53" s="85" t="e">
        <f ca="1"/>
        <v>#NAME?</v>
      </c>
    </row>
    <row r="54" spans="1:12">
      <c r="A54" s="93" t="s">
        <v>18</v>
      </c>
      <c r="B54" s="93">
        <v>180</v>
      </c>
      <c r="C54" s="94">
        <v>1</v>
      </c>
      <c r="D54" s="93">
        <v>7.2999999999999995E-2</v>
      </c>
      <c r="E54" s="93">
        <v>1E-3</v>
      </c>
      <c r="F54" s="93">
        <v>1000</v>
      </c>
      <c r="G54" s="95"/>
      <c r="H54" s="93">
        <v>22</v>
      </c>
      <c r="I54" s="93" t="s">
        <v>12</v>
      </c>
      <c r="J54" s="93">
        <v>1.2</v>
      </c>
      <c r="K54" s="94">
        <v>5.08</v>
      </c>
      <c r="L54" s="85" t="e">
        <f ca="1"/>
        <v>#NAME?</v>
      </c>
    </row>
    <row r="55" spans="1:12">
      <c r="A55" s="93" t="s">
        <v>18</v>
      </c>
      <c r="B55" s="93">
        <v>240</v>
      </c>
      <c r="C55" s="94">
        <v>1</v>
      </c>
      <c r="D55" s="93">
        <v>7.2999999999999995E-2</v>
      </c>
      <c r="E55" s="93">
        <v>1E-3</v>
      </c>
      <c r="F55" s="93">
        <v>1000</v>
      </c>
      <c r="G55" s="95"/>
      <c r="H55" s="93">
        <v>22</v>
      </c>
      <c r="I55" s="93" t="s">
        <v>12</v>
      </c>
      <c r="J55" s="93">
        <v>1.2</v>
      </c>
      <c r="K55" s="94">
        <v>5.54</v>
      </c>
    </row>
    <row r="56" spans="1:12">
      <c r="A56" s="93" t="s">
        <v>18</v>
      </c>
      <c r="B56" s="93">
        <v>300</v>
      </c>
      <c r="C56" s="94">
        <v>1</v>
      </c>
      <c r="D56" s="93">
        <v>7.2999999999999995E-2</v>
      </c>
      <c r="E56" s="93">
        <v>1E-3</v>
      </c>
      <c r="F56" s="93">
        <v>1000</v>
      </c>
      <c r="G56" s="95"/>
      <c r="H56" s="93">
        <v>22</v>
      </c>
      <c r="I56" s="93" t="s">
        <v>12</v>
      </c>
      <c r="J56" s="93">
        <v>1.2</v>
      </c>
      <c r="K56" s="94">
        <v>5.91</v>
      </c>
    </row>
    <row r="57" spans="1:12">
      <c r="A57" s="93" t="s">
        <v>18</v>
      </c>
      <c r="B57" s="93">
        <v>360</v>
      </c>
      <c r="C57" s="94">
        <v>1</v>
      </c>
      <c r="D57" s="93">
        <v>7.2999999999999995E-2</v>
      </c>
      <c r="E57" s="93">
        <v>1E-3</v>
      </c>
      <c r="F57" s="93">
        <v>1000</v>
      </c>
      <c r="G57" s="95"/>
      <c r="H57" s="93">
        <v>22</v>
      </c>
      <c r="I57" s="93" t="s">
        <v>12</v>
      </c>
      <c r="J57" s="93">
        <v>1.2</v>
      </c>
      <c r="K57" s="94">
        <v>6.2</v>
      </c>
    </row>
    <row r="58" spans="1:12">
      <c r="A58" s="93" t="s">
        <v>18</v>
      </c>
      <c r="B58" s="93">
        <v>420</v>
      </c>
      <c r="C58" s="94">
        <v>1</v>
      </c>
      <c r="D58" s="93">
        <v>7.2999999999999995E-2</v>
      </c>
      <c r="E58" s="93">
        <v>1E-3</v>
      </c>
      <c r="F58" s="93">
        <v>1000</v>
      </c>
      <c r="G58" s="95"/>
      <c r="H58" s="93">
        <v>22</v>
      </c>
      <c r="I58" s="93" t="s">
        <v>12</v>
      </c>
      <c r="J58" s="93">
        <v>1.2</v>
      </c>
      <c r="K58" s="94">
        <v>6.61</v>
      </c>
    </row>
    <row r="59" spans="1:12">
      <c r="A59" s="93" t="s">
        <v>18</v>
      </c>
      <c r="B59" s="93">
        <v>480</v>
      </c>
      <c r="C59" s="94">
        <v>1</v>
      </c>
      <c r="D59" s="93">
        <v>7.2999999999999995E-2</v>
      </c>
      <c r="E59" s="93">
        <v>1E-3</v>
      </c>
      <c r="F59" s="93">
        <v>1000</v>
      </c>
      <c r="G59" s="95"/>
      <c r="H59" s="93">
        <v>22</v>
      </c>
      <c r="I59" s="93" t="s">
        <v>12</v>
      </c>
      <c r="J59" s="93">
        <v>1.2</v>
      </c>
      <c r="K59" s="94">
        <v>6.9</v>
      </c>
    </row>
    <row r="60" spans="1:12">
      <c r="A60" s="93" t="s">
        <v>18</v>
      </c>
      <c r="B60" s="93">
        <v>540</v>
      </c>
      <c r="C60" s="94">
        <v>1</v>
      </c>
      <c r="D60" s="93">
        <v>7.2999999999999995E-2</v>
      </c>
      <c r="E60" s="93">
        <v>1E-3</v>
      </c>
      <c r="F60" s="93">
        <v>1000</v>
      </c>
      <c r="G60" s="95"/>
      <c r="H60" s="93">
        <v>22</v>
      </c>
      <c r="I60" s="93" t="s">
        <v>12</v>
      </c>
      <c r="J60" s="93">
        <v>1.2</v>
      </c>
      <c r="K60" s="94">
        <v>7.06</v>
      </c>
    </row>
    <row r="61" spans="1:12">
      <c r="A61" s="93" t="s">
        <v>18</v>
      </c>
      <c r="B61" s="93">
        <v>600</v>
      </c>
      <c r="C61" s="94">
        <v>1</v>
      </c>
      <c r="D61" s="93">
        <v>7.2999999999999995E-2</v>
      </c>
      <c r="E61" s="93">
        <v>1E-3</v>
      </c>
      <c r="F61" s="93">
        <v>1000</v>
      </c>
      <c r="G61" s="95"/>
      <c r="H61" s="93">
        <v>22</v>
      </c>
      <c r="I61" s="93" t="s">
        <v>12</v>
      </c>
      <c r="J61" s="93">
        <v>1.2</v>
      </c>
      <c r="K61" s="94">
        <v>7.43</v>
      </c>
    </row>
    <row r="62" spans="1:12">
      <c r="A62" s="93" t="s">
        <v>18</v>
      </c>
      <c r="B62" s="93">
        <v>660</v>
      </c>
      <c r="C62" s="94">
        <v>1</v>
      </c>
      <c r="D62" s="93">
        <v>7.2999999999999995E-2</v>
      </c>
      <c r="E62" s="93">
        <v>1E-3</v>
      </c>
      <c r="F62" s="93">
        <v>1000</v>
      </c>
      <c r="G62" s="95"/>
      <c r="H62" s="93">
        <v>22</v>
      </c>
      <c r="I62" s="93" t="s">
        <v>12</v>
      </c>
      <c r="J62" s="93">
        <v>1.2</v>
      </c>
      <c r="K62" s="94">
        <v>7.65</v>
      </c>
    </row>
    <row r="63" spans="1:12">
      <c r="A63" s="93" t="s">
        <v>18</v>
      </c>
      <c r="B63" s="93">
        <v>720</v>
      </c>
      <c r="C63" s="94">
        <v>1</v>
      </c>
      <c r="D63" s="93">
        <v>7.2999999999999995E-2</v>
      </c>
      <c r="E63" s="93">
        <v>1E-3</v>
      </c>
      <c r="F63" s="93">
        <v>1000</v>
      </c>
      <c r="G63" s="95"/>
      <c r="H63" s="93">
        <v>22</v>
      </c>
      <c r="I63" s="93" t="s">
        <v>12</v>
      </c>
      <c r="J63" s="93">
        <v>1.2</v>
      </c>
      <c r="K63" s="94">
        <v>7.8</v>
      </c>
    </row>
    <row r="64" spans="1:12">
      <c r="A64" s="93" t="s">
        <v>18</v>
      </c>
      <c r="B64" s="93">
        <v>780</v>
      </c>
      <c r="C64" s="94">
        <v>1</v>
      </c>
      <c r="D64" s="93">
        <v>7.2999999999999995E-2</v>
      </c>
      <c r="E64" s="93">
        <v>1E-3</v>
      </c>
      <c r="F64" s="93">
        <v>1000</v>
      </c>
      <c r="G64" s="95"/>
      <c r="H64" s="93">
        <v>22</v>
      </c>
      <c r="I64" s="93" t="s">
        <v>12</v>
      </c>
      <c r="J64" s="93">
        <v>1.2</v>
      </c>
      <c r="K64" s="94">
        <v>8.0299999999999994</v>
      </c>
    </row>
    <row r="65" spans="1:11">
      <c r="A65" s="93" t="s">
        <v>18</v>
      </c>
      <c r="B65" s="93">
        <v>840</v>
      </c>
      <c r="C65" s="94">
        <v>1</v>
      </c>
      <c r="D65" s="93">
        <v>7.2999999999999995E-2</v>
      </c>
      <c r="E65" s="93">
        <v>1E-3</v>
      </c>
      <c r="F65" s="93">
        <v>1000</v>
      </c>
      <c r="G65" s="95"/>
      <c r="H65" s="93">
        <v>22</v>
      </c>
      <c r="I65" s="93" t="s">
        <v>12</v>
      </c>
      <c r="J65" s="93">
        <v>1.2</v>
      </c>
      <c r="K65" s="94">
        <v>8.23</v>
      </c>
    </row>
    <row r="66" spans="1:11">
      <c r="A66" s="93" t="s">
        <v>18</v>
      </c>
      <c r="B66" s="93">
        <v>900</v>
      </c>
      <c r="C66" s="94">
        <v>1</v>
      </c>
      <c r="D66" s="93">
        <v>7.2999999999999995E-2</v>
      </c>
      <c r="E66" s="93">
        <v>1E-3</v>
      </c>
      <c r="F66" s="93">
        <v>1000</v>
      </c>
      <c r="G66" s="95"/>
      <c r="H66" s="93">
        <v>22</v>
      </c>
      <c r="I66" s="93" t="s">
        <v>12</v>
      </c>
      <c r="J66" s="93">
        <v>1.2</v>
      </c>
      <c r="K66" s="94">
        <v>8.44</v>
      </c>
    </row>
    <row r="67" spans="1:11">
      <c r="A67" s="93" t="s">
        <v>18</v>
      </c>
      <c r="B67" s="93">
        <v>60</v>
      </c>
      <c r="C67" s="94">
        <v>1.5</v>
      </c>
      <c r="D67" s="93">
        <v>7.2999999999999995E-2</v>
      </c>
      <c r="E67" s="93">
        <v>1E-3</v>
      </c>
      <c r="F67" s="93">
        <v>1000</v>
      </c>
      <c r="G67" s="95"/>
      <c r="H67" s="93">
        <v>22</v>
      </c>
      <c r="I67" s="93" t="s">
        <v>12</v>
      </c>
      <c r="J67" s="93">
        <v>1.2</v>
      </c>
      <c r="K67" s="94">
        <v>4.49</v>
      </c>
    </row>
    <row r="68" spans="1:11">
      <c r="A68" s="93" t="s">
        <v>18</v>
      </c>
      <c r="B68" s="93">
        <v>120</v>
      </c>
      <c r="C68" s="94">
        <v>1.5</v>
      </c>
      <c r="D68" s="93">
        <v>7.2999999999999995E-2</v>
      </c>
      <c r="E68" s="93">
        <v>1E-3</v>
      </c>
      <c r="F68" s="93">
        <v>1000</v>
      </c>
      <c r="G68" s="95"/>
      <c r="H68" s="93">
        <v>22</v>
      </c>
      <c r="I68" s="93" t="s">
        <v>12</v>
      </c>
      <c r="J68" s="93">
        <v>1.2</v>
      </c>
      <c r="K68" s="94">
        <v>4.99</v>
      </c>
    </row>
    <row r="69" spans="1:11">
      <c r="A69" s="93" t="s">
        <v>18</v>
      </c>
      <c r="B69" s="93">
        <v>180</v>
      </c>
      <c r="C69" s="94">
        <v>1.5</v>
      </c>
      <c r="D69" s="93">
        <v>7.2999999999999995E-2</v>
      </c>
      <c r="E69" s="93">
        <v>1E-3</v>
      </c>
      <c r="F69" s="93">
        <v>1000</v>
      </c>
      <c r="G69" s="95"/>
      <c r="H69" s="93">
        <v>22</v>
      </c>
      <c r="I69" s="93" t="s">
        <v>12</v>
      </c>
      <c r="J69" s="93">
        <v>1.2</v>
      </c>
      <c r="K69" s="94">
        <v>5.5</v>
      </c>
    </row>
    <row r="70" spans="1:11">
      <c r="A70" s="93" t="s">
        <v>18</v>
      </c>
      <c r="B70" s="93">
        <v>240</v>
      </c>
      <c r="C70" s="94">
        <v>1.5</v>
      </c>
      <c r="D70" s="93">
        <v>7.2999999999999995E-2</v>
      </c>
      <c r="E70" s="93">
        <v>1E-3</v>
      </c>
      <c r="F70" s="93">
        <v>1000</v>
      </c>
      <c r="G70" s="95"/>
      <c r="H70" s="93">
        <v>22</v>
      </c>
      <c r="I70" s="93" t="s">
        <v>12</v>
      </c>
      <c r="J70" s="93">
        <v>1.2</v>
      </c>
      <c r="K70" s="94">
        <v>6.31</v>
      </c>
    </row>
    <row r="71" spans="1:11">
      <c r="A71" s="93" t="s">
        <v>18</v>
      </c>
      <c r="B71" s="93">
        <v>300</v>
      </c>
      <c r="C71" s="94">
        <v>1.5</v>
      </c>
      <c r="D71" s="93">
        <v>7.2999999999999995E-2</v>
      </c>
      <c r="E71" s="93">
        <v>1E-3</v>
      </c>
      <c r="F71" s="93">
        <v>1000</v>
      </c>
      <c r="G71" s="95"/>
      <c r="H71" s="93">
        <v>22</v>
      </c>
      <c r="I71" s="93" t="s">
        <v>12</v>
      </c>
      <c r="J71" s="93">
        <v>1.2</v>
      </c>
      <c r="K71" s="94">
        <v>6.61</v>
      </c>
    </row>
    <row r="72" spans="1:11">
      <c r="A72" s="93" t="s">
        <v>18</v>
      </c>
      <c r="B72" s="93">
        <v>360</v>
      </c>
      <c r="C72" s="94">
        <v>1.5</v>
      </c>
      <c r="D72" s="93">
        <v>7.2999999999999995E-2</v>
      </c>
      <c r="E72" s="93">
        <v>1E-3</v>
      </c>
      <c r="F72" s="93">
        <v>1000</v>
      </c>
      <c r="G72" s="95"/>
      <c r="H72" s="93">
        <v>22</v>
      </c>
      <c r="I72" s="93" t="s">
        <v>12</v>
      </c>
      <c r="J72" s="93">
        <v>1.2</v>
      </c>
      <c r="K72" s="94">
        <v>6.91</v>
      </c>
    </row>
    <row r="73" spans="1:11">
      <c r="A73" s="93" t="s">
        <v>18</v>
      </c>
      <c r="B73" s="93">
        <v>420</v>
      </c>
      <c r="C73" s="94">
        <v>1.5</v>
      </c>
      <c r="D73" s="93">
        <v>7.2999999999999995E-2</v>
      </c>
      <c r="E73" s="93">
        <v>1E-3</v>
      </c>
      <c r="F73" s="93">
        <v>1000</v>
      </c>
      <c r="G73" s="95"/>
      <c r="H73" s="93">
        <v>22</v>
      </c>
      <c r="I73" s="93" t="s">
        <v>12</v>
      </c>
      <c r="J73" s="93">
        <v>1.2</v>
      </c>
      <c r="K73" s="94">
        <v>7.42</v>
      </c>
    </row>
    <row r="74" spans="1:11">
      <c r="A74" s="93" t="s">
        <v>18</v>
      </c>
      <c r="B74" s="93">
        <v>480</v>
      </c>
      <c r="C74" s="94">
        <v>1.5</v>
      </c>
      <c r="D74" s="93">
        <v>7.2999999999999995E-2</v>
      </c>
      <c r="E74" s="93">
        <v>1E-3</v>
      </c>
      <c r="F74" s="93">
        <v>1000</v>
      </c>
      <c r="G74" s="95"/>
      <c r="H74" s="93">
        <v>22</v>
      </c>
      <c r="I74" s="93" t="s">
        <v>12</v>
      </c>
      <c r="J74" s="93">
        <v>1.2</v>
      </c>
      <c r="K74" s="94">
        <v>7.69</v>
      </c>
    </row>
    <row r="75" spans="1:11">
      <c r="A75" s="93" t="s">
        <v>18</v>
      </c>
      <c r="B75" s="93">
        <v>540</v>
      </c>
      <c r="C75" s="94">
        <v>1.5</v>
      </c>
      <c r="D75" s="93">
        <v>7.2999999999999995E-2</v>
      </c>
      <c r="E75" s="93">
        <v>1E-3</v>
      </c>
      <c r="F75" s="93">
        <v>1000</v>
      </c>
      <c r="G75" s="95"/>
      <c r="H75" s="93">
        <v>22</v>
      </c>
      <c r="I75" s="93" t="s">
        <v>12</v>
      </c>
      <c r="J75" s="93">
        <v>1.2</v>
      </c>
      <c r="K75" s="94">
        <v>7.92</v>
      </c>
    </row>
    <row r="76" spans="1:11">
      <c r="A76" s="93" t="s">
        <v>18</v>
      </c>
      <c r="B76" s="93">
        <v>600</v>
      </c>
      <c r="C76" s="94">
        <v>1.5</v>
      </c>
      <c r="D76" s="93">
        <v>7.2999999999999995E-2</v>
      </c>
      <c r="E76" s="93">
        <v>1E-3</v>
      </c>
      <c r="F76" s="93">
        <v>1000</v>
      </c>
      <c r="G76" s="95"/>
      <c r="H76" s="93">
        <v>22</v>
      </c>
      <c r="I76" s="93" t="s">
        <v>12</v>
      </c>
      <c r="J76" s="93">
        <v>1.2</v>
      </c>
      <c r="K76" s="94">
        <v>8.1199999999999992</v>
      </c>
    </row>
    <row r="77" spans="1:11">
      <c r="A77" s="93" t="s">
        <v>18</v>
      </c>
      <c r="B77" s="93">
        <v>660</v>
      </c>
      <c r="C77" s="94">
        <v>1.5</v>
      </c>
      <c r="D77" s="93">
        <v>7.2999999999999995E-2</v>
      </c>
      <c r="E77" s="93">
        <v>1E-3</v>
      </c>
      <c r="F77" s="93">
        <v>1000</v>
      </c>
      <c r="G77" s="95"/>
      <c r="H77" s="93">
        <v>22</v>
      </c>
      <c r="I77" s="93" t="s">
        <v>12</v>
      </c>
      <c r="J77" s="93">
        <v>1.2</v>
      </c>
      <c r="K77" s="94">
        <v>8.43</v>
      </c>
    </row>
    <row r="78" spans="1:11">
      <c r="A78" s="93" t="s">
        <v>18</v>
      </c>
      <c r="B78" s="93">
        <v>720</v>
      </c>
      <c r="C78" s="94">
        <v>1.5</v>
      </c>
      <c r="D78" s="93">
        <v>7.2999999999999995E-2</v>
      </c>
      <c r="E78" s="93">
        <v>1E-3</v>
      </c>
      <c r="F78" s="93">
        <v>1000</v>
      </c>
      <c r="G78" s="95"/>
      <c r="H78" s="93">
        <v>22</v>
      </c>
      <c r="I78" s="93" t="s">
        <v>12</v>
      </c>
      <c r="J78" s="93">
        <v>1.2</v>
      </c>
      <c r="K78" s="94">
        <v>8.67</v>
      </c>
    </row>
    <row r="79" spans="1:11">
      <c r="A79" s="93" t="s">
        <v>18</v>
      </c>
      <c r="B79" s="93">
        <v>780</v>
      </c>
      <c r="C79" s="94">
        <v>1.5</v>
      </c>
      <c r="D79" s="93">
        <v>7.2999999999999995E-2</v>
      </c>
      <c r="E79" s="93">
        <v>1E-3</v>
      </c>
      <c r="F79" s="93">
        <v>1000</v>
      </c>
      <c r="G79" s="95"/>
      <c r="H79" s="93">
        <v>22</v>
      </c>
      <c r="I79" s="93" t="s">
        <v>12</v>
      </c>
      <c r="J79" s="93">
        <v>1.2</v>
      </c>
      <c r="K79" s="94">
        <v>8.9</v>
      </c>
    </row>
    <row r="80" spans="1:11">
      <c r="A80" s="93" t="s">
        <v>18</v>
      </c>
      <c r="B80" s="93">
        <v>840</v>
      </c>
      <c r="C80" s="94">
        <v>1.5</v>
      </c>
      <c r="D80" s="93">
        <v>7.2999999999999995E-2</v>
      </c>
      <c r="E80" s="93">
        <v>1E-3</v>
      </c>
      <c r="F80" s="93">
        <v>1000</v>
      </c>
      <c r="G80" s="95"/>
      <c r="H80" s="93">
        <v>22</v>
      </c>
      <c r="I80" s="93" t="s">
        <v>12</v>
      </c>
      <c r="J80" s="93">
        <v>1.2</v>
      </c>
      <c r="K80" s="94">
        <v>9.1300000000000008</v>
      </c>
    </row>
    <row r="81" spans="1:11">
      <c r="A81" s="93" t="s">
        <v>18</v>
      </c>
      <c r="B81" s="93">
        <v>900</v>
      </c>
      <c r="C81" s="94">
        <v>1.5</v>
      </c>
      <c r="D81" s="93">
        <v>7.2999999999999995E-2</v>
      </c>
      <c r="E81" s="93">
        <v>1E-3</v>
      </c>
      <c r="F81" s="93">
        <v>1000</v>
      </c>
      <c r="G81" s="95"/>
      <c r="H81" s="93">
        <v>22</v>
      </c>
      <c r="I81" s="93" t="s">
        <v>12</v>
      </c>
      <c r="J81" s="93">
        <v>1.2</v>
      </c>
      <c r="K81" s="94">
        <v>9.2200000000000006</v>
      </c>
    </row>
    <row r="82" spans="1:11">
      <c r="A82" s="93" t="s">
        <v>18</v>
      </c>
      <c r="B82" s="93">
        <v>60</v>
      </c>
      <c r="C82" s="94">
        <v>2.5</v>
      </c>
      <c r="D82" s="93">
        <v>7.2999999999999995E-2</v>
      </c>
      <c r="E82" s="93">
        <v>1E-3</v>
      </c>
      <c r="F82" s="93">
        <v>1000</v>
      </c>
      <c r="G82" s="95"/>
      <c r="H82" s="93">
        <v>22</v>
      </c>
      <c r="I82" s="93" t="s">
        <v>12</v>
      </c>
      <c r="J82" s="93">
        <v>1.2</v>
      </c>
      <c r="K82" s="94">
        <v>5.13</v>
      </c>
    </row>
    <row r="83" spans="1:11">
      <c r="A83" s="93" t="s">
        <v>18</v>
      </c>
      <c r="B83" s="93">
        <v>120</v>
      </c>
      <c r="C83" s="94">
        <v>2.5</v>
      </c>
      <c r="D83" s="93">
        <v>7.2999999999999995E-2</v>
      </c>
      <c r="E83" s="93">
        <v>1E-3</v>
      </c>
      <c r="F83" s="93">
        <v>1000</v>
      </c>
      <c r="G83" s="95"/>
      <c r="H83" s="93">
        <v>22</v>
      </c>
      <c r="I83" s="93" t="s">
        <v>12</v>
      </c>
      <c r="J83" s="93">
        <v>1.2</v>
      </c>
      <c r="K83" s="94">
        <v>5.59</v>
      </c>
    </row>
    <row r="84" spans="1:11">
      <c r="A84" s="93" t="s">
        <v>18</v>
      </c>
      <c r="B84" s="93">
        <v>180</v>
      </c>
      <c r="C84" s="94">
        <v>2.5</v>
      </c>
      <c r="D84" s="93">
        <v>7.2999999999999995E-2</v>
      </c>
      <c r="E84" s="93">
        <v>1E-3</v>
      </c>
      <c r="F84" s="93">
        <v>1000</v>
      </c>
      <c r="G84" s="95"/>
      <c r="H84" s="93">
        <v>22</v>
      </c>
      <c r="I84" s="93" t="s">
        <v>12</v>
      </c>
      <c r="J84" s="93">
        <v>1.2</v>
      </c>
      <c r="K84" s="94">
        <v>6.49</v>
      </c>
    </row>
    <row r="85" spans="1:11">
      <c r="A85" s="93" t="s">
        <v>18</v>
      </c>
      <c r="B85" s="93">
        <v>240</v>
      </c>
      <c r="C85" s="94">
        <v>2.5</v>
      </c>
      <c r="D85" s="93">
        <v>7.2999999999999995E-2</v>
      </c>
      <c r="E85" s="93">
        <v>1E-3</v>
      </c>
      <c r="F85" s="93">
        <v>1000</v>
      </c>
      <c r="G85" s="95"/>
      <c r="H85" s="93">
        <v>22</v>
      </c>
      <c r="I85" s="93" t="s">
        <v>12</v>
      </c>
      <c r="J85" s="93">
        <v>1.2</v>
      </c>
      <c r="K85" s="94">
        <v>6.78</v>
      </c>
    </row>
    <row r="86" spans="1:11">
      <c r="A86" s="93" t="s">
        <v>18</v>
      </c>
      <c r="B86" s="93">
        <v>300</v>
      </c>
      <c r="C86" s="94">
        <v>2.5</v>
      </c>
      <c r="D86" s="93">
        <v>7.2999999999999995E-2</v>
      </c>
      <c r="E86" s="93">
        <v>1E-3</v>
      </c>
      <c r="F86" s="93">
        <v>1000</v>
      </c>
      <c r="G86" s="95"/>
      <c r="H86" s="93">
        <v>22</v>
      </c>
      <c r="I86" s="93" t="s">
        <v>12</v>
      </c>
      <c r="J86" s="93">
        <v>1.2</v>
      </c>
      <c r="K86" s="94">
        <v>6.82</v>
      </c>
    </row>
    <row r="87" spans="1:11">
      <c r="A87" s="93" t="s">
        <v>18</v>
      </c>
      <c r="B87" s="93">
        <v>360</v>
      </c>
      <c r="C87" s="94">
        <v>2.5</v>
      </c>
      <c r="D87" s="93">
        <v>7.2999999999999995E-2</v>
      </c>
      <c r="E87" s="93">
        <v>1E-3</v>
      </c>
      <c r="F87" s="93">
        <v>1000</v>
      </c>
      <c r="G87" s="95"/>
      <c r="H87" s="93">
        <v>22</v>
      </c>
      <c r="I87" s="93" t="s">
        <v>12</v>
      </c>
      <c r="J87" s="93">
        <v>1.2</v>
      </c>
      <c r="K87" s="94">
        <v>7.22</v>
      </c>
    </row>
    <row r="88" spans="1:11">
      <c r="A88" s="93" t="s">
        <v>18</v>
      </c>
      <c r="B88" s="93">
        <v>420</v>
      </c>
      <c r="C88" s="94">
        <v>2.5</v>
      </c>
      <c r="D88" s="93">
        <v>7.2999999999999995E-2</v>
      </c>
      <c r="E88" s="93">
        <v>1E-3</v>
      </c>
      <c r="F88" s="93">
        <v>1000</v>
      </c>
      <c r="G88" s="95"/>
      <c r="H88" s="93">
        <v>22</v>
      </c>
      <c r="I88" s="93" t="s">
        <v>12</v>
      </c>
      <c r="J88" s="93">
        <v>1.2</v>
      </c>
      <c r="K88" s="94">
        <v>7.79</v>
      </c>
    </row>
    <row r="89" spans="1:11">
      <c r="A89" s="93" t="s">
        <v>18</v>
      </c>
      <c r="B89" s="93">
        <v>480</v>
      </c>
      <c r="C89" s="94">
        <v>2.5</v>
      </c>
      <c r="D89" s="93">
        <v>7.2999999999999995E-2</v>
      </c>
      <c r="E89" s="93">
        <v>1E-3</v>
      </c>
      <c r="F89" s="93">
        <v>1000</v>
      </c>
      <c r="G89" s="95"/>
      <c r="H89" s="93">
        <v>22</v>
      </c>
      <c r="I89" s="93" t="s">
        <v>12</v>
      </c>
      <c r="J89" s="93">
        <v>1.2</v>
      </c>
      <c r="K89" s="94">
        <v>8.06</v>
      </c>
    </row>
    <row r="90" spans="1:11">
      <c r="A90" s="93" t="s">
        <v>18</v>
      </c>
      <c r="B90" s="93">
        <v>540</v>
      </c>
      <c r="C90" s="94">
        <v>2.5</v>
      </c>
      <c r="D90" s="93">
        <v>7.2999999999999995E-2</v>
      </c>
      <c r="E90" s="93">
        <v>1E-3</v>
      </c>
      <c r="F90" s="93">
        <v>1000</v>
      </c>
      <c r="G90" s="95"/>
      <c r="H90" s="93">
        <v>22</v>
      </c>
      <c r="I90" s="93" t="s">
        <v>12</v>
      </c>
      <c r="J90" s="93">
        <v>1.2</v>
      </c>
      <c r="K90" s="94">
        <v>8.2899999999999991</v>
      </c>
    </row>
    <row r="91" spans="1:11">
      <c r="A91" s="93" t="s">
        <v>18</v>
      </c>
      <c r="B91" s="93">
        <v>600</v>
      </c>
      <c r="C91" s="94">
        <v>2.5</v>
      </c>
      <c r="D91" s="93">
        <v>7.2999999999999995E-2</v>
      </c>
      <c r="E91" s="93">
        <v>1E-3</v>
      </c>
      <c r="F91" s="93">
        <v>1000</v>
      </c>
      <c r="G91" s="95"/>
      <c r="H91" s="93">
        <v>22</v>
      </c>
      <c r="I91" s="93" t="s">
        <v>12</v>
      </c>
      <c r="J91" s="93">
        <v>1.2</v>
      </c>
      <c r="K91" s="94">
        <v>8.52</v>
      </c>
    </row>
    <row r="92" spans="1:11">
      <c r="A92" s="93" t="s">
        <v>18</v>
      </c>
      <c r="B92" s="93">
        <v>660</v>
      </c>
      <c r="C92" s="94">
        <v>2.5</v>
      </c>
      <c r="D92" s="93">
        <v>7.2999999999999995E-2</v>
      </c>
      <c r="E92" s="93">
        <v>1E-3</v>
      </c>
      <c r="F92" s="93">
        <v>1000</v>
      </c>
      <c r="G92" s="95"/>
      <c r="H92" s="93">
        <v>22</v>
      </c>
      <c r="I92" s="93" t="s">
        <v>12</v>
      </c>
      <c r="J92" s="93">
        <v>1.2</v>
      </c>
      <c r="K92" s="94">
        <v>8.99</v>
      </c>
    </row>
    <row r="93" spans="1:11">
      <c r="A93" s="93" t="s">
        <v>18</v>
      </c>
      <c r="B93" s="93">
        <v>720</v>
      </c>
      <c r="C93" s="94">
        <v>2.5</v>
      </c>
      <c r="D93" s="93">
        <v>7.2999999999999995E-2</v>
      </c>
      <c r="E93" s="93">
        <v>1E-3</v>
      </c>
      <c r="F93" s="93">
        <v>1000</v>
      </c>
      <c r="G93" s="95"/>
      <c r="H93" s="93">
        <v>22</v>
      </c>
      <c r="I93" s="93" t="s">
        <v>12</v>
      </c>
      <c r="J93" s="93">
        <v>1.2</v>
      </c>
      <c r="K93" s="94">
        <v>9.24</v>
      </c>
    </row>
    <row r="94" spans="1:11">
      <c r="A94" s="93" t="s">
        <v>18</v>
      </c>
      <c r="B94" s="93">
        <v>780</v>
      </c>
      <c r="C94" s="94">
        <v>2.5</v>
      </c>
      <c r="D94" s="93">
        <v>7.2999999999999995E-2</v>
      </c>
      <c r="E94" s="93">
        <v>1E-3</v>
      </c>
      <c r="F94" s="93">
        <v>1000</v>
      </c>
      <c r="G94" s="95"/>
      <c r="H94" s="93">
        <v>22</v>
      </c>
      <c r="I94" s="93" t="s">
        <v>12</v>
      </c>
      <c r="J94" s="93">
        <v>1.2</v>
      </c>
      <c r="K94" s="94">
        <v>9.44</v>
      </c>
    </row>
    <row r="95" spans="1:11">
      <c r="A95" s="93" t="s">
        <v>18</v>
      </c>
      <c r="B95" s="93">
        <v>840</v>
      </c>
      <c r="C95" s="94">
        <v>2.5</v>
      </c>
      <c r="D95" s="93">
        <v>7.2999999999999995E-2</v>
      </c>
      <c r="E95" s="93">
        <v>1E-3</v>
      </c>
      <c r="F95" s="93">
        <v>1000</v>
      </c>
      <c r="G95" s="95"/>
      <c r="H95" s="93">
        <v>22</v>
      </c>
      <c r="I95" s="93" t="s">
        <v>12</v>
      </c>
      <c r="J95" s="93">
        <v>1.2</v>
      </c>
      <c r="K95" s="94">
        <v>9.6300000000000008</v>
      </c>
    </row>
    <row r="96" spans="1:11">
      <c r="A96" s="93" t="s">
        <v>18</v>
      </c>
      <c r="B96" s="93">
        <v>900</v>
      </c>
      <c r="C96" s="94">
        <v>2.5</v>
      </c>
      <c r="D96" s="93">
        <v>7.2999999999999995E-2</v>
      </c>
      <c r="E96" s="93">
        <v>1E-3</v>
      </c>
      <c r="F96" s="93">
        <v>1000</v>
      </c>
      <c r="G96" s="95"/>
      <c r="H96" s="93">
        <v>22</v>
      </c>
      <c r="I96" s="93" t="s">
        <v>12</v>
      </c>
      <c r="J96" s="93">
        <v>1.2</v>
      </c>
      <c r="K96" s="94">
        <v>9.76</v>
      </c>
    </row>
    <row r="97" spans="1:11">
      <c r="A97" s="93" t="s">
        <v>19</v>
      </c>
      <c r="B97" s="93">
        <v>5.24</v>
      </c>
      <c r="C97" s="94">
        <v>0.92</v>
      </c>
      <c r="D97" s="93">
        <v>7.1999999999999995E-2</v>
      </c>
      <c r="E97" s="93">
        <v>1E-3</v>
      </c>
      <c r="F97" s="93">
        <v>1000</v>
      </c>
      <c r="G97" s="95"/>
      <c r="H97" s="93">
        <v>20</v>
      </c>
      <c r="I97" s="93" t="s">
        <v>12</v>
      </c>
      <c r="J97" s="93">
        <v>1.2</v>
      </c>
      <c r="K97" s="94">
        <v>3.28</v>
      </c>
    </row>
    <row r="98" spans="1:11">
      <c r="A98" s="93" t="s">
        <v>19</v>
      </c>
      <c r="B98" s="93">
        <v>12.13</v>
      </c>
      <c r="C98" s="94">
        <v>0.92</v>
      </c>
      <c r="D98" s="93">
        <v>7.1999999999999995E-2</v>
      </c>
      <c r="E98" s="93">
        <v>1E-3</v>
      </c>
      <c r="F98" s="93">
        <v>1000</v>
      </c>
      <c r="G98" s="95"/>
      <c r="H98" s="93">
        <v>20</v>
      </c>
      <c r="I98" s="93" t="s">
        <v>12</v>
      </c>
      <c r="J98" s="93">
        <v>1.2</v>
      </c>
      <c r="K98" s="94">
        <v>3.17</v>
      </c>
    </row>
    <row r="99" spans="1:11">
      <c r="A99" s="93" t="s">
        <v>19</v>
      </c>
      <c r="B99" s="93">
        <v>22.33</v>
      </c>
      <c r="C99" s="94">
        <v>0.92</v>
      </c>
      <c r="D99" s="93">
        <v>7.1999999999999995E-2</v>
      </c>
      <c r="E99" s="93">
        <v>1E-3</v>
      </c>
      <c r="F99" s="93">
        <v>1000</v>
      </c>
      <c r="G99" s="95"/>
      <c r="H99" s="93">
        <v>20</v>
      </c>
      <c r="I99" s="93" t="s">
        <v>12</v>
      </c>
      <c r="J99" s="93">
        <v>1.2</v>
      </c>
      <c r="K99" s="94">
        <v>3.29</v>
      </c>
    </row>
    <row r="100" spans="1:11">
      <c r="A100" s="93" t="s">
        <v>19</v>
      </c>
      <c r="B100" s="93">
        <v>29.5</v>
      </c>
      <c r="C100" s="94">
        <v>0.92</v>
      </c>
      <c r="D100" s="93">
        <v>7.1999999999999995E-2</v>
      </c>
      <c r="E100" s="93">
        <v>1E-3</v>
      </c>
      <c r="F100" s="93">
        <v>1000</v>
      </c>
      <c r="G100" s="95"/>
      <c r="H100" s="93">
        <v>20</v>
      </c>
      <c r="I100" s="93" t="s">
        <v>12</v>
      </c>
      <c r="J100" s="93">
        <v>1.2</v>
      </c>
      <c r="K100" s="94">
        <v>3.72</v>
      </c>
    </row>
    <row r="101" spans="1:11">
      <c r="A101" s="93" t="s">
        <v>19</v>
      </c>
      <c r="B101" s="93">
        <v>33.64</v>
      </c>
      <c r="C101" s="94">
        <v>0.92</v>
      </c>
      <c r="D101" s="93">
        <v>7.1999999999999995E-2</v>
      </c>
      <c r="E101" s="93">
        <v>1E-3</v>
      </c>
      <c r="F101" s="93">
        <v>1000</v>
      </c>
      <c r="G101" s="95"/>
      <c r="H101" s="93">
        <v>20</v>
      </c>
      <c r="I101" s="93" t="s">
        <v>12</v>
      </c>
      <c r="J101" s="93">
        <v>1.2</v>
      </c>
      <c r="K101" s="94">
        <v>3.58</v>
      </c>
    </row>
    <row r="102" spans="1:11">
      <c r="A102" s="93" t="s">
        <v>19</v>
      </c>
      <c r="B102" s="93">
        <v>43.01</v>
      </c>
      <c r="C102" s="94">
        <v>0.92</v>
      </c>
      <c r="D102" s="93">
        <v>7.1999999999999995E-2</v>
      </c>
      <c r="E102" s="93">
        <v>1E-3</v>
      </c>
      <c r="F102" s="93">
        <v>1000</v>
      </c>
      <c r="G102" s="95"/>
      <c r="H102" s="93">
        <v>20</v>
      </c>
      <c r="I102" s="93" t="s">
        <v>12</v>
      </c>
      <c r="J102" s="93">
        <v>1.2</v>
      </c>
      <c r="K102" s="94">
        <v>3.89</v>
      </c>
    </row>
    <row r="103" spans="1:11">
      <c r="A103" s="93" t="s">
        <v>19</v>
      </c>
      <c r="B103" s="93">
        <v>52.38</v>
      </c>
      <c r="C103" s="94">
        <v>0.92</v>
      </c>
      <c r="D103" s="93">
        <v>7.1999999999999995E-2</v>
      </c>
      <c r="E103" s="93">
        <v>1E-3</v>
      </c>
      <c r="F103" s="93">
        <v>1000</v>
      </c>
      <c r="G103" s="95"/>
      <c r="H103" s="93">
        <v>20</v>
      </c>
      <c r="I103" s="93" t="s">
        <v>12</v>
      </c>
      <c r="J103" s="93">
        <v>1.2</v>
      </c>
      <c r="K103" s="94">
        <v>3.53</v>
      </c>
    </row>
    <row r="104" spans="1:11">
      <c r="A104" s="93" t="s">
        <v>19</v>
      </c>
      <c r="B104" s="93">
        <v>71.13</v>
      </c>
      <c r="C104" s="94">
        <v>0.92</v>
      </c>
      <c r="D104" s="93">
        <v>7.1999999999999995E-2</v>
      </c>
      <c r="E104" s="93">
        <v>1E-3</v>
      </c>
      <c r="F104" s="93">
        <v>1000</v>
      </c>
      <c r="G104" s="95"/>
      <c r="H104" s="93">
        <v>20</v>
      </c>
      <c r="I104" s="93" t="s">
        <v>12</v>
      </c>
      <c r="J104" s="93">
        <v>1.2</v>
      </c>
      <c r="K104" s="94">
        <v>3.75</v>
      </c>
    </row>
    <row r="105" spans="1:11">
      <c r="A105" s="93" t="s">
        <v>19</v>
      </c>
      <c r="B105" s="93">
        <v>75.55</v>
      </c>
      <c r="C105" s="94">
        <v>0.92</v>
      </c>
      <c r="D105" s="93">
        <v>7.1999999999999995E-2</v>
      </c>
      <c r="E105" s="93">
        <v>1E-3</v>
      </c>
      <c r="F105" s="93">
        <v>1000</v>
      </c>
      <c r="G105" s="95"/>
      <c r="H105" s="93">
        <v>20</v>
      </c>
      <c r="I105" s="93" t="s">
        <v>12</v>
      </c>
      <c r="J105" s="93">
        <v>1.2</v>
      </c>
      <c r="K105" s="94">
        <v>4.01</v>
      </c>
    </row>
    <row r="106" spans="1:11">
      <c r="A106" s="93" t="s">
        <v>19</v>
      </c>
      <c r="B106" s="93">
        <v>98.97</v>
      </c>
      <c r="C106" s="94">
        <v>0.92</v>
      </c>
      <c r="D106" s="93">
        <v>7.1999999999999995E-2</v>
      </c>
      <c r="E106" s="93">
        <v>1E-3</v>
      </c>
      <c r="F106" s="93">
        <v>1000</v>
      </c>
      <c r="G106" s="95"/>
      <c r="H106" s="93">
        <v>20</v>
      </c>
      <c r="I106" s="93" t="s">
        <v>12</v>
      </c>
      <c r="J106" s="93">
        <v>1.2</v>
      </c>
      <c r="K106" s="94">
        <v>4.3</v>
      </c>
    </row>
    <row r="107" spans="1:11">
      <c r="A107" s="93" t="s">
        <v>19</v>
      </c>
      <c r="B107" s="93">
        <v>105.6</v>
      </c>
      <c r="C107" s="94">
        <v>0.92</v>
      </c>
      <c r="D107" s="93">
        <v>7.1999999999999995E-2</v>
      </c>
      <c r="E107" s="93">
        <v>1E-3</v>
      </c>
      <c r="F107" s="93">
        <v>1000</v>
      </c>
      <c r="G107" s="95"/>
      <c r="H107" s="93">
        <v>20</v>
      </c>
      <c r="I107" s="93" t="s">
        <v>12</v>
      </c>
      <c r="J107" s="93">
        <v>1.2</v>
      </c>
      <c r="K107" s="94">
        <v>4.4800000000000004</v>
      </c>
    </row>
    <row r="108" spans="1:11">
      <c r="A108" s="93" t="s">
        <v>20</v>
      </c>
      <c r="B108" s="93">
        <v>0.12659300000000001</v>
      </c>
      <c r="C108" s="94">
        <v>0.13</v>
      </c>
      <c r="D108" s="95"/>
      <c r="E108" s="95"/>
      <c r="F108" s="95"/>
      <c r="G108" s="95"/>
      <c r="H108" s="93">
        <v>23.5</v>
      </c>
      <c r="I108" s="95" t="s">
        <v>14</v>
      </c>
      <c r="J108" s="95"/>
      <c r="K108" s="94">
        <v>0.70526299999999997</v>
      </c>
    </row>
    <row r="109" spans="1:11">
      <c r="A109" s="93" t="s">
        <v>20</v>
      </c>
      <c r="B109" s="93">
        <v>0.253187</v>
      </c>
      <c r="C109" s="94">
        <v>0.13</v>
      </c>
      <c r="D109" s="95"/>
      <c r="E109" s="95"/>
      <c r="F109" s="95"/>
      <c r="G109" s="95"/>
      <c r="H109" s="93">
        <v>23.5</v>
      </c>
      <c r="I109" s="95" t="s">
        <v>14</v>
      </c>
      <c r="J109" s="95"/>
      <c r="K109" s="94">
        <v>0.77434199999999997</v>
      </c>
    </row>
    <row r="110" spans="1:11">
      <c r="A110" s="93" t="s">
        <v>20</v>
      </c>
      <c r="B110" s="93">
        <v>0.30857099999999998</v>
      </c>
      <c r="C110" s="94">
        <v>0.13</v>
      </c>
      <c r="D110" s="95"/>
      <c r="E110" s="95"/>
      <c r="F110" s="95"/>
      <c r="G110" s="95"/>
      <c r="H110" s="93">
        <v>23.5</v>
      </c>
      <c r="I110" s="95" t="s">
        <v>14</v>
      </c>
      <c r="J110" s="95"/>
      <c r="K110" s="94">
        <v>0.75350899999999998</v>
      </c>
    </row>
    <row r="111" spans="1:11">
      <c r="A111" s="93" t="s">
        <v>20</v>
      </c>
      <c r="B111" s="93">
        <v>0.37978000000000001</v>
      </c>
      <c r="C111" s="94">
        <v>0.13</v>
      </c>
      <c r="D111" s="95"/>
      <c r="E111" s="95"/>
      <c r="F111" s="95"/>
      <c r="G111" s="95"/>
      <c r="H111" s="93">
        <v>23.5</v>
      </c>
      <c r="I111" s="95" t="s">
        <v>14</v>
      </c>
      <c r="J111" s="95"/>
      <c r="K111" s="94">
        <v>0.75899099999999997</v>
      </c>
    </row>
    <row r="112" spans="1:11">
      <c r="A112" s="93" t="s">
        <v>20</v>
      </c>
      <c r="B112" s="93">
        <v>0.43516500000000002</v>
      </c>
      <c r="C112" s="94">
        <v>0.13</v>
      </c>
      <c r="D112" s="95"/>
      <c r="E112" s="95"/>
      <c r="F112" s="95"/>
      <c r="G112" s="95"/>
      <c r="H112" s="93">
        <v>23.5</v>
      </c>
      <c r="I112" s="95" t="s">
        <v>14</v>
      </c>
      <c r="J112" s="95"/>
      <c r="K112" s="94">
        <v>0.74035099999999998</v>
      </c>
    </row>
    <row r="113" spans="1:11">
      <c r="A113" s="93" t="s">
        <v>20</v>
      </c>
      <c r="B113" s="93">
        <v>0.49054900000000001</v>
      </c>
      <c r="C113" s="94">
        <v>0.13</v>
      </c>
      <c r="D113" s="95"/>
      <c r="E113" s="95"/>
      <c r="F113" s="95"/>
      <c r="G113" s="95"/>
      <c r="H113" s="93">
        <v>23.5</v>
      </c>
      <c r="I113" s="95" t="s">
        <v>14</v>
      </c>
      <c r="J113" s="95"/>
      <c r="K113" s="94">
        <v>0.75021899999999997</v>
      </c>
    </row>
    <row r="114" spans="1:11">
      <c r="A114" s="93" t="s">
        <v>20</v>
      </c>
      <c r="B114" s="93">
        <v>0.60923099999999997</v>
      </c>
      <c r="C114" s="94">
        <v>0.13</v>
      </c>
      <c r="D114" s="95"/>
      <c r="E114" s="95"/>
      <c r="F114" s="95"/>
      <c r="G114" s="95"/>
      <c r="H114" s="93">
        <v>23.5</v>
      </c>
      <c r="I114" s="95" t="s">
        <v>14</v>
      </c>
      <c r="J114" s="95"/>
      <c r="K114" s="94">
        <v>0.78749999999999998</v>
      </c>
    </row>
    <row r="115" spans="1:11">
      <c r="A115" s="93" t="s">
        <v>20</v>
      </c>
      <c r="B115" s="93">
        <v>0.73582400000000003</v>
      </c>
      <c r="C115" s="94">
        <v>0.13</v>
      </c>
      <c r="D115" s="95"/>
      <c r="E115" s="95"/>
      <c r="F115" s="95"/>
      <c r="G115" s="95"/>
      <c r="H115" s="93">
        <v>23.5</v>
      </c>
      <c r="I115" s="95" t="s">
        <v>14</v>
      </c>
      <c r="J115" s="95"/>
      <c r="K115" s="94">
        <v>0.81491199999999997</v>
      </c>
    </row>
    <row r="116" spans="1:11">
      <c r="A116" s="93" t="s">
        <v>20</v>
      </c>
      <c r="B116" s="93">
        <v>0.86241800000000002</v>
      </c>
      <c r="C116" s="94">
        <v>0.13</v>
      </c>
      <c r="D116" s="95"/>
      <c r="E116" s="95"/>
      <c r="F116" s="95"/>
      <c r="G116" s="95"/>
      <c r="H116" s="93">
        <v>23.5</v>
      </c>
      <c r="I116" s="95" t="s">
        <v>14</v>
      </c>
      <c r="J116" s="95"/>
      <c r="K116" s="94">
        <v>0.85109599999999996</v>
      </c>
    </row>
    <row r="117" spans="1:11">
      <c r="A117" s="93" t="s">
        <v>20</v>
      </c>
      <c r="B117" s="93">
        <v>1.408352</v>
      </c>
      <c r="C117" s="94">
        <v>0.13</v>
      </c>
      <c r="D117" s="95"/>
      <c r="E117" s="95"/>
      <c r="F117" s="95"/>
      <c r="G117" s="95"/>
      <c r="H117" s="93">
        <v>23.5</v>
      </c>
      <c r="I117" s="95" t="s">
        <v>14</v>
      </c>
      <c r="J117" s="95"/>
      <c r="K117" s="94">
        <v>0.78530699999999998</v>
      </c>
    </row>
    <row r="118" spans="1:11">
      <c r="A118" s="93" t="s">
        <v>20</v>
      </c>
      <c r="B118" s="93">
        <v>1.5428569999999999</v>
      </c>
      <c r="C118" s="94">
        <v>0.13</v>
      </c>
      <c r="D118" s="95"/>
      <c r="E118" s="95"/>
      <c r="F118" s="95"/>
      <c r="G118" s="95"/>
      <c r="H118" s="93">
        <v>23.5</v>
      </c>
      <c r="I118" s="95" t="s">
        <v>14</v>
      </c>
      <c r="J118" s="95"/>
      <c r="K118" s="94">
        <v>0.78092099999999998</v>
      </c>
    </row>
    <row r="119" spans="1:11">
      <c r="A119" s="93" t="s">
        <v>20</v>
      </c>
      <c r="B119" s="93">
        <v>1.6773629999999999</v>
      </c>
      <c r="C119" s="94">
        <v>0.13</v>
      </c>
      <c r="D119" s="95"/>
      <c r="E119" s="95"/>
      <c r="F119" s="95"/>
      <c r="G119" s="95"/>
      <c r="H119" s="93">
        <v>23.5</v>
      </c>
      <c r="I119" s="95" t="s">
        <v>14</v>
      </c>
      <c r="J119" s="95"/>
      <c r="K119" s="94">
        <v>0.76666699999999999</v>
      </c>
    </row>
    <row r="120" spans="1:11">
      <c r="A120" s="93" t="s">
        <v>20</v>
      </c>
      <c r="B120" s="93">
        <v>1.8039559999999999</v>
      </c>
      <c r="C120" s="94">
        <v>0.13</v>
      </c>
      <c r="D120" s="95"/>
      <c r="E120" s="95"/>
      <c r="F120" s="95"/>
      <c r="G120" s="95"/>
      <c r="H120" s="93">
        <v>23.5</v>
      </c>
      <c r="I120" s="95" t="s">
        <v>14</v>
      </c>
      <c r="J120" s="95"/>
      <c r="K120" s="94">
        <v>0.84671099999999999</v>
      </c>
    </row>
    <row r="121" spans="1:11">
      <c r="A121" s="93" t="s">
        <v>20</v>
      </c>
      <c r="B121" s="93">
        <v>1.9384619999999999</v>
      </c>
      <c r="C121" s="94">
        <v>0.13</v>
      </c>
      <c r="D121" s="95"/>
      <c r="E121" s="95"/>
      <c r="F121" s="95"/>
      <c r="G121" s="95"/>
      <c r="H121" s="93">
        <v>23.5</v>
      </c>
      <c r="I121" s="95" t="s">
        <v>14</v>
      </c>
      <c r="J121" s="95"/>
      <c r="K121" s="94">
        <v>0.85877199999999998</v>
      </c>
    </row>
    <row r="122" spans="1:11">
      <c r="A122" s="93" t="s">
        <v>20</v>
      </c>
      <c r="B122" s="93">
        <v>2.0492309999999998</v>
      </c>
      <c r="C122" s="94">
        <v>0.13</v>
      </c>
      <c r="D122" s="95"/>
      <c r="E122" s="95"/>
      <c r="F122" s="95"/>
      <c r="G122" s="95"/>
      <c r="H122" s="93">
        <v>23.5</v>
      </c>
      <c r="I122" s="95" t="s">
        <v>14</v>
      </c>
      <c r="J122" s="95"/>
      <c r="K122" s="94">
        <v>0.87960499999999997</v>
      </c>
    </row>
    <row r="123" spans="1:11">
      <c r="A123" s="93" t="s">
        <v>20</v>
      </c>
      <c r="B123" s="93">
        <v>2.1837360000000001</v>
      </c>
      <c r="C123" s="94">
        <v>0.13</v>
      </c>
      <c r="D123" s="95"/>
      <c r="E123" s="95"/>
      <c r="F123" s="95"/>
      <c r="G123" s="95"/>
      <c r="H123" s="93">
        <v>23.5</v>
      </c>
      <c r="I123" s="95" t="s">
        <v>14</v>
      </c>
      <c r="J123" s="95"/>
      <c r="K123" s="94">
        <v>0.93223699999999998</v>
      </c>
    </row>
    <row r="124" spans="1:11">
      <c r="A124" s="93" t="s">
        <v>20</v>
      </c>
      <c r="B124" s="93">
        <v>2.31033</v>
      </c>
      <c r="C124" s="94">
        <v>0.13</v>
      </c>
      <c r="D124" s="95"/>
      <c r="E124" s="95"/>
      <c r="F124" s="95"/>
      <c r="G124" s="95"/>
      <c r="H124" s="93">
        <v>23.5</v>
      </c>
      <c r="I124" s="95" t="s">
        <v>14</v>
      </c>
      <c r="J124" s="95"/>
      <c r="K124" s="94">
        <v>0.90811399999999998</v>
      </c>
    </row>
    <row r="125" spans="1:11">
      <c r="A125" s="93" t="s">
        <v>20</v>
      </c>
      <c r="B125" s="93">
        <v>2.429011</v>
      </c>
      <c r="C125" s="94">
        <v>0.13</v>
      </c>
      <c r="D125" s="95"/>
      <c r="E125" s="95"/>
      <c r="F125" s="95"/>
      <c r="G125" s="95"/>
      <c r="H125" s="93">
        <v>23.5</v>
      </c>
      <c r="I125" s="95" t="s">
        <v>14</v>
      </c>
      <c r="J125" s="95"/>
      <c r="K125" s="94">
        <v>0.90811399999999998</v>
      </c>
    </row>
    <row r="126" spans="1:11">
      <c r="A126" s="93" t="s">
        <v>20</v>
      </c>
      <c r="B126" s="93">
        <v>2.5635159999999999</v>
      </c>
      <c r="C126" s="94">
        <v>0.13</v>
      </c>
      <c r="D126" s="95"/>
      <c r="E126" s="95"/>
      <c r="F126" s="95"/>
      <c r="G126" s="95"/>
      <c r="H126" s="93">
        <v>23.5</v>
      </c>
      <c r="I126" s="95" t="s">
        <v>14</v>
      </c>
      <c r="J126" s="95"/>
      <c r="K126" s="94">
        <v>0.95855299999999999</v>
      </c>
    </row>
    <row r="127" spans="1:11">
      <c r="A127" s="93" t="s">
        <v>20</v>
      </c>
      <c r="B127" s="93">
        <v>2.7059340000000001</v>
      </c>
      <c r="C127" s="94">
        <v>0.13</v>
      </c>
      <c r="D127" s="95"/>
      <c r="E127" s="95"/>
      <c r="F127" s="95"/>
      <c r="G127" s="95"/>
      <c r="H127" s="93">
        <v>23.5</v>
      </c>
      <c r="I127" s="95" t="s">
        <v>14</v>
      </c>
      <c r="J127" s="95"/>
      <c r="K127" s="94">
        <v>0.95964899999999997</v>
      </c>
    </row>
    <row r="128" spans="1:11">
      <c r="A128" s="93" t="s">
        <v>20</v>
      </c>
      <c r="B128" s="93">
        <v>2.8246150000000001</v>
      </c>
      <c r="C128" s="94">
        <v>0.13</v>
      </c>
      <c r="D128" s="95"/>
      <c r="E128" s="95"/>
      <c r="F128" s="95"/>
      <c r="G128" s="95"/>
      <c r="H128" s="93">
        <v>23.5</v>
      </c>
      <c r="I128" s="95" t="s">
        <v>14</v>
      </c>
      <c r="J128" s="95"/>
      <c r="K128" s="94">
        <v>0.96074599999999999</v>
      </c>
    </row>
    <row r="129" spans="1:11">
      <c r="A129" s="93" t="s">
        <v>20</v>
      </c>
      <c r="B129" s="93">
        <v>2.951209</v>
      </c>
      <c r="C129" s="94">
        <v>0.13</v>
      </c>
      <c r="D129" s="95"/>
      <c r="E129" s="95"/>
      <c r="F129" s="95"/>
      <c r="G129" s="95"/>
      <c r="H129" s="93">
        <v>23.5</v>
      </c>
      <c r="I129" s="95" t="s">
        <v>14</v>
      </c>
      <c r="J129" s="95"/>
      <c r="K129" s="94">
        <v>0.93771899999999997</v>
      </c>
    </row>
    <row r="130" spans="1:11">
      <c r="A130" s="93" t="s">
        <v>20</v>
      </c>
      <c r="B130" s="93">
        <v>3.2202199999999999</v>
      </c>
      <c r="C130" s="94">
        <v>0.13</v>
      </c>
      <c r="D130" s="95"/>
      <c r="E130" s="95"/>
      <c r="F130" s="95"/>
      <c r="G130" s="95"/>
      <c r="H130" s="93">
        <v>23.5</v>
      </c>
      <c r="I130" s="95" t="s">
        <v>14</v>
      </c>
      <c r="J130" s="95"/>
      <c r="K130" s="94">
        <v>0.99144699999999997</v>
      </c>
    </row>
    <row r="131" spans="1:11">
      <c r="A131" s="96" t="s">
        <v>21</v>
      </c>
      <c r="B131" s="96">
        <v>0.1404</v>
      </c>
      <c r="C131" s="97">
        <v>0.3</v>
      </c>
      <c r="D131" s="96">
        <v>2.07E-2</v>
      </c>
      <c r="E131" s="96">
        <v>5.1220000000000002E-2</v>
      </c>
      <c r="F131" s="96">
        <v>960</v>
      </c>
      <c r="G131" s="98"/>
      <c r="H131" s="96">
        <v>20</v>
      </c>
      <c r="I131" s="96" t="s">
        <v>12</v>
      </c>
      <c r="J131" s="98"/>
      <c r="K131" s="97">
        <v>1.506</v>
      </c>
    </row>
    <row r="132" spans="1:11">
      <c r="A132" s="96" t="s">
        <v>21</v>
      </c>
      <c r="B132" s="96">
        <v>0.1656</v>
      </c>
      <c r="C132" s="97">
        <v>0.3</v>
      </c>
      <c r="D132" s="96">
        <v>2.07E-2</v>
      </c>
      <c r="E132" s="96">
        <v>5.1220000000000002E-2</v>
      </c>
      <c r="F132" s="96">
        <v>960</v>
      </c>
      <c r="G132" s="98"/>
      <c r="H132" s="96">
        <v>20</v>
      </c>
      <c r="I132" s="96" t="s">
        <v>12</v>
      </c>
      <c r="J132" s="98"/>
      <c r="K132" s="97">
        <v>1.486</v>
      </c>
    </row>
    <row r="133" spans="1:11">
      <c r="A133" s="96" t="s">
        <v>21</v>
      </c>
      <c r="B133" s="96">
        <v>0.156</v>
      </c>
      <c r="C133" s="97">
        <v>0.3</v>
      </c>
      <c r="D133" s="96">
        <v>2.07E-2</v>
      </c>
      <c r="E133" s="96">
        <v>5.1220000000000002E-2</v>
      </c>
      <c r="F133" s="96">
        <v>960</v>
      </c>
      <c r="G133" s="98"/>
      <c r="H133" s="96">
        <v>20</v>
      </c>
      <c r="I133" s="96" t="s">
        <v>12</v>
      </c>
      <c r="J133" s="98"/>
      <c r="K133" s="97">
        <v>1.4379999999999999</v>
      </c>
    </row>
    <row r="134" spans="1:11">
      <c r="A134" s="96" t="s">
        <v>21</v>
      </c>
      <c r="B134" s="96">
        <v>0.33179999999999998</v>
      </c>
      <c r="C134" s="97">
        <v>0.3</v>
      </c>
      <c r="D134" s="96">
        <v>2.07E-2</v>
      </c>
      <c r="E134" s="96">
        <v>5.1220000000000002E-2</v>
      </c>
      <c r="F134" s="96">
        <v>960</v>
      </c>
      <c r="G134" s="98"/>
      <c r="H134" s="96">
        <v>20</v>
      </c>
      <c r="I134" s="96" t="s">
        <v>12</v>
      </c>
      <c r="J134" s="98"/>
      <c r="K134" s="97">
        <v>1.552</v>
      </c>
    </row>
    <row r="135" spans="1:11">
      <c r="A135" s="96" t="s">
        <v>21</v>
      </c>
      <c r="B135" s="96">
        <v>0.33300000000000002</v>
      </c>
      <c r="C135" s="97">
        <v>0.3</v>
      </c>
      <c r="D135" s="96">
        <v>2.07E-2</v>
      </c>
      <c r="E135" s="96">
        <v>5.1220000000000002E-2</v>
      </c>
      <c r="F135" s="96">
        <v>960</v>
      </c>
      <c r="G135" s="98"/>
      <c r="H135" s="96">
        <v>20</v>
      </c>
      <c r="I135" s="96" t="s">
        <v>12</v>
      </c>
      <c r="J135" s="98"/>
      <c r="K135" s="97">
        <v>1.536</v>
      </c>
    </row>
    <row r="136" spans="1:11">
      <c r="A136" s="96" t="s">
        <v>21</v>
      </c>
      <c r="B136" s="96">
        <v>0.30959999999999999</v>
      </c>
      <c r="C136" s="97">
        <v>0.3</v>
      </c>
      <c r="D136" s="96">
        <v>2.07E-2</v>
      </c>
      <c r="E136" s="96">
        <v>5.1220000000000002E-2</v>
      </c>
      <c r="F136" s="96">
        <v>960</v>
      </c>
      <c r="G136" s="98"/>
      <c r="H136" s="96">
        <v>20</v>
      </c>
      <c r="I136" s="96" t="s">
        <v>12</v>
      </c>
      <c r="J136" s="98"/>
      <c r="K136" s="97">
        <v>1.43</v>
      </c>
    </row>
    <row r="137" spans="1:11">
      <c r="A137" s="96" t="s">
        <v>21</v>
      </c>
      <c r="B137" s="96">
        <v>0.59219999999999995</v>
      </c>
      <c r="C137" s="97">
        <v>0.3</v>
      </c>
      <c r="D137" s="96">
        <v>2.07E-2</v>
      </c>
      <c r="E137" s="96">
        <v>5.1220000000000002E-2</v>
      </c>
      <c r="F137" s="96">
        <v>960</v>
      </c>
      <c r="G137" s="98"/>
      <c r="H137" s="96">
        <v>20</v>
      </c>
      <c r="I137" s="96" t="s">
        <v>12</v>
      </c>
      <c r="J137" s="98"/>
      <c r="K137" s="97">
        <v>1.5780000000000001</v>
      </c>
    </row>
    <row r="138" spans="1:11">
      <c r="A138" s="96" t="s">
        <v>21</v>
      </c>
      <c r="B138" s="96">
        <v>0.62039999999999995</v>
      </c>
      <c r="C138" s="97">
        <v>0.3</v>
      </c>
      <c r="D138" s="96">
        <v>2.07E-2</v>
      </c>
      <c r="E138" s="96">
        <v>5.1220000000000002E-2</v>
      </c>
      <c r="F138" s="96">
        <v>960</v>
      </c>
      <c r="G138" s="98"/>
      <c r="H138" s="96">
        <v>20</v>
      </c>
      <c r="I138" s="96" t="s">
        <v>12</v>
      </c>
      <c r="J138" s="98"/>
      <c r="K138" s="97">
        <v>1.57</v>
      </c>
    </row>
    <row r="139" spans="1:11">
      <c r="A139" s="96" t="s">
        <v>21</v>
      </c>
      <c r="B139" s="96">
        <v>0.67620000000000002</v>
      </c>
      <c r="C139" s="97">
        <v>0.3</v>
      </c>
      <c r="D139" s="96">
        <v>2.07E-2</v>
      </c>
      <c r="E139" s="96">
        <v>5.1220000000000002E-2</v>
      </c>
      <c r="F139" s="96">
        <v>960</v>
      </c>
      <c r="G139" s="98"/>
      <c r="H139" s="96">
        <v>20</v>
      </c>
      <c r="I139" s="96" t="s">
        <v>12</v>
      </c>
      <c r="J139" s="98"/>
      <c r="K139" s="97">
        <v>1.502</v>
      </c>
    </row>
    <row r="140" spans="1:11">
      <c r="A140" s="96" t="s">
        <v>21</v>
      </c>
      <c r="B140" s="96">
        <v>1.4970000000000001</v>
      </c>
      <c r="C140" s="97">
        <v>0.3</v>
      </c>
      <c r="D140" s="96">
        <v>2.07E-2</v>
      </c>
      <c r="E140" s="96">
        <v>5.1220000000000002E-2</v>
      </c>
      <c r="F140" s="96">
        <v>960</v>
      </c>
      <c r="G140" s="98"/>
      <c r="H140" s="96">
        <v>20</v>
      </c>
      <c r="I140" s="96" t="s">
        <v>12</v>
      </c>
      <c r="J140" s="98"/>
      <c r="K140" s="97">
        <v>1.63</v>
      </c>
    </row>
    <row r="141" spans="1:11">
      <c r="A141" s="96" t="s">
        <v>21</v>
      </c>
      <c r="B141" s="96">
        <v>1.5156000000000001</v>
      </c>
      <c r="C141" s="97">
        <v>0.3</v>
      </c>
      <c r="D141" s="96">
        <v>2.07E-2</v>
      </c>
      <c r="E141" s="96">
        <v>5.1220000000000002E-2</v>
      </c>
      <c r="F141" s="96">
        <v>960</v>
      </c>
      <c r="G141" s="98"/>
      <c r="H141" s="96">
        <v>20</v>
      </c>
      <c r="I141" s="96" t="s">
        <v>12</v>
      </c>
      <c r="J141" s="98"/>
      <c r="K141" s="97">
        <v>1.5820000000000001</v>
      </c>
    </row>
    <row r="142" spans="1:11">
      <c r="A142" s="96" t="s">
        <v>21</v>
      </c>
      <c r="B142" s="96">
        <v>1.6763999999999999</v>
      </c>
      <c r="C142" s="97">
        <v>0.3</v>
      </c>
      <c r="D142" s="96">
        <v>2.07E-2</v>
      </c>
      <c r="E142" s="96">
        <v>5.1220000000000002E-2</v>
      </c>
      <c r="F142" s="96">
        <v>960</v>
      </c>
      <c r="G142" s="98"/>
      <c r="H142" s="96">
        <v>20</v>
      </c>
      <c r="I142" s="96" t="s">
        <v>12</v>
      </c>
      <c r="J142" s="98"/>
      <c r="K142" s="97">
        <v>1.556</v>
      </c>
    </row>
    <row r="143" spans="1:11">
      <c r="A143" s="96" t="s">
        <v>21</v>
      </c>
      <c r="B143" s="96">
        <v>2.4216000000000002</v>
      </c>
      <c r="C143" s="97">
        <v>0.3</v>
      </c>
      <c r="D143" s="96">
        <v>2.07E-2</v>
      </c>
      <c r="E143" s="96">
        <v>5.1220000000000002E-2</v>
      </c>
      <c r="F143" s="96">
        <v>960</v>
      </c>
      <c r="G143" s="98"/>
      <c r="H143" s="96">
        <v>20</v>
      </c>
      <c r="I143" s="96" t="s">
        <v>12</v>
      </c>
      <c r="J143" s="98"/>
      <c r="K143" s="97">
        <v>1.726</v>
      </c>
    </row>
    <row r="144" spans="1:11">
      <c r="A144" s="96" t="s">
        <v>21</v>
      </c>
      <c r="B144" s="96">
        <v>2.4089999999999998</v>
      </c>
      <c r="C144" s="97">
        <v>0.3</v>
      </c>
      <c r="D144" s="96">
        <v>2.07E-2</v>
      </c>
      <c r="E144" s="96">
        <v>5.1220000000000002E-2</v>
      </c>
      <c r="F144" s="96">
        <v>960</v>
      </c>
      <c r="G144" s="98"/>
      <c r="H144" s="96">
        <v>20</v>
      </c>
      <c r="I144" s="96" t="s">
        <v>12</v>
      </c>
      <c r="J144" s="98"/>
      <c r="K144" s="97">
        <v>1.6659999999999999</v>
      </c>
    </row>
    <row r="145" spans="1:11">
      <c r="A145" s="96" t="s">
        <v>21</v>
      </c>
      <c r="B145" s="96">
        <v>2.4413999999999998</v>
      </c>
      <c r="C145" s="97">
        <v>0.3</v>
      </c>
      <c r="D145" s="96">
        <v>2.07E-2</v>
      </c>
      <c r="E145" s="96">
        <v>5.1220000000000002E-2</v>
      </c>
      <c r="F145" s="96">
        <v>960</v>
      </c>
      <c r="G145" s="98"/>
      <c r="H145" s="96">
        <v>20</v>
      </c>
      <c r="I145" s="96" t="s">
        <v>12</v>
      </c>
      <c r="J145" s="98"/>
      <c r="K145" s="97">
        <v>1.63</v>
      </c>
    </row>
    <row r="146" spans="1:11">
      <c r="A146" s="96" t="s">
        <v>22</v>
      </c>
      <c r="B146" s="96">
        <v>50</v>
      </c>
      <c r="C146" s="97">
        <v>0.29880000000000001</v>
      </c>
      <c r="D146" s="96">
        <v>7.2800000000000004E-2</v>
      </c>
      <c r="E146" s="96">
        <v>1.01E-3</v>
      </c>
      <c r="F146" s="96">
        <v>1000</v>
      </c>
      <c r="G146" s="98"/>
      <c r="H146" s="99">
        <v>20</v>
      </c>
      <c r="I146" s="96" t="s">
        <v>12</v>
      </c>
      <c r="J146" s="96">
        <v>1.2909999999999999</v>
      </c>
      <c r="K146" s="100">
        <v>2.5842999999999998</v>
      </c>
    </row>
    <row r="147" spans="1:11">
      <c r="A147" s="96" t="s">
        <v>22</v>
      </c>
      <c r="B147" s="96">
        <v>50</v>
      </c>
      <c r="C147" s="97">
        <v>0.39879999999999999</v>
      </c>
      <c r="D147" s="96">
        <v>7.2800000000000004E-2</v>
      </c>
      <c r="E147" s="96">
        <v>1.01E-3</v>
      </c>
      <c r="F147" s="96">
        <v>1000</v>
      </c>
      <c r="G147" s="98"/>
      <c r="H147" s="96">
        <v>20</v>
      </c>
      <c r="I147" s="96" t="s">
        <v>12</v>
      </c>
      <c r="J147" s="96">
        <v>1.2909999999999999</v>
      </c>
      <c r="K147" s="97">
        <v>2.6928000000000001</v>
      </c>
    </row>
    <row r="148" spans="1:11">
      <c r="A148" s="96" t="s">
        <v>22</v>
      </c>
      <c r="B148" s="96">
        <v>50</v>
      </c>
      <c r="C148" s="97">
        <v>0.49880000000000002</v>
      </c>
      <c r="D148" s="96">
        <v>7.2800000000000004E-2</v>
      </c>
      <c r="E148" s="96">
        <v>1.01E-3</v>
      </c>
      <c r="F148" s="96">
        <v>1000</v>
      </c>
      <c r="G148" s="98"/>
      <c r="H148" s="96">
        <v>20</v>
      </c>
      <c r="I148" s="96" t="s">
        <v>12</v>
      </c>
      <c r="J148" s="96">
        <v>1.2909999999999999</v>
      </c>
      <c r="K148" s="97">
        <v>2.8012000000000001</v>
      </c>
    </row>
    <row r="149" spans="1:11">
      <c r="A149" s="96" t="s">
        <v>22</v>
      </c>
      <c r="B149" s="96">
        <v>50</v>
      </c>
      <c r="C149" s="97">
        <v>0.59750000000000003</v>
      </c>
      <c r="D149" s="96">
        <v>7.2800000000000004E-2</v>
      </c>
      <c r="E149" s="96">
        <v>1.01E-3</v>
      </c>
      <c r="F149" s="96">
        <v>1000</v>
      </c>
      <c r="G149" s="98"/>
      <c r="H149" s="96">
        <v>20</v>
      </c>
      <c r="I149" s="96" t="s">
        <v>12</v>
      </c>
      <c r="J149" s="96">
        <v>1.2909999999999999</v>
      </c>
      <c r="K149" s="97">
        <v>2.8940999999999999</v>
      </c>
    </row>
    <row r="150" spans="1:11">
      <c r="A150" s="96" t="s">
        <v>22</v>
      </c>
      <c r="B150" s="96">
        <v>50</v>
      </c>
      <c r="C150" s="97">
        <v>0.79749999999999999</v>
      </c>
      <c r="D150" s="96">
        <v>7.2800000000000004E-2</v>
      </c>
      <c r="E150" s="96">
        <v>1.01E-3</v>
      </c>
      <c r="F150" s="96">
        <v>1000</v>
      </c>
      <c r="G150" s="98"/>
      <c r="H150" s="96">
        <v>20</v>
      </c>
      <c r="I150" s="96" t="s">
        <v>12</v>
      </c>
      <c r="J150" s="96">
        <v>1.2909999999999999</v>
      </c>
      <c r="K150" s="97">
        <v>3.0644999999999998</v>
      </c>
    </row>
    <row r="151" spans="1:11">
      <c r="A151" s="96" t="s">
        <v>22</v>
      </c>
      <c r="B151" s="96">
        <v>50</v>
      </c>
      <c r="C151" s="97">
        <v>1</v>
      </c>
      <c r="D151" s="96">
        <v>7.2800000000000004E-2</v>
      </c>
      <c r="E151" s="96">
        <v>1.01E-3</v>
      </c>
      <c r="F151" s="96">
        <v>1000</v>
      </c>
      <c r="G151" s="98"/>
      <c r="H151" s="96">
        <v>20</v>
      </c>
      <c r="I151" s="96" t="s">
        <v>12</v>
      </c>
      <c r="J151" s="96">
        <v>1.2909999999999999</v>
      </c>
      <c r="K151" s="97">
        <v>3.2193999999999998</v>
      </c>
    </row>
    <row r="152" spans="1:11">
      <c r="A152" s="96" t="s">
        <v>22</v>
      </c>
      <c r="B152" s="96">
        <v>80</v>
      </c>
      <c r="C152" s="97">
        <v>0.3</v>
      </c>
      <c r="D152" s="96">
        <v>7.2800000000000004E-2</v>
      </c>
      <c r="E152" s="96">
        <v>1.01E-3</v>
      </c>
      <c r="F152" s="96">
        <v>1000</v>
      </c>
      <c r="G152" s="98"/>
      <c r="H152" s="96">
        <v>20</v>
      </c>
      <c r="I152" s="96" t="s">
        <v>12</v>
      </c>
      <c r="J152" s="96">
        <v>1.2909999999999999</v>
      </c>
      <c r="K152" s="97">
        <v>2.8786999999999998</v>
      </c>
    </row>
    <row r="153" spans="1:11">
      <c r="A153" s="96" t="s">
        <v>22</v>
      </c>
      <c r="B153" s="96">
        <v>80</v>
      </c>
      <c r="C153" s="97">
        <v>0.4012</v>
      </c>
      <c r="D153" s="96">
        <v>7.2800000000000004E-2</v>
      </c>
      <c r="E153" s="96">
        <v>1.01E-3</v>
      </c>
      <c r="F153" s="96">
        <v>1000</v>
      </c>
      <c r="G153" s="98"/>
      <c r="H153" s="96">
        <v>20</v>
      </c>
      <c r="I153" s="96" t="s">
        <v>12</v>
      </c>
      <c r="J153" s="96">
        <v>1.2909999999999999</v>
      </c>
      <c r="K153" s="97">
        <v>2.9870999999999999</v>
      </c>
    </row>
    <row r="154" spans="1:11">
      <c r="A154" s="96" t="s">
        <v>22</v>
      </c>
      <c r="B154" s="96">
        <v>80</v>
      </c>
      <c r="C154" s="97">
        <v>0.50119999999999998</v>
      </c>
      <c r="D154" s="96">
        <v>7.2800000000000004E-2</v>
      </c>
      <c r="E154" s="96">
        <v>1.01E-3</v>
      </c>
      <c r="F154" s="96">
        <v>1000</v>
      </c>
      <c r="G154" s="98"/>
      <c r="H154" s="96">
        <v>20</v>
      </c>
      <c r="I154" s="96" t="s">
        <v>12</v>
      </c>
      <c r="J154" s="96">
        <v>1.2909999999999999</v>
      </c>
      <c r="K154" s="97">
        <v>3.1032999999999999</v>
      </c>
    </row>
    <row r="155" spans="1:11">
      <c r="A155" s="96" t="s">
        <v>22</v>
      </c>
      <c r="B155" s="96">
        <v>80</v>
      </c>
      <c r="C155" s="97">
        <v>0.5988</v>
      </c>
      <c r="D155" s="96">
        <v>7.2800000000000004E-2</v>
      </c>
      <c r="E155" s="96">
        <v>1.01E-3</v>
      </c>
      <c r="F155" s="96">
        <v>1000</v>
      </c>
      <c r="G155" s="98"/>
      <c r="H155" s="96">
        <v>20</v>
      </c>
      <c r="I155" s="96" t="s">
        <v>12</v>
      </c>
      <c r="J155" s="96">
        <v>1.2909999999999999</v>
      </c>
      <c r="K155" s="97">
        <v>3.1962000000000002</v>
      </c>
    </row>
    <row r="156" spans="1:11">
      <c r="A156" s="96" t="s">
        <v>22</v>
      </c>
      <c r="B156" s="96">
        <v>80</v>
      </c>
      <c r="C156" s="97">
        <v>0.80120000000000002</v>
      </c>
      <c r="D156" s="96">
        <v>7.2800000000000004E-2</v>
      </c>
      <c r="E156" s="96">
        <v>1.01E-3</v>
      </c>
      <c r="F156" s="96">
        <v>1000</v>
      </c>
      <c r="G156" s="98"/>
      <c r="H156" s="96">
        <v>20</v>
      </c>
      <c r="I156" s="96" t="s">
        <v>12</v>
      </c>
      <c r="J156" s="96">
        <v>1.2909999999999999</v>
      </c>
      <c r="K156" s="97">
        <v>3.2814000000000001</v>
      </c>
    </row>
    <row r="157" spans="1:11">
      <c r="A157" s="96" t="s">
        <v>22</v>
      </c>
      <c r="B157" s="96">
        <v>80</v>
      </c>
      <c r="C157" s="97">
        <v>1.0037</v>
      </c>
      <c r="D157" s="96">
        <v>7.2800000000000004E-2</v>
      </c>
      <c r="E157" s="96">
        <v>1.01E-3</v>
      </c>
      <c r="F157" s="96">
        <v>1000</v>
      </c>
      <c r="G157" s="98"/>
      <c r="H157" s="96">
        <v>20</v>
      </c>
      <c r="I157" s="96" t="s">
        <v>12</v>
      </c>
      <c r="J157" s="96">
        <v>1.2909999999999999</v>
      </c>
      <c r="K157" s="97">
        <v>3.4053</v>
      </c>
    </row>
    <row r="158" spans="1:11">
      <c r="A158" s="96" t="s">
        <v>22</v>
      </c>
      <c r="B158" s="96">
        <v>100</v>
      </c>
      <c r="C158" s="97">
        <v>0.29880000000000001</v>
      </c>
      <c r="D158" s="96">
        <v>7.2800000000000004E-2</v>
      </c>
      <c r="E158" s="96">
        <v>1.01E-3</v>
      </c>
      <c r="F158" s="96">
        <v>1000</v>
      </c>
      <c r="G158" s="98"/>
      <c r="H158" s="96">
        <v>20</v>
      </c>
      <c r="I158" s="96" t="s">
        <v>12</v>
      </c>
      <c r="J158" s="96">
        <v>1.2909999999999999</v>
      </c>
      <c r="K158" s="97">
        <v>3.1806999999999999</v>
      </c>
    </row>
    <row r="159" spans="1:11">
      <c r="A159" s="96" t="s">
        <v>22</v>
      </c>
      <c r="B159" s="96">
        <v>100</v>
      </c>
      <c r="C159" s="97">
        <v>0.4012</v>
      </c>
      <c r="D159" s="96">
        <v>7.2800000000000004E-2</v>
      </c>
      <c r="E159" s="96">
        <v>1.01E-3</v>
      </c>
      <c r="F159" s="96">
        <v>1000</v>
      </c>
      <c r="G159" s="98"/>
      <c r="H159" s="96">
        <v>20</v>
      </c>
      <c r="I159" s="96" t="s">
        <v>12</v>
      </c>
      <c r="J159" s="96">
        <v>1.2909999999999999</v>
      </c>
      <c r="K159" s="97">
        <v>3.2892000000000001</v>
      </c>
    </row>
    <row r="160" spans="1:11">
      <c r="A160" s="96" t="s">
        <v>22</v>
      </c>
      <c r="B160" s="96">
        <v>100</v>
      </c>
      <c r="C160" s="97">
        <v>0.50119999999999998</v>
      </c>
      <c r="D160" s="96">
        <v>7.2800000000000004E-2</v>
      </c>
      <c r="E160" s="96">
        <v>1.01E-3</v>
      </c>
      <c r="F160" s="96">
        <v>1000</v>
      </c>
      <c r="G160" s="98"/>
      <c r="H160" s="96">
        <v>20</v>
      </c>
      <c r="I160" s="96" t="s">
        <v>12</v>
      </c>
      <c r="J160" s="96">
        <v>1.2909999999999999</v>
      </c>
      <c r="K160" s="97">
        <v>3.3898000000000001</v>
      </c>
    </row>
    <row r="161" spans="1:11">
      <c r="A161" s="96" t="s">
        <v>22</v>
      </c>
      <c r="B161" s="96">
        <v>100</v>
      </c>
      <c r="C161" s="97">
        <v>0.5988</v>
      </c>
      <c r="D161" s="96">
        <v>7.2800000000000004E-2</v>
      </c>
      <c r="E161" s="96">
        <v>1.01E-3</v>
      </c>
      <c r="F161" s="96">
        <v>1000</v>
      </c>
      <c r="G161" s="98"/>
      <c r="H161" s="96">
        <v>20</v>
      </c>
      <c r="I161" s="96" t="s">
        <v>12</v>
      </c>
      <c r="J161" s="96">
        <v>1.2909999999999999</v>
      </c>
      <c r="K161" s="97">
        <v>3.3744000000000001</v>
      </c>
    </row>
    <row r="162" spans="1:11">
      <c r="A162" s="96" t="s">
        <v>22</v>
      </c>
      <c r="B162" s="96">
        <v>100</v>
      </c>
      <c r="C162" s="97">
        <v>0.8</v>
      </c>
      <c r="D162" s="96">
        <v>7.2800000000000004E-2</v>
      </c>
      <c r="E162" s="96">
        <v>1.01E-3</v>
      </c>
      <c r="F162" s="96">
        <v>1000</v>
      </c>
      <c r="G162" s="98"/>
      <c r="H162" s="96">
        <v>20</v>
      </c>
      <c r="I162" s="96" t="s">
        <v>12</v>
      </c>
      <c r="J162" s="96">
        <v>1.2909999999999999</v>
      </c>
      <c r="K162" s="97">
        <v>3.5990000000000002</v>
      </c>
    </row>
    <row r="163" spans="1:11">
      <c r="A163" s="96" t="s">
        <v>22</v>
      </c>
      <c r="B163" s="96">
        <v>100</v>
      </c>
      <c r="C163" s="97">
        <v>1.0012000000000001</v>
      </c>
      <c r="D163" s="96">
        <v>7.2800000000000004E-2</v>
      </c>
      <c r="E163" s="96">
        <v>1.01E-3</v>
      </c>
      <c r="F163" s="96">
        <v>1000</v>
      </c>
      <c r="G163" s="98"/>
      <c r="H163" s="96">
        <v>20</v>
      </c>
      <c r="I163" s="96" t="s">
        <v>12</v>
      </c>
      <c r="J163" s="96">
        <v>1.2909999999999999</v>
      </c>
      <c r="K163" s="97">
        <v>3.6764000000000001</v>
      </c>
    </row>
    <row r="164" spans="1:11">
      <c r="A164" s="96" t="s">
        <v>22</v>
      </c>
      <c r="B164" s="96">
        <v>120</v>
      </c>
      <c r="C164" s="97">
        <v>0.29749999999999999</v>
      </c>
      <c r="D164" s="96">
        <v>7.2800000000000004E-2</v>
      </c>
      <c r="E164" s="96">
        <v>1.01E-3</v>
      </c>
      <c r="F164" s="96">
        <v>1000</v>
      </c>
      <c r="G164" s="98"/>
      <c r="H164" s="96">
        <v>20</v>
      </c>
      <c r="I164" s="96" t="s">
        <v>12</v>
      </c>
      <c r="J164" s="96">
        <v>1.2909999999999999</v>
      </c>
      <c r="K164" s="97">
        <v>3.4904999999999999</v>
      </c>
    </row>
    <row r="165" spans="1:11">
      <c r="A165" s="96" t="s">
        <v>22</v>
      </c>
      <c r="B165" s="96">
        <v>120</v>
      </c>
      <c r="C165" s="97">
        <v>0.39750000000000002</v>
      </c>
      <c r="D165" s="96">
        <v>7.2800000000000004E-2</v>
      </c>
      <c r="E165" s="96">
        <v>1.01E-3</v>
      </c>
      <c r="F165" s="96">
        <v>1000</v>
      </c>
      <c r="G165" s="98"/>
      <c r="H165" s="96">
        <v>20</v>
      </c>
      <c r="I165" s="96" t="s">
        <v>12</v>
      </c>
      <c r="J165" s="96">
        <v>1.2909999999999999</v>
      </c>
      <c r="K165" s="97">
        <v>3.5834999999999999</v>
      </c>
    </row>
    <row r="166" spans="1:11">
      <c r="A166" s="96" t="s">
        <v>22</v>
      </c>
      <c r="B166" s="96">
        <v>120</v>
      </c>
      <c r="C166" s="97">
        <v>0.5</v>
      </c>
      <c r="D166" s="96">
        <v>7.2800000000000004E-2</v>
      </c>
      <c r="E166" s="96">
        <v>1.01E-3</v>
      </c>
      <c r="F166" s="96">
        <v>1000</v>
      </c>
      <c r="G166" s="98"/>
      <c r="H166" s="96">
        <v>20</v>
      </c>
      <c r="I166" s="96" t="s">
        <v>12</v>
      </c>
      <c r="J166" s="96">
        <v>1.2909999999999999</v>
      </c>
      <c r="K166" s="97">
        <v>3.5990000000000002</v>
      </c>
    </row>
    <row r="167" spans="1:11">
      <c r="A167" s="96" t="s">
        <v>22</v>
      </c>
      <c r="B167" s="96">
        <v>120</v>
      </c>
      <c r="C167" s="97">
        <v>0.5988</v>
      </c>
      <c r="D167" s="96">
        <v>7.2800000000000004E-2</v>
      </c>
      <c r="E167" s="96">
        <v>1.01E-3</v>
      </c>
      <c r="F167" s="96">
        <v>1000</v>
      </c>
      <c r="G167" s="98"/>
      <c r="H167" s="96">
        <v>20</v>
      </c>
      <c r="I167" s="96" t="s">
        <v>12</v>
      </c>
      <c r="J167" s="96">
        <v>1.2909999999999999</v>
      </c>
      <c r="K167" s="97">
        <v>3.7073999999999998</v>
      </c>
    </row>
    <row r="168" spans="1:11">
      <c r="A168" s="96" t="s">
        <v>22</v>
      </c>
      <c r="B168" s="96">
        <v>120</v>
      </c>
      <c r="C168" s="97">
        <v>0.80120000000000002</v>
      </c>
      <c r="D168" s="96">
        <v>7.2800000000000004E-2</v>
      </c>
      <c r="E168" s="96">
        <v>1.01E-3</v>
      </c>
      <c r="F168" s="96">
        <v>1000</v>
      </c>
      <c r="G168" s="98"/>
      <c r="H168" s="96">
        <v>20</v>
      </c>
      <c r="I168" s="96" t="s">
        <v>12</v>
      </c>
      <c r="J168" s="96">
        <v>1.2909999999999999</v>
      </c>
      <c r="K168" s="97">
        <v>3.8003</v>
      </c>
    </row>
    <row r="169" spans="1:11">
      <c r="A169" s="96" t="s">
        <v>22</v>
      </c>
      <c r="B169" s="96">
        <v>120</v>
      </c>
      <c r="C169" s="97">
        <v>1.0012000000000001</v>
      </c>
      <c r="D169" s="96">
        <v>7.2800000000000004E-2</v>
      </c>
      <c r="E169" s="96">
        <v>1.01E-3</v>
      </c>
      <c r="F169" s="96">
        <v>1000</v>
      </c>
      <c r="G169" s="98"/>
      <c r="H169" s="96">
        <v>20</v>
      </c>
      <c r="I169" s="96" t="s">
        <v>12</v>
      </c>
      <c r="J169" s="96">
        <v>1.2909999999999999</v>
      </c>
      <c r="K169" s="97">
        <v>3.9087999999999998</v>
      </c>
    </row>
    <row r="170" spans="1:11">
      <c r="A170" s="96" t="s">
        <v>22</v>
      </c>
      <c r="B170" s="96">
        <v>150</v>
      </c>
      <c r="C170" s="97">
        <v>0.3</v>
      </c>
      <c r="D170" s="96">
        <v>7.2800000000000004E-2</v>
      </c>
      <c r="E170" s="96">
        <v>1.01E-3</v>
      </c>
      <c r="F170" s="96">
        <v>1000</v>
      </c>
      <c r="G170" s="98"/>
      <c r="H170" s="96">
        <v>20</v>
      </c>
      <c r="I170" s="96" t="s">
        <v>12</v>
      </c>
      <c r="J170" s="96">
        <v>1.2909999999999999</v>
      </c>
      <c r="K170" s="97">
        <v>3.9087999999999998</v>
      </c>
    </row>
    <row r="171" spans="1:11">
      <c r="A171" s="96" t="s">
        <v>22</v>
      </c>
      <c r="B171" s="96">
        <v>150</v>
      </c>
      <c r="C171" s="97">
        <v>0.39750000000000002</v>
      </c>
      <c r="D171" s="96">
        <v>7.2800000000000004E-2</v>
      </c>
      <c r="E171" s="96">
        <v>1.01E-3</v>
      </c>
      <c r="F171" s="96">
        <v>1000</v>
      </c>
      <c r="G171" s="98"/>
      <c r="H171" s="96">
        <v>20</v>
      </c>
      <c r="I171" s="96" t="s">
        <v>12</v>
      </c>
      <c r="J171" s="96">
        <v>1.2909999999999999</v>
      </c>
      <c r="K171" s="97">
        <v>3.9398</v>
      </c>
    </row>
    <row r="172" spans="1:11">
      <c r="A172" s="96" t="s">
        <v>22</v>
      </c>
      <c r="B172" s="96">
        <v>150</v>
      </c>
      <c r="C172" s="97">
        <v>0.5</v>
      </c>
      <c r="D172" s="96">
        <v>7.2800000000000004E-2</v>
      </c>
      <c r="E172" s="96">
        <v>1.01E-3</v>
      </c>
      <c r="F172" s="96">
        <v>1000</v>
      </c>
      <c r="G172" s="98"/>
      <c r="H172" s="96">
        <v>20</v>
      </c>
      <c r="I172" s="96" t="s">
        <v>12</v>
      </c>
      <c r="J172" s="96">
        <v>1.2909999999999999</v>
      </c>
      <c r="K172" s="97">
        <v>4.0171999999999999</v>
      </c>
    </row>
    <row r="173" spans="1:11">
      <c r="A173" s="96" t="s">
        <v>22</v>
      </c>
      <c r="B173" s="96">
        <v>150</v>
      </c>
      <c r="C173" s="97">
        <v>0.5988</v>
      </c>
      <c r="D173" s="96">
        <v>7.2800000000000004E-2</v>
      </c>
      <c r="E173" s="96">
        <v>1.01E-3</v>
      </c>
      <c r="F173" s="96">
        <v>1000</v>
      </c>
      <c r="G173" s="98"/>
      <c r="H173" s="96">
        <v>20</v>
      </c>
      <c r="I173" s="96" t="s">
        <v>12</v>
      </c>
      <c r="J173" s="96">
        <v>1.2909999999999999</v>
      </c>
      <c r="K173" s="97">
        <v>4.0404</v>
      </c>
    </row>
    <row r="174" spans="1:11">
      <c r="A174" s="96" t="s">
        <v>22</v>
      </c>
      <c r="B174" s="96">
        <v>150</v>
      </c>
      <c r="C174" s="97">
        <v>0.8</v>
      </c>
      <c r="D174" s="96">
        <v>7.2800000000000004E-2</v>
      </c>
      <c r="E174" s="96">
        <v>1.01E-3</v>
      </c>
      <c r="F174" s="96">
        <v>1000</v>
      </c>
      <c r="G174" s="98"/>
      <c r="H174" s="96">
        <v>20</v>
      </c>
      <c r="I174" s="96" t="s">
        <v>12</v>
      </c>
      <c r="J174" s="96">
        <v>1.2909999999999999</v>
      </c>
      <c r="K174" s="97">
        <v>4.1024000000000003</v>
      </c>
    </row>
    <row r="175" spans="1:11">
      <c r="A175" s="96" t="s">
        <v>22</v>
      </c>
      <c r="B175" s="96">
        <v>150</v>
      </c>
      <c r="C175" s="97">
        <v>1.0012000000000001</v>
      </c>
      <c r="D175" s="96">
        <v>7.2800000000000004E-2</v>
      </c>
      <c r="E175" s="96">
        <v>1.01E-3</v>
      </c>
      <c r="F175" s="96">
        <v>1000</v>
      </c>
      <c r="G175" s="98"/>
      <c r="H175" s="96">
        <v>20</v>
      </c>
      <c r="I175" s="96" t="s">
        <v>12</v>
      </c>
      <c r="J175" s="96">
        <v>1.2909999999999999</v>
      </c>
      <c r="K175" s="97">
        <v>4.1875999999999998</v>
      </c>
    </row>
    <row r="176" spans="1:11">
      <c r="A176" s="96" t="s">
        <v>22</v>
      </c>
      <c r="B176" s="96">
        <v>200</v>
      </c>
      <c r="C176" s="97">
        <v>0.29630000000000001</v>
      </c>
      <c r="D176" s="96">
        <v>7.2800000000000004E-2</v>
      </c>
      <c r="E176" s="96">
        <v>1.01E-3</v>
      </c>
      <c r="F176" s="96">
        <v>1000</v>
      </c>
      <c r="G176" s="98"/>
      <c r="H176" s="96">
        <v>20</v>
      </c>
      <c r="I176" s="96" t="s">
        <v>12</v>
      </c>
      <c r="J176" s="96">
        <v>1.2909999999999999</v>
      </c>
      <c r="K176" s="97">
        <v>4.3811999999999998</v>
      </c>
    </row>
    <row r="177" spans="1:11">
      <c r="A177" s="96" t="s">
        <v>22</v>
      </c>
      <c r="B177" s="96">
        <v>200</v>
      </c>
      <c r="C177" s="97">
        <v>0.39879999999999999</v>
      </c>
      <c r="D177" s="96">
        <v>7.2800000000000004E-2</v>
      </c>
      <c r="E177" s="96">
        <v>1.01E-3</v>
      </c>
      <c r="F177" s="96">
        <v>1000</v>
      </c>
      <c r="G177" s="98"/>
      <c r="H177" s="96">
        <v>20</v>
      </c>
      <c r="I177" s="96" t="s">
        <v>12</v>
      </c>
      <c r="J177" s="96">
        <v>1.2909999999999999</v>
      </c>
      <c r="K177" s="97">
        <v>4.42</v>
      </c>
    </row>
    <row r="178" spans="1:11">
      <c r="A178" s="96" t="s">
        <v>22</v>
      </c>
      <c r="B178" s="96">
        <v>200</v>
      </c>
      <c r="C178" s="97">
        <v>0.49880000000000002</v>
      </c>
      <c r="D178" s="96">
        <v>7.2800000000000004E-2</v>
      </c>
      <c r="E178" s="96">
        <v>1.01E-3</v>
      </c>
      <c r="F178" s="96">
        <v>1000</v>
      </c>
      <c r="G178" s="98"/>
      <c r="H178" s="96">
        <v>20</v>
      </c>
      <c r="I178" s="96" t="s">
        <v>12</v>
      </c>
      <c r="J178" s="96">
        <v>1.2909999999999999</v>
      </c>
      <c r="K178" s="97">
        <v>4.4897</v>
      </c>
    </row>
    <row r="179" spans="1:11">
      <c r="A179" s="96" t="s">
        <v>22</v>
      </c>
      <c r="B179" s="96">
        <v>200</v>
      </c>
      <c r="C179" s="97">
        <v>0.59750000000000003</v>
      </c>
      <c r="D179" s="96">
        <v>7.2800000000000004E-2</v>
      </c>
      <c r="E179" s="96">
        <v>1.01E-3</v>
      </c>
      <c r="F179" s="96">
        <v>1000</v>
      </c>
      <c r="G179" s="98"/>
      <c r="H179" s="96">
        <v>20</v>
      </c>
      <c r="I179" s="96" t="s">
        <v>12</v>
      </c>
      <c r="J179" s="96">
        <v>1.2909999999999999</v>
      </c>
      <c r="K179" s="97">
        <v>4.5438999999999998</v>
      </c>
    </row>
    <row r="180" spans="1:11">
      <c r="A180" s="96" t="s">
        <v>22</v>
      </c>
      <c r="B180" s="96">
        <v>200</v>
      </c>
      <c r="C180" s="97">
        <v>0.8</v>
      </c>
      <c r="D180" s="96">
        <v>7.2800000000000004E-2</v>
      </c>
      <c r="E180" s="96">
        <v>1.01E-3</v>
      </c>
      <c r="F180" s="96">
        <v>1000</v>
      </c>
      <c r="G180" s="98"/>
      <c r="H180" s="96">
        <v>20</v>
      </c>
      <c r="I180" s="96" t="s">
        <v>12</v>
      </c>
      <c r="J180" s="96">
        <v>1.2909999999999999</v>
      </c>
      <c r="K180" s="97">
        <v>4.5980999999999996</v>
      </c>
    </row>
    <row r="181" spans="1:11">
      <c r="A181" s="96" t="s">
        <v>22</v>
      </c>
      <c r="B181" s="96">
        <v>200</v>
      </c>
      <c r="C181" s="97">
        <v>1</v>
      </c>
      <c r="D181" s="96">
        <v>7.2800000000000004E-2</v>
      </c>
      <c r="E181" s="96">
        <v>1.01E-3</v>
      </c>
      <c r="F181" s="96">
        <v>1000</v>
      </c>
      <c r="G181" s="98"/>
      <c r="H181" s="96">
        <v>20</v>
      </c>
      <c r="I181" s="96" t="s">
        <v>12</v>
      </c>
      <c r="J181" s="96">
        <v>1.2909999999999999</v>
      </c>
      <c r="K181" s="97">
        <v>4.6833</v>
      </c>
    </row>
    <row r="182" spans="1:11">
      <c r="A182" s="96" t="s">
        <v>22</v>
      </c>
      <c r="B182" s="96">
        <v>50</v>
      </c>
      <c r="C182" s="97">
        <v>0.29720000000000002</v>
      </c>
      <c r="D182" s="96">
        <v>7.2800000000000004E-2</v>
      </c>
      <c r="E182" s="96">
        <v>1.01E-3</v>
      </c>
      <c r="F182" s="96">
        <v>1000</v>
      </c>
      <c r="G182" s="98"/>
      <c r="H182" s="96">
        <v>20</v>
      </c>
      <c r="I182" s="96" t="s">
        <v>12</v>
      </c>
      <c r="J182" s="96">
        <v>1.2909999999999999</v>
      </c>
      <c r="K182" s="97">
        <v>2.4855</v>
      </c>
    </row>
    <row r="183" spans="1:11">
      <c r="A183" s="96" t="s">
        <v>22</v>
      </c>
      <c r="B183" s="96">
        <v>50</v>
      </c>
      <c r="C183" s="97">
        <v>0.39939999999999998</v>
      </c>
      <c r="D183" s="96">
        <v>7.2800000000000004E-2</v>
      </c>
      <c r="E183" s="96">
        <v>1.01E-3</v>
      </c>
      <c r="F183" s="96">
        <v>1000</v>
      </c>
      <c r="G183" s="98"/>
      <c r="H183" s="96">
        <v>20</v>
      </c>
      <c r="I183" s="96" t="s">
        <v>12</v>
      </c>
      <c r="J183" s="96">
        <v>1.2909999999999999</v>
      </c>
      <c r="K183" s="97">
        <v>2.5941999999999998</v>
      </c>
    </row>
    <row r="184" spans="1:11">
      <c r="A184" s="96" t="s">
        <v>22</v>
      </c>
      <c r="B184" s="96">
        <v>50</v>
      </c>
      <c r="C184" s="97">
        <v>0.50039999999999996</v>
      </c>
      <c r="D184" s="96">
        <v>7.2800000000000004E-2</v>
      </c>
      <c r="E184" s="96">
        <v>1.01E-3</v>
      </c>
      <c r="F184" s="96">
        <v>1000</v>
      </c>
      <c r="G184" s="98"/>
      <c r="H184" s="96">
        <v>20</v>
      </c>
      <c r="I184" s="96" t="s">
        <v>12</v>
      </c>
      <c r="J184" s="96">
        <v>1.2909999999999999</v>
      </c>
      <c r="K184" s="97">
        <v>2.6812</v>
      </c>
    </row>
    <row r="185" spans="1:11">
      <c r="A185" s="96" t="s">
        <v>22</v>
      </c>
      <c r="B185" s="96">
        <v>50</v>
      </c>
      <c r="C185" s="97">
        <v>0.60260000000000002</v>
      </c>
      <c r="D185" s="96">
        <v>7.2800000000000004E-2</v>
      </c>
      <c r="E185" s="96">
        <v>1.01E-3</v>
      </c>
      <c r="F185" s="96">
        <v>1000</v>
      </c>
      <c r="G185" s="98"/>
      <c r="H185" s="96">
        <v>20</v>
      </c>
      <c r="I185" s="96" t="s">
        <v>12</v>
      </c>
      <c r="J185" s="96">
        <v>1.2909999999999999</v>
      </c>
      <c r="K185" s="97">
        <v>2.7391000000000001</v>
      </c>
    </row>
    <row r="186" spans="1:11">
      <c r="A186" s="96" t="s">
        <v>22</v>
      </c>
      <c r="B186" s="96">
        <v>50</v>
      </c>
      <c r="C186" s="97">
        <v>0.80210000000000004</v>
      </c>
      <c r="D186" s="96">
        <v>7.2800000000000004E-2</v>
      </c>
      <c r="E186" s="96">
        <v>1.01E-3</v>
      </c>
      <c r="F186" s="96">
        <v>1000</v>
      </c>
      <c r="G186" s="98"/>
      <c r="H186" s="96">
        <v>20</v>
      </c>
      <c r="I186" s="96" t="s">
        <v>12</v>
      </c>
      <c r="J186" s="96">
        <v>1.2909999999999999</v>
      </c>
      <c r="K186" s="97">
        <v>2.9275000000000002</v>
      </c>
    </row>
    <row r="187" spans="1:11">
      <c r="A187" s="96" t="s">
        <v>22</v>
      </c>
      <c r="B187" s="96">
        <v>50</v>
      </c>
      <c r="C187" s="97">
        <v>1.0003</v>
      </c>
      <c r="D187" s="96">
        <v>7.2800000000000004E-2</v>
      </c>
      <c r="E187" s="96">
        <v>1.01E-3</v>
      </c>
      <c r="F187" s="96">
        <v>1000</v>
      </c>
      <c r="G187" s="98"/>
      <c r="H187" s="96">
        <v>20</v>
      </c>
      <c r="I187" s="96" t="s">
        <v>12</v>
      </c>
      <c r="J187" s="96">
        <v>1.2909999999999999</v>
      </c>
      <c r="K187" s="97">
        <v>2.9782999999999999</v>
      </c>
    </row>
    <row r="188" spans="1:11">
      <c r="A188" s="96" t="s">
        <v>22</v>
      </c>
      <c r="B188" s="96">
        <v>80</v>
      </c>
      <c r="C188" s="97">
        <v>0.29599999999999999</v>
      </c>
      <c r="D188" s="96">
        <v>7.2800000000000004E-2</v>
      </c>
      <c r="E188" s="96">
        <v>1.01E-3</v>
      </c>
      <c r="F188" s="96">
        <v>1000</v>
      </c>
      <c r="G188" s="98"/>
      <c r="H188" s="96">
        <v>20</v>
      </c>
      <c r="I188" s="96" t="s">
        <v>12</v>
      </c>
      <c r="J188" s="96">
        <v>1.2909999999999999</v>
      </c>
      <c r="K188" s="97">
        <v>2.7898999999999998</v>
      </c>
    </row>
    <row r="189" spans="1:11">
      <c r="A189" s="96" t="s">
        <v>22</v>
      </c>
      <c r="B189" s="96">
        <v>80</v>
      </c>
      <c r="C189" s="97">
        <v>0.3982</v>
      </c>
      <c r="D189" s="96">
        <v>7.2800000000000004E-2</v>
      </c>
      <c r="E189" s="96">
        <v>1.01E-3</v>
      </c>
      <c r="F189" s="96">
        <v>1000</v>
      </c>
      <c r="G189" s="98"/>
      <c r="H189" s="96">
        <v>20</v>
      </c>
      <c r="I189" s="96" t="s">
        <v>12</v>
      </c>
      <c r="J189" s="96">
        <v>1.2909999999999999</v>
      </c>
      <c r="K189" s="97">
        <v>2.8767999999999998</v>
      </c>
    </row>
    <row r="190" spans="1:11">
      <c r="A190" s="96" t="s">
        <v>22</v>
      </c>
      <c r="B190" s="96">
        <v>80</v>
      </c>
      <c r="C190" s="97">
        <v>0.50039999999999996</v>
      </c>
      <c r="D190" s="96">
        <v>7.2800000000000004E-2</v>
      </c>
      <c r="E190" s="96">
        <v>1.01E-3</v>
      </c>
      <c r="F190" s="96">
        <v>1000</v>
      </c>
      <c r="G190" s="98"/>
      <c r="H190" s="96">
        <v>20</v>
      </c>
      <c r="I190" s="96" t="s">
        <v>12</v>
      </c>
      <c r="J190" s="96">
        <v>1.2909999999999999</v>
      </c>
      <c r="K190" s="97">
        <v>2.8913000000000002</v>
      </c>
    </row>
    <row r="191" spans="1:11">
      <c r="A191" s="96" t="s">
        <v>22</v>
      </c>
      <c r="B191" s="96">
        <v>80</v>
      </c>
      <c r="C191" s="97">
        <v>0.60009999999999997</v>
      </c>
      <c r="D191" s="96">
        <v>7.2800000000000004E-2</v>
      </c>
      <c r="E191" s="96">
        <v>1.01E-3</v>
      </c>
      <c r="F191" s="96">
        <v>1000</v>
      </c>
      <c r="G191" s="98"/>
      <c r="H191" s="96">
        <v>20</v>
      </c>
      <c r="I191" s="96" t="s">
        <v>12</v>
      </c>
      <c r="J191" s="96">
        <v>1.2909999999999999</v>
      </c>
      <c r="K191" s="97">
        <v>2.9855</v>
      </c>
    </row>
    <row r="192" spans="1:11">
      <c r="A192" s="96" t="s">
        <v>22</v>
      </c>
      <c r="B192" s="96">
        <v>80</v>
      </c>
      <c r="C192" s="97">
        <v>0.79959999999999998</v>
      </c>
      <c r="D192" s="96">
        <v>7.2800000000000004E-2</v>
      </c>
      <c r="E192" s="96">
        <v>1.01E-3</v>
      </c>
      <c r="F192" s="96">
        <v>1000</v>
      </c>
      <c r="G192" s="98"/>
      <c r="H192" s="96">
        <v>20</v>
      </c>
      <c r="I192" s="96" t="s">
        <v>12</v>
      </c>
      <c r="J192" s="96">
        <v>1.2909999999999999</v>
      </c>
      <c r="K192" s="97">
        <v>3.0796999999999999</v>
      </c>
    </row>
    <row r="193" spans="1:11">
      <c r="A193" s="96" t="s">
        <v>22</v>
      </c>
      <c r="B193" s="96">
        <v>80</v>
      </c>
      <c r="C193" s="97">
        <v>1.0015000000000001</v>
      </c>
      <c r="D193" s="96">
        <v>7.2800000000000004E-2</v>
      </c>
      <c r="E193" s="96">
        <v>1.01E-3</v>
      </c>
      <c r="F193" s="96">
        <v>1000</v>
      </c>
      <c r="G193" s="98"/>
      <c r="H193" s="96">
        <v>20</v>
      </c>
      <c r="I193" s="96" t="s">
        <v>12</v>
      </c>
      <c r="J193" s="96">
        <v>1.2909999999999999</v>
      </c>
      <c r="K193" s="97">
        <v>3.1957</v>
      </c>
    </row>
    <row r="194" spans="1:11">
      <c r="A194" s="96" t="s">
        <v>22</v>
      </c>
      <c r="B194" s="96">
        <v>100</v>
      </c>
      <c r="C194" s="97">
        <v>0.29849999999999999</v>
      </c>
      <c r="D194" s="96">
        <v>7.2800000000000004E-2</v>
      </c>
      <c r="E194" s="96">
        <v>1.01E-3</v>
      </c>
      <c r="F194" s="96">
        <v>1000</v>
      </c>
      <c r="G194" s="98"/>
      <c r="H194" s="96">
        <v>20</v>
      </c>
      <c r="I194" s="96" t="s">
        <v>12</v>
      </c>
      <c r="J194" s="96">
        <v>1.2909999999999999</v>
      </c>
      <c r="K194" s="97">
        <v>3.0941999999999998</v>
      </c>
    </row>
    <row r="195" spans="1:11">
      <c r="A195" s="96" t="s">
        <v>22</v>
      </c>
      <c r="B195" s="96">
        <v>100</v>
      </c>
      <c r="C195" s="97">
        <v>0.3982</v>
      </c>
      <c r="D195" s="96">
        <v>7.2800000000000004E-2</v>
      </c>
      <c r="E195" s="96">
        <v>1.01E-3</v>
      </c>
      <c r="F195" s="96">
        <v>1000</v>
      </c>
      <c r="G195" s="98"/>
      <c r="H195" s="96">
        <v>20</v>
      </c>
      <c r="I195" s="96" t="s">
        <v>12</v>
      </c>
      <c r="J195" s="96">
        <v>1.2909999999999999</v>
      </c>
      <c r="K195" s="97">
        <v>3.1884000000000001</v>
      </c>
    </row>
    <row r="196" spans="1:11">
      <c r="A196" s="96" t="s">
        <v>22</v>
      </c>
      <c r="B196" s="96">
        <v>100</v>
      </c>
      <c r="C196" s="97">
        <v>0.49919999999999998</v>
      </c>
      <c r="D196" s="96">
        <v>7.2800000000000004E-2</v>
      </c>
      <c r="E196" s="96">
        <v>1.01E-3</v>
      </c>
      <c r="F196" s="96">
        <v>1000</v>
      </c>
      <c r="G196" s="98"/>
      <c r="H196" s="96">
        <v>20</v>
      </c>
      <c r="I196" s="96" t="s">
        <v>12</v>
      </c>
      <c r="J196" s="96">
        <v>1.2909999999999999</v>
      </c>
      <c r="K196" s="97">
        <v>3.1957</v>
      </c>
    </row>
    <row r="197" spans="1:11">
      <c r="A197" s="96" t="s">
        <v>22</v>
      </c>
      <c r="B197" s="96">
        <v>100</v>
      </c>
      <c r="C197" s="97">
        <v>0.60009999999999997</v>
      </c>
      <c r="D197" s="96">
        <v>7.2800000000000004E-2</v>
      </c>
      <c r="E197" s="96">
        <v>1.01E-3</v>
      </c>
      <c r="F197" s="96">
        <v>1000</v>
      </c>
      <c r="G197" s="98"/>
      <c r="H197" s="96">
        <v>20</v>
      </c>
      <c r="I197" s="96" t="s">
        <v>12</v>
      </c>
      <c r="J197" s="96">
        <v>1.2909999999999999</v>
      </c>
      <c r="K197" s="97">
        <v>3.2898999999999998</v>
      </c>
    </row>
    <row r="198" spans="1:11">
      <c r="A198" s="96" t="s">
        <v>22</v>
      </c>
      <c r="B198" s="96">
        <v>100</v>
      </c>
      <c r="C198" s="97">
        <v>0.79830000000000001</v>
      </c>
      <c r="D198" s="96">
        <v>7.2800000000000004E-2</v>
      </c>
      <c r="E198" s="96">
        <v>1.01E-3</v>
      </c>
      <c r="F198" s="96">
        <v>1000</v>
      </c>
      <c r="G198" s="98"/>
      <c r="H198" s="96">
        <v>20</v>
      </c>
      <c r="I198" s="96" t="s">
        <v>12</v>
      </c>
      <c r="J198" s="96">
        <v>1.2909999999999999</v>
      </c>
      <c r="K198" s="97">
        <v>3.3767999999999998</v>
      </c>
    </row>
    <row r="199" spans="1:11">
      <c r="A199" s="96" t="s">
        <v>22</v>
      </c>
      <c r="B199" s="96">
        <v>100</v>
      </c>
      <c r="C199" s="97">
        <v>1.0003</v>
      </c>
      <c r="D199" s="96">
        <v>7.2800000000000004E-2</v>
      </c>
      <c r="E199" s="96">
        <v>1.01E-3</v>
      </c>
      <c r="F199" s="96">
        <v>1000</v>
      </c>
      <c r="G199" s="98"/>
      <c r="H199" s="96">
        <v>20</v>
      </c>
      <c r="I199" s="96" t="s">
        <v>12</v>
      </c>
      <c r="J199" s="96">
        <v>1.2909999999999999</v>
      </c>
      <c r="K199" s="97">
        <v>3.4855</v>
      </c>
    </row>
    <row r="200" spans="1:11">
      <c r="A200" s="96" t="s">
        <v>22</v>
      </c>
      <c r="B200" s="96">
        <v>120</v>
      </c>
      <c r="C200" s="97">
        <v>0.29849999999999999</v>
      </c>
      <c r="D200" s="96">
        <v>7.2800000000000004E-2</v>
      </c>
      <c r="E200" s="96">
        <v>1.01E-3</v>
      </c>
      <c r="F200" s="96">
        <v>1000</v>
      </c>
      <c r="G200" s="98"/>
      <c r="H200" s="96">
        <v>20</v>
      </c>
      <c r="I200" s="96" t="s">
        <v>12</v>
      </c>
      <c r="J200" s="96">
        <v>1.2909999999999999</v>
      </c>
      <c r="K200" s="97">
        <v>3.3841000000000001</v>
      </c>
    </row>
    <row r="201" spans="1:11">
      <c r="A201" s="96" t="s">
        <v>22</v>
      </c>
      <c r="B201" s="96">
        <v>120</v>
      </c>
      <c r="C201" s="97">
        <v>0.39939999999999998</v>
      </c>
      <c r="D201" s="96">
        <v>7.2800000000000004E-2</v>
      </c>
      <c r="E201" s="96">
        <v>1.01E-3</v>
      </c>
      <c r="F201" s="96">
        <v>1000</v>
      </c>
      <c r="G201" s="98"/>
      <c r="H201" s="96">
        <v>20</v>
      </c>
      <c r="I201" s="96" t="s">
        <v>12</v>
      </c>
      <c r="J201" s="96">
        <v>1.2909999999999999</v>
      </c>
      <c r="K201" s="97">
        <v>3.3841000000000001</v>
      </c>
    </row>
    <row r="202" spans="1:11">
      <c r="A202" s="96" t="s">
        <v>22</v>
      </c>
      <c r="B202" s="96">
        <v>120</v>
      </c>
      <c r="C202" s="97">
        <v>0.49790000000000001</v>
      </c>
      <c r="D202" s="96">
        <v>7.2800000000000004E-2</v>
      </c>
      <c r="E202" s="96">
        <v>1.01E-3</v>
      </c>
      <c r="F202" s="96">
        <v>1000</v>
      </c>
      <c r="G202" s="98"/>
      <c r="H202" s="96">
        <v>20</v>
      </c>
      <c r="I202" s="96" t="s">
        <v>12</v>
      </c>
      <c r="J202" s="96">
        <v>1.2909999999999999</v>
      </c>
      <c r="K202" s="97">
        <v>3.4855</v>
      </c>
    </row>
    <row r="203" spans="1:11">
      <c r="A203" s="96" t="s">
        <v>22</v>
      </c>
      <c r="B203" s="96">
        <v>120</v>
      </c>
      <c r="C203" s="97">
        <v>0.59760000000000002</v>
      </c>
      <c r="D203" s="96">
        <v>7.2800000000000004E-2</v>
      </c>
      <c r="E203" s="96">
        <v>1.01E-3</v>
      </c>
      <c r="F203" s="96">
        <v>1000</v>
      </c>
      <c r="G203" s="98"/>
      <c r="H203" s="96">
        <v>20</v>
      </c>
      <c r="I203" s="96" t="s">
        <v>12</v>
      </c>
      <c r="J203" s="96">
        <v>1.2909999999999999</v>
      </c>
      <c r="K203" s="97">
        <v>3.4855</v>
      </c>
    </row>
    <row r="204" spans="1:11">
      <c r="A204" s="96" t="s">
        <v>22</v>
      </c>
      <c r="B204" s="96">
        <v>120</v>
      </c>
      <c r="C204" s="97">
        <v>0.79959999999999998</v>
      </c>
      <c r="D204" s="96">
        <v>7.2800000000000004E-2</v>
      </c>
      <c r="E204" s="96">
        <v>1.01E-3</v>
      </c>
      <c r="F204" s="96">
        <v>1000</v>
      </c>
      <c r="G204" s="98"/>
      <c r="H204" s="96">
        <v>20</v>
      </c>
      <c r="I204" s="96" t="s">
        <v>12</v>
      </c>
      <c r="J204" s="96">
        <v>1.2909999999999999</v>
      </c>
      <c r="K204" s="97">
        <v>3.5870000000000002</v>
      </c>
    </row>
    <row r="205" spans="1:11">
      <c r="A205" s="96" t="s">
        <v>22</v>
      </c>
      <c r="B205" s="96">
        <v>120</v>
      </c>
      <c r="C205" s="97">
        <v>1.0015000000000001</v>
      </c>
      <c r="D205" s="96">
        <v>7.2800000000000004E-2</v>
      </c>
      <c r="E205" s="96">
        <v>1.01E-3</v>
      </c>
      <c r="F205" s="96">
        <v>1000</v>
      </c>
      <c r="G205" s="98"/>
      <c r="H205" s="96">
        <v>20</v>
      </c>
      <c r="I205" s="96" t="s">
        <v>12</v>
      </c>
      <c r="J205" s="96">
        <v>1.2909999999999999</v>
      </c>
      <c r="K205" s="97">
        <v>3.7101000000000002</v>
      </c>
    </row>
    <row r="206" spans="1:11">
      <c r="A206" s="96" t="s">
        <v>22</v>
      </c>
      <c r="B206" s="96">
        <v>150</v>
      </c>
      <c r="C206" s="97">
        <v>0.29849999999999999</v>
      </c>
      <c r="D206" s="96">
        <v>7.2800000000000004E-2</v>
      </c>
      <c r="E206" s="96">
        <v>1.01E-3</v>
      </c>
      <c r="F206" s="96">
        <v>1000</v>
      </c>
      <c r="G206" s="98"/>
      <c r="H206" s="96">
        <v>20</v>
      </c>
      <c r="I206" s="96" t="s">
        <v>12</v>
      </c>
      <c r="J206" s="96">
        <v>1.2909999999999999</v>
      </c>
      <c r="K206" s="97">
        <v>3.6957</v>
      </c>
    </row>
    <row r="207" spans="1:11">
      <c r="A207" s="96" t="s">
        <v>22</v>
      </c>
      <c r="B207" s="96">
        <v>150</v>
      </c>
      <c r="C207" s="97">
        <v>0.3982</v>
      </c>
      <c r="D207" s="96">
        <v>7.2800000000000004E-2</v>
      </c>
      <c r="E207" s="96">
        <v>1.01E-3</v>
      </c>
      <c r="F207" s="96">
        <v>1000</v>
      </c>
      <c r="G207" s="98"/>
      <c r="H207" s="96">
        <v>20</v>
      </c>
      <c r="I207" s="96" t="s">
        <v>12</v>
      </c>
      <c r="J207" s="96">
        <v>1.2909999999999999</v>
      </c>
      <c r="K207" s="97">
        <v>3.7898999999999998</v>
      </c>
    </row>
    <row r="208" spans="1:11">
      <c r="A208" s="96" t="s">
        <v>22</v>
      </c>
      <c r="B208" s="96">
        <v>150</v>
      </c>
      <c r="C208" s="97">
        <v>0.49919999999999998</v>
      </c>
      <c r="D208" s="96">
        <v>7.2800000000000004E-2</v>
      </c>
      <c r="E208" s="96">
        <v>1.01E-3</v>
      </c>
      <c r="F208" s="96">
        <v>1000</v>
      </c>
      <c r="G208" s="98"/>
      <c r="H208" s="96">
        <v>20</v>
      </c>
      <c r="I208" s="96" t="s">
        <v>12</v>
      </c>
      <c r="J208" s="96">
        <v>1.2909999999999999</v>
      </c>
      <c r="K208" s="97">
        <v>3.8043</v>
      </c>
    </row>
    <row r="209" spans="1:11">
      <c r="A209" s="96" t="s">
        <v>22</v>
      </c>
      <c r="B209" s="96">
        <v>150</v>
      </c>
      <c r="C209" s="97">
        <v>0.60260000000000002</v>
      </c>
      <c r="D209" s="96">
        <v>7.2800000000000004E-2</v>
      </c>
      <c r="E209" s="96">
        <v>1.01E-3</v>
      </c>
      <c r="F209" s="96">
        <v>1000</v>
      </c>
      <c r="G209" s="98"/>
      <c r="H209" s="96">
        <v>20</v>
      </c>
      <c r="I209" s="96" t="s">
        <v>12</v>
      </c>
      <c r="J209" s="96">
        <v>1.2909999999999999</v>
      </c>
      <c r="K209" s="97">
        <v>3.7826</v>
      </c>
    </row>
    <row r="210" spans="1:11">
      <c r="A210" s="96" t="s">
        <v>22</v>
      </c>
      <c r="B210" s="96">
        <v>150</v>
      </c>
      <c r="C210" s="97">
        <v>0.80079999999999996</v>
      </c>
      <c r="D210" s="96">
        <v>7.2800000000000004E-2</v>
      </c>
      <c r="E210" s="96">
        <v>1.01E-3</v>
      </c>
      <c r="F210" s="96">
        <v>1000</v>
      </c>
      <c r="G210" s="98"/>
      <c r="H210" s="96">
        <v>20</v>
      </c>
      <c r="I210" s="96" t="s">
        <v>12</v>
      </c>
      <c r="J210" s="96">
        <v>1.2909999999999999</v>
      </c>
      <c r="K210" s="97">
        <v>3.8913000000000002</v>
      </c>
    </row>
    <row r="211" spans="1:11">
      <c r="A211" s="96" t="s">
        <v>22</v>
      </c>
      <c r="B211" s="96">
        <v>150</v>
      </c>
      <c r="C211" s="97">
        <v>1.0003</v>
      </c>
      <c r="D211" s="96">
        <v>7.2800000000000004E-2</v>
      </c>
      <c r="E211" s="96">
        <v>1.01E-3</v>
      </c>
      <c r="F211" s="96">
        <v>1000</v>
      </c>
      <c r="G211" s="98"/>
      <c r="H211" s="96">
        <v>20</v>
      </c>
      <c r="I211" s="96" t="s">
        <v>12</v>
      </c>
      <c r="J211" s="96">
        <v>1.2909999999999999</v>
      </c>
      <c r="K211" s="97">
        <v>3.9927999999999999</v>
      </c>
    </row>
    <row r="212" spans="1:11">
      <c r="A212" s="96" t="s">
        <v>22</v>
      </c>
      <c r="B212" s="96">
        <v>200</v>
      </c>
      <c r="C212" s="97">
        <v>0.29720000000000002</v>
      </c>
      <c r="D212" s="96">
        <v>7.2800000000000004E-2</v>
      </c>
      <c r="E212" s="96">
        <v>1.01E-3</v>
      </c>
      <c r="F212" s="96">
        <v>1000</v>
      </c>
      <c r="G212" s="98"/>
      <c r="H212" s="96">
        <v>20</v>
      </c>
      <c r="I212" s="96" t="s">
        <v>12</v>
      </c>
      <c r="J212" s="96">
        <v>1.2909999999999999</v>
      </c>
      <c r="K212" s="97">
        <v>4.1883999999999997</v>
      </c>
    </row>
    <row r="213" spans="1:11">
      <c r="A213" s="96" t="s">
        <v>22</v>
      </c>
      <c r="B213" s="96">
        <v>200</v>
      </c>
      <c r="C213" s="97">
        <v>0.4007</v>
      </c>
      <c r="D213" s="96">
        <v>7.2800000000000004E-2</v>
      </c>
      <c r="E213" s="96">
        <v>1.01E-3</v>
      </c>
      <c r="F213" s="96">
        <v>1000</v>
      </c>
      <c r="G213" s="98"/>
      <c r="H213" s="96">
        <v>20</v>
      </c>
      <c r="I213" s="96" t="s">
        <v>12</v>
      </c>
      <c r="J213" s="96">
        <v>1.2909999999999999</v>
      </c>
      <c r="K213" s="97">
        <v>4.2899000000000003</v>
      </c>
    </row>
    <row r="214" spans="1:11">
      <c r="A214" s="96" t="s">
        <v>22</v>
      </c>
      <c r="B214" s="96">
        <v>200</v>
      </c>
      <c r="C214" s="97">
        <v>0.50170000000000003</v>
      </c>
      <c r="D214" s="96">
        <v>7.2800000000000004E-2</v>
      </c>
      <c r="E214" s="96">
        <v>1.01E-3</v>
      </c>
      <c r="F214" s="96">
        <v>1000</v>
      </c>
      <c r="G214" s="98"/>
      <c r="H214" s="96">
        <v>20</v>
      </c>
      <c r="I214" s="96" t="s">
        <v>12</v>
      </c>
      <c r="J214" s="96">
        <v>1.2909999999999999</v>
      </c>
      <c r="K214" s="97">
        <v>4.2899000000000003</v>
      </c>
    </row>
    <row r="215" spans="1:11">
      <c r="A215" s="96" t="s">
        <v>22</v>
      </c>
      <c r="B215" s="96">
        <v>200</v>
      </c>
      <c r="C215" s="97">
        <v>0.60140000000000005</v>
      </c>
      <c r="D215" s="96">
        <v>7.2800000000000004E-2</v>
      </c>
      <c r="E215" s="96">
        <v>1.01E-3</v>
      </c>
      <c r="F215" s="96">
        <v>1000</v>
      </c>
      <c r="G215" s="98"/>
      <c r="H215" s="96">
        <v>20</v>
      </c>
      <c r="I215" s="96" t="s">
        <v>12</v>
      </c>
      <c r="J215" s="96">
        <v>1.2909999999999999</v>
      </c>
      <c r="K215" s="97">
        <v>4.2826000000000004</v>
      </c>
    </row>
    <row r="216" spans="1:11">
      <c r="A216" s="96" t="s">
        <v>22</v>
      </c>
      <c r="B216" s="96">
        <v>200</v>
      </c>
      <c r="C216" s="97">
        <v>0.80210000000000004</v>
      </c>
      <c r="D216" s="96">
        <v>7.2800000000000004E-2</v>
      </c>
      <c r="E216" s="96">
        <v>1.01E-3</v>
      </c>
      <c r="F216" s="96">
        <v>1000</v>
      </c>
      <c r="G216" s="98"/>
      <c r="H216" s="96">
        <v>20</v>
      </c>
      <c r="I216" s="96" t="s">
        <v>12</v>
      </c>
      <c r="J216" s="96">
        <v>1.2909999999999999</v>
      </c>
      <c r="K216" s="97">
        <v>4.3841000000000001</v>
      </c>
    </row>
    <row r="217" spans="1:11">
      <c r="A217" s="96" t="s">
        <v>22</v>
      </c>
      <c r="B217" s="96">
        <v>200</v>
      </c>
      <c r="C217" s="97">
        <v>0.999</v>
      </c>
      <c r="D217" s="96">
        <v>7.2800000000000004E-2</v>
      </c>
      <c r="E217" s="96">
        <v>1.01E-3</v>
      </c>
      <c r="F217" s="96">
        <v>1000</v>
      </c>
      <c r="G217" s="98"/>
      <c r="H217" s="96">
        <v>20</v>
      </c>
      <c r="I217" s="96" t="s">
        <v>12</v>
      </c>
      <c r="J217" s="96">
        <v>1.2909999999999999</v>
      </c>
      <c r="K217" s="97">
        <v>4.5</v>
      </c>
    </row>
    <row r="218" spans="1:11">
      <c r="A218" s="96" t="s">
        <v>22</v>
      </c>
      <c r="B218" s="96">
        <v>50</v>
      </c>
      <c r="C218" s="97">
        <v>0.30099999999999999</v>
      </c>
      <c r="D218" s="96">
        <v>7.2800000000000004E-2</v>
      </c>
      <c r="E218" s="96">
        <v>1.01E-3</v>
      </c>
      <c r="F218" s="96">
        <v>1000</v>
      </c>
      <c r="G218" s="98"/>
      <c r="H218" s="96">
        <v>20</v>
      </c>
      <c r="I218" s="96" t="s">
        <v>12</v>
      </c>
      <c r="J218" s="96">
        <v>1.2909999999999999</v>
      </c>
      <c r="K218" s="97">
        <v>2.3963999999999999</v>
      </c>
    </row>
    <row r="219" spans="1:11">
      <c r="A219" s="96" t="s">
        <v>22</v>
      </c>
      <c r="B219" s="96">
        <v>50</v>
      </c>
      <c r="C219" s="97">
        <v>0.4007</v>
      </c>
      <c r="D219" s="96">
        <v>7.2800000000000004E-2</v>
      </c>
      <c r="E219" s="96">
        <v>1.01E-3</v>
      </c>
      <c r="F219" s="96">
        <v>1000</v>
      </c>
      <c r="G219" s="98"/>
      <c r="H219" s="96">
        <v>20</v>
      </c>
      <c r="I219" s="96" t="s">
        <v>12</v>
      </c>
      <c r="J219" s="96">
        <v>1.2909999999999999</v>
      </c>
      <c r="K219" s="97">
        <v>2.4983</v>
      </c>
    </row>
    <row r="220" spans="1:11">
      <c r="A220" s="96" t="s">
        <v>22</v>
      </c>
      <c r="B220" s="96">
        <v>50</v>
      </c>
      <c r="C220" s="97">
        <v>0.50039999999999996</v>
      </c>
      <c r="D220" s="96">
        <v>7.2800000000000004E-2</v>
      </c>
      <c r="E220" s="96">
        <v>1.01E-3</v>
      </c>
      <c r="F220" s="96">
        <v>1000</v>
      </c>
      <c r="G220" s="98"/>
      <c r="H220" s="96">
        <v>20</v>
      </c>
      <c r="I220" s="96" t="s">
        <v>12</v>
      </c>
      <c r="J220" s="96">
        <v>1.2909999999999999</v>
      </c>
      <c r="K220" s="97">
        <v>2.5933999999999999</v>
      </c>
    </row>
    <row r="221" spans="1:11">
      <c r="A221" s="96" t="s">
        <v>22</v>
      </c>
      <c r="B221" s="96">
        <v>50</v>
      </c>
      <c r="C221" s="97">
        <v>0.59770000000000001</v>
      </c>
      <c r="D221" s="96">
        <v>7.2800000000000004E-2</v>
      </c>
      <c r="E221" s="96">
        <v>1.01E-3</v>
      </c>
      <c r="F221" s="96">
        <v>1000</v>
      </c>
      <c r="G221" s="98"/>
      <c r="H221" s="96">
        <v>20</v>
      </c>
      <c r="I221" s="96" t="s">
        <v>12</v>
      </c>
      <c r="J221" s="96">
        <v>1.2909999999999999</v>
      </c>
      <c r="K221" s="97">
        <v>2.6680999999999999</v>
      </c>
    </row>
    <row r="222" spans="1:11">
      <c r="A222" s="96" t="s">
        <v>22</v>
      </c>
      <c r="B222" s="96">
        <v>50</v>
      </c>
      <c r="C222" s="97">
        <v>0.80330000000000001</v>
      </c>
      <c r="D222" s="96">
        <v>7.2800000000000004E-2</v>
      </c>
      <c r="E222" s="96">
        <v>1.01E-3</v>
      </c>
      <c r="F222" s="96">
        <v>1000</v>
      </c>
      <c r="G222" s="98"/>
      <c r="H222" s="96">
        <v>20</v>
      </c>
      <c r="I222" s="96" t="s">
        <v>12</v>
      </c>
      <c r="J222" s="96">
        <v>1.2909999999999999</v>
      </c>
      <c r="K222" s="97">
        <v>2.8513999999999999</v>
      </c>
    </row>
    <row r="223" spans="1:11">
      <c r="A223" s="96" t="s">
        <v>22</v>
      </c>
      <c r="B223" s="96">
        <v>50</v>
      </c>
      <c r="C223" s="97">
        <v>1.0015000000000001</v>
      </c>
      <c r="D223" s="96">
        <v>7.2800000000000004E-2</v>
      </c>
      <c r="E223" s="96">
        <v>1.01E-3</v>
      </c>
      <c r="F223" s="96">
        <v>1000</v>
      </c>
      <c r="G223" s="98"/>
      <c r="H223" s="96">
        <v>20</v>
      </c>
      <c r="I223" s="96" t="s">
        <v>12</v>
      </c>
      <c r="J223" s="96">
        <v>1.2909999999999999</v>
      </c>
      <c r="K223" s="97">
        <v>2.9194</v>
      </c>
    </row>
    <row r="224" spans="1:11">
      <c r="A224" s="96" t="s">
        <v>22</v>
      </c>
      <c r="B224" s="96">
        <v>80</v>
      </c>
      <c r="C224" s="97">
        <v>0.29970000000000002</v>
      </c>
      <c r="D224" s="96">
        <v>7.2800000000000004E-2</v>
      </c>
      <c r="E224" s="96">
        <v>1.01E-3</v>
      </c>
      <c r="F224" s="96">
        <v>1000</v>
      </c>
      <c r="G224" s="98"/>
      <c r="H224" s="96">
        <v>20</v>
      </c>
      <c r="I224" s="96" t="s">
        <v>12</v>
      </c>
      <c r="J224" s="96">
        <v>1.2909999999999999</v>
      </c>
      <c r="K224" s="97">
        <v>2.702</v>
      </c>
    </row>
    <row r="225" spans="1:11">
      <c r="A225" s="96" t="s">
        <v>22</v>
      </c>
      <c r="B225" s="96">
        <v>80</v>
      </c>
      <c r="C225" s="97">
        <v>0.4007</v>
      </c>
      <c r="D225" s="96">
        <v>7.2800000000000004E-2</v>
      </c>
      <c r="E225" s="96">
        <v>1.01E-3</v>
      </c>
      <c r="F225" s="96">
        <v>1000</v>
      </c>
      <c r="G225" s="98"/>
      <c r="H225" s="96">
        <v>20</v>
      </c>
      <c r="I225" s="96" t="s">
        <v>12</v>
      </c>
      <c r="J225" s="96">
        <v>1.2909999999999999</v>
      </c>
      <c r="K225" s="97">
        <v>2.7970999999999999</v>
      </c>
    </row>
    <row r="226" spans="1:11">
      <c r="A226" s="96" t="s">
        <v>22</v>
      </c>
      <c r="B226" s="96">
        <v>80</v>
      </c>
      <c r="C226" s="97">
        <v>0.50039999999999996</v>
      </c>
      <c r="D226" s="96">
        <v>7.2800000000000004E-2</v>
      </c>
      <c r="E226" s="96">
        <v>1.01E-3</v>
      </c>
      <c r="F226" s="96">
        <v>1000</v>
      </c>
      <c r="G226" s="98"/>
      <c r="H226" s="96">
        <v>20</v>
      </c>
      <c r="I226" s="96" t="s">
        <v>12</v>
      </c>
      <c r="J226" s="96">
        <v>1.2909999999999999</v>
      </c>
      <c r="K226" s="97">
        <v>2.7970999999999999</v>
      </c>
    </row>
    <row r="227" spans="1:11">
      <c r="A227" s="96" t="s">
        <v>22</v>
      </c>
      <c r="B227" s="96">
        <v>80</v>
      </c>
      <c r="C227" s="97">
        <v>0.60009999999999997</v>
      </c>
      <c r="D227" s="96">
        <v>7.2800000000000004E-2</v>
      </c>
      <c r="E227" s="96">
        <v>1.01E-3</v>
      </c>
      <c r="F227" s="96">
        <v>1000</v>
      </c>
      <c r="G227" s="98"/>
      <c r="H227" s="96">
        <v>20</v>
      </c>
      <c r="I227" s="96" t="s">
        <v>12</v>
      </c>
      <c r="J227" s="96">
        <v>1.2909999999999999</v>
      </c>
      <c r="K227" s="97">
        <v>2.8921999999999999</v>
      </c>
    </row>
    <row r="228" spans="1:11">
      <c r="A228" s="96" t="s">
        <v>22</v>
      </c>
      <c r="B228" s="96">
        <v>80</v>
      </c>
      <c r="C228" s="97">
        <v>0.80079999999999996</v>
      </c>
      <c r="D228" s="96">
        <v>7.2800000000000004E-2</v>
      </c>
      <c r="E228" s="96">
        <v>1.01E-3</v>
      </c>
      <c r="F228" s="96">
        <v>1000</v>
      </c>
      <c r="G228" s="98"/>
      <c r="H228" s="96">
        <v>20</v>
      </c>
      <c r="I228" s="96" t="s">
        <v>12</v>
      </c>
      <c r="J228" s="96">
        <v>1.2909999999999999</v>
      </c>
      <c r="K228" s="97">
        <v>2.9805000000000001</v>
      </c>
    </row>
    <row r="229" spans="1:11">
      <c r="A229" s="96" t="s">
        <v>22</v>
      </c>
      <c r="B229" s="96">
        <v>80</v>
      </c>
      <c r="C229" s="97">
        <v>0.999</v>
      </c>
      <c r="D229" s="96">
        <v>7.2800000000000004E-2</v>
      </c>
      <c r="E229" s="96">
        <v>1.01E-3</v>
      </c>
      <c r="F229" s="96">
        <v>1000</v>
      </c>
      <c r="G229" s="98"/>
      <c r="H229" s="96">
        <v>20</v>
      </c>
      <c r="I229" s="96" t="s">
        <v>12</v>
      </c>
      <c r="J229" s="96">
        <v>1.2909999999999999</v>
      </c>
      <c r="K229" s="97">
        <v>3.0958999999999999</v>
      </c>
    </row>
    <row r="230" spans="1:11">
      <c r="A230" s="96" t="s">
        <v>22</v>
      </c>
      <c r="B230" s="96">
        <v>100</v>
      </c>
      <c r="C230" s="97">
        <v>0.30099999999999999</v>
      </c>
      <c r="D230" s="96">
        <v>7.2800000000000004E-2</v>
      </c>
      <c r="E230" s="96">
        <v>1.01E-3</v>
      </c>
      <c r="F230" s="96">
        <v>1000</v>
      </c>
      <c r="G230" s="98"/>
      <c r="H230" s="96">
        <v>20</v>
      </c>
      <c r="I230" s="96" t="s">
        <v>12</v>
      </c>
      <c r="J230" s="96">
        <v>1.2909999999999999</v>
      </c>
      <c r="K230" s="97">
        <v>2.9941</v>
      </c>
    </row>
    <row r="231" spans="1:11">
      <c r="A231" s="96" t="s">
        <v>22</v>
      </c>
      <c r="B231" s="96">
        <v>100</v>
      </c>
      <c r="C231" s="97">
        <v>0.4007</v>
      </c>
      <c r="D231" s="96">
        <v>7.2800000000000004E-2</v>
      </c>
      <c r="E231" s="96">
        <v>1.01E-3</v>
      </c>
      <c r="F231" s="96">
        <v>1000</v>
      </c>
      <c r="G231" s="98"/>
      <c r="H231" s="96">
        <v>20</v>
      </c>
      <c r="I231" s="96" t="s">
        <v>12</v>
      </c>
      <c r="J231" s="96">
        <v>1.2909999999999999</v>
      </c>
      <c r="K231" s="97">
        <v>3.1027</v>
      </c>
    </row>
    <row r="232" spans="1:11">
      <c r="A232" s="96" t="s">
        <v>22</v>
      </c>
      <c r="B232" s="96">
        <v>100</v>
      </c>
      <c r="C232" s="97">
        <v>0.49790000000000001</v>
      </c>
      <c r="D232" s="96">
        <v>7.2800000000000004E-2</v>
      </c>
      <c r="E232" s="96">
        <v>1.01E-3</v>
      </c>
      <c r="F232" s="96">
        <v>1000</v>
      </c>
      <c r="G232" s="98"/>
      <c r="H232" s="96">
        <v>20</v>
      </c>
      <c r="I232" s="96" t="s">
        <v>12</v>
      </c>
      <c r="J232" s="96">
        <v>1.2909999999999999</v>
      </c>
      <c r="K232" s="97">
        <v>3.1095000000000002</v>
      </c>
    </row>
    <row r="233" spans="1:11">
      <c r="A233" s="96" t="s">
        <v>22</v>
      </c>
      <c r="B233" s="96">
        <v>100</v>
      </c>
      <c r="C233" s="97">
        <v>0.59889999999999999</v>
      </c>
      <c r="D233" s="96">
        <v>7.2800000000000004E-2</v>
      </c>
      <c r="E233" s="96">
        <v>1.01E-3</v>
      </c>
      <c r="F233" s="96">
        <v>1000</v>
      </c>
      <c r="G233" s="98"/>
      <c r="H233" s="96">
        <v>20</v>
      </c>
      <c r="I233" s="96" t="s">
        <v>12</v>
      </c>
      <c r="J233" s="96">
        <v>1.2909999999999999</v>
      </c>
      <c r="K233" s="97">
        <v>3.0958999999999999</v>
      </c>
    </row>
    <row r="234" spans="1:11">
      <c r="A234" s="96" t="s">
        <v>22</v>
      </c>
      <c r="B234" s="96">
        <v>100</v>
      </c>
      <c r="C234" s="97">
        <v>0.79959999999999998</v>
      </c>
      <c r="D234" s="96">
        <v>7.2800000000000004E-2</v>
      </c>
      <c r="E234" s="96">
        <v>1.01E-3</v>
      </c>
      <c r="F234" s="96">
        <v>1000</v>
      </c>
      <c r="G234" s="98"/>
      <c r="H234" s="96">
        <v>20</v>
      </c>
      <c r="I234" s="96" t="s">
        <v>12</v>
      </c>
      <c r="J234" s="96">
        <v>1.2909999999999999</v>
      </c>
      <c r="K234" s="97">
        <v>3.1909999999999998</v>
      </c>
    </row>
    <row r="235" spans="1:11">
      <c r="A235" s="96" t="s">
        <v>22</v>
      </c>
      <c r="B235" s="96">
        <v>100</v>
      </c>
      <c r="C235" s="97">
        <v>1.0015000000000001</v>
      </c>
      <c r="D235" s="96">
        <v>7.2800000000000004E-2</v>
      </c>
      <c r="E235" s="96">
        <v>1.01E-3</v>
      </c>
      <c r="F235" s="96">
        <v>1000</v>
      </c>
      <c r="G235" s="98"/>
      <c r="H235" s="96">
        <v>20</v>
      </c>
      <c r="I235" s="96" t="s">
        <v>12</v>
      </c>
      <c r="J235" s="96">
        <v>1.2909999999999999</v>
      </c>
      <c r="K235" s="97">
        <v>3.2860999999999998</v>
      </c>
    </row>
    <row r="236" spans="1:11">
      <c r="A236" s="96" t="s">
        <v>22</v>
      </c>
      <c r="B236" s="96">
        <v>120</v>
      </c>
      <c r="C236" s="97">
        <v>0.30099999999999999</v>
      </c>
      <c r="D236" s="96">
        <v>7.2800000000000004E-2</v>
      </c>
      <c r="E236" s="96">
        <v>1.01E-3</v>
      </c>
      <c r="F236" s="96">
        <v>1000</v>
      </c>
      <c r="G236" s="98"/>
      <c r="H236" s="96">
        <v>20</v>
      </c>
      <c r="I236" s="96" t="s">
        <v>12</v>
      </c>
      <c r="J236" s="96">
        <v>1.2909999999999999</v>
      </c>
      <c r="K236" s="97">
        <v>3.1909999999999998</v>
      </c>
    </row>
    <row r="237" spans="1:11">
      <c r="A237" s="96" t="s">
        <v>22</v>
      </c>
      <c r="B237" s="96">
        <v>120</v>
      </c>
      <c r="C237" s="97">
        <v>0.39950000000000002</v>
      </c>
      <c r="D237" s="96">
        <v>7.2800000000000004E-2</v>
      </c>
      <c r="E237" s="96">
        <v>1.01E-3</v>
      </c>
      <c r="F237" s="96">
        <v>1000</v>
      </c>
      <c r="G237" s="98"/>
      <c r="H237" s="96">
        <v>20</v>
      </c>
      <c r="I237" s="96" t="s">
        <v>12</v>
      </c>
      <c r="J237" s="96">
        <v>1.2909999999999999</v>
      </c>
      <c r="K237" s="97">
        <v>3.2928999999999999</v>
      </c>
    </row>
    <row r="238" spans="1:11">
      <c r="A238" s="96" t="s">
        <v>22</v>
      </c>
      <c r="B238" s="96">
        <v>120</v>
      </c>
      <c r="C238" s="97">
        <v>0.50039999999999996</v>
      </c>
      <c r="D238" s="96">
        <v>7.2800000000000004E-2</v>
      </c>
      <c r="E238" s="96">
        <v>1.01E-3</v>
      </c>
      <c r="F238" s="96">
        <v>1000</v>
      </c>
      <c r="G238" s="98"/>
      <c r="H238" s="96">
        <v>20</v>
      </c>
      <c r="I238" s="96" t="s">
        <v>12</v>
      </c>
      <c r="J238" s="96">
        <v>1.2909999999999999</v>
      </c>
      <c r="K238" s="97">
        <v>3.4015</v>
      </c>
    </row>
    <row r="239" spans="1:11">
      <c r="A239" s="96" t="s">
        <v>22</v>
      </c>
      <c r="B239" s="96">
        <v>120</v>
      </c>
      <c r="C239" s="97">
        <v>0.59889999999999999</v>
      </c>
      <c r="D239" s="96">
        <v>7.2800000000000004E-2</v>
      </c>
      <c r="E239" s="96">
        <v>1.01E-3</v>
      </c>
      <c r="F239" s="96">
        <v>1000</v>
      </c>
      <c r="G239" s="98"/>
      <c r="H239" s="96">
        <v>20</v>
      </c>
      <c r="I239" s="96" t="s">
        <v>12</v>
      </c>
      <c r="J239" s="96">
        <v>1.2909999999999999</v>
      </c>
      <c r="K239" s="97">
        <v>3.3946999999999998</v>
      </c>
    </row>
    <row r="240" spans="1:11">
      <c r="A240" s="96" t="s">
        <v>22</v>
      </c>
      <c r="B240" s="96">
        <v>120</v>
      </c>
      <c r="C240" s="97">
        <v>0.79959999999999998</v>
      </c>
      <c r="D240" s="96">
        <v>7.2800000000000004E-2</v>
      </c>
      <c r="E240" s="96">
        <v>1.01E-3</v>
      </c>
      <c r="F240" s="96">
        <v>1000</v>
      </c>
      <c r="G240" s="98"/>
      <c r="H240" s="96">
        <v>20</v>
      </c>
      <c r="I240" s="96" t="s">
        <v>12</v>
      </c>
      <c r="J240" s="96">
        <v>1.2909999999999999</v>
      </c>
      <c r="K240" s="97">
        <v>3.4897999999999998</v>
      </c>
    </row>
    <row r="241" spans="1:11">
      <c r="A241" s="96" t="s">
        <v>22</v>
      </c>
      <c r="B241" s="96">
        <v>120</v>
      </c>
      <c r="C241" s="97">
        <v>1.0026999999999999</v>
      </c>
      <c r="D241" s="96">
        <v>7.2800000000000004E-2</v>
      </c>
      <c r="E241" s="96">
        <v>1.01E-3</v>
      </c>
      <c r="F241" s="96">
        <v>1000</v>
      </c>
      <c r="G241" s="98"/>
      <c r="H241" s="96">
        <v>20</v>
      </c>
      <c r="I241" s="96" t="s">
        <v>12</v>
      </c>
      <c r="J241" s="96">
        <v>1.2909999999999999</v>
      </c>
      <c r="K241" s="97">
        <v>3.5916999999999999</v>
      </c>
    </row>
    <row r="242" spans="1:11">
      <c r="A242" s="96" t="s">
        <v>22</v>
      </c>
      <c r="B242" s="96">
        <v>150</v>
      </c>
      <c r="C242" s="97">
        <v>0.29849999999999999</v>
      </c>
      <c r="D242" s="96">
        <v>7.2800000000000004E-2</v>
      </c>
      <c r="E242" s="96">
        <v>1.01E-3</v>
      </c>
      <c r="F242" s="96">
        <v>1000</v>
      </c>
      <c r="G242" s="98"/>
      <c r="H242" s="96">
        <v>20</v>
      </c>
      <c r="I242" s="96" t="s">
        <v>12</v>
      </c>
      <c r="J242" s="96">
        <v>1.2909999999999999</v>
      </c>
      <c r="K242" s="97">
        <v>3.5985</v>
      </c>
    </row>
    <row r="243" spans="1:11">
      <c r="A243" s="96" t="s">
        <v>22</v>
      </c>
      <c r="B243" s="96">
        <v>150</v>
      </c>
      <c r="C243" s="97">
        <v>0.4007</v>
      </c>
      <c r="D243" s="96">
        <v>7.2800000000000004E-2</v>
      </c>
      <c r="E243" s="96">
        <v>1.01E-3</v>
      </c>
      <c r="F243" s="96">
        <v>1000</v>
      </c>
      <c r="G243" s="98"/>
      <c r="H243" s="96">
        <v>20</v>
      </c>
      <c r="I243" s="96" t="s">
        <v>12</v>
      </c>
      <c r="J243" s="96">
        <v>1.2909999999999999</v>
      </c>
      <c r="K243" s="97">
        <v>3.5916999999999999</v>
      </c>
    </row>
    <row r="244" spans="1:11">
      <c r="A244" s="96" t="s">
        <v>22</v>
      </c>
      <c r="B244" s="96">
        <v>150</v>
      </c>
      <c r="C244" s="97">
        <v>0.50039999999999996</v>
      </c>
      <c r="D244" s="96">
        <v>7.2800000000000004E-2</v>
      </c>
      <c r="E244" s="96">
        <v>1.01E-3</v>
      </c>
      <c r="F244" s="96">
        <v>1000</v>
      </c>
      <c r="G244" s="98"/>
      <c r="H244" s="96">
        <v>20</v>
      </c>
      <c r="I244" s="96" t="s">
        <v>12</v>
      </c>
      <c r="J244" s="96">
        <v>1.2909999999999999</v>
      </c>
      <c r="K244" s="97">
        <v>3.7002999999999999</v>
      </c>
    </row>
    <row r="245" spans="1:11">
      <c r="A245" s="96" t="s">
        <v>22</v>
      </c>
      <c r="B245" s="96">
        <v>150</v>
      </c>
      <c r="C245" s="97">
        <v>0.60140000000000005</v>
      </c>
      <c r="D245" s="96">
        <v>7.2800000000000004E-2</v>
      </c>
      <c r="E245" s="96">
        <v>1.01E-3</v>
      </c>
      <c r="F245" s="96">
        <v>1000</v>
      </c>
      <c r="G245" s="98"/>
      <c r="H245" s="96">
        <v>20</v>
      </c>
      <c r="I245" s="96" t="s">
        <v>12</v>
      </c>
      <c r="J245" s="96">
        <v>1.2909999999999999</v>
      </c>
      <c r="K245" s="97">
        <v>3.7953999999999999</v>
      </c>
    </row>
    <row r="246" spans="1:11">
      <c r="A246" s="96" t="s">
        <v>22</v>
      </c>
      <c r="B246" s="96">
        <v>150</v>
      </c>
      <c r="C246" s="97">
        <v>0.80079999999999996</v>
      </c>
      <c r="D246" s="96">
        <v>7.2800000000000004E-2</v>
      </c>
      <c r="E246" s="96">
        <v>1.01E-3</v>
      </c>
      <c r="F246" s="96">
        <v>1000</v>
      </c>
      <c r="G246" s="98"/>
      <c r="H246" s="96">
        <v>20</v>
      </c>
      <c r="I246" s="96" t="s">
        <v>12</v>
      </c>
      <c r="J246" s="96">
        <v>1.2909999999999999</v>
      </c>
      <c r="K246" s="97">
        <v>3.7886000000000002</v>
      </c>
    </row>
    <row r="247" spans="1:11">
      <c r="A247" s="96" t="s">
        <v>22</v>
      </c>
      <c r="B247" s="96">
        <v>150</v>
      </c>
      <c r="C247" s="97">
        <v>1.0015000000000001</v>
      </c>
      <c r="D247" s="96">
        <v>7.2800000000000004E-2</v>
      </c>
      <c r="E247" s="96">
        <v>1.01E-3</v>
      </c>
      <c r="F247" s="96">
        <v>1000</v>
      </c>
      <c r="G247" s="98"/>
      <c r="H247" s="96">
        <v>20</v>
      </c>
      <c r="I247" s="96" t="s">
        <v>12</v>
      </c>
      <c r="J247" s="96">
        <v>1.2909999999999999</v>
      </c>
      <c r="K247" s="97">
        <v>3.9041000000000001</v>
      </c>
    </row>
    <row r="248" spans="1:11">
      <c r="A248" s="96" t="s">
        <v>22</v>
      </c>
      <c r="B248" s="96">
        <v>200</v>
      </c>
      <c r="C248" s="97">
        <v>0.30099999999999999</v>
      </c>
      <c r="D248" s="96">
        <v>7.2800000000000004E-2</v>
      </c>
      <c r="E248" s="96">
        <v>1.01E-3</v>
      </c>
      <c r="F248" s="96">
        <v>1000</v>
      </c>
      <c r="G248" s="98"/>
      <c r="H248" s="96">
        <v>20</v>
      </c>
      <c r="I248" s="96" t="s">
        <v>12</v>
      </c>
      <c r="J248" s="96">
        <v>1.2909999999999999</v>
      </c>
      <c r="K248" s="97">
        <v>4.101</v>
      </c>
    </row>
    <row r="249" spans="1:11">
      <c r="A249" s="96" t="s">
        <v>22</v>
      </c>
      <c r="B249" s="96">
        <v>200</v>
      </c>
      <c r="C249" s="97">
        <v>0.39950000000000002</v>
      </c>
      <c r="D249" s="96">
        <v>7.2800000000000004E-2</v>
      </c>
      <c r="E249" s="96">
        <v>1.01E-3</v>
      </c>
      <c r="F249" s="96">
        <v>1000</v>
      </c>
      <c r="G249" s="98"/>
      <c r="H249" s="96">
        <v>20</v>
      </c>
      <c r="I249" s="96" t="s">
        <v>12</v>
      </c>
      <c r="J249" s="96">
        <v>1.2909999999999999</v>
      </c>
      <c r="K249" s="97">
        <v>4.2028999999999996</v>
      </c>
    </row>
    <row r="250" spans="1:11">
      <c r="A250" s="96" t="s">
        <v>22</v>
      </c>
      <c r="B250" s="96">
        <v>200</v>
      </c>
      <c r="C250" s="97">
        <v>0.50160000000000005</v>
      </c>
      <c r="D250" s="96">
        <v>7.2800000000000004E-2</v>
      </c>
      <c r="E250" s="96">
        <v>1.01E-3</v>
      </c>
      <c r="F250" s="96">
        <v>1000</v>
      </c>
      <c r="G250" s="98"/>
      <c r="H250" s="96">
        <v>20</v>
      </c>
      <c r="I250" s="96" t="s">
        <v>12</v>
      </c>
      <c r="J250" s="96">
        <v>1.2909999999999999</v>
      </c>
      <c r="K250" s="97">
        <v>4.1961000000000004</v>
      </c>
    </row>
    <row r="251" spans="1:11">
      <c r="A251" s="96" t="s">
        <v>22</v>
      </c>
      <c r="B251" s="96">
        <v>200</v>
      </c>
      <c r="C251" s="97">
        <v>0.60140000000000005</v>
      </c>
      <c r="D251" s="96">
        <v>7.2800000000000004E-2</v>
      </c>
      <c r="E251" s="96">
        <v>1.01E-3</v>
      </c>
      <c r="F251" s="96">
        <v>1000</v>
      </c>
      <c r="G251" s="98"/>
      <c r="H251" s="96">
        <v>20</v>
      </c>
      <c r="I251" s="96" t="s">
        <v>12</v>
      </c>
      <c r="J251" s="96">
        <v>1.2909999999999999</v>
      </c>
      <c r="K251" s="97">
        <v>4.1961000000000004</v>
      </c>
    </row>
    <row r="252" spans="1:11">
      <c r="A252" s="96" t="s">
        <v>22</v>
      </c>
      <c r="B252" s="96">
        <v>200</v>
      </c>
      <c r="C252" s="97">
        <v>0.80079999999999996</v>
      </c>
      <c r="D252" s="96">
        <v>7.2800000000000004E-2</v>
      </c>
      <c r="E252" s="96">
        <v>1.01E-3</v>
      </c>
      <c r="F252" s="96">
        <v>1000</v>
      </c>
      <c r="G252" s="98"/>
      <c r="H252" s="96">
        <v>20</v>
      </c>
      <c r="I252" s="96" t="s">
        <v>12</v>
      </c>
      <c r="J252" s="96">
        <v>1.2909999999999999</v>
      </c>
      <c r="K252" s="97">
        <v>4.3048000000000002</v>
      </c>
    </row>
    <row r="253" spans="1:11">
      <c r="A253" s="96" t="s">
        <v>22</v>
      </c>
      <c r="B253" s="96">
        <v>200</v>
      </c>
      <c r="C253" s="97">
        <v>1.0003</v>
      </c>
      <c r="D253" s="96">
        <v>7.2800000000000004E-2</v>
      </c>
      <c r="E253" s="96">
        <v>1.01E-3</v>
      </c>
      <c r="F253" s="96">
        <v>1000</v>
      </c>
      <c r="G253" s="98"/>
      <c r="H253" s="96">
        <v>20</v>
      </c>
      <c r="I253" s="96" t="s">
        <v>12</v>
      </c>
      <c r="J253" s="96">
        <v>1.2909999999999999</v>
      </c>
      <c r="K253" s="97">
        <v>4.2911999999999999</v>
      </c>
    </row>
    <row r="254" spans="1:11">
      <c r="A254" s="96" t="s">
        <v>22</v>
      </c>
      <c r="B254" s="96">
        <v>50</v>
      </c>
      <c r="C254" s="97">
        <v>0.29749999999999999</v>
      </c>
      <c r="D254" s="96">
        <v>9.6600000000000005E-2</v>
      </c>
      <c r="E254" s="96">
        <v>0.13</v>
      </c>
      <c r="F254" s="96">
        <v>1008</v>
      </c>
      <c r="G254" s="98"/>
      <c r="H254" s="96">
        <v>20</v>
      </c>
      <c r="I254" s="96" t="s">
        <v>12</v>
      </c>
      <c r="J254" s="96">
        <v>1.2909999999999999</v>
      </c>
      <c r="K254" s="97">
        <v>3.3820999999999999</v>
      </c>
    </row>
    <row r="255" spans="1:11">
      <c r="A255" s="96" t="s">
        <v>22</v>
      </c>
      <c r="B255" s="96">
        <v>50</v>
      </c>
      <c r="C255" s="97">
        <v>0.39879999999999999</v>
      </c>
      <c r="D255" s="96">
        <v>9.6600000000000005E-2</v>
      </c>
      <c r="E255" s="96">
        <v>0.13</v>
      </c>
      <c r="F255" s="96">
        <v>1008</v>
      </c>
      <c r="G255" s="98"/>
      <c r="H255" s="96">
        <v>20</v>
      </c>
      <c r="I255" s="96" t="s">
        <v>12</v>
      </c>
      <c r="J255" s="96">
        <v>1.2909999999999999</v>
      </c>
      <c r="K255" s="97">
        <v>3.4363000000000001</v>
      </c>
    </row>
    <row r="256" spans="1:11">
      <c r="A256" s="96" t="s">
        <v>22</v>
      </c>
      <c r="B256" s="96">
        <v>50</v>
      </c>
      <c r="C256" s="97">
        <v>0.49880000000000002</v>
      </c>
      <c r="D256" s="96">
        <v>9.6600000000000005E-2</v>
      </c>
      <c r="E256" s="96">
        <v>0.13</v>
      </c>
      <c r="F256" s="96">
        <v>1008</v>
      </c>
      <c r="G256" s="98"/>
      <c r="H256" s="96">
        <v>20</v>
      </c>
      <c r="I256" s="96" t="s">
        <v>12</v>
      </c>
      <c r="J256" s="96">
        <v>1.2909999999999999</v>
      </c>
      <c r="K256" s="97">
        <v>3.4904999999999999</v>
      </c>
    </row>
    <row r="257" spans="1:11">
      <c r="A257" s="96" t="s">
        <v>22</v>
      </c>
      <c r="B257" s="96">
        <v>50</v>
      </c>
      <c r="C257" s="97">
        <v>0.60119999999999996</v>
      </c>
      <c r="D257" s="96">
        <v>9.6600000000000005E-2</v>
      </c>
      <c r="E257" s="96">
        <v>0.13</v>
      </c>
      <c r="F257" s="96">
        <v>1008</v>
      </c>
      <c r="G257" s="98"/>
      <c r="H257" s="96">
        <v>20</v>
      </c>
      <c r="I257" s="96" t="s">
        <v>12</v>
      </c>
      <c r="J257" s="96">
        <v>1.2909999999999999</v>
      </c>
      <c r="K257" s="97">
        <v>3.6067</v>
      </c>
    </row>
    <row r="258" spans="1:11">
      <c r="A258" s="96" t="s">
        <v>22</v>
      </c>
      <c r="B258" s="96">
        <v>50</v>
      </c>
      <c r="C258" s="97">
        <v>0.80120000000000002</v>
      </c>
      <c r="D258" s="96">
        <v>9.6600000000000005E-2</v>
      </c>
      <c r="E258" s="96">
        <v>0.13</v>
      </c>
      <c r="F258" s="96">
        <v>1008</v>
      </c>
      <c r="G258" s="98"/>
      <c r="H258" s="96">
        <v>20</v>
      </c>
      <c r="I258" s="96" t="s">
        <v>12</v>
      </c>
      <c r="J258" s="96">
        <v>1.2909999999999999</v>
      </c>
      <c r="K258" s="97">
        <v>3.7073999999999998</v>
      </c>
    </row>
    <row r="259" spans="1:11">
      <c r="A259" s="96" t="s">
        <v>22</v>
      </c>
      <c r="B259" s="96">
        <v>50</v>
      </c>
      <c r="C259" s="97">
        <v>1.0024999999999999</v>
      </c>
      <c r="D259" s="96">
        <v>9.6600000000000005E-2</v>
      </c>
      <c r="E259" s="96">
        <v>0.13</v>
      </c>
      <c r="F259" s="96">
        <v>1008</v>
      </c>
      <c r="G259" s="98"/>
      <c r="H259" s="96">
        <v>20</v>
      </c>
      <c r="I259" s="96" t="s">
        <v>12</v>
      </c>
      <c r="J259" s="96">
        <v>1.2909999999999999</v>
      </c>
      <c r="K259" s="97">
        <v>3.7848999999999999</v>
      </c>
    </row>
    <row r="260" spans="1:11">
      <c r="A260" s="96" t="s">
        <v>22</v>
      </c>
      <c r="B260" s="96">
        <v>80</v>
      </c>
      <c r="C260" s="97">
        <v>0.29880000000000001</v>
      </c>
      <c r="D260" s="96">
        <v>9.6600000000000005E-2</v>
      </c>
      <c r="E260" s="96">
        <v>0.13</v>
      </c>
      <c r="F260" s="96">
        <v>1008</v>
      </c>
      <c r="G260" s="98"/>
      <c r="H260" s="96">
        <v>20</v>
      </c>
      <c r="I260" s="96" t="s">
        <v>12</v>
      </c>
      <c r="J260" s="96">
        <v>1.2909999999999999</v>
      </c>
      <c r="K260" s="97">
        <v>3.8003</v>
      </c>
    </row>
    <row r="261" spans="1:11">
      <c r="A261" s="96" t="s">
        <v>22</v>
      </c>
      <c r="B261" s="96">
        <v>80</v>
      </c>
      <c r="C261" s="97">
        <v>0.4</v>
      </c>
      <c r="D261" s="96">
        <v>9.6600000000000005E-2</v>
      </c>
      <c r="E261" s="96">
        <v>0.13</v>
      </c>
      <c r="F261" s="96">
        <v>1008</v>
      </c>
      <c r="G261" s="98"/>
      <c r="H261" s="96">
        <v>20</v>
      </c>
      <c r="I261" s="96" t="s">
        <v>12</v>
      </c>
      <c r="J261" s="96">
        <v>1.2909999999999999</v>
      </c>
      <c r="K261" s="97">
        <v>3.9009999999999998</v>
      </c>
    </row>
    <row r="262" spans="1:11">
      <c r="A262" s="96" t="s">
        <v>22</v>
      </c>
      <c r="B262" s="96">
        <v>80</v>
      </c>
      <c r="C262" s="97">
        <v>0.5</v>
      </c>
      <c r="D262" s="96">
        <v>9.6600000000000005E-2</v>
      </c>
      <c r="E262" s="96">
        <v>0.13</v>
      </c>
      <c r="F262" s="96">
        <v>1008</v>
      </c>
      <c r="G262" s="98"/>
      <c r="H262" s="96">
        <v>20</v>
      </c>
      <c r="I262" s="96" t="s">
        <v>12</v>
      </c>
      <c r="J262" s="96">
        <v>1.2909999999999999</v>
      </c>
      <c r="K262" s="97">
        <v>3.9087999999999998</v>
      </c>
    </row>
    <row r="263" spans="1:11">
      <c r="A263" s="96" t="s">
        <v>22</v>
      </c>
      <c r="B263" s="96">
        <v>80</v>
      </c>
      <c r="C263" s="97">
        <v>0.6</v>
      </c>
      <c r="D263" s="96">
        <v>9.6600000000000005E-2</v>
      </c>
      <c r="E263" s="96">
        <v>0.13</v>
      </c>
      <c r="F263" s="96">
        <v>1008</v>
      </c>
      <c r="G263" s="98"/>
      <c r="H263" s="96">
        <v>20</v>
      </c>
      <c r="I263" s="96" t="s">
        <v>12</v>
      </c>
      <c r="J263" s="96">
        <v>1.2909999999999999</v>
      </c>
      <c r="K263" s="97">
        <v>3.9862000000000002</v>
      </c>
    </row>
    <row r="264" spans="1:11">
      <c r="A264" s="96" t="s">
        <v>22</v>
      </c>
      <c r="B264" s="96">
        <v>80</v>
      </c>
      <c r="C264" s="97">
        <v>0.79630000000000001</v>
      </c>
      <c r="D264" s="96">
        <v>9.6600000000000005E-2</v>
      </c>
      <c r="E264" s="96">
        <v>0.13</v>
      </c>
      <c r="F264" s="96">
        <v>1008</v>
      </c>
      <c r="G264" s="98"/>
      <c r="H264" s="96">
        <v>20</v>
      </c>
      <c r="I264" s="96" t="s">
        <v>12</v>
      </c>
      <c r="J264" s="96">
        <v>1.2909999999999999</v>
      </c>
      <c r="K264" s="97">
        <v>4.0946999999999996</v>
      </c>
    </row>
    <row r="265" spans="1:11">
      <c r="A265" s="96" t="s">
        <v>22</v>
      </c>
      <c r="B265" s="96">
        <v>80</v>
      </c>
      <c r="C265" s="97">
        <v>1.0024999999999999</v>
      </c>
      <c r="D265" s="96">
        <v>9.6600000000000005E-2</v>
      </c>
      <c r="E265" s="96">
        <v>0.13</v>
      </c>
      <c r="F265" s="96">
        <v>1008</v>
      </c>
      <c r="G265" s="98"/>
      <c r="H265" s="96">
        <v>20</v>
      </c>
      <c r="I265" s="96" t="s">
        <v>12</v>
      </c>
      <c r="J265" s="96">
        <v>1.2909999999999999</v>
      </c>
      <c r="K265" s="97">
        <v>4.1875999999999998</v>
      </c>
    </row>
    <row r="266" spans="1:11">
      <c r="A266" s="96" t="s">
        <v>22</v>
      </c>
      <c r="B266" s="96">
        <v>100</v>
      </c>
      <c r="C266" s="97">
        <v>0.29880000000000001</v>
      </c>
      <c r="D266" s="96">
        <v>9.6600000000000005E-2</v>
      </c>
      <c r="E266" s="96">
        <v>0.13</v>
      </c>
      <c r="F266" s="96">
        <v>1008</v>
      </c>
      <c r="G266" s="98"/>
      <c r="H266" s="96">
        <v>20</v>
      </c>
      <c r="I266" s="96" t="s">
        <v>12</v>
      </c>
      <c r="J266" s="96">
        <v>1.2909999999999999</v>
      </c>
      <c r="K266" s="97">
        <v>4.1954000000000002</v>
      </c>
    </row>
    <row r="267" spans="1:11">
      <c r="A267" s="96" t="s">
        <v>22</v>
      </c>
      <c r="B267" s="96">
        <v>100</v>
      </c>
      <c r="C267" s="97">
        <v>0.39879999999999999</v>
      </c>
      <c r="D267" s="96">
        <v>9.6600000000000005E-2</v>
      </c>
      <c r="E267" s="96">
        <v>0.13</v>
      </c>
      <c r="F267" s="96">
        <v>1008</v>
      </c>
      <c r="G267" s="98"/>
      <c r="H267" s="96">
        <v>20</v>
      </c>
      <c r="I267" s="96" t="s">
        <v>12</v>
      </c>
      <c r="J267" s="96">
        <v>1.2909999999999999</v>
      </c>
      <c r="K267" s="97">
        <v>4.1954000000000002</v>
      </c>
    </row>
    <row r="268" spans="1:11">
      <c r="A268" s="96" t="s">
        <v>22</v>
      </c>
      <c r="B268" s="96">
        <v>100</v>
      </c>
      <c r="C268" s="97">
        <v>0.49880000000000002</v>
      </c>
      <c r="D268" s="96">
        <v>9.6600000000000005E-2</v>
      </c>
      <c r="E268" s="96">
        <v>0.13</v>
      </c>
      <c r="F268" s="96">
        <v>1008</v>
      </c>
      <c r="G268" s="98"/>
      <c r="H268" s="96">
        <v>20</v>
      </c>
      <c r="I268" s="96" t="s">
        <v>12</v>
      </c>
      <c r="J268" s="96">
        <v>1.2909999999999999</v>
      </c>
      <c r="K268" s="97">
        <v>4.3037999999999998</v>
      </c>
    </row>
    <row r="269" spans="1:11">
      <c r="A269" s="96" t="s">
        <v>22</v>
      </c>
      <c r="B269" s="96">
        <v>100</v>
      </c>
      <c r="C269" s="97">
        <v>0.5988</v>
      </c>
      <c r="D269" s="96">
        <v>9.6600000000000005E-2</v>
      </c>
      <c r="E269" s="96">
        <v>0.13</v>
      </c>
      <c r="F269" s="96">
        <v>1008</v>
      </c>
      <c r="G269" s="98"/>
      <c r="H269" s="96">
        <v>20</v>
      </c>
      <c r="I269" s="96" t="s">
        <v>12</v>
      </c>
      <c r="J269" s="96">
        <v>1.2909999999999999</v>
      </c>
      <c r="K269" s="97">
        <v>4.3037999999999998</v>
      </c>
    </row>
    <row r="270" spans="1:11">
      <c r="A270" s="96" t="s">
        <v>22</v>
      </c>
      <c r="B270" s="96">
        <v>100</v>
      </c>
      <c r="C270" s="97">
        <v>0.8</v>
      </c>
      <c r="D270" s="96">
        <v>9.6600000000000005E-2</v>
      </c>
      <c r="E270" s="96">
        <v>0.13</v>
      </c>
      <c r="F270" s="96">
        <v>1008</v>
      </c>
      <c r="G270" s="98"/>
      <c r="H270" s="96">
        <v>20</v>
      </c>
      <c r="I270" s="96" t="s">
        <v>12</v>
      </c>
      <c r="J270" s="96">
        <v>1.2909999999999999</v>
      </c>
      <c r="K270" s="97">
        <v>4.4044999999999996</v>
      </c>
    </row>
    <row r="271" spans="1:11">
      <c r="A271" s="96" t="s">
        <v>22</v>
      </c>
      <c r="B271" s="96">
        <v>100</v>
      </c>
      <c r="C271" s="97">
        <v>1</v>
      </c>
      <c r="D271" s="96">
        <v>9.6600000000000005E-2</v>
      </c>
      <c r="E271" s="96">
        <v>0.13</v>
      </c>
      <c r="F271" s="96">
        <v>1008</v>
      </c>
      <c r="G271" s="98"/>
      <c r="H271" s="96">
        <v>20</v>
      </c>
      <c r="I271" s="96" t="s">
        <v>12</v>
      </c>
      <c r="J271" s="96">
        <v>1.2909999999999999</v>
      </c>
      <c r="K271" s="97">
        <v>4.4973999999999998</v>
      </c>
    </row>
    <row r="272" spans="1:11">
      <c r="A272" s="96" t="s">
        <v>22</v>
      </c>
      <c r="B272" s="96">
        <v>120</v>
      </c>
      <c r="C272" s="97">
        <v>0.29749999999999999</v>
      </c>
      <c r="D272" s="96">
        <v>9.6600000000000005E-2</v>
      </c>
      <c r="E272" s="96">
        <v>0.13</v>
      </c>
      <c r="F272" s="96">
        <v>1008</v>
      </c>
      <c r="G272" s="98"/>
      <c r="H272" s="96">
        <v>20</v>
      </c>
      <c r="I272" s="96" t="s">
        <v>12</v>
      </c>
      <c r="J272" s="96">
        <v>1.2909999999999999</v>
      </c>
      <c r="K272" s="97">
        <v>4.4973999999999998</v>
      </c>
    </row>
    <row r="273" spans="1:11">
      <c r="A273" s="96" t="s">
        <v>22</v>
      </c>
      <c r="B273" s="96">
        <v>120</v>
      </c>
      <c r="C273" s="97">
        <v>0.39879999999999999</v>
      </c>
      <c r="D273" s="96">
        <v>9.6600000000000005E-2</v>
      </c>
      <c r="E273" s="96">
        <v>0.13</v>
      </c>
      <c r="F273" s="96">
        <v>1008</v>
      </c>
      <c r="G273" s="98"/>
      <c r="H273" s="96">
        <v>20</v>
      </c>
      <c r="I273" s="96" t="s">
        <v>12</v>
      </c>
      <c r="J273" s="96">
        <v>1.2909999999999999</v>
      </c>
      <c r="K273" s="97">
        <v>4.4973999999999998</v>
      </c>
    </row>
    <row r="274" spans="1:11">
      <c r="A274" s="96" t="s">
        <v>22</v>
      </c>
      <c r="B274" s="96">
        <v>120</v>
      </c>
      <c r="C274" s="97">
        <v>0.5</v>
      </c>
      <c r="D274" s="96">
        <v>9.6600000000000005E-2</v>
      </c>
      <c r="E274" s="96">
        <v>0.13</v>
      </c>
      <c r="F274" s="96">
        <v>1008</v>
      </c>
      <c r="G274" s="98"/>
      <c r="H274" s="96">
        <v>20</v>
      </c>
      <c r="I274" s="96" t="s">
        <v>12</v>
      </c>
      <c r="J274" s="96">
        <v>1.2909999999999999</v>
      </c>
      <c r="K274" s="97">
        <v>4.6059000000000001</v>
      </c>
    </row>
    <row r="275" spans="1:11">
      <c r="A275" s="96" t="s">
        <v>22</v>
      </c>
      <c r="B275" s="96">
        <v>120</v>
      </c>
      <c r="C275" s="97">
        <v>0.6</v>
      </c>
      <c r="D275" s="96">
        <v>9.6600000000000005E-2</v>
      </c>
      <c r="E275" s="96">
        <v>0.13</v>
      </c>
      <c r="F275" s="96">
        <v>1008</v>
      </c>
      <c r="G275" s="98"/>
      <c r="H275" s="96">
        <v>20</v>
      </c>
      <c r="I275" s="96" t="s">
        <v>12</v>
      </c>
      <c r="J275" s="96">
        <v>1.2909999999999999</v>
      </c>
      <c r="K275" s="97">
        <v>4.5980999999999996</v>
      </c>
    </row>
    <row r="276" spans="1:11">
      <c r="A276" s="96" t="s">
        <v>22</v>
      </c>
      <c r="B276" s="96">
        <v>120</v>
      </c>
      <c r="C276" s="97">
        <v>0.8</v>
      </c>
      <c r="D276" s="96">
        <v>9.6600000000000005E-2</v>
      </c>
      <c r="E276" s="96">
        <v>0.13</v>
      </c>
      <c r="F276" s="96">
        <v>1008</v>
      </c>
      <c r="G276" s="98"/>
      <c r="H276" s="96">
        <v>20</v>
      </c>
      <c r="I276" s="96" t="s">
        <v>12</v>
      </c>
      <c r="J276" s="96">
        <v>1.2909999999999999</v>
      </c>
      <c r="K276" s="97">
        <v>4.6988000000000003</v>
      </c>
    </row>
    <row r="277" spans="1:11">
      <c r="A277" s="96" t="s">
        <v>22</v>
      </c>
      <c r="B277" s="96">
        <v>120</v>
      </c>
      <c r="C277" s="97">
        <v>1.0024999999999999</v>
      </c>
      <c r="D277" s="96">
        <v>9.6600000000000005E-2</v>
      </c>
      <c r="E277" s="96">
        <v>0.13</v>
      </c>
      <c r="F277" s="96">
        <v>1008</v>
      </c>
      <c r="G277" s="98"/>
      <c r="H277" s="96">
        <v>20</v>
      </c>
      <c r="I277" s="96" t="s">
        <v>12</v>
      </c>
      <c r="J277" s="96">
        <v>1.2909999999999999</v>
      </c>
      <c r="K277" s="97">
        <v>4.8071999999999999</v>
      </c>
    </row>
    <row r="278" spans="1:11">
      <c r="A278" s="96" t="s">
        <v>22</v>
      </c>
      <c r="B278" s="96">
        <v>150</v>
      </c>
      <c r="C278" s="97">
        <v>0.29880000000000001</v>
      </c>
      <c r="D278" s="96">
        <v>9.6600000000000005E-2</v>
      </c>
      <c r="E278" s="96">
        <v>0.13</v>
      </c>
      <c r="F278" s="96">
        <v>1008</v>
      </c>
      <c r="G278" s="98"/>
      <c r="H278" s="96">
        <v>20</v>
      </c>
      <c r="I278" s="96" t="s">
        <v>12</v>
      </c>
      <c r="J278" s="96">
        <v>1.2909999999999999</v>
      </c>
      <c r="K278" s="97">
        <v>4.8924000000000003</v>
      </c>
    </row>
    <row r="279" spans="1:11">
      <c r="A279" s="96" t="s">
        <v>22</v>
      </c>
      <c r="B279" s="96">
        <v>150</v>
      </c>
      <c r="C279" s="97">
        <v>0.39750000000000002</v>
      </c>
      <c r="D279" s="96">
        <v>9.6600000000000005E-2</v>
      </c>
      <c r="E279" s="96">
        <v>0.13</v>
      </c>
      <c r="F279" s="96">
        <v>1008</v>
      </c>
      <c r="G279" s="98"/>
      <c r="H279" s="96">
        <v>20</v>
      </c>
      <c r="I279" s="96" t="s">
        <v>12</v>
      </c>
      <c r="J279" s="96">
        <v>1.2909999999999999</v>
      </c>
      <c r="K279" s="97">
        <v>5.0086000000000004</v>
      </c>
    </row>
    <row r="280" spans="1:11">
      <c r="A280" s="96" t="s">
        <v>22</v>
      </c>
      <c r="B280" s="96">
        <v>150</v>
      </c>
      <c r="C280" s="97">
        <v>0.50119999999999998</v>
      </c>
      <c r="D280" s="96">
        <v>9.6600000000000005E-2</v>
      </c>
      <c r="E280" s="96">
        <v>0.13</v>
      </c>
      <c r="F280" s="96">
        <v>1008</v>
      </c>
      <c r="G280" s="98"/>
      <c r="H280" s="96">
        <v>20</v>
      </c>
      <c r="I280" s="96" t="s">
        <v>12</v>
      </c>
      <c r="J280" s="96">
        <v>1.2909999999999999</v>
      </c>
      <c r="K280" s="97">
        <v>4.9931000000000001</v>
      </c>
    </row>
    <row r="281" spans="1:11">
      <c r="A281" s="96" t="s">
        <v>22</v>
      </c>
      <c r="B281" s="96">
        <v>150</v>
      </c>
      <c r="C281" s="97">
        <v>0.59750000000000003</v>
      </c>
      <c r="D281" s="96">
        <v>9.6600000000000005E-2</v>
      </c>
      <c r="E281" s="96">
        <v>0.13</v>
      </c>
      <c r="F281" s="96">
        <v>1008</v>
      </c>
      <c r="G281" s="98"/>
      <c r="H281" s="96">
        <v>20</v>
      </c>
      <c r="I281" s="96" t="s">
        <v>12</v>
      </c>
      <c r="J281" s="96">
        <v>1.2909999999999999</v>
      </c>
      <c r="K281" s="97">
        <v>4.9931000000000001</v>
      </c>
    </row>
    <row r="282" spans="1:11">
      <c r="A282" s="96" t="s">
        <v>22</v>
      </c>
      <c r="B282" s="96">
        <v>150</v>
      </c>
      <c r="C282" s="97">
        <v>0.79879999999999995</v>
      </c>
      <c r="D282" s="96">
        <v>9.6600000000000005E-2</v>
      </c>
      <c r="E282" s="96">
        <v>0.13</v>
      </c>
      <c r="F282" s="96">
        <v>1008</v>
      </c>
      <c r="G282" s="98"/>
      <c r="H282" s="96">
        <v>20</v>
      </c>
      <c r="I282" s="96" t="s">
        <v>12</v>
      </c>
      <c r="J282" s="96">
        <v>1.2909999999999999</v>
      </c>
      <c r="K282" s="97">
        <v>5.1014999999999997</v>
      </c>
    </row>
    <row r="283" spans="1:11">
      <c r="A283" s="96" t="s">
        <v>22</v>
      </c>
      <c r="B283" s="96">
        <v>150</v>
      </c>
      <c r="C283" s="97">
        <v>1.0012000000000001</v>
      </c>
      <c r="D283" s="96">
        <v>9.6600000000000005E-2</v>
      </c>
      <c r="E283" s="96">
        <v>0.13</v>
      </c>
      <c r="F283" s="96">
        <v>1008</v>
      </c>
      <c r="G283" s="98"/>
      <c r="H283" s="96">
        <v>20</v>
      </c>
      <c r="I283" s="96" t="s">
        <v>12</v>
      </c>
      <c r="J283" s="96">
        <v>1.2909999999999999</v>
      </c>
      <c r="K283" s="97">
        <v>5.1944999999999997</v>
      </c>
    </row>
    <row r="284" spans="1:11">
      <c r="A284" s="96" t="s">
        <v>22</v>
      </c>
      <c r="B284" s="96">
        <v>200</v>
      </c>
      <c r="C284" s="97">
        <v>0.29749999999999999</v>
      </c>
      <c r="D284" s="96">
        <v>9.6600000000000005E-2</v>
      </c>
      <c r="E284" s="96">
        <v>0.13</v>
      </c>
      <c r="F284" s="96">
        <v>1008</v>
      </c>
      <c r="G284" s="98"/>
      <c r="H284" s="96">
        <v>20</v>
      </c>
      <c r="I284" s="96" t="s">
        <v>12</v>
      </c>
      <c r="J284" s="96">
        <v>1.2909999999999999</v>
      </c>
      <c r="K284" s="97">
        <v>5.4965999999999999</v>
      </c>
    </row>
    <row r="285" spans="1:11">
      <c r="A285" s="96" t="s">
        <v>22</v>
      </c>
      <c r="B285" s="96">
        <v>200</v>
      </c>
      <c r="C285" s="97">
        <v>0.39879999999999999</v>
      </c>
      <c r="D285" s="96">
        <v>9.6600000000000005E-2</v>
      </c>
      <c r="E285" s="96">
        <v>0.13</v>
      </c>
      <c r="F285" s="96">
        <v>1008</v>
      </c>
      <c r="G285" s="98"/>
      <c r="H285" s="96">
        <v>20</v>
      </c>
      <c r="I285" s="96" t="s">
        <v>12</v>
      </c>
      <c r="J285" s="96">
        <v>1.2909999999999999</v>
      </c>
      <c r="K285" s="97">
        <v>5.5042999999999997</v>
      </c>
    </row>
    <row r="286" spans="1:11">
      <c r="A286" s="96" t="s">
        <v>22</v>
      </c>
      <c r="B286" s="96">
        <v>200</v>
      </c>
      <c r="C286" s="97">
        <v>0.5</v>
      </c>
      <c r="D286" s="96">
        <v>9.6600000000000005E-2</v>
      </c>
      <c r="E286" s="96">
        <v>0.13</v>
      </c>
      <c r="F286" s="96">
        <v>1008</v>
      </c>
      <c r="G286" s="98"/>
      <c r="H286" s="96">
        <v>20</v>
      </c>
      <c r="I286" s="96" t="s">
        <v>12</v>
      </c>
      <c r="J286" s="96">
        <v>1.2909999999999999</v>
      </c>
      <c r="K286" s="97">
        <v>5.6050000000000004</v>
      </c>
    </row>
    <row r="287" spans="1:11">
      <c r="A287" s="96" t="s">
        <v>22</v>
      </c>
      <c r="B287" s="96">
        <v>200</v>
      </c>
      <c r="C287" s="97">
        <v>0.6</v>
      </c>
      <c r="D287" s="96">
        <v>9.6600000000000005E-2</v>
      </c>
      <c r="E287" s="96">
        <v>0.13</v>
      </c>
      <c r="F287" s="96">
        <v>1008</v>
      </c>
      <c r="G287" s="98"/>
      <c r="H287" s="96">
        <v>20</v>
      </c>
      <c r="I287" s="96" t="s">
        <v>12</v>
      </c>
      <c r="J287" s="96">
        <v>1.2909999999999999</v>
      </c>
      <c r="K287" s="97">
        <v>5.6127000000000002</v>
      </c>
    </row>
    <row r="288" spans="1:11">
      <c r="A288" s="96" t="s">
        <v>22</v>
      </c>
      <c r="B288" s="96">
        <v>200</v>
      </c>
      <c r="C288" s="97">
        <v>0.8</v>
      </c>
      <c r="D288" s="96">
        <v>9.6600000000000005E-2</v>
      </c>
      <c r="E288" s="96">
        <v>0.13</v>
      </c>
      <c r="F288" s="96">
        <v>1008</v>
      </c>
      <c r="G288" s="98"/>
      <c r="H288" s="96">
        <v>20</v>
      </c>
      <c r="I288" s="96" t="s">
        <v>12</v>
      </c>
      <c r="J288" s="96">
        <v>1.2909999999999999</v>
      </c>
      <c r="K288" s="97">
        <v>5.7057000000000002</v>
      </c>
    </row>
    <row r="289" spans="1:11">
      <c r="A289" s="96" t="s">
        <v>22</v>
      </c>
      <c r="B289" s="96">
        <v>200</v>
      </c>
      <c r="C289" s="97">
        <v>1.0037</v>
      </c>
      <c r="D289" s="96">
        <v>9.6600000000000005E-2</v>
      </c>
      <c r="E289" s="96">
        <v>0.13</v>
      </c>
      <c r="F289" s="96">
        <v>1008</v>
      </c>
      <c r="G289" s="98"/>
      <c r="H289" s="96">
        <v>20</v>
      </c>
      <c r="I289" s="96" t="s">
        <v>12</v>
      </c>
      <c r="J289" s="96">
        <v>1.2909999999999999</v>
      </c>
      <c r="K289" s="97">
        <v>5.6978999999999997</v>
      </c>
    </row>
    <row r="290" spans="1:11">
      <c r="A290" s="96" t="s">
        <v>22</v>
      </c>
      <c r="B290" s="96">
        <v>50</v>
      </c>
      <c r="C290" s="97">
        <v>0.29720000000000002</v>
      </c>
      <c r="D290" s="96">
        <v>9.6600000000000005E-2</v>
      </c>
      <c r="E290" s="96">
        <v>0.13</v>
      </c>
      <c r="F290" s="96">
        <v>1008</v>
      </c>
      <c r="G290" s="98"/>
      <c r="H290" s="96">
        <v>20</v>
      </c>
      <c r="I290" s="96" t="s">
        <v>12</v>
      </c>
      <c r="J290" s="96">
        <v>1.2909999999999999</v>
      </c>
      <c r="K290" s="97">
        <v>3.1884000000000001</v>
      </c>
    </row>
    <row r="291" spans="1:11">
      <c r="A291" s="96" t="s">
        <v>22</v>
      </c>
      <c r="B291" s="96">
        <v>50</v>
      </c>
      <c r="C291" s="97">
        <v>0.4007</v>
      </c>
      <c r="D291" s="96">
        <v>9.6600000000000005E-2</v>
      </c>
      <c r="E291" s="96">
        <v>0.13</v>
      </c>
      <c r="F291" s="96">
        <v>1008</v>
      </c>
      <c r="G291" s="98"/>
      <c r="H291" s="96">
        <v>20</v>
      </c>
      <c r="I291" s="96" t="s">
        <v>12</v>
      </c>
      <c r="J291" s="96">
        <v>1.2909999999999999</v>
      </c>
      <c r="K291" s="97">
        <v>3.2898999999999998</v>
      </c>
    </row>
    <row r="292" spans="1:11">
      <c r="A292" s="96" t="s">
        <v>22</v>
      </c>
      <c r="B292" s="96">
        <v>50</v>
      </c>
      <c r="C292" s="97">
        <v>0.49919999999999998</v>
      </c>
      <c r="D292" s="96">
        <v>9.6600000000000005E-2</v>
      </c>
      <c r="E292" s="96">
        <v>0.13</v>
      </c>
      <c r="F292" s="96">
        <v>1008</v>
      </c>
      <c r="G292" s="98"/>
      <c r="H292" s="96">
        <v>20</v>
      </c>
      <c r="I292" s="96" t="s">
        <v>12</v>
      </c>
      <c r="J292" s="96">
        <v>1.2909999999999999</v>
      </c>
      <c r="K292" s="97">
        <v>3.3986000000000001</v>
      </c>
    </row>
    <row r="293" spans="1:11">
      <c r="A293" s="96" t="s">
        <v>22</v>
      </c>
      <c r="B293" s="96">
        <v>50</v>
      </c>
      <c r="C293" s="97">
        <v>0.59889999999999999</v>
      </c>
      <c r="D293" s="96">
        <v>9.6600000000000005E-2</v>
      </c>
      <c r="E293" s="96">
        <v>0.13</v>
      </c>
      <c r="F293" s="96">
        <v>1008</v>
      </c>
      <c r="G293" s="98"/>
      <c r="H293" s="96">
        <v>20</v>
      </c>
      <c r="I293" s="96" t="s">
        <v>12</v>
      </c>
      <c r="J293" s="96">
        <v>1.2909999999999999</v>
      </c>
      <c r="K293" s="97">
        <v>3.4129999999999998</v>
      </c>
    </row>
    <row r="294" spans="1:11">
      <c r="A294" s="96" t="s">
        <v>22</v>
      </c>
      <c r="B294" s="96">
        <v>50</v>
      </c>
      <c r="C294" s="97">
        <v>0.79830000000000001</v>
      </c>
      <c r="D294" s="96">
        <v>9.6600000000000005E-2</v>
      </c>
      <c r="E294" s="96">
        <v>0.13</v>
      </c>
      <c r="F294" s="96">
        <v>1008</v>
      </c>
      <c r="G294" s="98"/>
      <c r="H294" s="96">
        <v>20</v>
      </c>
      <c r="I294" s="96" t="s">
        <v>12</v>
      </c>
      <c r="J294" s="96">
        <v>1.2909999999999999</v>
      </c>
      <c r="K294" s="97">
        <v>3.5072000000000001</v>
      </c>
    </row>
    <row r="295" spans="1:11">
      <c r="A295" s="96" t="s">
        <v>22</v>
      </c>
      <c r="B295" s="96">
        <v>50</v>
      </c>
      <c r="C295" s="97">
        <v>1.0015000000000001</v>
      </c>
      <c r="D295" s="96">
        <v>9.6600000000000005E-2</v>
      </c>
      <c r="E295" s="96">
        <v>0.13</v>
      </c>
      <c r="F295" s="96">
        <v>1008</v>
      </c>
      <c r="G295" s="98"/>
      <c r="H295" s="96">
        <v>20</v>
      </c>
      <c r="I295" s="96" t="s">
        <v>12</v>
      </c>
      <c r="J295" s="96">
        <v>1.2909999999999999</v>
      </c>
      <c r="K295" s="97">
        <v>3.6522000000000001</v>
      </c>
    </row>
    <row r="296" spans="1:11">
      <c r="A296" s="96" t="s">
        <v>22</v>
      </c>
      <c r="B296" s="96">
        <v>80</v>
      </c>
      <c r="C296" s="97">
        <v>0.29849999999999999</v>
      </c>
      <c r="D296" s="96">
        <v>9.6600000000000005E-2</v>
      </c>
      <c r="E296" s="96">
        <v>0.13</v>
      </c>
      <c r="F296" s="96">
        <v>1008</v>
      </c>
      <c r="G296" s="98"/>
      <c r="H296" s="96">
        <v>20</v>
      </c>
      <c r="I296" s="96" t="s">
        <v>12</v>
      </c>
      <c r="J296" s="96">
        <v>1.2909999999999999</v>
      </c>
      <c r="K296" s="97">
        <v>3.5941999999999998</v>
      </c>
    </row>
    <row r="297" spans="1:11">
      <c r="A297" s="96" t="s">
        <v>22</v>
      </c>
      <c r="B297" s="96">
        <v>80</v>
      </c>
      <c r="C297" s="97">
        <v>0.39939999999999998</v>
      </c>
      <c r="D297" s="96">
        <v>9.6600000000000005E-2</v>
      </c>
      <c r="E297" s="96">
        <v>0.13</v>
      </c>
      <c r="F297" s="96">
        <v>1008</v>
      </c>
      <c r="G297" s="98"/>
      <c r="H297" s="96">
        <v>20</v>
      </c>
      <c r="I297" s="96" t="s">
        <v>12</v>
      </c>
      <c r="J297" s="96">
        <v>1.2909999999999999</v>
      </c>
      <c r="K297" s="97">
        <v>3.5870000000000002</v>
      </c>
    </row>
    <row r="298" spans="1:11">
      <c r="A298" s="96" t="s">
        <v>22</v>
      </c>
      <c r="B298" s="96">
        <v>80</v>
      </c>
      <c r="C298" s="97">
        <v>0.49790000000000001</v>
      </c>
      <c r="D298" s="96">
        <v>9.6600000000000005E-2</v>
      </c>
      <c r="E298" s="96">
        <v>0.13</v>
      </c>
      <c r="F298" s="96">
        <v>1008</v>
      </c>
      <c r="G298" s="98"/>
      <c r="H298" s="96">
        <v>20</v>
      </c>
      <c r="I298" s="96" t="s">
        <v>12</v>
      </c>
      <c r="J298" s="96">
        <v>1.2909999999999999</v>
      </c>
      <c r="K298" s="97">
        <v>3.7029000000000001</v>
      </c>
    </row>
    <row r="299" spans="1:11">
      <c r="A299" s="96" t="s">
        <v>22</v>
      </c>
      <c r="B299" s="96">
        <v>80</v>
      </c>
      <c r="C299" s="97">
        <v>0.59640000000000004</v>
      </c>
      <c r="D299" s="96">
        <v>9.6600000000000005E-2</v>
      </c>
      <c r="E299" s="96">
        <v>0.13</v>
      </c>
      <c r="F299" s="96">
        <v>1008</v>
      </c>
      <c r="G299" s="98"/>
      <c r="H299" s="96">
        <v>20</v>
      </c>
      <c r="I299" s="96" t="s">
        <v>12</v>
      </c>
      <c r="J299" s="96">
        <v>1.2909999999999999</v>
      </c>
      <c r="K299" s="97">
        <v>3.7464</v>
      </c>
    </row>
    <row r="300" spans="1:11">
      <c r="A300" s="96" t="s">
        <v>22</v>
      </c>
      <c r="B300" s="96">
        <v>80</v>
      </c>
      <c r="C300" s="97">
        <v>0.80079999999999996</v>
      </c>
      <c r="D300" s="96">
        <v>9.6600000000000005E-2</v>
      </c>
      <c r="E300" s="96">
        <v>0.13</v>
      </c>
      <c r="F300" s="96">
        <v>1008</v>
      </c>
      <c r="G300" s="98"/>
      <c r="H300" s="96">
        <v>20</v>
      </c>
      <c r="I300" s="96" t="s">
        <v>12</v>
      </c>
      <c r="J300" s="96">
        <v>1.2909999999999999</v>
      </c>
      <c r="K300" s="97">
        <v>3.8696000000000002</v>
      </c>
    </row>
    <row r="301" spans="1:11">
      <c r="A301" s="96" t="s">
        <v>22</v>
      </c>
      <c r="B301" s="96">
        <v>80</v>
      </c>
      <c r="C301" s="97">
        <v>0.999</v>
      </c>
      <c r="D301" s="96">
        <v>9.6600000000000005E-2</v>
      </c>
      <c r="E301" s="96">
        <v>0.13</v>
      </c>
      <c r="F301" s="96">
        <v>1008</v>
      </c>
      <c r="G301" s="98"/>
      <c r="H301" s="96">
        <v>20</v>
      </c>
      <c r="I301" s="96" t="s">
        <v>12</v>
      </c>
      <c r="J301" s="96">
        <v>1.2909999999999999</v>
      </c>
      <c r="K301" s="97">
        <v>3.9203000000000001</v>
      </c>
    </row>
    <row r="302" spans="1:11">
      <c r="A302" s="96" t="s">
        <v>22</v>
      </c>
      <c r="B302" s="96">
        <v>100</v>
      </c>
      <c r="C302" s="97">
        <v>0.29599999999999999</v>
      </c>
      <c r="D302" s="96">
        <v>9.6600000000000005E-2</v>
      </c>
      <c r="E302" s="96">
        <v>0.13</v>
      </c>
      <c r="F302" s="96">
        <v>1008</v>
      </c>
      <c r="G302" s="98"/>
      <c r="H302" s="96">
        <v>20</v>
      </c>
      <c r="I302" s="96" t="s">
        <v>12</v>
      </c>
      <c r="J302" s="96">
        <v>1.2909999999999999</v>
      </c>
      <c r="K302" s="97">
        <v>3.8841000000000001</v>
      </c>
    </row>
    <row r="303" spans="1:11">
      <c r="A303" s="96" t="s">
        <v>22</v>
      </c>
      <c r="B303" s="96">
        <v>100</v>
      </c>
      <c r="C303" s="97">
        <v>0.3982</v>
      </c>
      <c r="D303" s="96">
        <v>9.6600000000000005E-2</v>
      </c>
      <c r="E303" s="96">
        <v>0.13</v>
      </c>
      <c r="F303" s="96">
        <v>1008</v>
      </c>
      <c r="G303" s="98"/>
      <c r="H303" s="96">
        <v>20</v>
      </c>
      <c r="I303" s="96" t="s">
        <v>12</v>
      </c>
      <c r="J303" s="96">
        <v>1.2909999999999999</v>
      </c>
      <c r="K303" s="97">
        <v>4</v>
      </c>
    </row>
    <row r="304" spans="1:11">
      <c r="A304" s="96" t="s">
        <v>22</v>
      </c>
      <c r="B304" s="96">
        <v>100</v>
      </c>
      <c r="C304" s="97">
        <v>0.49919999999999998</v>
      </c>
      <c r="D304" s="96">
        <v>9.6600000000000005E-2</v>
      </c>
      <c r="E304" s="96">
        <v>0.13</v>
      </c>
      <c r="F304" s="96">
        <v>1008</v>
      </c>
      <c r="G304" s="98"/>
      <c r="H304" s="96">
        <v>20</v>
      </c>
      <c r="I304" s="96" t="s">
        <v>12</v>
      </c>
      <c r="J304" s="96">
        <v>1.2909999999999999</v>
      </c>
      <c r="K304" s="97">
        <v>3.9927999999999999</v>
      </c>
    </row>
    <row r="305" spans="1:11">
      <c r="A305" s="96" t="s">
        <v>22</v>
      </c>
      <c r="B305" s="96">
        <v>100</v>
      </c>
      <c r="C305" s="97">
        <v>0.60009999999999997</v>
      </c>
      <c r="D305" s="96">
        <v>9.6600000000000005E-2</v>
      </c>
      <c r="E305" s="96">
        <v>0.13</v>
      </c>
      <c r="F305" s="96">
        <v>1008</v>
      </c>
      <c r="G305" s="98"/>
      <c r="H305" s="96">
        <v>20</v>
      </c>
      <c r="I305" s="96" t="s">
        <v>12</v>
      </c>
      <c r="J305" s="96">
        <v>1.2909999999999999</v>
      </c>
      <c r="K305" s="97">
        <v>4.0941999999999998</v>
      </c>
    </row>
    <row r="306" spans="1:11">
      <c r="A306" s="96" t="s">
        <v>22</v>
      </c>
      <c r="B306" s="96">
        <v>100</v>
      </c>
      <c r="C306" s="97">
        <v>0.79710000000000003</v>
      </c>
      <c r="D306" s="96">
        <v>9.6600000000000005E-2</v>
      </c>
      <c r="E306" s="96">
        <v>0.13</v>
      </c>
      <c r="F306" s="96">
        <v>1008</v>
      </c>
      <c r="G306" s="98"/>
      <c r="H306" s="96">
        <v>20</v>
      </c>
      <c r="I306" s="96" t="s">
        <v>12</v>
      </c>
      <c r="J306" s="96">
        <v>1.2909999999999999</v>
      </c>
      <c r="K306" s="97">
        <v>4.1883999999999997</v>
      </c>
    </row>
    <row r="307" spans="1:11">
      <c r="A307" s="96" t="s">
        <v>22</v>
      </c>
      <c r="B307" s="96">
        <v>100</v>
      </c>
      <c r="C307" s="97">
        <v>1.0015000000000001</v>
      </c>
      <c r="D307" s="96">
        <v>9.6600000000000005E-2</v>
      </c>
      <c r="E307" s="96">
        <v>0.13</v>
      </c>
      <c r="F307" s="96">
        <v>1008</v>
      </c>
      <c r="G307" s="98"/>
      <c r="H307" s="96">
        <v>20</v>
      </c>
      <c r="I307" s="96" t="s">
        <v>12</v>
      </c>
      <c r="J307" s="96">
        <v>1.2909999999999999</v>
      </c>
      <c r="K307" s="97">
        <v>4.2971000000000004</v>
      </c>
    </row>
    <row r="308" spans="1:11">
      <c r="A308" s="96" t="s">
        <v>22</v>
      </c>
      <c r="B308" s="96">
        <v>120</v>
      </c>
      <c r="C308" s="97">
        <v>0.29849999999999999</v>
      </c>
      <c r="D308" s="96">
        <v>9.6600000000000005E-2</v>
      </c>
      <c r="E308" s="96">
        <v>0.13</v>
      </c>
      <c r="F308" s="96">
        <v>1008</v>
      </c>
      <c r="G308" s="98"/>
      <c r="H308" s="96">
        <v>20</v>
      </c>
      <c r="I308" s="96" t="s">
        <v>12</v>
      </c>
      <c r="J308" s="96">
        <v>1.2909999999999999</v>
      </c>
      <c r="K308" s="97">
        <v>4.3042999999999996</v>
      </c>
    </row>
    <row r="309" spans="1:11">
      <c r="A309" s="96" t="s">
        <v>22</v>
      </c>
      <c r="B309" s="96">
        <v>120</v>
      </c>
      <c r="C309" s="97">
        <v>0.40189999999999998</v>
      </c>
      <c r="D309" s="96">
        <v>9.6600000000000005E-2</v>
      </c>
      <c r="E309" s="96">
        <v>0.13</v>
      </c>
      <c r="F309" s="96">
        <v>1008</v>
      </c>
      <c r="G309" s="98"/>
      <c r="H309" s="96">
        <v>20</v>
      </c>
      <c r="I309" s="96" t="s">
        <v>12</v>
      </c>
      <c r="J309" s="96">
        <v>1.2909999999999999</v>
      </c>
      <c r="K309" s="97">
        <v>4.2971000000000004</v>
      </c>
    </row>
    <row r="310" spans="1:11">
      <c r="A310" s="96" t="s">
        <v>22</v>
      </c>
      <c r="B310" s="96">
        <v>120</v>
      </c>
      <c r="C310" s="97">
        <v>0.49919999999999998</v>
      </c>
      <c r="D310" s="96">
        <v>9.6600000000000005E-2</v>
      </c>
      <c r="E310" s="96">
        <v>0.13</v>
      </c>
      <c r="F310" s="96">
        <v>1008</v>
      </c>
      <c r="G310" s="98"/>
      <c r="H310" s="96">
        <v>20</v>
      </c>
      <c r="I310" s="96" t="s">
        <v>12</v>
      </c>
      <c r="J310" s="96">
        <v>1.2909999999999999</v>
      </c>
      <c r="K310" s="97">
        <v>4.2899000000000003</v>
      </c>
    </row>
    <row r="311" spans="1:11">
      <c r="A311" s="96" t="s">
        <v>22</v>
      </c>
      <c r="B311" s="96">
        <v>120</v>
      </c>
      <c r="C311" s="97">
        <v>0.60009999999999997</v>
      </c>
      <c r="D311" s="96">
        <v>9.6600000000000005E-2</v>
      </c>
      <c r="E311" s="96">
        <v>0.13</v>
      </c>
      <c r="F311" s="96">
        <v>1008</v>
      </c>
      <c r="G311" s="98"/>
      <c r="H311" s="96">
        <v>20</v>
      </c>
      <c r="I311" s="96" t="s">
        <v>12</v>
      </c>
      <c r="J311" s="96">
        <v>1.2909999999999999</v>
      </c>
      <c r="K311" s="97">
        <v>4.3913000000000002</v>
      </c>
    </row>
    <row r="312" spans="1:11">
      <c r="A312" s="96" t="s">
        <v>22</v>
      </c>
      <c r="B312" s="96">
        <v>120</v>
      </c>
      <c r="C312" s="97">
        <v>0.80079999999999996</v>
      </c>
      <c r="D312" s="96">
        <v>9.6600000000000005E-2</v>
      </c>
      <c r="E312" s="96">
        <v>0.13</v>
      </c>
      <c r="F312" s="96">
        <v>1008</v>
      </c>
      <c r="G312" s="98"/>
      <c r="H312" s="96">
        <v>20</v>
      </c>
      <c r="I312" s="96" t="s">
        <v>12</v>
      </c>
      <c r="J312" s="96">
        <v>1.2909999999999999</v>
      </c>
      <c r="K312" s="97">
        <v>4.4927999999999999</v>
      </c>
    </row>
    <row r="313" spans="1:11">
      <c r="A313" s="96" t="s">
        <v>22</v>
      </c>
      <c r="B313" s="96">
        <v>120</v>
      </c>
      <c r="C313" s="97">
        <v>1.0015000000000001</v>
      </c>
      <c r="D313" s="96">
        <v>9.6600000000000005E-2</v>
      </c>
      <c r="E313" s="96">
        <v>0.13</v>
      </c>
      <c r="F313" s="96">
        <v>1008</v>
      </c>
      <c r="G313" s="98"/>
      <c r="H313" s="96">
        <v>20</v>
      </c>
      <c r="I313" s="96" t="s">
        <v>12</v>
      </c>
      <c r="J313" s="96">
        <v>1.2909999999999999</v>
      </c>
      <c r="K313" s="97">
        <v>4.5</v>
      </c>
    </row>
    <row r="314" spans="1:11">
      <c r="A314" s="96" t="s">
        <v>22</v>
      </c>
      <c r="B314" s="96">
        <v>150</v>
      </c>
      <c r="C314" s="97">
        <v>0.29849999999999999</v>
      </c>
      <c r="D314" s="96">
        <v>9.6600000000000005E-2</v>
      </c>
      <c r="E314" s="96">
        <v>0.13</v>
      </c>
      <c r="F314" s="96">
        <v>1008</v>
      </c>
      <c r="G314" s="98"/>
      <c r="H314" s="96">
        <v>20</v>
      </c>
      <c r="I314" s="96" t="s">
        <v>12</v>
      </c>
      <c r="J314" s="96">
        <v>1.2909999999999999</v>
      </c>
      <c r="K314" s="97">
        <v>4.6957000000000004</v>
      </c>
    </row>
    <row r="315" spans="1:11">
      <c r="A315" s="96" t="s">
        <v>22</v>
      </c>
      <c r="B315" s="96">
        <v>150</v>
      </c>
      <c r="C315" s="97">
        <v>0.39700000000000002</v>
      </c>
      <c r="D315" s="96">
        <v>9.6600000000000005E-2</v>
      </c>
      <c r="E315" s="96">
        <v>0.13</v>
      </c>
      <c r="F315" s="96">
        <v>1008</v>
      </c>
      <c r="G315" s="98"/>
      <c r="H315" s="96">
        <v>20</v>
      </c>
      <c r="I315" s="96" t="s">
        <v>12</v>
      </c>
      <c r="J315" s="96">
        <v>1.2909999999999999</v>
      </c>
      <c r="K315" s="97">
        <v>4.6811999999999996</v>
      </c>
    </row>
    <row r="316" spans="1:11">
      <c r="A316" s="96" t="s">
        <v>22</v>
      </c>
      <c r="B316" s="96">
        <v>150</v>
      </c>
      <c r="C316" s="97">
        <v>0.49919999999999998</v>
      </c>
      <c r="D316" s="96">
        <v>9.6600000000000005E-2</v>
      </c>
      <c r="E316" s="96">
        <v>0.13</v>
      </c>
      <c r="F316" s="96">
        <v>1008</v>
      </c>
      <c r="G316" s="98"/>
      <c r="H316" s="96">
        <v>20</v>
      </c>
      <c r="I316" s="96" t="s">
        <v>12</v>
      </c>
      <c r="J316" s="96">
        <v>1.2909999999999999</v>
      </c>
      <c r="K316" s="97">
        <v>4.8116000000000003</v>
      </c>
    </row>
    <row r="317" spans="1:11">
      <c r="A317" s="96" t="s">
        <v>22</v>
      </c>
      <c r="B317" s="96">
        <v>150</v>
      </c>
      <c r="C317" s="97">
        <v>0.60140000000000005</v>
      </c>
      <c r="D317" s="96">
        <v>9.6600000000000005E-2</v>
      </c>
      <c r="E317" s="96">
        <v>0.13</v>
      </c>
      <c r="F317" s="96">
        <v>1008</v>
      </c>
      <c r="G317" s="98"/>
      <c r="H317" s="96">
        <v>20</v>
      </c>
      <c r="I317" s="96" t="s">
        <v>12</v>
      </c>
      <c r="J317" s="96">
        <v>1.2909999999999999</v>
      </c>
      <c r="K317" s="97">
        <v>4.7899000000000003</v>
      </c>
    </row>
    <row r="318" spans="1:11">
      <c r="A318" s="96" t="s">
        <v>22</v>
      </c>
      <c r="B318" s="96">
        <v>150</v>
      </c>
      <c r="C318" s="97">
        <v>0.80330000000000001</v>
      </c>
      <c r="D318" s="96">
        <v>9.6600000000000005E-2</v>
      </c>
      <c r="E318" s="96">
        <v>0.13</v>
      </c>
      <c r="F318" s="96">
        <v>1008</v>
      </c>
      <c r="G318" s="98"/>
      <c r="H318" s="96">
        <v>20</v>
      </c>
      <c r="I318" s="96" t="s">
        <v>12</v>
      </c>
      <c r="J318" s="96">
        <v>1.2909999999999999</v>
      </c>
      <c r="K318" s="97">
        <v>4.8841000000000001</v>
      </c>
    </row>
    <row r="319" spans="1:11">
      <c r="A319" s="96" t="s">
        <v>22</v>
      </c>
      <c r="B319" s="96">
        <v>150</v>
      </c>
      <c r="C319" s="97">
        <v>1.0015000000000001</v>
      </c>
      <c r="D319" s="96">
        <v>9.6600000000000005E-2</v>
      </c>
      <c r="E319" s="96">
        <v>0.13</v>
      </c>
      <c r="F319" s="96">
        <v>1008</v>
      </c>
      <c r="G319" s="98"/>
      <c r="H319" s="96">
        <v>20</v>
      </c>
      <c r="I319" s="96" t="s">
        <v>12</v>
      </c>
      <c r="J319" s="96">
        <v>1.2909999999999999</v>
      </c>
      <c r="K319" s="97">
        <v>4.8913000000000002</v>
      </c>
    </row>
    <row r="320" spans="1:11">
      <c r="A320" s="96" t="s">
        <v>22</v>
      </c>
      <c r="B320" s="96">
        <v>200</v>
      </c>
      <c r="C320" s="97">
        <v>0.29849999999999999</v>
      </c>
      <c r="D320" s="96">
        <v>9.6600000000000005E-2</v>
      </c>
      <c r="E320" s="96">
        <v>0.13</v>
      </c>
      <c r="F320" s="96">
        <v>1008</v>
      </c>
      <c r="G320" s="98"/>
      <c r="H320" s="96">
        <v>20</v>
      </c>
      <c r="I320" s="96" t="s">
        <v>12</v>
      </c>
      <c r="J320" s="96">
        <v>1.2909999999999999</v>
      </c>
      <c r="K320" s="97">
        <v>5.2971000000000004</v>
      </c>
    </row>
    <row r="321" spans="1:11">
      <c r="A321" s="96" t="s">
        <v>22</v>
      </c>
      <c r="B321" s="96">
        <v>200</v>
      </c>
      <c r="C321" s="97">
        <v>0.39939999999999998</v>
      </c>
      <c r="D321" s="96">
        <v>9.6600000000000005E-2</v>
      </c>
      <c r="E321" s="96">
        <v>0.13</v>
      </c>
      <c r="F321" s="96">
        <v>1008</v>
      </c>
      <c r="G321" s="98"/>
      <c r="H321" s="96">
        <v>20</v>
      </c>
      <c r="I321" s="96" t="s">
        <v>12</v>
      </c>
      <c r="J321" s="96">
        <v>1.2909999999999999</v>
      </c>
      <c r="K321" s="97">
        <v>5.2899000000000003</v>
      </c>
    </row>
    <row r="322" spans="1:11">
      <c r="A322" s="96" t="s">
        <v>22</v>
      </c>
      <c r="B322" s="96">
        <v>200</v>
      </c>
      <c r="C322" s="97">
        <v>0.50039999999999996</v>
      </c>
      <c r="D322" s="96">
        <v>9.6600000000000005E-2</v>
      </c>
      <c r="E322" s="96">
        <v>0.13</v>
      </c>
      <c r="F322" s="96">
        <v>1008</v>
      </c>
      <c r="G322" s="98"/>
      <c r="H322" s="96">
        <v>20</v>
      </c>
      <c r="I322" s="96" t="s">
        <v>12</v>
      </c>
      <c r="J322" s="96">
        <v>1.2909999999999999</v>
      </c>
      <c r="K322" s="97">
        <v>5.2971000000000004</v>
      </c>
    </row>
    <row r="323" spans="1:11">
      <c r="A323" s="96" t="s">
        <v>22</v>
      </c>
      <c r="B323" s="96">
        <v>200</v>
      </c>
      <c r="C323" s="97">
        <v>0.60140000000000005</v>
      </c>
      <c r="D323" s="96">
        <v>9.6600000000000005E-2</v>
      </c>
      <c r="E323" s="96">
        <v>0.13</v>
      </c>
      <c r="F323" s="96">
        <v>1008</v>
      </c>
      <c r="G323" s="98"/>
      <c r="H323" s="96">
        <v>20</v>
      </c>
      <c r="I323" s="96" t="s">
        <v>12</v>
      </c>
      <c r="J323" s="96">
        <v>1.2909999999999999</v>
      </c>
      <c r="K323" s="97">
        <v>5.3913000000000002</v>
      </c>
    </row>
    <row r="324" spans="1:11">
      <c r="A324" s="96" t="s">
        <v>22</v>
      </c>
      <c r="B324" s="96">
        <v>200</v>
      </c>
      <c r="C324" s="97">
        <v>0.79959999999999998</v>
      </c>
      <c r="D324" s="96">
        <v>9.6600000000000005E-2</v>
      </c>
      <c r="E324" s="96">
        <v>0.13</v>
      </c>
      <c r="F324" s="96">
        <v>1008</v>
      </c>
      <c r="G324" s="98"/>
      <c r="H324" s="96">
        <v>20</v>
      </c>
      <c r="I324" s="96" t="s">
        <v>12</v>
      </c>
      <c r="J324" s="96">
        <v>1.2909999999999999</v>
      </c>
      <c r="K324" s="97">
        <v>5.3986000000000001</v>
      </c>
    </row>
    <row r="325" spans="1:11">
      <c r="A325" s="96" t="s">
        <v>22</v>
      </c>
      <c r="B325" s="96">
        <v>200</v>
      </c>
      <c r="C325" s="97">
        <v>1.0015000000000001</v>
      </c>
      <c r="D325" s="96">
        <v>9.6600000000000005E-2</v>
      </c>
      <c r="E325" s="96">
        <v>0.13</v>
      </c>
      <c r="F325" s="96">
        <v>1008</v>
      </c>
      <c r="G325" s="98"/>
      <c r="H325" s="96">
        <v>20</v>
      </c>
      <c r="I325" s="96" t="s">
        <v>12</v>
      </c>
      <c r="J325" s="96">
        <v>1.2909999999999999</v>
      </c>
      <c r="K325" s="97">
        <v>5.5072000000000001</v>
      </c>
    </row>
    <row r="326" spans="1:11">
      <c r="A326" s="96" t="s">
        <v>22</v>
      </c>
      <c r="B326" s="96">
        <v>50</v>
      </c>
      <c r="C326" s="97">
        <v>0.29849999999999999</v>
      </c>
      <c r="D326" s="96">
        <v>9.6600000000000005E-2</v>
      </c>
      <c r="E326" s="96">
        <v>0.13</v>
      </c>
      <c r="F326" s="96">
        <v>1008</v>
      </c>
      <c r="G326" s="98"/>
      <c r="H326" s="96">
        <v>20</v>
      </c>
      <c r="I326" s="96" t="s">
        <v>12</v>
      </c>
      <c r="J326" s="96">
        <v>1.2909999999999999</v>
      </c>
      <c r="K326" s="97">
        <v>3.0007999999999999</v>
      </c>
    </row>
    <row r="327" spans="1:11">
      <c r="A327" s="96" t="s">
        <v>22</v>
      </c>
      <c r="B327" s="96">
        <v>50</v>
      </c>
      <c r="C327" s="97">
        <v>0.40189999999999998</v>
      </c>
      <c r="D327" s="96">
        <v>9.6600000000000005E-2</v>
      </c>
      <c r="E327" s="96">
        <v>0.13</v>
      </c>
      <c r="F327" s="96">
        <v>1008</v>
      </c>
      <c r="G327" s="98"/>
      <c r="H327" s="96">
        <v>20</v>
      </c>
      <c r="I327" s="96" t="s">
        <v>12</v>
      </c>
      <c r="J327" s="96">
        <v>1.2909999999999999</v>
      </c>
      <c r="K327" s="97">
        <v>3.028</v>
      </c>
    </row>
    <row r="328" spans="1:11">
      <c r="A328" s="96" t="s">
        <v>22</v>
      </c>
      <c r="B328" s="96">
        <v>50</v>
      </c>
      <c r="C328" s="97">
        <v>0.50039999999999996</v>
      </c>
      <c r="D328" s="96">
        <v>9.6600000000000005E-2</v>
      </c>
      <c r="E328" s="96">
        <v>0.13</v>
      </c>
      <c r="F328" s="96">
        <v>1008</v>
      </c>
      <c r="G328" s="98"/>
      <c r="H328" s="96">
        <v>20</v>
      </c>
      <c r="I328" s="96" t="s">
        <v>12</v>
      </c>
      <c r="J328" s="96">
        <v>1.2909999999999999</v>
      </c>
      <c r="K328" s="97">
        <v>3.1162999999999998</v>
      </c>
    </row>
    <row r="329" spans="1:11">
      <c r="A329" s="96" t="s">
        <v>22</v>
      </c>
      <c r="B329" s="96">
        <v>50</v>
      </c>
      <c r="C329" s="97">
        <v>0.59640000000000004</v>
      </c>
      <c r="D329" s="96">
        <v>9.6600000000000005E-2</v>
      </c>
      <c r="E329" s="96">
        <v>0.13</v>
      </c>
      <c r="F329" s="96">
        <v>1008</v>
      </c>
      <c r="G329" s="98"/>
      <c r="H329" s="96">
        <v>20</v>
      </c>
      <c r="I329" s="96" t="s">
        <v>12</v>
      </c>
      <c r="J329" s="96">
        <v>1.2909999999999999</v>
      </c>
      <c r="K329" s="97">
        <v>3.2046000000000001</v>
      </c>
    </row>
    <row r="330" spans="1:11">
      <c r="A330" s="96" t="s">
        <v>22</v>
      </c>
      <c r="B330" s="96">
        <v>50</v>
      </c>
      <c r="C330" s="97">
        <v>0.79959999999999998</v>
      </c>
      <c r="D330" s="96">
        <v>9.6600000000000005E-2</v>
      </c>
      <c r="E330" s="96">
        <v>0.13</v>
      </c>
      <c r="F330" s="96">
        <v>1008</v>
      </c>
      <c r="G330" s="98"/>
      <c r="H330" s="96">
        <v>20</v>
      </c>
      <c r="I330" s="96" t="s">
        <v>12</v>
      </c>
      <c r="J330" s="96">
        <v>1.2909999999999999</v>
      </c>
      <c r="K330" s="97">
        <v>3.3607999999999998</v>
      </c>
    </row>
    <row r="331" spans="1:11">
      <c r="A331" s="96" t="s">
        <v>22</v>
      </c>
      <c r="B331" s="96">
        <v>50</v>
      </c>
      <c r="C331" s="97">
        <v>1.0003</v>
      </c>
      <c r="D331" s="96">
        <v>9.6600000000000005E-2</v>
      </c>
      <c r="E331" s="96">
        <v>0.13</v>
      </c>
      <c r="F331" s="96">
        <v>1008</v>
      </c>
      <c r="G331" s="98"/>
      <c r="H331" s="96">
        <v>20</v>
      </c>
      <c r="I331" s="96" t="s">
        <v>12</v>
      </c>
      <c r="J331" s="96">
        <v>1.2909999999999999</v>
      </c>
      <c r="K331" s="97">
        <v>3.4355000000000002</v>
      </c>
    </row>
    <row r="332" spans="1:11">
      <c r="A332" s="96" t="s">
        <v>22</v>
      </c>
      <c r="B332" s="96">
        <v>80</v>
      </c>
      <c r="C332" s="97">
        <v>0.30220000000000002</v>
      </c>
      <c r="D332" s="96">
        <v>9.6600000000000005E-2</v>
      </c>
      <c r="E332" s="96">
        <v>0.13</v>
      </c>
      <c r="F332" s="96">
        <v>1008</v>
      </c>
      <c r="G332" s="98"/>
      <c r="H332" s="96">
        <v>20</v>
      </c>
      <c r="I332" s="96" t="s">
        <v>12</v>
      </c>
      <c r="J332" s="96">
        <v>1.2909999999999999</v>
      </c>
      <c r="K332" s="97">
        <v>3.3879000000000001</v>
      </c>
    </row>
    <row r="333" spans="1:11">
      <c r="A333" s="96" t="s">
        <v>22</v>
      </c>
      <c r="B333" s="96">
        <v>80</v>
      </c>
      <c r="C333" s="97">
        <v>0.40189999999999998</v>
      </c>
      <c r="D333" s="96">
        <v>9.6600000000000005E-2</v>
      </c>
      <c r="E333" s="96">
        <v>0.13</v>
      </c>
      <c r="F333" s="96">
        <v>1008</v>
      </c>
      <c r="G333" s="98"/>
      <c r="H333" s="96">
        <v>20</v>
      </c>
      <c r="I333" s="96" t="s">
        <v>12</v>
      </c>
      <c r="J333" s="96">
        <v>1.2909999999999999</v>
      </c>
      <c r="K333" s="97">
        <v>3.4965999999999999</v>
      </c>
    </row>
    <row r="334" spans="1:11">
      <c r="A334" s="96" t="s">
        <v>22</v>
      </c>
      <c r="B334" s="96">
        <v>80</v>
      </c>
      <c r="C334" s="97">
        <v>0.50290000000000001</v>
      </c>
      <c r="D334" s="96">
        <v>9.6600000000000005E-2</v>
      </c>
      <c r="E334" s="96">
        <v>0.13</v>
      </c>
      <c r="F334" s="96">
        <v>1008</v>
      </c>
      <c r="G334" s="98"/>
      <c r="H334" s="96">
        <v>20</v>
      </c>
      <c r="I334" s="96" t="s">
        <v>12</v>
      </c>
      <c r="J334" s="96">
        <v>1.2909999999999999</v>
      </c>
      <c r="K334" s="97">
        <v>3.4965999999999999</v>
      </c>
    </row>
    <row r="335" spans="1:11">
      <c r="A335" s="96" t="s">
        <v>22</v>
      </c>
      <c r="B335" s="96">
        <v>80</v>
      </c>
      <c r="C335" s="97">
        <v>0.60009999999999997</v>
      </c>
      <c r="D335" s="96">
        <v>9.6600000000000005E-2</v>
      </c>
      <c r="E335" s="96">
        <v>0.13</v>
      </c>
      <c r="F335" s="96">
        <v>1008</v>
      </c>
      <c r="G335" s="98"/>
      <c r="H335" s="96">
        <v>20</v>
      </c>
      <c r="I335" s="96" t="s">
        <v>12</v>
      </c>
      <c r="J335" s="96">
        <v>1.2909999999999999</v>
      </c>
      <c r="K335" s="97">
        <v>3.6053000000000002</v>
      </c>
    </row>
    <row r="336" spans="1:11">
      <c r="A336" s="96" t="s">
        <v>22</v>
      </c>
      <c r="B336" s="96">
        <v>80</v>
      </c>
      <c r="C336" s="97">
        <v>0.79959999999999998</v>
      </c>
      <c r="D336" s="96">
        <v>9.6600000000000005E-2</v>
      </c>
      <c r="E336" s="96">
        <v>0.13</v>
      </c>
      <c r="F336" s="96">
        <v>1008</v>
      </c>
      <c r="G336" s="98"/>
      <c r="H336" s="96">
        <v>20</v>
      </c>
      <c r="I336" s="96" t="s">
        <v>12</v>
      </c>
      <c r="J336" s="96">
        <v>1.2909999999999999</v>
      </c>
      <c r="K336" s="97">
        <v>3.7002999999999999</v>
      </c>
    </row>
    <row r="337" spans="1:11">
      <c r="A337" s="96" t="s">
        <v>22</v>
      </c>
      <c r="B337" s="96">
        <v>80</v>
      </c>
      <c r="C337" s="97">
        <v>1.0003</v>
      </c>
      <c r="D337" s="96">
        <v>9.6600000000000005E-2</v>
      </c>
      <c r="E337" s="96">
        <v>0.13</v>
      </c>
      <c r="F337" s="96">
        <v>1008</v>
      </c>
      <c r="G337" s="98"/>
      <c r="H337" s="96">
        <v>20</v>
      </c>
      <c r="I337" s="96" t="s">
        <v>12</v>
      </c>
      <c r="J337" s="96">
        <v>1.2909999999999999</v>
      </c>
      <c r="K337" s="97">
        <v>3.8090000000000002</v>
      </c>
    </row>
    <row r="338" spans="1:11">
      <c r="A338" s="96" t="s">
        <v>22</v>
      </c>
      <c r="B338" s="96">
        <v>100</v>
      </c>
      <c r="C338" s="97">
        <v>0.30099999999999999</v>
      </c>
      <c r="D338" s="96">
        <v>9.6600000000000005E-2</v>
      </c>
      <c r="E338" s="96">
        <v>0.13</v>
      </c>
      <c r="F338" s="96">
        <v>1008</v>
      </c>
      <c r="G338" s="98"/>
      <c r="H338" s="96">
        <v>20</v>
      </c>
      <c r="I338" s="96" t="s">
        <v>12</v>
      </c>
      <c r="J338" s="96">
        <v>1.2909999999999999</v>
      </c>
      <c r="K338" s="97">
        <v>3.8090000000000002</v>
      </c>
    </row>
    <row r="339" spans="1:11">
      <c r="A339" s="96" t="s">
        <v>22</v>
      </c>
      <c r="B339" s="96">
        <v>100</v>
      </c>
      <c r="C339" s="97">
        <v>0.39950000000000002</v>
      </c>
      <c r="D339" s="96">
        <v>9.6600000000000005E-2</v>
      </c>
      <c r="E339" s="96">
        <v>0.13</v>
      </c>
      <c r="F339" s="96">
        <v>1008</v>
      </c>
      <c r="G339" s="98"/>
      <c r="H339" s="96">
        <v>20</v>
      </c>
      <c r="I339" s="96" t="s">
        <v>12</v>
      </c>
      <c r="J339" s="96">
        <v>1.2909999999999999</v>
      </c>
      <c r="K339" s="97">
        <v>3.7953999999999999</v>
      </c>
    </row>
    <row r="340" spans="1:11">
      <c r="A340" s="96" t="s">
        <v>22</v>
      </c>
      <c r="B340" s="96">
        <v>100</v>
      </c>
      <c r="C340" s="97">
        <v>0.49919999999999998</v>
      </c>
      <c r="D340" s="96">
        <v>9.6600000000000005E-2</v>
      </c>
      <c r="E340" s="96">
        <v>0.13</v>
      </c>
      <c r="F340" s="96">
        <v>1008</v>
      </c>
      <c r="G340" s="98"/>
      <c r="H340" s="96">
        <v>20</v>
      </c>
      <c r="I340" s="96" t="s">
        <v>12</v>
      </c>
      <c r="J340" s="96">
        <v>1.2909999999999999</v>
      </c>
      <c r="K340" s="97">
        <v>3.8973</v>
      </c>
    </row>
    <row r="341" spans="1:11">
      <c r="A341" s="96" t="s">
        <v>22</v>
      </c>
      <c r="B341" s="96">
        <v>100</v>
      </c>
      <c r="C341" s="97">
        <v>0.60009999999999997</v>
      </c>
      <c r="D341" s="96">
        <v>9.6600000000000005E-2</v>
      </c>
      <c r="E341" s="96">
        <v>0.13</v>
      </c>
      <c r="F341" s="96">
        <v>1008</v>
      </c>
      <c r="G341" s="98"/>
      <c r="H341" s="96">
        <v>20</v>
      </c>
      <c r="I341" s="96" t="s">
        <v>12</v>
      </c>
      <c r="J341" s="96">
        <v>1.2909999999999999</v>
      </c>
      <c r="K341" s="97">
        <v>3.8973</v>
      </c>
    </row>
    <row r="342" spans="1:11">
      <c r="A342" s="96" t="s">
        <v>22</v>
      </c>
      <c r="B342" s="96">
        <v>100</v>
      </c>
      <c r="C342" s="97">
        <v>0.80079999999999996</v>
      </c>
      <c r="D342" s="96">
        <v>9.6600000000000005E-2</v>
      </c>
      <c r="E342" s="96">
        <v>0.13</v>
      </c>
      <c r="F342" s="96">
        <v>1008</v>
      </c>
      <c r="G342" s="98"/>
      <c r="H342" s="96">
        <v>20</v>
      </c>
      <c r="I342" s="96" t="s">
        <v>12</v>
      </c>
      <c r="J342" s="96">
        <v>1.2909999999999999</v>
      </c>
      <c r="K342" s="97">
        <v>3.9855999999999998</v>
      </c>
    </row>
    <row r="343" spans="1:11">
      <c r="A343" s="96" t="s">
        <v>22</v>
      </c>
      <c r="B343" s="96">
        <v>100</v>
      </c>
      <c r="C343" s="97">
        <v>1.0003</v>
      </c>
      <c r="D343" s="96">
        <v>9.6600000000000005E-2</v>
      </c>
      <c r="E343" s="96">
        <v>0.13</v>
      </c>
      <c r="F343" s="96">
        <v>1008</v>
      </c>
      <c r="G343" s="98"/>
      <c r="H343" s="96">
        <v>20</v>
      </c>
      <c r="I343" s="96" t="s">
        <v>12</v>
      </c>
      <c r="J343" s="96">
        <v>1.2909999999999999</v>
      </c>
      <c r="K343" s="97">
        <v>4.101</v>
      </c>
    </row>
    <row r="344" spans="1:11">
      <c r="A344" s="96" t="s">
        <v>22</v>
      </c>
      <c r="B344" s="96">
        <v>120</v>
      </c>
      <c r="C344" s="97">
        <v>0.29970000000000002</v>
      </c>
      <c r="D344" s="96">
        <v>9.6600000000000005E-2</v>
      </c>
      <c r="E344" s="96">
        <v>0.13</v>
      </c>
      <c r="F344" s="96">
        <v>1008</v>
      </c>
      <c r="G344" s="98"/>
      <c r="H344" s="96">
        <v>20</v>
      </c>
      <c r="I344" s="96" t="s">
        <v>12</v>
      </c>
      <c r="J344" s="96">
        <v>1.2909999999999999</v>
      </c>
      <c r="K344" s="97">
        <v>4.101</v>
      </c>
    </row>
    <row r="345" spans="1:11">
      <c r="A345" s="96" t="s">
        <v>22</v>
      </c>
      <c r="B345" s="96">
        <v>120</v>
      </c>
      <c r="C345" s="97">
        <v>0.4007</v>
      </c>
      <c r="D345" s="96">
        <v>9.6600000000000005E-2</v>
      </c>
      <c r="E345" s="96">
        <v>0.13</v>
      </c>
      <c r="F345" s="96">
        <v>1008</v>
      </c>
      <c r="G345" s="98"/>
      <c r="H345" s="96">
        <v>20</v>
      </c>
      <c r="I345" s="96" t="s">
        <v>12</v>
      </c>
      <c r="J345" s="96">
        <v>1.2909999999999999</v>
      </c>
      <c r="K345" s="97">
        <v>4.0941999999999998</v>
      </c>
    </row>
    <row r="346" spans="1:11">
      <c r="A346" s="96" t="s">
        <v>22</v>
      </c>
      <c r="B346" s="96">
        <v>120</v>
      </c>
      <c r="C346" s="97">
        <v>0.50039999999999996</v>
      </c>
      <c r="D346" s="96">
        <v>9.6600000000000005E-2</v>
      </c>
      <c r="E346" s="96">
        <v>0.13</v>
      </c>
      <c r="F346" s="96">
        <v>1008</v>
      </c>
      <c r="G346" s="98"/>
      <c r="H346" s="96">
        <v>20</v>
      </c>
      <c r="I346" s="96" t="s">
        <v>12</v>
      </c>
      <c r="J346" s="96">
        <v>1.2909999999999999</v>
      </c>
      <c r="K346" s="97">
        <v>4.2096999999999998</v>
      </c>
    </row>
    <row r="347" spans="1:11">
      <c r="A347" s="96" t="s">
        <v>22</v>
      </c>
      <c r="B347" s="96">
        <v>120</v>
      </c>
      <c r="C347" s="97">
        <v>0.60140000000000005</v>
      </c>
      <c r="D347" s="96">
        <v>9.6600000000000005E-2</v>
      </c>
      <c r="E347" s="96">
        <v>0.13</v>
      </c>
      <c r="F347" s="96">
        <v>1008</v>
      </c>
      <c r="G347" s="98"/>
      <c r="H347" s="96">
        <v>20</v>
      </c>
      <c r="I347" s="96" t="s">
        <v>12</v>
      </c>
      <c r="J347" s="96">
        <v>1.2909999999999999</v>
      </c>
      <c r="K347" s="97">
        <v>4.1961000000000004</v>
      </c>
    </row>
    <row r="348" spans="1:11">
      <c r="A348" s="96" t="s">
        <v>22</v>
      </c>
      <c r="B348" s="96">
        <v>120</v>
      </c>
      <c r="C348" s="97">
        <v>0.80210000000000004</v>
      </c>
      <c r="D348" s="96">
        <v>9.6600000000000005E-2</v>
      </c>
      <c r="E348" s="96">
        <v>0.13</v>
      </c>
      <c r="F348" s="96">
        <v>1008</v>
      </c>
      <c r="G348" s="98"/>
      <c r="H348" s="96">
        <v>20</v>
      </c>
      <c r="I348" s="96" t="s">
        <v>12</v>
      </c>
      <c r="J348" s="96">
        <v>1.2909999999999999</v>
      </c>
      <c r="K348" s="97">
        <v>4.2911999999999999</v>
      </c>
    </row>
    <row r="349" spans="1:11">
      <c r="A349" s="96" t="s">
        <v>22</v>
      </c>
      <c r="B349" s="96">
        <v>120</v>
      </c>
      <c r="C349" s="97">
        <v>0.99780000000000002</v>
      </c>
      <c r="D349" s="96">
        <v>9.6600000000000005E-2</v>
      </c>
      <c r="E349" s="96">
        <v>0.13</v>
      </c>
      <c r="F349" s="96">
        <v>1008</v>
      </c>
      <c r="G349" s="98"/>
      <c r="H349" s="96">
        <v>20</v>
      </c>
      <c r="I349" s="96" t="s">
        <v>12</v>
      </c>
      <c r="J349" s="96">
        <v>1.2909999999999999</v>
      </c>
      <c r="K349" s="97">
        <v>4.3997999999999999</v>
      </c>
    </row>
    <row r="350" spans="1:11">
      <c r="A350" s="96" t="s">
        <v>22</v>
      </c>
      <c r="B350" s="96">
        <v>150</v>
      </c>
      <c r="C350" s="97">
        <v>0.29970000000000002</v>
      </c>
      <c r="D350" s="96">
        <v>9.6600000000000005E-2</v>
      </c>
      <c r="E350" s="96">
        <v>0.13</v>
      </c>
      <c r="F350" s="96">
        <v>1008</v>
      </c>
      <c r="G350" s="98"/>
      <c r="H350" s="96">
        <v>20</v>
      </c>
      <c r="I350" s="96" t="s">
        <v>12</v>
      </c>
      <c r="J350" s="96">
        <v>1.2909999999999999</v>
      </c>
      <c r="K350" s="97">
        <v>4.4949000000000003</v>
      </c>
    </row>
    <row r="351" spans="1:11">
      <c r="A351" s="96" t="s">
        <v>22</v>
      </c>
      <c r="B351" s="96">
        <v>150</v>
      </c>
      <c r="C351" s="97">
        <v>0.39950000000000002</v>
      </c>
      <c r="D351" s="96">
        <v>9.6600000000000005E-2</v>
      </c>
      <c r="E351" s="96">
        <v>0.13</v>
      </c>
      <c r="F351" s="96">
        <v>1008</v>
      </c>
      <c r="G351" s="98"/>
      <c r="H351" s="96">
        <v>20</v>
      </c>
      <c r="I351" s="96" t="s">
        <v>12</v>
      </c>
      <c r="J351" s="96">
        <v>1.2909999999999999</v>
      </c>
      <c r="K351" s="97">
        <v>4.4881000000000002</v>
      </c>
    </row>
    <row r="352" spans="1:11">
      <c r="A352" s="96" t="s">
        <v>22</v>
      </c>
      <c r="B352" s="96">
        <v>150</v>
      </c>
      <c r="C352" s="97">
        <v>0.49919999999999998</v>
      </c>
      <c r="D352" s="96">
        <v>9.6600000000000005E-2</v>
      </c>
      <c r="E352" s="96">
        <v>0.13</v>
      </c>
      <c r="F352" s="96">
        <v>1008</v>
      </c>
      <c r="G352" s="98"/>
      <c r="H352" s="96">
        <v>20</v>
      </c>
      <c r="I352" s="96" t="s">
        <v>12</v>
      </c>
      <c r="J352" s="96">
        <v>1.2909999999999999</v>
      </c>
      <c r="K352" s="97">
        <v>4.6104000000000003</v>
      </c>
    </row>
    <row r="353" spans="1:11">
      <c r="A353" s="96" t="s">
        <v>22</v>
      </c>
      <c r="B353" s="96">
        <v>150</v>
      </c>
      <c r="C353" s="97">
        <v>0.60140000000000005</v>
      </c>
      <c r="D353" s="96">
        <v>9.6600000000000005E-2</v>
      </c>
      <c r="E353" s="96">
        <v>0.13</v>
      </c>
      <c r="F353" s="96">
        <v>1008</v>
      </c>
      <c r="G353" s="98"/>
      <c r="H353" s="96">
        <v>20</v>
      </c>
      <c r="I353" s="96" t="s">
        <v>12</v>
      </c>
      <c r="J353" s="96">
        <v>1.2909999999999999</v>
      </c>
      <c r="K353" s="97">
        <v>4.5968</v>
      </c>
    </row>
    <row r="354" spans="1:11">
      <c r="A354" s="96" t="s">
        <v>22</v>
      </c>
      <c r="B354" s="96">
        <v>150</v>
      </c>
      <c r="C354" s="97">
        <v>0.80210000000000004</v>
      </c>
      <c r="D354" s="96">
        <v>9.6600000000000005E-2</v>
      </c>
      <c r="E354" s="96">
        <v>0.13</v>
      </c>
      <c r="F354" s="96">
        <v>1008</v>
      </c>
      <c r="G354" s="98"/>
      <c r="H354" s="96">
        <v>20</v>
      </c>
      <c r="I354" s="96" t="s">
        <v>12</v>
      </c>
      <c r="J354" s="96">
        <v>1.2909999999999999</v>
      </c>
      <c r="K354" s="97">
        <v>4.7122000000000002</v>
      </c>
    </row>
    <row r="355" spans="1:11">
      <c r="A355" s="96" t="s">
        <v>22</v>
      </c>
      <c r="B355" s="96">
        <v>150</v>
      </c>
      <c r="C355" s="97">
        <v>1.0003</v>
      </c>
      <c r="D355" s="96">
        <v>9.6600000000000005E-2</v>
      </c>
      <c r="E355" s="96">
        <v>0.13</v>
      </c>
      <c r="F355" s="96">
        <v>1008</v>
      </c>
      <c r="G355" s="98"/>
      <c r="H355" s="96">
        <v>20</v>
      </c>
      <c r="I355" s="96" t="s">
        <v>12</v>
      </c>
      <c r="J355" s="96">
        <v>1.2909999999999999</v>
      </c>
      <c r="K355" s="97">
        <v>4.7937000000000003</v>
      </c>
    </row>
    <row r="356" spans="1:11">
      <c r="A356" s="96" t="s">
        <v>22</v>
      </c>
      <c r="B356" s="96">
        <v>200</v>
      </c>
      <c r="C356" s="97">
        <v>0.29970000000000002</v>
      </c>
      <c r="D356" s="96">
        <v>9.6600000000000005E-2</v>
      </c>
      <c r="E356" s="96">
        <v>0.13</v>
      </c>
      <c r="F356" s="96">
        <v>1008</v>
      </c>
      <c r="G356" s="98"/>
      <c r="H356" s="96">
        <v>20</v>
      </c>
      <c r="I356" s="96" t="s">
        <v>12</v>
      </c>
      <c r="J356" s="96">
        <v>1.2909999999999999</v>
      </c>
      <c r="K356" s="97">
        <v>5.1128999999999998</v>
      </c>
    </row>
    <row r="357" spans="1:11">
      <c r="A357" s="96" t="s">
        <v>22</v>
      </c>
      <c r="B357" s="96">
        <v>200</v>
      </c>
      <c r="C357" s="97">
        <v>0.4007</v>
      </c>
      <c r="D357" s="96">
        <v>9.6600000000000005E-2</v>
      </c>
      <c r="E357" s="96">
        <v>0.13</v>
      </c>
      <c r="F357" s="96">
        <v>1008</v>
      </c>
      <c r="G357" s="98"/>
      <c r="H357" s="96">
        <v>20</v>
      </c>
      <c r="I357" s="96" t="s">
        <v>12</v>
      </c>
      <c r="J357" s="96">
        <v>1.2909999999999999</v>
      </c>
      <c r="K357" s="97">
        <v>5.0925000000000002</v>
      </c>
    </row>
    <row r="358" spans="1:11">
      <c r="A358" s="96" t="s">
        <v>22</v>
      </c>
      <c r="B358" s="96">
        <v>200</v>
      </c>
      <c r="C358" s="97">
        <v>0.50039999999999996</v>
      </c>
      <c r="D358" s="96">
        <v>9.6600000000000005E-2</v>
      </c>
      <c r="E358" s="96">
        <v>0.13</v>
      </c>
      <c r="F358" s="96">
        <v>1008</v>
      </c>
      <c r="G358" s="98"/>
      <c r="H358" s="96">
        <v>20</v>
      </c>
      <c r="I358" s="96" t="s">
        <v>12</v>
      </c>
      <c r="J358" s="96">
        <v>1.2909999999999999</v>
      </c>
      <c r="K358" s="97">
        <v>5.2080000000000002</v>
      </c>
    </row>
    <row r="359" spans="1:11">
      <c r="A359" s="96" t="s">
        <v>22</v>
      </c>
      <c r="B359" s="96">
        <v>200</v>
      </c>
      <c r="C359" s="97">
        <v>0.60140000000000005</v>
      </c>
      <c r="D359" s="96">
        <v>9.6600000000000005E-2</v>
      </c>
      <c r="E359" s="96">
        <v>0.13</v>
      </c>
      <c r="F359" s="96">
        <v>1008</v>
      </c>
      <c r="G359" s="98"/>
      <c r="H359" s="96">
        <v>20</v>
      </c>
      <c r="I359" s="96" t="s">
        <v>12</v>
      </c>
      <c r="J359" s="96">
        <v>1.2909999999999999</v>
      </c>
      <c r="K359" s="97">
        <v>5.2080000000000002</v>
      </c>
    </row>
    <row r="360" spans="1:11">
      <c r="A360" s="96" t="s">
        <v>22</v>
      </c>
      <c r="B360" s="96">
        <v>200</v>
      </c>
      <c r="C360" s="97">
        <v>0.80210000000000004</v>
      </c>
      <c r="D360" s="96">
        <v>9.6600000000000005E-2</v>
      </c>
      <c r="E360" s="96">
        <v>0.13</v>
      </c>
      <c r="F360" s="96">
        <v>1008</v>
      </c>
      <c r="G360" s="98"/>
      <c r="H360" s="96">
        <v>20</v>
      </c>
      <c r="I360" s="96" t="s">
        <v>12</v>
      </c>
      <c r="J360" s="96">
        <v>1.2909999999999999</v>
      </c>
      <c r="K360" s="97">
        <v>5.3030999999999997</v>
      </c>
    </row>
    <row r="361" spans="1:11">
      <c r="A361" s="96" t="s">
        <v>22</v>
      </c>
      <c r="B361" s="96">
        <v>200</v>
      </c>
      <c r="C361" s="97">
        <v>1.0015000000000001</v>
      </c>
      <c r="D361" s="96">
        <v>9.6600000000000005E-2</v>
      </c>
      <c r="E361" s="96">
        <v>0.13</v>
      </c>
      <c r="F361" s="96">
        <v>1008</v>
      </c>
      <c r="G361" s="98"/>
      <c r="H361" s="96">
        <v>20</v>
      </c>
      <c r="I361" s="96" t="s">
        <v>12</v>
      </c>
      <c r="J361" s="96">
        <v>1.2909999999999999</v>
      </c>
      <c r="K361" s="97">
        <v>5.3030999999999997</v>
      </c>
    </row>
    <row r="362" spans="1:11">
      <c r="A362" s="96" t="s">
        <v>22</v>
      </c>
      <c r="B362" s="98">
        <v>50</v>
      </c>
      <c r="C362" s="101">
        <v>0.3</v>
      </c>
      <c r="D362" s="98">
        <v>7.2800000000000004E-2</v>
      </c>
      <c r="E362" s="98">
        <v>1.01E-3</v>
      </c>
      <c r="F362" s="98">
        <v>1000</v>
      </c>
      <c r="G362" s="98"/>
      <c r="H362" s="96">
        <v>20</v>
      </c>
      <c r="I362" s="96" t="s">
        <v>12</v>
      </c>
      <c r="J362" s="96">
        <v>1.2909999999999999</v>
      </c>
      <c r="K362" s="101">
        <v>3.5135999999999998</v>
      </c>
    </row>
    <row r="363" spans="1:11">
      <c r="A363" s="96" t="s">
        <v>22</v>
      </c>
      <c r="B363" s="98">
        <v>50</v>
      </c>
      <c r="C363" s="101">
        <v>0.40089999999999998</v>
      </c>
      <c r="D363" s="98">
        <v>7.2800000000000004E-2</v>
      </c>
      <c r="E363" s="98">
        <v>1.01E-3</v>
      </c>
      <c r="F363" s="98">
        <v>1000</v>
      </c>
      <c r="G363" s="98"/>
      <c r="H363" s="96">
        <v>20</v>
      </c>
      <c r="I363" s="96" t="s">
        <v>12</v>
      </c>
      <c r="J363" s="96">
        <v>1.2909999999999999</v>
      </c>
      <c r="K363" s="101">
        <v>3.7349999999999999</v>
      </c>
    </row>
    <row r="364" spans="1:11">
      <c r="A364" s="96" t="s">
        <v>22</v>
      </c>
      <c r="B364" s="98">
        <v>50</v>
      </c>
      <c r="C364" s="101">
        <v>0.50229999999999997</v>
      </c>
      <c r="D364" s="98">
        <v>7.2800000000000004E-2</v>
      </c>
      <c r="E364" s="98">
        <v>1.01E-3</v>
      </c>
      <c r="F364" s="98">
        <v>1000</v>
      </c>
      <c r="G364" s="98"/>
      <c r="H364" s="96">
        <v>20</v>
      </c>
      <c r="I364" s="96" t="s">
        <v>12</v>
      </c>
      <c r="J364" s="96">
        <v>1.2909999999999999</v>
      </c>
      <c r="K364" s="101">
        <v>3.8294000000000001</v>
      </c>
    </row>
    <row r="365" spans="1:11">
      <c r="A365" s="96" t="s">
        <v>22</v>
      </c>
      <c r="B365" s="98">
        <v>50</v>
      </c>
      <c r="C365" s="101">
        <v>0.60229999999999995</v>
      </c>
      <c r="D365" s="98">
        <v>7.2800000000000004E-2</v>
      </c>
      <c r="E365" s="98">
        <v>1.01E-3</v>
      </c>
      <c r="F365" s="98">
        <v>1000</v>
      </c>
      <c r="G365" s="98"/>
      <c r="H365" s="96">
        <v>20</v>
      </c>
      <c r="I365" s="96" t="s">
        <v>12</v>
      </c>
      <c r="J365" s="96">
        <v>1.2909999999999999</v>
      </c>
      <c r="K365" s="101">
        <v>3.9636999999999998</v>
      </c>
    </row>
    <row r="366" spans="1:11">
      <c r="A366" s="96" t="s">
        <v>22</v>
      </c>
      <c r="B366" s="98">
        <v>50</v>
      </c>
      <c r="C366" s="101">
        <v>0.80020000000000002</v>
      </c>
      <c r="D366" s="98">
        <v>7.2800000000000004E-2</v>
      </c>
      <c r="E366" s="98">
        <v>1.01E-3</v>
      </c>
      <c r="F366" s="98">
        <v>1000</v>
      </c>
      <c r="G366" s="98"/>
      <c r="H366" s="96">
        <v>20</v>
      </c>
      <c r="I366" s="96" t="s">
        <v>12</v>
      </c>
      <c r="J366" s="96">
        <v>1.2909999999999999</v>
      </c>
      <c r="K366" s="101">
        <v>4.1669</v>
      </c>
    </row>
    <row r="367" spans="1:11">
      <c r="A367" s="96" t="s">
        <v>22</v>
      </c>
      <c r="B367" s="98">
        <v>50</v>
      </c>
      <c r="C367" s="101">
        <v>1.0007999999999999</v>
      </c>
      <c r="D367" s="98">
        <v>7.2800000000000004E-2</v>
      </c>
      <c r="E367" s="98">
        <v>1.01E-3</v>
      </c>
      <c r="F367" s="98">
        <v>1000</v>
      </c>
      <c r="G367" s="98"/>
      <c r="H367" s="96">
        <v>20</v>
      </c>
      <c r="I367" s="96" t="s">
        <v>12</v>
      </c>
      <c r="J367" s="96">
        <v>1.2909999999999999</v>
      </c>
      <c r="K367" s="101">
        <v>4.3811</v>
      </c>
    </row>
    <row r="368" spans="1:11">
      <c r="A368" s="96" t="s">
        <v>22</v>
      </c>
      <c r="B368" s="98">
        <v>80</v>
      </c>
      <c r="C368" s="101">
        <v>0.29880000000000001</v>
      </c>
      <c r="D368" s="98">
        <v>7.2800000000000004E-2</v>
      </c>
      <c r="E368" s="98">
        <v>1.01E-3</v>
      </c>
      <c r="F368" s="98">
        <v>1000</v>
      </c>
      <c r="G368" s="98"/>
      <c r="H368" s="96">
        <v>20</v>
      </c>
      <c r="I368" s="96" t="s">
        <v>12</v>
      </c>
      <c r="J368" s="96">
        <v>1.2909999999999999</v>
      </c>
      <c r="K368" s="101">
        <v>3.9445999999999999</v>
      </c>
    </row>
    <row r="369" spans="1:11">
      <c r="A369" s="96" t="s">
        <v>22</v>
      </c>
      <c r="B369" s="98">
        <v>80</v>
      </c>
      <c r="C369" s="101">
        <v>0.40189999999999998</v>
      </c>
      <c r="D369" s="98">
        <v>7.2800000000000004E-2</v>
      </c>
      <c r="E369" s="98">
        <v>1.01E-3</v>
      </c>
      <c r="F369" s="98">
        <v>1000</v>
      </c>
      <c r="G369" s="98"/>
      <c r="H369" s="96">
        <v>20</v>
      </c>
      <c r="I369" s="96" t="s">
        <v>12</v>
      </c>
      <c r="J369" s="96">
        <v>1.2909999999999999</v>
      </c>
      <c r="K369" s="101">
        <v>4.0644</v>
      </c>
    </row>
    <row r="370" spans="1:11">
      <c r="A370" s="96" t="s">
        <v>22</v>
      </c>
      <c r="B370" s="98">
        <v>80</v>
      </c>
      <c r="C370" s="101">
        <v>0.50109999999999999</v>
      </c>
      <c r="D370" s="98">
        <v>7.2800000000000004E-2</v>
      </c>
      <c r="E370" s="98">
        <v>1.01E-3</v>
      </c>
      <c r="F370" s="98">
        <v>1000</v>
      </c>
      <c r="G370" s="98"/>
      <c r="H370" s="96">
        <v>20</v>
      </c>
      <c r="I370" s="96" t="s">
        <v>12</v>
      </c>
      <c r="J370" s="96">
        <v>1.2909999999999999</v>
      </c>
      <c r="K370" s="101">
        <v>4.0697999999999999</v>
      </c>
    </row>
    <row r="371" spans="1:11">
      <c r="A371" s="96" t="s">
        <v>22</v>
      </c>
      <c r="B371" s="98">
        <v>80</v>
      </c>
      <c r="C371" s="101">
        <v>0.60089999999999999</v>
      </c>
      <c r="D371" s="98">
        <v>7.2800000000000004E-2</v>
      </c>
      <c r="E371" s="98">
        <v>1.01E-3</v>
      </c>
      <c r="F371" s="98">
        <v>1000</v>
      </c>
      <c r="G371" s="98"/>
      <c r="H371" s="96">
        <v>20</v>
      </c>
      <c r="I371" s="96" t="s">
        <v>12</v>
      </c>
      <c r="J371" s="96">
        <v>1.2909999999999999</v>
      </c>
      <c r="K371" s="101">
        <v>4.1787000000000001</v>
      </c>
    </row>
    <row r="372" spans="1:11">
      <c r="A372" s="96" t="s">
        <v>22</v>
      </c>
      <c r="B372" s="98">
        <v>80</v>
      </c>
      <c r="C372" s="101">
        <v>0.79930000000000001</v>
      </c>
      <c r="D372" s="98">
        <v>7.2800000000000004E-2</v>
      </c>
      <c r="E372" s="98">
        <v>1.01E-3</v>
      </c>
      <c r="F372" s="98">
        <v>1000</v>
      </c>
      <c r="G372" s="98"/>
      <c r="H372" s="96">
        <v>20</v>
      </c>
      <c r="I372" s="96" t="s">
        <v>12</v>
      </c>
      <c r="J372" s="96">
        <v>1.2909999999999999</v>
      </c>
      <c r="K372" s="101">
        <v>4.3964999999999996</v>
      </c>
    </row>
    <row r="373" spans="1:11">
      <c r="A373" s="96" t="s">
        <v>22</v>
      </c>
      <c r="B373" s="98">
        <v>80</v>
      </c>
      <c r="C373" s="102">
        <v>1</v>
      </c>
      <c r="D373" s="98">
        <v>7.2800000000000004E-2</v>
      </c>
      <c r="E373" s="98">
        <v>1.01E-3</v>
      </c>
      <c r="F373" s="98">
        <v>1000</v>
      </c>
      <c r="G373" s="98"/>
      <c r="H373" s="96">
        <v>20</v>
      </c>
      <c r="I373" s="96" t="s">
        <v>12</v>
      </c>
      <c r="J373" s="96">
        <v>1.2909999999999999</v>
      </c>
      <c r="K373" s="101">
        <v>4.5652999999999997</v>
      </c>
    </row>
    <row r="374" spans="1:11">
      <c r="A374" s="96" t="s">
        <v>22</v>
      </c>
      <c r="B374" s="98">
        <v>100</v>
      </c>
      <c r="C374" s="101">
        <v>0.30209999999999998</v>
      </c>
      <c r="D374" s="98">
        <v>7.2800000000000004E-2</v>
      </c>
      <c r="E374" s="98">
        <v>1.01E-3</v>
      </c>
      <c r="F374" s="98">
        <v>1000</v>
      </c>
      <c r="G374" s="98"/>
      <c r="H374" s="96">
        <v>20</v>
      </c>
      <c r="I374" s="96" t="s">
        <v>12</v>
      </c>
      <c r="J374" s="96">
        <v>1.2909999999999999</v>
      </c>
      <c r="K374" s="101">
        <v>4.1746999999999996</v>
      </c>
    </row>
    <row r="375" spans="1:11">
      <c r="A375" s="96" t="s">
        <v>22</v>
      </c>
      <c r="B375" s="98">
        <v>100</v>
      </c>
      <c r="C375" s="101">
        <v>0.40239999999999998</v>
      </c>
      <c r="D375" s="98">
        <v>7.2800000000000004E-2</v>
      </c>
      <c r="E375" s="98">
        <v>1.01E-3</v>
      </c>
      <c r="F375" s="98">
        <v>1000</v>
      </c>
      <c r="G375" s="98"/>
      <c r="H375" s="96">
        <v>20</v>
      </c>
      <c r="I375" s="96" t="s">
        <v>12</v>
      </c>
      <c r="J375" s="96">
        <v>1.2909999999999999</v>
      </c>
      <c r="K375" s="101">
        <v>4.2881</v>
      </c>
    </row>
    <row r="376" spans="1:11">
      <c r="A376" s="96" t="s">
        <v>22</v>
      </c>
      <c r="B376" s="98">
        <v>100</v>
      </c>
      <c r="C376" s="101">
        <v>0.50209999999999999</v>
      </c>
      <c r="D376" s="98">
        <v>7.2800000000000004E-2</v>
      </c>
      <c r="E376" s="98">
        <v>1.01E-3</v>
      </c>
      <c r="F376" s="98">
        <v>1000</v>
      </c>
      <c r="G376" s="98"/>
      <c r="H376" s="96">
        <v>20</v>
      </c>
      <c r="I376" s="96" t="s">
        <v>12</v>
      </c>
      <c r="J376" s="96">
        <v>1.2909999999999999</v>
      </c>
      <c r="K376" s="101">
        <v>4.3879000000000001</v>
      </c>
    </row>
    <row r="377" spans="1:11">
      <c r="A377" s="96" t="s">
        <v>22</v>
      </c>
      <c r="B377" s="98">
        <v>100</v>
      </c>
      <c r="C377" s="101">
        <v>0.60129999999999995</v>
      </c>
      <c r="D377" s="98">
        <v>7.2800000000000004E-2</v>
      </c>
      <c r="E377" s="98">
        <v>1.01E-3</v>
      </c>
      <c r="F377" s="98">
        <v>1000</v>
      </c>
      <c r="G377" s="98"/>
      <c r="H377" s="96">
        <v>20</v>
      </c>
      <c r="I377" s="96" t="s">
        <v>12</v>
      </c>
      <c r="J377" s="96">
        <v>1.2909999999999999</v>
      </c>
      <c r="K377" s="101">
        <v>4.5194999999999999</v>
      </c>
    </row>
    <row r="378" spans="1:11">
      <c r="A378" s="96" t="s">
        <v>22</v>
      </c>
      <c r="B378" s="98">
        <v>100</v>
      </c>
      <c r="C378" s="101">
        <v>0.79959999999999998</v>
      </c>
      <c r="D378" s="98">
        <v>7.2800000000000004E-2</v>
      </c>
      <c r="E378" s="98">
        <v>1.01E-3</v>
      </c>
      <c r="F378" s="98">
        <v>1000</v>
      </c>
      <c r="G378" s="98"/>
      <c r="H378" s="96">
        <v>20</v>
      </c>
      <c r="I378" s="96" t="s">
        <v>12</v>
      </c>
      <c r="J378" s="96">
        <v>1.2909999999999999</v>
      </c>
      <c r="K378" s="101">
        <v>4.6012000000000004</v>
      </c>
    </row>
    <row r="379" spans="1:11">
      <c r="A379" s="96" t="s">
        <v>22</v>
      </c>
      <c r="B379" s="98">
        <v>100</v>
      </c>
      <c r="C379" s="101">
        <v>1.0024</v>
      </c>
      <c r="D379" s="98">
        <v>7.2800000000000004E-2</v>
      </c>
      <c r="E379" s="98">
        <v>1.01E-3</v>
      </c>
      <c r="F379" s="98">
        <v>1000</v>
      </c>
      <c r="G379" s="98"/>
      <c r="H379" s="96">
        <v>20</v>
      </c>
      <c r="I379" s="96" t="s">
        <v>12</v>
      </c>
      <c r="J379" s="96">
        <v>1.2909999999999999</v>
      </c>
      <c r="K379" s="101">
        <v>4.8417000000000003</v>
      </c>
    </row>
    <row r="380" spans="1:11">
      <c r="A380" s="96" t="s">
        <v>22</v>
      </c>
      <c r="B380" s="98">
        <v>120</v>
      </c>
      <c r="C380" s="101">
        <v>0.30030000000000001</v>
      </c>
      <c r="D380" s="98">
        <v>7.2800000000000004E-2</v>
      </c>
      <c r="E380" s="98">
        <v>1.01E-3</v>
      </c>
      <c r="F380" s="98">
        <v>1000</v>
      </c>
      <c r="G380" s="98"/>
      <c r="H380" s="96">
        <v>20</v>
      </c>
      <c r="I380" s="96" t="s">
        <v>12</v>
      </c>
      <c r="J380" s="96">
        <v>1.2909999999999999</v>
      </c>
      <c r="K380" s="101">
        <v>4.4942000000000002</v>
      </c>
    </row>
    <row r="381" spans="1:11">
      <c r="A381" s="96" t="s">
        <v>22</v>
      </c>
      <c r="B381" s="98">
        <v>120</v>
      </c>
      <c r="C381" s="101">
        <v>0.4002</v>
      </c>
      <c r="D381" s="98">
        <v>7.2800000000000004E-2</v>
      </c>
      <c r="E381" s="98">
        <v>1.01E-3</v>
      </c>
      <c r="F381" s="98">
        <v>1000</v>
      </c>
      <c r="G381" s="98"/>
      <c r="H381" s="96">
        <v>20</v>
      </c>
      <c r="I381" s="96" t="s">
        <v>12</v>
      </c>
      <c r="J381" s="96">
        <v>1.2909999999999999</v>
      </c>
      <c r="K381" s="101">
        <v>4.6151999999999997</v>
      </c>
    </row>
    <row r="382" spans="1:11">
      <c r="A382" s="96" t="s">
        <v>22</v>
      </c>
      <c r="B382" s="98">
        <v>120</v>
      </c>
      <c r="C382" s="101">
        <v>0.50239999999999996</v>
      </c>
      <c r="D382" s="98">
        <v>7.2800000000000004E-2</v>
      </c>
      <c r="E382" s="98">
        <v>1.01E-3</v>
      </c>
      <c r="F382" s="98">
        <v>1000</v>
      </c>
      <c r="G382" s="98"/>
      <c r="H382" s="96">
        <v>20</v>
      </c>
      <c r="I382" s="96" t="s">
        <v>12</v>
      </c>
      <c r="J382" s="96">
        <v>1.2909999999999999</v>
      </c>
      <c r="K382" s="101">
        <v>4.7168000000000001</v>
      </c>
    </row>
    <row r="383" spans="1:11">
      <c r="A383" s="96" t="s">
        <v>22</v>
      </c>
      <c r="B383" s="98">
        <v>120</v>
      </c>
      <c r="C383" s="101">
        <v>0.59940000000000004</v>
      </c>
      <c r="D383" s="98">
        <v>7.2800000000000004E-2</v>
      </c>
      <c r="E383" s="98">
        <v>1.01E-3</v>
      </c>
      <c r="F383" s="98">
        <v>1000</v>
      </c>
      <c r="G383" s="98"/>
      <c r="H383" s="96">
        <v>20</v>
      </c>
      <c r="I383" s="96" t="s">
        <v>12</v>
      </c>
      <c r="J383" s="96">
        <v>1.2909999999999999</v>
      </c>
      <c r="K383" s="101">
        <v>4.7313000000000001</v>
      </c>
    </row>
    <row r="384" spans="1:11">
      <c r="A384" s="96" t="s">
        <v>22</v>
      </c>
      <c r="B384" s="98">
        <v>120</v>
      </c>
      <c r="C384" s="101">
        <v>0.79920000000000002</v>
      </c>
      <c r="D384" s="98">
        <v>7.2800000000000004E-2</v>
      </c>
      <c r="E384" s="98">
        <v>1.01E-3</v>
      </c>
      <c r="F384" s="98">
        <v>1000</v>
      </c>
      <c r="G384" s="98"/>
      <c r="H384" s="96">
        <v>20</v>
      </c>
      <c r="I384" s="96" t="s">
        <v>12</v>
      </c>
      <c r="J384" s="96">
        <v>1.2909999999999999</v>
      </c>
      <c r="K384" s="101">
        <v>4.9298000000000002</v>
      </c>
    </row>
    <row r="385" spans="1:11">
      <c r="A385" s="96" t="s">
        <v>22</v>
      </c>
      <c r="B385" s="98">
        <v>120</v>
      </c>
      <c r="C385" s="101">
        <v>0.99960000000000004</v>
      </c>
      <c r="D385" s="98">
        <v>7.2800000000000004E-2</v>
      </c>
      <c r="E385" s="98">
        <v>1.01E-3</v>
      </c>
      <c r="F385" s="98">
        <v>1000</v>
      </c>
      <c r="G385" s="98"/>
      <c r="H385" s="96">
        <v>20</v>
      </c>
      <c r="I385" s="96" t="s">
        <v>12</v>
      </c>
      <c r="J385" s="96">
        <v>1.2909999999999999</v>
      </c>
      <c r="K385" s="101">
        <v>5.0556000000000001</v>
      </c>
    </row>
    <row r="386" spans="1:11">
      <c r="A386" s="96" t="s">
        <v>22</v>
      </c>
      <c r="B386" s="98">
        <v>150</v>
      </c>
      <c r="C386" s="101">
        <v>0.2994</v>
      </c>
      <c r="D386" s="98">
        <v>7.2800000000000004E-2</v>
      </c>
      <c r="E386" s="98">
        <v>1.01E-3</v>
      </c>
      <c r="F386" s="98">
        <v>1000</v>
      </c>
      <c r="G386" s="98"/>
      <c r="H386" s="96">
        <v>20</v>
      </c>
      <c r="I386" s="96" t="s">
        <v>12</v>
      </c>
      <c r="J386" s="96">
        <v>1.2909999999999999</v>
      </c>
      <c r="K386" s="101">
        <v>4.9324000000000003</v>
      </c>
    </row>
    <row r="387" spans="1:11">
      <c r="A387" s="96" t="s">
        <v>22</v>
      </c>
      <c r="B387" s="98">
        <v>150</v>
      </c>
      <c r="C387" s="101">
        <v>0.40079999999999999</v>
      </c>
      <c r="D387" s="98">
        <v>7.2800000000000004E-2</v>
      </c>
      <c r="E387" s="98">
        <v>1.01E-3</v>
      </c>
      <c r="F387" s="98">
        <v>1000</v>
      </c>
      <c r="G387" s="98"/>
      <c r="H387" s="96">
        <v>20</v>
      </c>
      <c r="I387" s="96" t="s">
        <v>12</v>
      </c>
      <c r="J387" s="96">
        <v>1.2909999999999999</v>
      </c>
      <c r="K387" s="101">
        <v>4.9324000000000003</v>
      </c>
    </row>
    <row r="388" spans="1:11">
      <c r="A388" s="96" t="s">
        <v>22</v>
      </c>
      <c r="B388" s="98">
        <v>150</v>
      </c>
      <c r="C388" s="101">
        <v>0.50209999999999999</v>
      </c>
      <c r="D388" s="98">
        <v>7.2800000000000004E-2</v>
      </c>
      <c r="E388" s="98">
        <v>1.01E-3</v>
      </c>
      <c r="F388" s="98">
        <v>1000</v>
      </c>
      <c r="G388" s="98"/>
      <c r="H388" s="96">
        <v>20</v>
      </c>
      <c r="I388" s="96" t="s">
        <v>12</v>
      </c>
      <c r="J388" s="96">
        <v>1.2909999999999999</v>
      </c>
      <c r="K388" s="101">
        <v>5.0503999999999998</v>
      </c>
    </row>
    <row r="389" spans="1:11">
      <c r="A389" s="96" t="s">
        <v>22</v>
      </c>
      <c r="B389" s="98">
        <v>150</v>
      </c>
      <c r="C389" s="101">
        <v>0.6008</v>
      </c>
      <c r="D389" s="98">
        <v>7.2800000000000004E-2</v>
      </c>
      <c r="E389" s="98">
        <v>1.01E-3</v>
      </c>
      <c r="F389" s="98">
        <v>1000</v>
      </c>
      <c r="G389" s="98"/>
      <c r="H389" s="96">
        <v>20</v>
      </c>
      <c r="I389" s="96" t="s">
        <v>12</v>
      </c>
      <c r="J389" s="96">
        <v>1.2909999999999999</v>
      </c>
      <c r="K389" s="101">
        <v>5.1410999999999998</v>
      </c>
    </row>
    <row r="390" spans="1:11">
      <c r="A390" s="96" t="s">
        <v>22</v>
      </c>
      <c r="B390" s="98">
        <v>150</v>
      </c>
      <c r="C390" s="101">
        <v>0.79910000000000003</v>
      </c>
      <c r="D390" s="98">
        <v>7.2800000000000004E-2</v>
      </c>
      <c r="E390" s="98">
        <v>1.01E-3</v>
      </c>
      <c r="F390" s="98">
        <v>1000</v>
      </c>
      <c r="G390" s="98"/>
      <c r="H390" s="96">
        <v>20</v>
      </c>
      <c r="I390" s="96" t="s">
        <v>12</v>
      </c>
      <c r="J390" s="96">
        <v>1.2909999999999999</v>
      </c>
      <c r="K390" s="101">
        <v>5.2545000000000002</v>
      </c>
    </row>
    <row r="391" spans="1:11">
      <c r="A391" s="96" t="s">
        <v>22</v>
      </c>
      <c r="B391" s="98">
        <v>150</v>
      </c>
      <c r="C391" s="101">
        <v>1.0024</v>
      </c>
      <c r="D391" s="98">
        <v>7.2800000000000004E-2</v>
      </c>
      <c r="E391" s="98">
        <v>1.01E-3</v>
      </c>
      <c r="F391" s="98">
        <v>1000</v>
      </c>
      <c r="G391" s="98"/>
      <c r="H391" s="96">
        <v>20</v>
      </c>
      <c r="I391" s="96" t="s">
        <v>12</v>
      </c>
      <c r="J391" s="96">
        <v>1.2909999999999999</v>
      </c>
      <c r="K391" s="101">
        <v>5.3815999999999997</v>
      </c>
    </row>
    <row r="392" spans="1:11">
      <c r="A392" s="96" t="s">
        <v>22</v>
      </c>
      <c r="B392" s="98">
        <v>200</v>
      </c>
      <c r="C392" s="101">
        <v>0.3014</v>
      </c>
      <c r="D392" s="98">
        <v>7.2800000000000004E-2</v>
      </c>
      <c r="E392" s="98">
        <v>1.01E-3</v>
      </c>
      <c r="F392" s="98">
        <v>1000</v>
      </c>
      <c r="G392" s="98"/>
      <c r="H392" s="96">
        <v>20</v>
      </c>
      <c r="I392" s="96" t="s">
        <v>12</v>
      </c>
      <c r="J392" s="96">
        <v>1.2909999999999999</v>
      </c>
      <c r="K392" s="101">
        <v>5.4962999999999997</v>
      </c>
    </row>
    <row r="393" spans="1:11">
      <c r="A393" s="96" t="s">
        <v>22</v>
      </c>
      <c r="B393" s="98">
        <v>200</v>
      </c>
      <c r="C393" s="101">
        <v>0.40189999999999998</v>
      </c>
      <c r="D393" s="98">
        <v>7.2800000000000004E-2</v>
      </c>
      <c r="E393" s="98">
        <v>1.01E-3</v>
      </c>
      <c r="F393" s="98">
        <v>1000</v>
      </c>
      <c r="G393" s="98"/>
      <c r="H393" s="96">
        <v>20</v>
      </c>
      <c r="I393" s="96" t="s">
        <v>12</v>
      </c>
      <c r="J393" s="96">
        <v>1.2909999999999999</v>
      </c>
      <c r="K393" s="101">
        <v>5.4962999999999997</v>
      </c>
    </row>
    <row r="394" spans="1:11">
      <c r="A394" s="96" t="s">
        <v>22</v>
      </c>
      <c r="B394" s="98">
        <v>200</v>
      </c>
      <c r="C394" s="101">
        <v>0.49909999999999999</v>
      </c>
      <c r="D394" s="98">
        <v>7.2800000000000004E-2</v>
      </c>
      <c r="E394" s="98">
        <v>1.01E-3</v>
      </c>
      <c r="F394" s="98">
        <v>1000</v>
      </c>
      <c r="G394" s="98"/>
      <c r="H394" s="96">
        <v>20</v>
      </c>
      <c r="I394" s="96" t="s">
        <v>12</v>
      </c>
      <c r="J394" s="96">
        <v>1.2909999999999999</v>
      </c>
      <c r="K394" s="101">
        <v>5.5997000000000003</v>
      </c>
    </row>
    <row r="395" spans="1:11">
      <c r="A395" s="96" t="s">
        <v>22</v>
      </c>
      <c r="B395" s="98">
        <v>200</v>
      </c>
      <c r="C395" s="101">
        <v>0.60160000000000002</v>
      </c>
      <c r="D395" s="98">
        <v>7.2800000000000004E-2</v>
      </c>
      <c r="E395" s="98">
        <v>1.01E-3</v>
      </c>
      <c r="F395" s="98">
        <v>1000</v>
      </c>
      <c r="G395" s="98"/>
      <c r="H395" s="96">
        <v>20</v>
      </c>
      <c r="I395" s="96" t="s">
        <v>12</v>
      </c>
      <c r="J395" s="96">
        <v>1.2909999999999999</v>
      </c>
      <c r="K395" s="101">
        <v>5.6977000000000002</v>
      </c>
    </row>
    <row r="396" spans="1:11">
      <c r="A396" s="96" t="s">
        <v>22</v>
      </c>
      <c r="B396" s="98">
        <v>200</v>
      </c>
      <c r="C396" s="101">
        <v>0.79990000000000006</v>
      </c>
      <c r="D396" s="98">
        <v>7.2800000000000004E-2</v>
      </c>
      <c r="E396" s="98">
        <v>1.01E-3</v>
      </c>
      <c r="F396" s="98">
        <v>1000</v>
      </c>
      <c r="G396" s="98"/>
      <c r="H396" s="96">
        <v>20</v>
      </c>
      <c r="I396" s="96" t="s">
        <v>12</v>
      </c>
      <c r="J396" s="96">
        <v>1.2909999999999999</v>
      </c>
      <c r="K396" s="101">
        <v>5.8121</v>
      </c>
    </row>
    <row r="397" spans="1:11">
      <c r="A397" s="96" t="s">
        <v>22</v>
      </c>
      <c r="B397" s="98">
        <v>200</v>
      </c>
      <c r="C397" s="101">
        <v>1.0022</v>
      </c>
      <c r="D397" s="98">
        <v>7.2800000000000004E-2</v>
      </c>
      <c r="E397" s="98">
        <v>1.01E-3</v>
      </c>
      <c r="F397" s="98">
        <v>1000</v>
      </c>
      <c r="G397" s="98"/>
      <c r="H397" s="96">
        <v>20</v>
      </c>
      <c r="I397" s="96" t="s">
        <v>12</v>
      </c>
      <c r="J397" s="96">
        <v>1.2909999999999999</v>
      </c>
      <c r="K397" s="101">
        <v>5.9318999999999997</v>
      </c>
    </row>
    <row r="398" spans="1:11">
      <c r="A398" s="96" t="s">
        <v>22</v>
      </c>
      <c r="B398" s="98">
        <v>50</v>
      </c>
      <c r="C398" s="101">
        <v>0.29830000000000001</v>
      </c>
      <c r="D398" s="98">
        <v>7.2800000000000004E-2</v>
      </c>
      <c r="E398" s="98">
        <v>1.01E-3</v>
      </c>
      <c r="F398" s="98">
        <v>1000</v>
      </c>
      <c r="G398" s="98"/>
      <c r="H398" s="96">
        <v>20</v>
      </c>
      <c r="I398" s="96" t="s">
        <v>12</v>
      </c>
      <c r="J398" s="96">
        <v>1.2909999999999999</v>
      </c>
      <c r="K398" s="101">
        <v>3.1966000000000001</v>
      </c>
    </row>
    <row r="399" spans="1:11">
      <c r="A399" s="96" t="s">
        <v>22</v>
      </c>
      <c r="B399" s="98">
        <v>50</v>
      </c>
      <c r="C399" s="101">
        <v>0.4</v>
      </c>
      <c r="D399" s="98">
        <v>7.2800000000000004E-2</v>
      </c>
      <c r="E399" s="98">
        <v>1.01E-3</v>
      </c>
      <c r="F399" s="98">
        <v>1000</v>
      </c>
      <c r="G399" s="98"/>
      <c r="H399" s="96">
        <v>20</v>
      </c>
      <c r="I399" s="96" t="s">
        <v>12</v>
      </c>
      <c r="J399" s="96">
        <v>1.2909999999999999</v>
      </c>
      <c r="K399" s="101">
        <v>3.3108</v>
      </c>
    </row>
    <row r="400" spans="1:11">
      <c r="A400" s="96" t="s">
        <v>22</v>
      </c>
      <c r="B400" s="98">
        <v>50</v>
      </c>
      <c r="C400" s="101">
        <v>0.50109999999999999</v>
      </c>
      <c r="D400" s="98">
        <v>7.2800000000000004E-2</v>
      </c>
      <c r="E400" s="98">
        <v>1.01E-3</v>
      </c>
      <c r="F400" s="98">
        <v>1000</v>
      </c>
      <c r="G400" s="98"/>
      <c r="H400" s="96">
        <v>20</v>
      </c>
      <c r="I400" s="96" t="s">
        <v>12</v>
      </c>
      <c r="J400" s="96">
        <v>1.2909999999999999</v>
      </c>
      <c r="K400" s="101">
        <v>3.4447999999999999</v>
      </c>
    </row>
    <row r="401" spans="1:11">
      <c r="A401" s="96" t="s">
        <v>22</v>
      </c>
      <c r="B401" s="98">
        <v>50</v>
      </c>
      <c r="C401" s="101">
        <v>0.59940000000000004</v>
      </c>
      <c r="D401" s="98">
        <v>7.2800000000000004E-2</v>
      </c>
      <c r="E401" s="98">
        <v>1.01E-3</v>
      </c>
      <c r="F401" s="98">
        <v>1000</v>
      </c>
      <c r="G401" s="98"/>
      <c r="H401" s="96">
        <v>20</v>
      </c>
      <c r="I401" s="96" t="s">
        <v>12</v>
      </c>
      <c r="J401" s="96">
        <v>1.2909999999999999</v>
      </c>
      <c r="K401" s="101">
        <v>3.6236000000000002</v>
      </c>
    </row>
    <row r="402" spans="1:11">
      <c r="A402" s="96" t="s">
        <v>22</v>
      </c>
      <c r="B402" s="98">
        <v>50</v>
      </c>
      <c r="C402" s="101">
        <v>0.80220000000000002</v>
      </c>
      <c r="D402" s="98">
        <v>7.2800000000000004E-2</v>
      </c>
      <c r="E402" s="98">
        <v>1.01E-3</v>
      </c>
      <c r="F402" s="98">
        <v>1000</v>
      </c>
      <c r="G402" s="98"/>
      <c r="H402" s="96">
        <v>20</v>
      </c>
      <c r="I402" s="96" t="s">
        <v>12</v>
      </c>
      <c r="J402" s="96">
        <v>1.2909999999999999</v>
      </c>
      <c r="K402" s="101">
        <v>3.7675999999999998</v>
      </c>
    </row>
    <row r="403" spans="1:11">
      <c r="A403" s="96" t="s">
        <v>22</v>
      </c>
      <c r="B403" s="98">
        <v>50</v>
      </c>
      <c r="C403" s="101">
        <v>1.0008999999999999</v>
      </c>
      <c r="D403" s="98">
        <v>7.2800000000000004E-2</v>
      </c>
      <c r="E403" s="98">
        <v>1.01E-3</v>
      </c>
      <c r="F403" s="98">
        <v>1000</v>
      </c>
      <c r="G403" s="98"/>
      <c r="H403" s="96">
        <v>20</v>
      </c>
      <c r="I403" s="96" t="s">
        <v>12</v>
      </c>
      <c r="J403" s="96">
        <v>1.2909999999999999</v>
      </c>
      <c r="K403" s="101">
        <v>3.8717999999999999</v>
      </c>
    </row>
    <row r="404" spans="1:11">
      <c r="A404" s="96" t="s">
        <v>22</v>
      </c>
      <c r="B404" s="98">
        <v>80</v>
      </c>
      <c r="C404" s="101">
        <v>0.2999</v>
      </c>
      <c r="D404" s="98">
        <v>7.2800000000000004E-2</v>
      </c>
      <c r="E404" s="98">
        <v>1.01E-3</v>
      </c>
      <c r="F404" s="98">
        <v>1000</v>
      </c>
      <c r="G404" s="98"/>
      <c r="H404" s="96">
        <v>20</v>
      </c>
      <c r="I404" s="96" t="s">
        <v>12</v>
      </c>
      <c r="J404" s="96">
        <v>1.2909999999999999</v>
      </c>
      <c r="K404" s="101">
        <v>3.5423</v>
      </c>
    </row>
    <row r="405" spans="1:11">
      <c r="A405" s="96" t="s">
        <v>22</v>
      </c>
      <c r="B405" s="98">
        <v>80</v>
      </c>
      <c r="C405" s="101">
        <v>0.40050000000000002</v>
      </c>
      <c r="D405" s="98">
        <v>7.2800000000000004E-2</v>
      </c>
      <c r="E405" s="98">
        <v>1.01E-3</v>
      </c>
      <c r="F405" s="98">
        <v>1000</v>
      </c>
      <c r="G405" s="98"/>
      <c r="H405" s="96">
        <v>20</v>
      </c>
      <c r="I405" s="96" t="s">
        <v>12</v>
      </c>
      <c r="J405" s="96">
        <v>1.2909999999999999</v>
      </c>
      <c r="K405" s="101">
        <v>3.6503000000000001</v>
      </c>
    </row>
    <row r="406" spans="1:11">
      <c r="A406" s="96" t="s">
        <v>22</v>
      </c>
      <c r="B406" s="98">
        <v>80</v>
      </c>
      <c r="C406" s="101">
        <v>0.501</v>
      </c>
      <c r="D406" s="98">
        <v>7.2800000000000004E-2</v>
      </c>
      <c r="E406" s="98">
        <v>1.01E-3</v>
      </c>
      <c r="F406" s="98">
        <v>1000</v>
      </c>
      <c r="G406" s="98"/>
      <c r="H406" s="96">
        <v>20</v>
      </c>
      <c r="I406" s="96" t="s">
        <v>12</v>
      </c>
      <c r="J406" s="96">
        <v>1.2909999999999999</v>
      </c>
      <c r="K406" s="101">
        <v>3.762</v>
      </c>
    </row>
    <row r="407" spans="1:11">
      <c r="A407" s="96" t="s">
        <v>22</v>
      </c>
      <c r="B407" s="98">
        <v>80</v>
      </c>
      <c r="C407" s="101">
        <v>0.6</v>
      </c>
      <c r="D407" s="98">
        <v>7.2800000000000004E-2</v>
      </c>
      <c r="E407" s="98">
        <v>1.01E-3</v>
      </c>
      <c r="F407" s="98">
        <v>1000</v>
      </c>
      <c r="G407" s="98"/>
      <c r="H407" s="96">
        <v>20</v>
      </c>
      <c r="I407" s="96" t="s">
        <v>12</v>
      </c>
      <c r="J407" s="96">
        <v>1.2909999999999999</v>
      </c>
      <c r="K407" s="101">
        <v>3.9891999999999999</v>
      </c>
    </row>
    <row r="408" spans="1:11">
      <c r="A408" s="96" t="s">
        <v>22</v>
      </c>
      <c r="B408" s="98">
        <v>80</v>
      </c>
      <c r="C408" s="101">
        <v>0.79849999999999999</v>
      </c>
      <c r="D408" s="98">
        <v>7.2800000000000004E-2</v>
      </c>
      <c r="E408" s="98">
        <v>1.01E-3</v>
      </c>
      <c r="F408" s="98">
        <v>1000</v>
      </c>
      <c r="G408" s="98"/>
      <c r="H408" s="96">
        <v>20</v>
      </c>
      <c r="I408" s="96" t="s">
        <v>12</v>
      </c>
      <c r="J408" s="96">
        <v>1.2909999999999999</v>
      </c>
      <c r="K408" s="101">
        <v>3.9817</v>
      </c>
    </row>
    <row r="409" spans="1:11">
      <c r="A409" s="96" t="s">
        <v>22</v>
      </c>
      <c r="B409" s="98">
        <v>80</v>
      </c>
      <c r="C409" s="102">
        <v>1</v>
      </c>
      <c r="D409" s="98">
        <v>7.2800000000000004E-2</v>
      </c>
      <c r="E409" s="98">
        <v>1.01E-3</v>
      </c>
      <c r="F409" s="98">
        <v>1000</v>
      </c>
      <c r="G409" s="98"/>
      <c r="H409" s="96">
        <v>20</v>
      </c>
      <c r="I409" s="96" t="s">
        <v>12</v>
      </c>
      <c r="J409" s="96">
        <v>1.2909999999999999</v>
      </c>
      <c r="K409" s="101">
        <v>4.2126000000000001</v>
      </c>
    </row>
    <row r="410" spans="1:11">
      <c r="A410" s="96" t="s">
        <v>22</v>
      </c>
      <c r="B410" s="98">
        <v>100</v>
      </c>
      <c r="C410" s="101">
        <v>0.2984</v>
      </c>
      <c r="D410" s="98">
        <v>7.2800000000000004E-2</v>
      </c>
      <c r="E410" s="98">
        <v>1.01E-3</v>
      </c>
      <c r="F410" s="98">
        <v>1000</v>
      </c>
      <c r="G410" s="98"/>
      <c r="H410" s="96">
        <v>20</v>
      </c>
      <c r="I410" s="96" t="s">
        <v>12</v>
      </c>
      <c r="J410" s="96">
        <v>1.2909999999999999</v>
      </c>
      <c r="K410" s="101">
        <v>3.8662999999999998</v>
      </c>
    </row>
    <row r="411" spans="1:11">
      <c r="A411" s="96" t="s">
        <v>22</v>
      </c>
      <c r="B411" s="98">
        <v>100</v>
      </c>
      <c r="C411" s="102">
        <v>0.4</v>
      </c>
      <c r="D411" s="98">
        <v>7.2800000000000004E-2</v>
      </c>
      <c r="E411" s="98">
        <v>1.01E-3</v>
      </c>
      <c r="F411" s="98">
        <v>1000</v>
      </c>
      <c r="G411" s="98"/>
      <c r="H411" s="96">
        <v>20</v>
      </c>
      <c r="I411" s="96" t="s">
        <v>12</v>
      </c>
      <c r="J411" s="96">
        <v>1.2909999999999999</v>
      </c>
      <c r="K411" s="101">
        <v>4.0041000000000002</v>
      </c>
    </row>
    <row r="412" spans="1:11">
      <c r="A412" s="96" t="s">
        <v>22</v>
      </c>
      <c r="B412" s="98">
        <v>100</v>
      </c>
      <c r="C412" s="101">
        <v>0.49840000000000001</v>
      </c>
      <c r="D412" s="98">
        <v>7.2800000000000004E-2</v>
      </c>
      <c r="E412" s="98">
        <v>1.01E-3</v>
      </c>
      <c r="F412" s="98">
        <v>1000</v>
      </c>
      <c r="G412" s="98"/>
      <c r="H412" s="96">
        <v>20</v>
      </c>
      <c r="I412" s="96" t="s">
        <v>12</v>
      </c>
      <c r="J412" s="96">
        <v>1.2909999999999999</v>
      </c>
      <c r="K412" s="101">
        <v>3.9817</v>
      </c>
    </row>
    <row r="413" spans="1:11">
      <c r="A413" s="96" t="s">
        <v>22</v>
      </c>
      <c r="B413" s="98">
        <v>100</v>
      </c>
      <c r="C413" s="101">
        <v>0.59950000000000003</v>
      </c>
      <c r="D413" s="98">
        <v>7.2800000000000004E-2</v>
      </c>
      <c r="E413" s="98">
        <v>1.01E-3</v>
      </c>
      <c r="F413" s="98">
        <v>1000</v>
      </c>
      <c r="G413" s="98"/>
      <c r="H413" s="96">
        <v>20</v>
      </c>
      <c r="I413" s="96" t="s">
        <v>12</v>
      </c>
      <c r="J413" s="96">
        <v>1.2909999999999999</v>
      </c>
      <c r="K413" s="101">
        <v>4.0896999999999997</v>
      </c>
    </row>
    <row r="414" spans="1:11">
      <c r="A414" s="96" t="s">
        <v>22</v>
      </c>
      <c r="B414" s="98">
        <v>100</v>
      </c>
      <c r="C414" s="101">
        <v>0.80010000000000003</v>
      </c>
      <c r="D414" s="98">
        <v>7.2800000000000004E-2</v>
      </c>
      <c r="E414" s="98">
        <v>1.01E-3</v>
      </c>
      <c r="F414" s="98">
        <v>1000</v>
      </c>
      <c r="G414" s="98"/>
      <c r="H414" s="96">
        <v>20</v>
      </c>
      <c r="I414" s="96" t="s">
        <v>12</v>
      </c>
      <c r="J414" s="96">
        <v>1.2909999999999999</v>
      </c>
      <c r="K414" s="101">
        <v>4.2051999999999996</v>
      </c>
    </row>
    <row r="415" spans="1:11">
      <c r="A415" s="96" t="s">
        <v>22</v>
      </c>
      <c r="B415" s="98">
        <v>100</v>
      </c>
      <c r="C415" s="101">
        <v>1.0006999999999999</v>
      </c>
      <c r="D415" s="98">
        <v>7.2800000000000004E-2</v>
      </c>
      <c r="E415" s="98">
        <v>1.01E-3</v>
      </c>
      <c r="F415" s="98">
        <v>1000</v>
      </c>
      <c r="G415" s="98"/>
      <c r="H415" s="96">
        <v>20</v>
      </c>
      <c r="I415" s="96" t="s">
        <v>12</v>
      </c>
      <c r="J415" s="96">
        <v>1.2909999999999999</v>
      </c>
      <c r="K415" s="101">
        <v>4.4435000000000002</v>
      </c>
    </row>
    <row r="416" spans="1:11">
      <c r="A416" s="96" t="s">
        <v>22</v>
      </c>
      <c r="B416" s="98">
        <v>120</v>
      </c>
      <c r="C416" s="101">
        <v>0.29830000000000001</v>
      </c>
      <c r="D416" s="98">
        <v>7.2800000000000004E-2</v>
      </c>
      <c r="E416" s="98">
        <v>1.01E-3</v>
      </c>
      <c r="F416" s="98">
        <v>1000</v>
      </c>
      <c r="G416" s="98"/>
      <c r="H416" s="96">
        <v>20</v>
      </c>
      <c r="I416" s="96" t="s">
        <v>12</v>
      </c>
      <c r="J416" s="96">
        <v>1.2909999999999999</v>
      </c>
      <c r="K416" s="101">
        <v>4.0952999999999999</v>
      </c>
    </row>
    <row r="417" spans="1:11">
      <c r="A417" s="96" t="s">
        <v>22</v>
      </c>
      <c r="B417" s="98">
        <v>120</v>
      </c>
      <c r="C417" s="101">
        <v>0.4007</v>
      </c>
      <c r="D417" s="98">
        <v>7.2800000000000004E-2</v>
      </c>
      <c r="E417" s="98">
        <v>1.01E-3</v>
      </c>
      <c r="F417" s="98">
        <v>1000</v>
      </c>
      <c r="G417" s="98"/>
      <c r="H417" s="96">
        <v>20</v>
      </c>
      <c r="I417" s="96" t="s">
        <v>12</v>
      </c>
      <c r="J417" s="96">
        <v>1.2909999999999999</v>
      </c>
      <c r="K417" s="101">
        <v>4.1996000000000002</v>
      </c>
    </row>
    <row r="418" spans="1:11">
      <c r="A418" s="96" t="s">
        <v>22</v>
      </c>
      <c r="B418" s="98">
        <v>120</v>
      </c>
      <c r="C418" s="101">
        <v>0.499</v>
      </c>
      <c r="D418" s="98">
        <v>7.2800000000000004E-2</v>
      </c>
      <c r="E418" s="98">
        <v>1.01E-3</v>
      </c>
      <c r="F418" s="98">
        <v>1000</v>
      </c>
      <c r="G418" s="98"/>
      <c r="H418" s="96">
        <v>20</v>
      </c>
      <c r="I418" s="96" t="s">
        <v>12</v>
      </c>
      <c r="J418" s="96">
        <v>1.2909999999999999</v>
      </c>
      <c r="K418" s="101">
        <v>4.3285999999999998</v>
      </c>
    </row>
    <row r="419" spans="1:11">
      <c r="A419" s="96" t="s">
        <v>22</v>
      </c>
      <c r="B419" s="98">
        <v>120</v>
      </c>
      <c r="C419" s="101">
        <v>0.59870000000000001</v>
      </c>
      <c r="D419" s="98">
        <v>7.2800000000000004E-2</v>
      </c>
      <c r="E419" s="98">
        <v>1.01E-3</v>
      </c>
      <c r="F419" s="98">
        <v>1000</v>
      </c>
      <c r="G419" s="98"/>
      <c r="H419" s="96">
        <v>20</v>
      </c>
      <c r="I419" s="96" t="s">
        <v>12</v>
      </c>
      <c r="J419" s="96">
        <v>1.2909999999999999</v>
      </c>
      <c r="K419" s="101">
        <v>4.4379</v>
      </c>
    </row>
    <row r="420" spans="1:11">
      <c r="A420" s="96" t="s">
        <v>22</v>
      </c>
      <c r="B420" s="98">
        <v>120</v>
      </c>
      <c r="C420" s="101">
        <v>0.79949999999999999</v>
      </c>
      <c r="D420" s="98">
        <v>7.2800000000000004E-2</v>
      </c>
      <c r="E420" s="98">
        <v>1.01E-3</v>
      </c>
      <c r="F420" s="98">
        <v>1000</v>
      </c>
      <c r="G420" s="98"/>
      <c r="H420" s="96">
        <v>20</v>
      </c>
      <c r="I420" s="96" t="s">
        <v>12</v>
      </c>
      <c r="J420" s="96">
        <v>1.2909999999999999</v>
      </c>
      <c r="K420" s="101">
        <v>4.5372000000000003</v>
      </c>
    </row>
    <row r="421" spans="1:11">
      <c r="A421" s="96" t="s">
        <v>22</v>
      </c>
      <c r="B421" s="98">
        <v>120</v>
      </c>
      <c r="C421" s="101">
        <v>1.0003</v>
      </c>
      <c r="D421" s="98">
        <v>7.2800000000000004E-2</v>
      </c>
      <c r="E421" s="98">
        <v>1.01E-3</v>
      </c>
      <c r="F421" s="98">
        <v>1000</v>
      </c>
      <c r="G421" s="98"/>
      <c r="H421" s="96">
        <v>20</v>
      </c>
      <c r="I421" s="96" t="s">
        <v>12</v>
      </c>
      <c r="J421" s="96">
        <v>1.2909999999999999</v>
      </c>
      <c r="K421" s="101">
        <v>4.6612999999999998</v>
      </c>
    </row>
    <row r="422" spans="1:11">
      <c r="A422" s="96" t="s">
        <v>22</v>
      </c>
      <c r="B422" s="98">
        <v>150</v>
      </c>
      <c r="C422" s="101">
        <v>0.29759999999999998</v>
      </c>
      <c r="D422" s="98">
        <v>7.2800000000000004E-2</v>
      </c>
      <c r="E422" s="98">
        <v>1.01E-3</v>
      </c>
      <c r="F422" s="98">
        <v>1000</v>
      </c>
      <c r="G422" s="98"/>
      <c r="H422" s="96">
        <v>20</v>
      </c>
      <c r="I422" s="96" t="s">
        <v>12</v>
      </c>
      <c r="J422" s="96">
        <v>1.2909999999999999</v>
      </c>
      <c r="K422" s="101">
        <v>4.5372000000000003</v>
      </c>
    </row>
    <row r="423" spans="1:11">
      <c r="A423" s="96" t="s">
        <v>22</v>
      </c>
      <c r="B423" s="98">
        <v>150</v>
      </c>
      <c r="C423" s="101">
        <v>0.40210000000000001</v>
      </c>
      <c r="D423" s="98">
        <v>7.2800000000000004E-2</v>
      </c>
      <c r="E423" s="98">
        <v>1.01E-3</v>
      </c>
      <c r="F423" s="98">
        <v>1000</v>
      </c>
      <c r="G423" s="98"/>
      <c r="H423" s="96">
        <v>20</v>
      </c>
      <c r="I423" s="96" t="s">
        <v>12</v>
      </c>
      <c r="J423" s="96">
        <v>1.2909999999999999</v>
      </c>
      <c r="K423" s="101">
        <v>4.6612999999999998</v>
      </c>
    </row>
    <row r="424" spans="1:11">
      <c r="A424" s="96" t="s">
        <v>22</v>
      </c>
      <c r="B424" s="98">
        <v>150</v>
      </c>
      <c r="C424" s="101">
        <v>0.49969999999999998</v>
      </c>
      <c r="D424" s="98">
        <v>7.2800000000000004E-2</v>
      </c>
      <c r="E424" s="98">
        <v>1.01E-3</v>
      </c>
      <c r="F424" s="98">
        <v>1000</v>
      </c>
      <c r="G424" s="98"/>
      <c r="H424" s="96">
        <v>20</v>
      </c>
      <c r="I424" s="96" t="s">
        <v>12</v>
      </c>
      <c r="J424" s="96">
        <v>1.2909999999999999</v>
      </c>
      <c r="K424" s="101">
        <v>4.6364999999999998</v>
      </c>
    </row>
    <row r="425" spans="1:11">
      <c r="A425" s="96" t="s">
        <v>22</v>
      </c>
      <c r="B425" s="98">
        <v>150</v>
      </c>
      <c r="C425" s="101">
        <v>0.59940000000000004</v>
      </c>
      <c r="D425" s="98">
        <v>7.2800000000000004E-2</v>
      </c>
      <c r="E425" s="98">
        <v>1.01E-3</v>
      </c>
      <c r="F425" s="98">
        <v>1000</v>
      </c>
      <c r="G425" s="98"/>
      <c r="H425" s="96">
        <v>20</v>
      </c>
      <c r="I425" s="96" t="s">
        <v>12</v>
      </c>
      <c r="J425" s="96">
        <v>1.2909999999999999</v>
      </c>
      <c r="K425" s="101">
        <v>4.7755000000000001</v>
      </c>
    </row>
    <row r="426" spans="1:11">
      <c r="A426" s="96" t="s">
        <v>22</v>
      </c>
      <c r="B426" s="98">
        <v>150</v>
      </c>
      <c r="C426" s="101">
        <v>0.79610000000000003</v>
      </c>
      <c r="D426" s="98">
        <v>7.2800000000000004E-2</v>
      </c>
      <c r="E426" s="98">
        <v>1.01E-3</v>
      </c>
      <c r="F426" s="98">
        <v>1000</v>
      </c>
      <c r="G426" s="98"/>
      <c r="H426" s="96">
        <v>20</v>
      </c>
      <c r="I426" s="96" t="s">
        <v>12</v>
      </c>
      <c r="J426" s="96">
        <v>1.2909999999999999</v>
      </c>
      <c r="K426" s="101">
        <v>4.8848000000000003</v>
      </c>
    </row>
    <row r="427" spans="1:11">
      <c r="A427" s="96" t="s">
        <v>22</v>
      </c>
      <c r="B427" s="98">
        <v>150</v>
      </c>
      <c r="C427" s="101">
        <v>0.99960000000000004</v>
      </c>
      <c r="D427" s="98">
        <v>7.2800000000000004E-2</v>
      </c>
      <c r="E427" s="98">
        <v>1.01E-3</v>
      </c>
      <c r="F427" s="98">
        <v>1000</v>
      </c>
      <c r="G427" s="98"/>
      <c r="H427" s="96">
        <v>20</v>
      </c>
      <c r="I427" s="96" t="s">
        <v>12</v>
      </c>
      <c r="J427" s="96">
        <v>1.2909999999999999</v>
      </c>
      <c r="K427" s="101">
        <v>5.0038999999999998</v>
      </c>
    </row>
    <row r="428" spans="1:11">
      <c r="A428" s="96" t="s">
        <v>22</v>
      </c>
      <c r="B428" s="98">
        <v>200</v>
      </c>
      <c r="C428" s="101">
        <v>0.29830000000000001</v>
      </c>
      <c r="D428" s="98">
        <v>7.2800000000000004E-2</v>
      </c>
      <c r="E428" s="98">
        <v>1.01E-3</v>
      </c>
      <c r="F428" s="98">
        <v>1000</v>
      </c>
      <c r="G428" s="98"/>
      <c r="H428" s="96">
        <v>20</v>
      </c>
      <c r="I428" s="96" t="s">
        <v>12</v>
      </c>
      <c r="J428" s="96">
        <v>1.2909999999999999</v>
      </c>
      <c r="K428" s="101">
        <v>5.0933000000000002</v>
      </c>
    </row>
    <row r="429" spans="1:11">
      <c r="A429" s="96" t="s">
        <v>22</v>
      </c>
      <c r="B429" s="98">
        <v>200</v>
      </c>
      <c r="C429" s="101">
        <v>0.3987</v>
      </c>
      <c r="D429" s="98">
        <v>7.2800000000000004E-2</v>
      </c>
      <c r="E429" s="98">
        <v>1.01E-3</v>
      </c>
      <c r="F429" s="98">
        <v>1000</v>
      </c>
      <c r="G429" s="98"/>
      <c r="H429" s="96">
        <v>20</v>
      </c>
      <c r="I429" s="96" t="s">
        <v>12</v>
      </c>
      <c r="J429" s="96">
        <v>1.2909999999999999</v>
      </c>
      <c r="K429" s="101">
        <v>5.2125000000000004</v>
      </c>
    </row>
    <row r="430" spans="1:11">
      <c r="A430" s="96" t="s">
        <v>22</v>
      </c>
      <c r="B430" s="98">
        <v>200</v>
      </c>
      <c r="C430" s="101">
        <v>0.49830000000000002</v>
      </c>
      <c r="D430" s="98">
        <v>7.2800000000000004E-2</v>
      </c>
      <c r="E430" s="98">
        <v>1.01E-3</v>
      </c>
      <c r="F430" s="98">
        <v>1000</v>
      </c>
      <c r="G430" s="98"/>
      <c r="H430" s="96">
        <v>20</v>
      </c>
      <c r="I430" s="96" t="s">
        <v>12</v>
      </c>
      <c r="J430" s="96">
        <v>1.2909999999999999</v>
      </c>
      <c r="K430" s="101">
        <v>5.2074999999999996</v>
      </c>
    </row>
    <row r="431" spans="1:11">
      <c r="A431" s="96" t="s">
        <v>22</v>
      </c>
      <c r="B431" s="98">
        <v>200</v>
      </c>
      <c r="C431" s="101">
        <v>0.6008</v>
      </c>
      <c r="D431" s="98">
        <v>7.2800000000000004E-2</v>
      </c>
      <c r="E431" s="98">
        <v>1.01E-3</v>
      </c>
      <c r="F431" s="98">
        <v>1000</v>
      </c>
      <c r="G431" s="98"/>
      <c r="H431" s="96">
        <v>20</v>
      </c>
      <c r="I431" s="96" t="s">
        <v>12</v>
      </c>
      <c r="J431" s="96">
        <v>1.2909999999999999</v>
      </c>
      <c r="K431" s="101">
        <v>5.3068</v>
      </c>
    </row>
    <row r="432" spans="1:11">
      <c r="A432" s="96" t="s">
        <v>22</v>
      </c>
      <c r="B432" s="98">
        <v>200</v>
      </c>
      <c r="C432" s="101">
        <v>0.80020000000000002</v>
      </c>
      <c r="D432" s="98">
        <v>7.2800000000000004E-2</v>
      </c>
      <c r="E432" s="98">
        <v>1.01E-3</v>
      </c>
      <c r="F432" s="98">
        <v>1000</v>
      </c>
      <c r="G432" s="98"/>
      <c r="H432" s="96">
        <v>20</v>
      </c>
      <c r="I432" s="96" t="s">
        <v>12</v>
      </c>
      <c r="J432" s="96">
        <v>1.2909999999999999</v>
      </c>
      <c r="K432" s="101">
        <v>5.4409000000000001</v>
      </c>
    </row>
    <row r="433" spans="1:11">
      <c r="A433" s="96" t="s">
        <v>22</v>
      </c>
      <c r="B433" s="98">
        <v>200</v>
      </c>
      <c r="C433" s="101">
        <v>0.99890000000000001</v>
      </c>
      <c r="D433" s="98">
        <v>7.2800000000000004E-2</v>
      </c>
      <c r="E433" s="98">
        <v>1.01E-3</v>
      </c>
      <c r="F433" s="98">
        <v>1000</v>
      </c>
      <c r="G433" s="98"/>
      <c r="H433" s="96">
        <v>20</v>
      </c>
      <c r="I433" s="96" t="s">
        <v>12</v>
      </c>
      <c r="J433" s="96">
        <v>1.2909999999999999</v>
      </c>
      <c r="K433" s="101">
        <v>5.5551000000000004</v>
      </c>
    </row>
    <row r="434" spans="1:11">
      <c r="A434" s="96" t="s">
        <v>22</v>
      </c>
      <c r="B434" s="98">
        <v>50</v>
      </c>
      <c r="C434" s="101">
        <v>0.29730000000000001</v>
      </c>
      <c r="D434" s="98">
        <v>7.2800000000000004E-2</v>
      </c>
      <c r="E434" s="98">
        <v>1.01E-3</v>
      </c>
      <c r="F434" s="98">
        <v>1000</v>
      </c>
      <c r="G434" s="98"/>
      <c r="H434" s="96">
        <v>20</v>
      </c>
      <c r="I434" s="96" t="s">
        <v>12</v>
      </c>
      <c r="J434" s="96">
        <v>1.2909999999999999</v>
      </c>
      <c r="K434" s="101">
        <v>2.7826</v>
      </c>
    </row>
    <row r="435" spans="1:11">
      <c r="A435" s="96" t="s">
        <v>22</v>
      </c>
      <c r="B435" s="98">
        <v>50</v>
      </c>
      <c r="C435" s="101">
        <v>0.39939999999999998</v>
      </c>
      <c r="D435" s="98">
        <v>7.2800000000000004E-2</v>
      </c>
      <c r="E435" s="98">
        <v>1.01E-3</v>
      </c>
      <c r="F435" s="98">
        <v>1000</v>
      </c>
      <c r="G435" s="98"/>
      <c r="H435" s="96">
        <v>20</v>
      </c>
      <c r="I435" s="96" t="s">
        <v>12</v>
      </c>
      <c r="J435" s="96">
        <v>1.2909999999999999</v>
      </c>
      <c r="K435" s="101">
        <v>2.8860999999999999</v>
      </c>
    </row>
    <row r="436" spans="1:11">
      <c r="A436" s="96" t="s">
        <v>22</v>
      </c>
      <c r="B436" s="98">
        <v>50</v>
      </c>
      <c r="C436" s="101">
        <v>0.50019999999999998</v>
      </c>
      <c r="D436" s="98">
        <v>7.2800000000000004E-2</v>
      </c>
      <c r="E436" s="98">
        <v>1.01E-3</v>
      </c>
      <c r="F436" s="98">
        <v>1000</v>
      </c>
      <c r="G436" s="98"/>
      <c r="H436" s="96">
        <v>20</v>
      </c>
      <c r="I436" s="96" t="s">
        <v>12</v>
      </c>
      <c r="J436" s="96">
        <v>1.2909999999999999</v>
      </c>
      <c r="K436" s="101">
        <v>2.9855</v>
      </c>
    </row>
    <row r="437" spans="1:11">
      <c r="A437" s="96" t="s">
        <v>22</v>
      </c>
      <c r="B437" s="98">
        <v>50</v>
      </c>
      <c r="C437" s="101">
        <v>0.60160000000000002</v>
      </c>
      <c r="D437" s="98">
        <v>7.2800000000000004E-2</v>
      </c>
      <c r="E437" s="98">
        <v>1.01E-3</v>
      </c>
      <c r="F437" s="98">
        <v>1000</v>
      </c>
      <c r="G437" s="98"/>
      <c r="H437" s="96">
        <v>20</v>
      </c>
      <c r="I437" s="96" t="s">
        <v>12</v>
      </c>
      <c r="J437" s="96">
        <v>1.2909999999999999</v>
      </c>
      <c r="K437" s="101">
        <v>3.0848</v>
      </c>
    </row>
    <row r="438" spans="1:11">
      <c r="A438" s="96" t="s">
        <v>22</v>
      </c>
      <c r="B438" s="98">
        <v>50</v>
      </c>
      <c r="C438" s="101">
        <v>0.80169999999999997</v>
      </c>
      <c r="D438" s="98">
        <v>7.2800000000000004E-2</v>
      </c>
      <c r="E438" s="98">
        <v>1.01E-3</v>
      </c>
      <c r="F438" s="98">
        <v>1000</v>
      </c>
      <c r="G438" s="98"/>
      <c r="H438" s="96">
        <v>20</v>
      </c>
      <c r="I438" s="96" t="s">
        <v>12</v>
      </c>
      <c r="J438" s="96">
        <v>1.2909999999999999</v>
      </c>
      <c r="K438" s="101">
        <v>3.2835999999999999</v>
      </c>
    </row>
    <row r="439" spans="1:11">
      <c r="A439" s="96" t="s">
        <v>22</v>
      </c>
      <c r="B439" s="98">
        <v>50</v>
      </c>
      <c r="C439" s="101">
        <v>1.0012000000000001</v>
      </c>
      <c r="D439" s="98">
        <v>7.2800000000000004E-2</v>
      </c>
      <c r="E439" s="98">
        <v>1.01E-3</v>
      </c>
      <c r="F439" s="98">
        <v>1000</v>
      </c>
      <c r="G439" s="98"/>
      <c r="H439" s="96">
        <v>20</v>
      </c>
      <c r="I439" s="96" t="s">
        <v>12</v>
      </c>
      <c r="J439" s="96">
        <v>1.2909999999999999</v>
      </c>
      <c r="K439" s="101">
        <v>3.3954</v>
      </c>
    </row>
    <row r="440" spans="1:11">
      <c r="A440" s="96" t="s">
        <v>22</v>
      </c>
      <c r="B440" s="98">
        <v>80</v>
      </c>
      <c r="C440" s="101">
        <v>0.29799999999999999</v>
      </c>
      <c r="D440" s="98">
        <v>7.2800000000000004E-2</v>
      </c>
      <c r="E440" s="98">
        <v>1.01E-3</v>
      </c>
      <c r="F440" s="98">
        <v>1000</v>
      </c>
      <c r="G440" s="98"/>
      <c r="H440" s="96">
        <v>20</v>
      </c>
      <c r="I440" s="96" t="s">
        <v>12</v>
      </c>
      <c r="J440" s="96">
        <v>1.2909999999999999</v>
      </c>
      <c r="K440" s="101">
        <v>3.1097000000000001</v>
      </c>
    </row>
    <row r="441" spans="1:11">
      <c r="A441" s="96" t="s">
        <v>22</v>
      </c>
      <c r="B441" s="98">
        <v>80</v>
      </c>
      <c r="C441" s="101">
        <v>0.40010000000000001</v>
      </c>
      <c r="D441" s="98">
        <v>7.2800000000000004E-2</v>
      </c>
      <c r="E441" s="98">
        <v>1.01E-3</v>
      </c>
      <c r="F441" s="98">
        <v>1000</v>
      </c>
      <c r="G441" s="98"/>
      <c r="H441" s="96">
        <v>20</v>
      </c>
      <c r="I441" s="96" t="s">
        <v>12</v>
      </c>
      <c r="J441" s="96">
        <v>1.2909999999999999</v>
      </c>
      <c r="K441" s="101">
        <v>3.1842000000000001</v>
      </c>
    </row>
    <row r="442" spans="1:11">
      <c r="A442" s="96" t="s">
        <v>22</v>
      </c>
      <c r="B442" s="98">
        <v>80</v>
      </c>
      <c r="C442" s="101">
        <v>0.49819999999999998</v>
      </c>
      <c r="D442" s="98">
        <v>7.2800000000000004E-2</v>
      </c>
      <c r="E442" s="98">
        <v>1.01E-3</v>
      </c>
      <c r="F442" s="98">
        <v>1000</v>
      </c>
      <c r="G442" s="98"/>
      <c r="H442" s="96">
        <v>20</v>
      </c>
      <c r="I442" s="96" t="s">
        <v>12</v>
      </c>
      <c r="J442" s="96">
        <v>1.2909999999999999</v>
      </c>
      <c r="K442" s="101">
        <v>3.3043</v>
      </c>
    </row>
    <row r="443" spans="1:11">
      <c r="A443" s="96" t="s">
        <v>22</v>
      </c>
      <c r="B443" s="98">
        <v>80</v>
      </c>
      <c r="C443" s="101">
        <v>0.60160000000000002</v>
      </c>
      <c r="D443" s="98">
        <v>7.2800000000000004E-2</v>
      </c>
      <c r="E443" s="98">
        <v>1.01E-3</v>
      </c>
      <c r="F443" s="98">
        <v>1000</v>
      </c>
      <c r="G443" s="98"/>
      <c r="H443" s="96">
        <v>20</v>
      </c>
      <c r="I443" s="96" t="s">
        <v>12</v>
      </c>
      <c r="J443" s="96">
        <v>1.2909999999999999</v>
      </c>
      <c r="K443" s="101">
        <v>3.2919</v>
      </c>
    </row>
    <row r="444" spans="1:11">
      <c r="A444" s="96" t="s">
        <v>22</v>
      </c>
      <c r="B444" s="98">
        <v>80</v>
      </c>
      <c r="C444" s="101">
        <v>0.7984</v>
      </c>
      <c r="D444" s="98">
        <v>7.2800000000000004E-2</v>
      </c>
      <c r="E444" s="98">
        <v>1.01E-3</v>
      </c>
      <c r="F444" s="98">
        <v>1000</v>
      </c>
      <c r="G444" s="98"/>
      <c r="H444" s="96">
        <v>20</v>
      </c>
      <c r="I444" s="96" t="s">
        <v>12</v>
      </c>
      <c r="J444" s="96">
        <v>1.2909999999999999</v>
      </c>
      <c r="K444" s="101">
        <v>3.4824000000000002</v>
      </c>
    </row>
    <row r="445" spans="1:11">
      <c r="A445" s="96" t="s">
        <v>22</v>
      </c>
      <c r="B445" s="98">
        <v>80</v>
      </c>
      <c r="C445" s="101">
        <v>0.99990000000000001</v>
      </c>
      <c r="D445" s="98">
        <v>7.2800000000000004E-2</v>
      </c>
      <c r="E445" s="98">
        <v>1.01E-3</v>
      </c>
      <c r="F445" s="98">
        <v>1000</v>
      </c>
      <c r="G445" s="98"/>
      <c r="H445" s="96">
        <v>20</v>
      </c>
      <c r="I445" s="96" t="s">
        <v>12</v>
      </c>
      <c r="J445" s="96">
        <v>1.2909999999999999</v>
      </c>
      <c r="K445" s="101">
        <v>3.6107</v>
      </c>
    </row>
    <row r="446" spans="1:11">
      <c r="A446" s="96" t="s">
        <v>22</v>
      </c>
      <c r="B446" s="98">
        <v>100</v>
      </c>
      <c r="C446" s="101">
        <v>0.29470000000000002</v>
      </c>
      <c r="D446" s="98">
        <v>7.2800000000000004E-2</v>
      </c>
      <c r="E446" s="98">
        <v>1.01E-3</v>
      </c>
      <c r="F446" s="98">
        <v>1000</v>
      </c>
      <c r="G446" s="98"/>
      <c r="H446" s="96">
        <v>20</v>
      </c>
      <c r="I446" s="96" t="s">
        <v>12</v>
      </c>
      <c r="J446" s="96">
        <v>1.2909999999999999</v>
      </c>
      <c r="K446" s="101">
        <v>3.3871000000000002</v>
      </c>
    </row>
    <row r="447" spans="1:11">
      <c r="A447" s="96" t="s">
        <v>22</v>
      </c>
      <c r="B447" s="98">
        <v>100</v>
      </c>
      <c r="C447" s="101">
        <v>0.3967</v>
      </c>
      <c r="D447" s="98">
        <v>7.2800000000000004E-2</v>
      </c>
      <c r="E447" s="98">
        <v>1.01E-3</v>
      </c>
      <c r="F447" s="98">
        <v>1000</v>
      </c>
      <c r="G447" s="98"/>
      <c r="H447" s="96">
        <v>20</v>
      </c>
      <c r="I447" s="96" t="s">
        <v>12</v>
      </c>
      <c r="J447" s="96">
        <v>1.2909999999999999</v>
      </c>
      <c r="K447" s="101">
        <v>3.4988999999999999</v>
      </c>
    </row>
    <row r="448" spans="1:11">
      <c r="A448" s="96" t="s">
        <v>22</v>
      </c>
      <c r="B448" s="98">
        <v>100</v>
      </c>
      <c r="C448" s="101">
        <v>0.50019999999999998</v>
      </c>
      <c r="D448" s="98">
        <v>7.2800000000000004E-2</v>
      </c>
      <c r="E448" s="98">
        <v>1.01E-3</v>
      </c>
      <c r="F448" s="98">
        <v>1000</v>
      </c>
      <c r="G448" s="98"/>
      <c r="H448" s="96">
        <v>20</v>
      </c>
      <c r="I448" s="96" t="s">
        <v>12</v>
      </c>
      <c r="J448" s="96">
        <v>1.2909999999999999</v>
      </c>
      <c r="K448" s="101">
        <v>3.5817000000000001</v>
      </c>
    </row>
    <row r="449" spans="1:11">
      <c r="A449" s="96" t="s">
        <v>22</v>
      </c>
      <c r="B449" s="98">
        <v>100</v>
      </c>
      <c r="C449" s="101">
        <v>0.59960000000000002</v>
      </c>
      <c r="D449" s="98">
        <v>7.2800000000000004E-2</v>
      </c>
      <c r="E449" s="98">
        <v>1.01E-3</v>
      </c>
      <c r="F449" s="98">
        <v>1000</v>
      </c>
      <c r="G449" s="98"/>
      <c r="H449" s="96">
        <v>20</v>
      </c>
      <c r="I449" s="96" t="s">
        <v>12</v>
      </c>
      <c r="J449" s="96">
        <v>1.2909999999999999</v>
      </c>
      <c r="K449" s="101">
        <v>3.5859000000000001</v>
      </c>
    </row>
    <row r="450" spans="1:11">
      <c r="A450" s="96" t="s">
        <v>22</v>
      </c>
      <c r="B450" s="98">
        <v>100</v>
      </c>
      <c r="C450" s="101">
        <v>0.80110000000000003</v>
      </c>
      <c r="D450" s="98">
        <v>7.2800000000000004E-2</v>
      </c>
      <c r="E450" s="98">
        <v>1.01E-3</v>
      </c>
      <c r="F450" s="98">
        <v>1000</v>
      </c>
      <c r="G450" s="98"/>
      <c r="H450" s="96">
        <v>20</v>
      </c>
      <c r="I450" s="96" t="s">
        <v>12</v>
      </c>
      <c r="J450" s="96">
        <v>1.2909999999999999</v>
      </c>
      <c r="K450" s="101">
        <v>3.7763</v>
      </c>
    </row>
    <row r="451" spans="1:11">
      <c r="A451" s="96" t="s">
        <v>22</v>
      </c>
      <c r="B451" s="98">
        <v>100</v>
      </c>
      <c r="C451" s="101">
        <v>0.99990000000000001</v>
      </c>
      <c r="D451" s="98">
        <v>7.2800000000000004E-2</v>
      </c>
      <c r="E451" s="98">
        <v>1.01E-3</v>
      </c>
      <c r="F451" s="98">
        <v>1000</v>
      </c>
      <c r="G451" s="98"/>
      <c r="H451" s="96">
        <v>20</v>
      </c>
      <c r="I451" s="96" t="s">
        <v>12</v>
      </c>
      <c r="J451" s="96">
        <v>1.2909999999999999</v>
      </c>
      <c r="K451" s="101">
        <v>3.9916999999999998</v>
      </c>
    </row>
    <row r="452" spans="1:11">
      <c r="A452" s="96" t="s">
        <v>22</v>
      </c>
      <c r="B452" s="98">
        <v>120</v>
      </c>
      <c r="C452" s="101">
        <v>0.29670000000000002</v>
      </c>
      <c r="D452" s="98">
        <v>7.2800000000000004E-2</v>
      </c>
      <c r="E452" s="98">
        <v>1.01E-3</v>
      </c>
      <c r="F452" s="98">
        <v>1000</v>
      </c>
      <c r="G452" s="98"/>
      <c r="H452" s="96">
        <v>20</v>
      </c>
      <c r="I452" s="96" t="s">
        <v>12</v>
      </c>
      <c r="J452" s="96">
        <v>1.2909999999999999</v>
      </c>
      <c r="K452" s="101">
        <v>3.6977000000000002</v>
      </c>
    </row>
    <row r="453" spans="1:11">
      <c r="A453" s="96" t="s">
        <v>22</v>
      </c>
      <c r="B453" s="98">
        <v>120</v>
      </c>
      <c r="C453" s="101">
        <v>0.40010000000000001</v>
      </c>
      <c r="D453" s="98">
        <v>7.2800000000000004E-2</v>
      </c>
      <c r="E453" s="98">
        <v>1.01E-3</v>
      </c>
      <c r="F453" s="98">
        <v>1000</v>
      </c>
      <c r="G453" s="98"/>
      <c r="H453" s="96">
        <v>20</v>
      </c>
      <c r="I453" s="96" t="s">
        <v>12</v>
      </c>
      <c r="J453" s="96">
        <v>1.2909999999999999</v>
      </c>
      <c r="K453" s="101">
        <v>3.6977000000000002</v>
      </c>
    </row>
    <row r="454" spans="1:11">
      <c r="A454" s="96" t="s">
        <v>22</v>
      </c>
      <c r="B454" s="98">
        <v>120</v>
      </c>
      <c r="C454" s="101">
        <v>0.49880000000000002</v>
      </c>
      <c r="D454" s="98">
        <v>7.2800000000000004E-2</v>
      </c>
      <c r="E454" s="98">
        <v>1.01E-3</v>
      </c>
      <c r="F454" s="98">
        <v>1000</v>
      </c>
      <c r="G454" s="98"/>
      <c r="H454" s="96">
        <v>20</v>
      </c>
      <c r="I454" s="96" t="s">
        <v>12</v>
      </c>
      <c r="J454" s="96">
        <v>1.2909999999999999</v>
      </c>
      <c r="K454" s="101">
        <v>3.7928999999999999</v>
      </c>
    </row>
    <row r="455" spans="1:11">
      <c r="A455" s="96" t="s">
        <v>22</v>
      </c>
      <c r="B455" s="98">
        <v>120</v>
      </c>
      <c r="C455" s="101">
        <v>0.59819999999999995</v>
      </c>
      <c r="D455" s="98">
        <v>7.2800000000000004E-2</v>
      </c>
      <c r="E455" s="98">
        <v>1.01E-3</v>
      </c>
      <c r="F455" s="98">
        <v>1000</v>
      </c>
      <c r="G455" s="98"/>
      <c r="H455" s="96">
        <v>20</v>
      </c>
      <c r="I455" s="96" t="s">
        <v>12</v>
      </c>
      <c r="J455" s="96">
        <v>1.2909999999999999</v>
      </c>
      <c r="K455" s="101">
        <v>3.9089</v>
      </c>
    </row>
    <row r="456" spans="1:11">
      <c r="A456" s="96" t="s">
        <v>22</v>
      </c>
      <c r="B456" s="98">
        <v>120</v>
      </c>
      <c r="C456" s="101">
        <v>0.79910000000000003</v>
      </c>
      <c r="D456" s="98">
        <v>7.2800000000000004E-2</v>
      </c>
      <c r="E456" s="98">
        <v>1.01E-3</v>
      </c>
      <c r="F456" s="98">
        <v>1000</v>
      </c>
      <c r="G456" s="98"/>
      <c r="H456" s="96">
        <v>20</v>
      </c>
      <c r="I456" s="96" t="s">
        <v>12</v>
      </c>
      <c r="J456" s="96">
        <v>1.2909999999999999</v>
      </c>
      <c r="K456" s="101">
        <v>4.0082000000000004</v>
      </c>
    </row>
    <row r="457" spans="1:11">
      <c r="A457" s="96" t="s">
        <v>22</v>
      </c>
      <c r="B457" s="98">
        <v>120</v>
      </c>
      <c r="C457" s="101">
        <v>1.0012000000000001</v>
      </c>
      <c r="D457" s="98">
        <v>7.2800000000000004E-2</v>
      </c>
      <c r="E457" s="98">
        <v>1.01E-3</v>
      </c>
      <c r="F457" s="98">
        <v>1000</v>
      </c>
      <c r="G457" s="98"/>
      <c r="H457" s="96">
        <v>20</v>
      </c>
      <c r="I457" s="96" t="s">
        <v>12</v>
      </c>
      <c r="J457" s="96">
        <v>1.2909999999999999</v>
      </c>
      <c r="K457" s="101">
        <v>4.0952000000000002</v>
      </c>
    </row>
    <row r="458" spans="1:11">
      <c r="A458" s="96" t="s">
        <v>22</v>
      </c>
      <c r="B458" s="98">
        <v>150</v>
      </c>
      <c r="C458" s="101">
        <v>0.29730000000000001</v>
      </c>
      <c r="D458" s="98">
        <v>7.2800000000000004E-2</v>
      </c>
      <c r="E458" s="98">
        <v>1.01E-3</v>
      </c>
      <c r="F458" s="98">
        <v>1000</v>
      </c>
      <c r="G458" s="98"/>
      <c r="H458" s="96">
        <v>20</v>
      </c>
      <c r="I458" s="96" t="s">
        <v>12</v>
      </c>
      <c r="J458" s="96">
        <v>1.2909999999999999</v>
      </c>
      <c r="K458" s="101">
        <v>4.0041000000000002</v>
      </c>
    </row>
    <row r="459" spans="1:11">
      <c r="A459" s="96" t="s">
        <v>22</v>
      </c>
      <c r="B459" s="98">
        <v>150</v>
      </c>
      <c r="C459" s="101">
        <v>0.40010000000000001</v>
      </c>
      <c r="D459" s="98">
        <v>7.2800000000000004E-2</v>
      </c>
      <c r="E459" s="98">
        <v>1.01E-3</v>
      </c>
      <c r="F459" s="98">
        <v>1000</v>
      </c>
      <c r="G459" s="98"/>
      <c r="H459" s="96">
        <v>20</v>
      </c>
      <c r="I459" s="96" t="s">
        <v>12</v>
      </c>
      <c r="J459" s="96">
        <v>1.2909999999999999</v>
      </c>
      <c r="K459" s="101">
        <v>4.1075999999999997</v>
      </c>
    </row>
    <row r="460" spans="1:11">
      <c r="A460" s="96" t="s">
        <v>22</v>
      </c>
      <c r="B460" s="98">
        <v>150</v>
      </c>
      <c r="C460" s="101">
        <v>0.4995</v>
      </c>
      <c r="D460" s="98">
        <v>7.2800000000000004E-2</v>
      </c>
      <c r="E460" s="98">
        <v>1.01E-3</v>
      </c>
      <c r="F460" s="98">
        <v>1000</v>
      </c>
      <c r="G460" s="98"/>
      <c r="H460" s="96">
        <v>20</v>
      </c>
      <c r="I460" s="96" t="s">
        <v>12</v>
      </c>
      <c r="J460" s="96">
        <v>1.2909999999999999</v>
      </c>
      <c r="K460" s="101">
        <v>4.2027999999999999</v>
      </c>
    </row>
    <row r="461" spans="1:11">
      <c r="A461" s="96" t="s">
        <v>22</v>
      </c>
      <c r="B461" s="98">
        <v>150</v>
      </c>
      <c r="C461" s="101">
        <v>0.59960000000000002</v>
      </c>
      <c r="D461" s="98">
        <v>7.2800000000000004E-2</v>
      </c>
      <c r="E461" s="98">
        <v>1.01E-3</v>
      </c>
      <c r="F461" s="98">
        <v>1000</v>
      </c>
      <c r="G461" s="98"/>
      <c r="H461" s="96">
        <v>20</v>
      </c>
      <c r="I461" s="96" t="s">
        <v>12</v>
      </c>
      <c r="J461" s="96">
        <v>1.2909999999999999</v>
      </c>
      <c r="K461" s="101">
        <v>4.1946000000000003</v>
      </c>
    </row>
    <row r="462" spans="1:11">
      <c r="A462" s="96" t="s">
        <v>22</v>
      </c>
      <c r="B462" s="98">
        <v>150</v>
      </c>
      <c r="C462" s="101">
        <v>0.79910000000000003</v>
      </c>
      <c r="D462" s="98">
        <v>7.2800000000000004E-2</v>
      </c>
      <c r="E462" s="98">
        <v>1.01E-3</v>
      </c>
      <c r="F462" s="98">
        <v>1000</v>
      </c>
      <c r="G462" s="98"/>
      <c r="H462" s="96">
        <v>20</v>
      </c>
      <c r="I462" s="96" t="s">
        <v>12</v>
      </c>
      <c r="J462" s="96">
        <v>1.2909999999999999</v>
      </c>
      <c r="K462" s="101">
        <v>4.2980999999999998</v>
      </c>
    </row>
    <row r="463" spans="1:11">
      <c r="A463" s="96" t="s">
        <v>22</v>
      </c>
      <c r="B463" s="98">
        <v>150</v>
      </c>
      <c r="C463" s="101">
        <v>0.99790000000000001</v>
      </c>
      <c r="D463" s="98">
        <v>7.2800000000000004E-2</v>
      </c>
      <c r="E463" s="98">
        <v>1.01E-3</v>
      </c>
      <c r="F463" s="98">
        <v>1000</v>
      </c>
      <c r="G463" s="98"/>
      <c r="H463" s="96">
        <v>20</v>
      </c>
      <c r="I463" s="96" t="s">
        <v>12</v>
      </c>
      <c r="J463" s="96">
        <v>1.2909999999999999</v>
      </c>
      <c r="K463" s="101">
        <v>4.4139999999999997</v>
      </c>
    </row>
    <row r="464" spans="1:11">
      <c r="A464" s="96" t="s">
        <v>22</v>
      </c>
      <c r="B464" s="98">
        <v>200</v>
      </c>
      <c r="C464" s="101">
        <v>0.29670000000000002</v>
      </c>
      <c r="D464" s="98">
        <v>7.2800000000000004E-2</v>
      </c>
      <c r="E464" s="98">
        <v>1.01E-3</v>
      </c>
      <c r="F464" s="98">
        <v>1000</v>
      </c>
      <c r="G464" s="98"/>
      <c r="H464" s="96">
        <v>20</v>
      </c>
      <c r="I464" s="96" t="s">
        <v>12</v>
      </c>
      <c r="J464" s="96">
        <v>1.2909999999999999</v>
      </c>
      <c r="K464" s="101">
        <v>4.5838000000000001</v>
      </c>
    </row>
    <row r="465" spans="1:11">
      <c r="A465" s="96" t="s">
        <v>22</v>
      </c>
      <c r="B465" s="98">
        <v>200</v>
      </c>
      <c r="C465" s="101">
        <v>0.40010000000000001</v>
      </c>
      <c r="D465" s="98">
        <v>7.2800000000000004E-2</v>
      </c>
      <c r="E465" s="98">
        <v>1.01E-3</v>
      </c>
      <c r="F465" s="98">
        <v>1000</v>
      </c>
      <c r="G465" s="98"/>
      <c r="H465" s="96">
        <v>20</v>
      </c>
      <c r="I465" s="96" t="s">
        <v>12</v>
      </c>
      <c r="J465" s="96">
        <v>1.2909999999999999</v>
      </c>
      <c r="K465" s="101">
        <v>4.6003999999999996</v>
      </c>
    </row>
    <row r="466" spans="1:11">
      <c r="A466" s="96" t="s">
        <v>22</v>
      </c>
      <c r="B466" s="98">
        <v>200</v>
      </c>
      <c r="C466" s="101">
        <v>0.49880000000000002</v>
      </c>
      <c r="D466" s="98">
        <v>7.2800000000000004E-2</v>
      </c>
      <c r="E466" s="98">
        <v>1.01E-3</v>
      </c>
      <c r="F466" s="98">
        <v>1000</v>
      </c>
      <c r="G466" s="98"/>
      <c r="H466" s="96">
        <v>20</v>
      </c>
      <c r="I466" s="96" t="s">
        <v>12</v>
      </c>
      <c r="J466" s="96">
        <v>1.2909999999999999</v>
      </c>
      <c r="K466" s="101">
        <v>4.6459000000000001</v>
      </c>
    </row>
    <row r="467" spans="1:11">
      <c r="A467" s="96" t="s">
        <v>22</v>
      </c>
      <c r="B467" s="98">
        <v>200</v>
      </c>
      <c r="C467" s="101">
        <v>0.60019999999999996</v>
      </c>
      <c r="D467" s="98">
        <v>7.2800000000000004E-2</v>
      </c>
      <c r="E467" s="98">
        <v>1.01E-3</v>
      </c>
      <c r="F467" s="98">
        <v>1000</v>
      </c>
      <c r="G467" s="98"/>
      <c r="H467" s="96">
        <v>20</v>
      </c>
      <c r="I467" s="96" t="s">
        <v>12</v>
      </c>
      <c r="J467" s="96">
        <v>1.2909999999999999</v>
      </c>
      <c r="K467" s="101">
        <v>4.7080000000000002</v>
      </c>
    </row>
    <row r="468" spans="1:11">
      <c r="A468" s="96" t="s">
        <v>22</v>
      </c>
      <c r="B468" s="98">
        <v>200</v>
      </c>
      <c r="C468" s="101">
        <v>0.8024</v>
      </c>
      <c r="D468" s="98">
        <v>7.2800000000000004E-2</v>
      </c>
      <c r="E468" s="98">
        <v>1.01E-3</v>
      </c>
      <c r="F468" s="98">
        <v>1000</v>
      </c>
      <c r="G468" s="98"/>
      <c r="H468" s="96">
        <v>20</v>
      </c>
      <c r="I468" s="96" t="s">
        <v>12</v>
      </c>
      <c r="J468" s="96">
        <v>1.2909999999999999</v>
      </c>
      <c r="K468" s="101">
        <v>4.7949999999999999</v>
      </c>
    </row>
    <row r="469" spans="1:11">
      <c r="A469" s="96" t="s">
        <v>22</v>
      </c>
      <c r="B469" s="98">
        <v>200</v>
      </c>
      <c r="C469" s="101">
        <v>0.99990000000000001</v>
      </c>
      <c r="D469" s="98">
        <v>7.2800000000000004E-2</v>
      </c>
      <c r="E469" s="98">
        <v>1.01E-3</v>
      </c>
      <c r="F469" s="98">
        <v>1000</v>
      </c>
      <c r="G469" s="98"/>
      <c r="H469" s="96">
        <v>20</v>
      </c>
      <c r="I469" s="96" t="s">
        <v>12</v>
      </c>
      <c r="J469" s="96">
        <v>1.2909999999999999</v>
      </c>
      <c r="K469" s="101">
        <v>4.8944000000000001</v>
      </c>
    </row>
    <row r="470" spans="1:11">
      <c r="A470" s="96" t="s">
        <v>22</v>
      </c>
      <c r="B470" s="98">
        <v>50</v>
      </c>
      <c r="C470" s="101">
        <v>0.30130000000000001</v>
      </c>
      <c r="D470" s="98">
        <v>9.6600000000000005E-2</v>
      </c>
      <c r="E470" s="98">
        <v>0.13</v>
      </c>
      <c r="F470" s="98">
        <v>1008</v>
      </c>
      <c r="G470" s="98"/>
      <c r="H470" s="96">
        <v>20</v>
      </c>
      <c r="I470" s="96" t="s">
        <v>12</v>
      </c>
      <c r="J470" s="96">
        <v>1.2909999999999999</v>
      </c>
      <c r="K470" s="101">
        <v>4.9382000000000001</v>
      </c>
    </row>
    <row r="471" spans="1:11">
      <c r="A471" s="96" t="s">
        <v>22</v>
      </c>
      <c r="B471" s="98">
        <v>50</v>
      </c>
      <c r="C471" s="101">
        <v>0.40089999999999998</v>
      </c>
      <c r="D471" s="98">
        <v>9.6600000000000005E-2</v>
      </c>
      <c r="E471" s="98">
        <v>0.13</v>
      </c>
      <c r="F471" s="98">
        <v>1008</v>
      </c>
      <c r="G471" s="98"/>
      <c r="H471" s="96">
        <v>20</v>
      </c>
      <c r="I471" s="96" t="s">
        <v>12</v>
      </c>
      <c r="J471" s="96">
        <v>1.2909999999999999</v>
      </c>
      <c r="K471" s="101">
        <v>5.0397999999999996</v>
      </c>
    </row>
    <row r="472" spans="1:11">
      <c r="A472" s="96" t="s">
        <v>22</v>
      </c>
      <c r="B472" s="98">
        <v>50</v>
      </c>
      <c r="C472" s="101">
        <v>0.50490000000000002</v>
      </c>
      <c r="D472" s="98">
        <v>9.6600000000000005E-2</v>
      </c>
      <c r="E472" s="98">
        <v>0.13</v>
      </c>
      <c r="F472" s="98">
        <v>1008</v>
      </c>
      <c r="G472" s="98"/>
      <c r="H472" s="96">
        <v>20</v>
      </c>
      <c r="I472" s="96" t="s">
        <v>12</v>
      </c>
      <c r="J472" s="96">
        <v>1.2909999999999999</v>
      </c>
      <c r="K472" s="101">
        <v>5.1778000000000004</v>
      </c>
    </row>
    <row r="473" spans="1:11">
      <c r="A473" s="96" t="s">
        <v>22</v>
      </c>
      <c r="B473" s="98">
        <v>50</v>
      </c>
      <c r="C473" s="101">
        <v>0.60370000000000001</v>
      </c>
      <c r="D473" s="98">
        <v>9.6600000000000005E-2</v>
      </c>
      <c r="E473" s="98">
        <v>0.13</v>
      </c>
      <c r="F473" s="98">
        <v>1008</v>
      </c>
      <c r="G473" s="98"/>
      <c r="H473" s="96">
        <v>20</v>
      </c>
      <c r="I473" s="96" t="s">
        <v>12</v>
      </c>
      <c r="J473" s="96">
        <v>1.2909999999999999</v>
      </c>
      <c r="K473" s="101">
        <v>5.3011999999999997</v>
      </c>
    </row>
    <row r="474" spans="1:11">
      <c r="A474" s="96" t="s">
        <v>22</v>
      </c>
      <c r="B474" s="98">
        <v>50</v>
      </c>
      <c r="C474" s="101">
        <v>0.80289999999999995</v>
      </c>
      <c r="D474" s="98">
        <v>9.6600000000000005E-2</v>
      </c>
      <c r="E474" s="98">
        <v>0.13</v>
      </c>
      <c r="F474" s="98">
        <v>1008</v>
      </c>
      <c r="G474" s="98"/>
      <c r="H474" s="96">
        <v>20</v>
      </c>
      <c r="I474" s="96" t="s">
        <v>12</v>
      </c>
      <c r="J474" s="96">
        <v>1.2909999999999999</v>
      </c>
      <c r="K474" s="101">
        <v>5.3810000000000002</v>
      </c>
    </row>
    <row r="475" spans="1:11">
      <c r="A475" s="96" t="s">
        <v>22</v>
      </c>
      <c r="B475" s="98">
        <v>50</v>
      </c>
      <c r="C475" s="101">
        <v>0.99860000000000004</v>
      </c>
      <c r="D475" s="98">
        <v>9.6600000000000005E-2</v>
      </c>
      <c r="E475" s="98">
        <v>0.13</v>
      </c>
      <c r="F475" s="98">
        <v>1008</v>
      </c>
      <c r="G475" s="98"/>
      <c r="H475" s="96">
        <v>20</v>
      </c>
      <c r="I475" s="96" t="s">
        <v>12</v>
      </c>
      <c r="J475" s="96">
        <v>1.2909999999999999</v>
      </c>
      <c r="K475" s="101">
        <v>5.4753999999999996</v>
      </c>
    </row>
    <row r="476" spans="1:11">
      <c r="A476" s="96" t="s">
        <v>22</v>
      </c>
      <c r="B476" s="98">
        <v>80</v>
      </c>
      <c r="C476" s="101">
        <v>0.30220000000000002</v>
      </c>
      <c r="D476" s="98">
        <v>9.6600000000000005E-2</v>
      </c>
      <c r="E476" s="98">
        <v>0.13</v>
      </c>
      <c r="F476" s="98">
        <v>1008</v>
      </c>
      <c r="G476" s="98"/>
      <c r="H476" s="96">
        <v>20</v>
      </c>
      <c r="I476" s="96" t="s">
        <v>12</v>
      </c>
      <c r="J476" s="96">
        <v>1.2909999999999999</v>
      </c>
      <c r="K476" s="101">
        <v>5.3955000000000002</v>
      </c>
    </row>
    <row r="477" spans="1:11">
      <c r="A477" s="96" t="s">
        <v>22</v>
      </c>
      <c r="B477" s="98">
        <v>80</v>
      </c>
      <c r="C477" s="101">
        <v>0.40179999999999999</v>
      </c>
      <c r="D477" s="98">
        <v>9.6600000000000005E-2</v>
      </c>
      <c r="E477" s="98">
        <v>0.13</v>
      </c>
      <c r="F477" s="98">
        <v>1008</v>
      </c>
      <c r="G477" s="98"/>
      <c r="H477" s="96">
        <v>20</v>
      </c>
      <c r="I477" s="96" t="s">
        <v>12</v>
      </c>
      <c r="J477" s="96">
        <v>1.2909999999999999</v>
      </c>
      <c r="K477" s="101">
        <v>5.5044000000000004</v>
      </c>
    </row>
    <row r="478" spans="1:11">
      <c r="A478" s="96" t="s">
        <v>22</v>
      </c>
      <c r="B478" s="98">
        <v>80</v>
      </c>
      <c r="C478" s="101">
        <v>0.50049999999999994</v>
      </c>
      <c r="D478" s="98">
        <v>9.6600000000000005E-2</v>
      </c>
      <c r="E478" s="98">
        <v>0.13</v>
      </c>
      <c r="F478" s="98">
        <v>1008</v>
      </c>
      <c r="G478" s="98"/>
      <c r="H478" s="96">
        <v>20</v>
      </c>
      <c r="I478" s="96" t="s">
        <v>12</v>
      </c>
      <c r="J478" s="96">
        <v>1.2909999999999999</v>
      </c>
      <c r="K478" s="101">
        <v>5.6060999999999996</v>
      </c>
    </row>
    <row r="479" spans="1:11">
      <c r="A479" s="96" t="s">
        <v>22</v>
      </c>
      <c r="B479" s="98">
        <v>80</v>
      </c>
      <c r="C479" s="101">
        <v>0.59930000000000005</v>
      </c>
      <c r="D479" s="98">
        <v>9.6600000000000005E-2</v>
      </c>
      <c r="E479" s="98">
        <v>0.13</v>
      </c>
      <c r="F479" s="98">
        <v>1008</v>
      </c>
      <c r="G479" s="98"/>
      <c r="H479" s="96">
        <v>20</v>
      </c>
      <c r="I479" s="96" t="s">
        <v>12</v>
      </c>
      <c r="J479" s="96">
        <v>1.2909999999999999</v>
      </c>
      <c r="K479" s="101">
        <v>5.5987999999999998</v>
      </c>
    </row>
    <row r="480" spans="1:11">
      <c r="A480" s="96" t="s">
        <v>22</v>
      </c>
      <c r="B480" s="98">
        <v>80</v>
      </c>
      <c r="C480" s="101">
        <v>0.7994</v>
      </c>
      <c r="D480" s="98">
        <v>9.6600000000000005E-2</v>
      </c>
      <c r="E480" s="98">
        <v>0.13</v>
      </c>
      <c r="F480" s="98">
        <v>1008</v>
      </c>
      <c r="G480" s="98"/>
      <c r="H480" s="96">
        <v>20</v>
      </c>
      <c r="I480" s="96" t="s">
        <v>12</v>
      </c>
      <c r="J480" s="96">
        <v>1.2909999999999999</v>
      </c>
      <c r="K480" s="101">
        <v>5.7077</v>
      </c>
    </row>
    <row r="481" spans="1:11">
      <c r="A481" s="96" t="s">
        <v>22</v>
      </c>
      <c r="B481" s="98">
        <v>80</v>
      </c>
      <c r="C481" s="101">
        <v>0.99860000000000004</v>
      </c>
      <c r="D481" s="98">
        <v>9.6600000000000005E-2</v>
      </c>
      <c r="E481" s="98">
        <v>0.13</v>
      </c>
      <c r="F481" s="98">
        <v>1008</v>
      </c>
      <c r="G481" s="98"/>
      <c r="H481" s="96">
        <v>20</v>
      </c>
      <c r="I481" s="96" t="s">
        <v>12</v>
      </c>
      <c r="J481" s="96">
        <v>1.2909999999999999</v>
      </c>
      <c r="K481" s="101">
        <v>5.9326999999999996</v>
      </c>
    </row>
    <row r="482" spans="1:11">
      <c r="A482" s="96" t="s">
        <v>22</v>
      </c>
      <c r="B482" s="98">
        <v>100</v>
      </c>
      <c r="C482" s="101">
        <v>0.30399999999999999</v>
      </c>
      <c r="D482" s="98">
        <v>9.6600000000000005E-2</v>
      </c>
      <c r="E482" s="98">
        <v>0.13</v>
      </c>
      <c r="F482" s="98">
        <v>1008</v>
      </c>
      <c r="G482" s="98"/>
      <c r="H482" s="96">
        <v>20</v>
      </c>
      <c r="I482" s="96" t="s">
        <v>12</v>
      </c>
      <c r="J482" s="96">
        <v>1.2909999999999999</v>
      </c>
      <c r="K482" s="101">
        <v>5.8093000000000004</v>
      </c>
    </row>
    <row r="483" spans="1:11">
      <c r="A483" s="96" t="s">
        <v>22</v>
      </c>
      <c r="B483" s="98">
        <v>100</v>
      </c>
      <c r="C483" s="101">
        <v>0.40089999999999998</v>
      </c>
      <c r="D483" s="98">
        <v>9.6600000000000005E-2</v>
      </c>
      <c r="E483" s="98">
        <v>0.13</v>
      </c>
      <c r="F483" s="98">
        <v>1008</v>
      </c>
      <c r="G483" s="98"/>
      <c r="H483" s="96">
        <v>20</v>
      </c>
      <c r="I483" s="96" t="s">
        <v>12</v>
      </c>
      <c r="J483" s="96">
        <v>1.2909999999999999</v>
      </c>
      <c r="K483" s="101">
        <v>5.8093000000000004</v>
      </c>
    </row>
    <row r="484" spans="1:11">
      <c r="A484" s="96" t="s">
        <v>22</v>
      </c>
      <c r="B484" s="98">
        <v>100</v>
      </c>
      <c r="C484" s="101">
        <v>0.50319999999999998</v>
      </c>
      <c r="D484" s="98">
        <v>9.6600000000000005E-2</v>
      </c>
      <c r="E484" s="98">
        <v>0.13</v>
      </c>
      <c r="F484" s="98">
        <v>1008</v>
      </c>
      <c r="G484" s="98"/>
      <c r="H484" s="96">
        <v>20</v>
      </c>
      <c r="I484" s="96" t="s">
        <v>12</v>
      </c>
      <c r="J484" s="96">
        <v>1.2909999999999999</v>
      </c>
      <c r="K484" s="101">
        <v>5.9181999999999997</v>
      </c>
    </row>
    <row r="485" spans="1:11">
      <c r="A485" s="96" t="s">
        <v>22</v>
      </c>
      <c r="B485" s="98">
        <v>100</v>
      </c>
      <c r="C485" s="101">
        <v>0.60009999999999997</v>
      </c>
      <c r="D485" s="98">
        <v>9.6600000000000005E-2</v>
      </c>
      <c r="E485" s="98">
        <v>0.13</v>
      </c>
      <c r="F485" s="98">
        <v>1008</v>
      </c>
      <c r="G485" s="98"/>
      <c r="H485" s="96">
        <v>20</v>
      </c>
      <c r="I485" s="96" t="s">
        <v>12</v>
      </c>
      <c r="J485" s="96">
        <v>1.2909999999999999</v>
      </c>
      <c r="K485" s="101">
        <v>6.0270999999999999</v>
      </c>
    </row>
    <row r="486" spans="1:11">
      <c r="A486" s="96" t="s">
        <v>22</v>
      </c>
      <c r="B486" s="98">
        <v>100</v>
      </c>
      <c r="C486" s="101">
        <v>0.80110000000000003</v>
      </c>
      <c r="D486" s="98">
        <v>9.6600000000000005E-2</v>
      </c>
      <c r="E486" s="98">
        <v>0.13</v>
      </c>
      <c r="F486" s="98">
        <v>1008</v>
      </c>
      <c r="G486" s="98"/>
      <c r="H486" s="96">
        <v>20</v>
      </c>
      <c r="I486" s="96" t="s">
        <v>12</v>
      </c>
      <c r="J486" s="96">
        <v>1.2909999999999999</v>
      </c>
      <c r="K486" s="101">
        <v>6.1433</v>
      </c>
    </row>
    <row r="487" spans="1:11">
      <c r="A487" s="96" t="s">
        <v>22</v>
      </c>
      <c r="B487" s="98">
        <v>100</v>
      </c>
      <c r="C487" s="101">
        <v>1.002</v>
      </c>
      <c r="D487" s="98">
        <v>9.6600000000000005E-2</v>
      </c>
      <c r="E487" s="98">
        <v>0.13</v>
      </c>
      <c r="F487" s="98">
        <v>1008</v>
      </c>
      <c r="G487" s="98"/>
      <c r="H487" s="96">
        <v>20</v>
      </c>
      <c r="I487" s="96" t="s">
        <v>12</v>
      </c>
      <c r="J487" s="96">
        <v>1.2909999999999999</v>
      </c>
      <c r="K487" s="101">
        <v>6.2739000000000003</v>
      </c>
    </row>
    <row r="488" spans="1:11">
      <c r="A488" s="96" t="s">
        <v>22</v>
      </c>
      <c r="B488" s="98">
        <v>120</v>
      </c>
      <c r="C488" s="101">
        <v>0.30099999999999999</v>
      </c>
      <c r="D488" s="98">
        <v>9.6600000000000005E-2</v>
      </c>
      <c r="E488" s="98">
        <v>0.13</v>
      </c>
      <c r="F488" s="98">
        <v>1008</v>
      </c>
      <c r="G488" s="98"/>
      <c r="H488" s="96">
        <v>20</v>
      </c>
      <c r="I488" s="96" t="s">
        <v>12</v>
      </c>
      <c r="J488" s="96">
        <v>1.2909999999999999</v>
      </c>
      <c r="K488" s="101">
        <v>6.1483999999999996</v>
      </c>
    </row>
    <row r="489" spans="1:11">
      <c r="A489" s="96" t="s">
        <v>22</v>
      </c>
      <c r="B489" s="98">
        <v>120</v>
      </c>
      <c r="C489" s="101">
        <v>0.40189999999999998</v>
      </c>
      <c r="D489" s="98">
        <v>9.6600000000000005E-2</v>
      </c>
      <c r="E489" s="98">
        <v>0.13</v>
      </c>
      <c r="F489" s="98">
        <v>1008</v>
      </c>
      <c r="G489" s="98"/>
      <c r="H489" s="96">
        <v>20</v>
      </c>
      <c r="I489" s="96" t="s">
        <v>12</v>
      </c>
      <c r="J489" s="96">
        <v>1.2909999999999999</v>
      </c>
      <c r="K489" s="101">
        <v>6.2526999999999999</v>
      </c>
    </row>
    <row r="490" spans="1:11">
      <c r="A490" s="96" t="s">
        <v>22</v>
      </c>
      <c r="B490" s="98">
        <v>120</v>
      </c>
      <c r="C490" s="101">
        <v>0.50209999999999999</v>
      </c>
      <c r="D490" s="98">
        <v>9.6600000000000005E-2</v>
      </c>
      <c r="E490" s="98">
        <v>0.13</v>
      </c>
      <c r="F490" s="98">
        <v>1008</v>
      </c>
      <c r="G490" s="98"/>
      <c r="H490" s="96">
        <v>20</v>
      </c>
      <c r="I490" s="96" t="s">
        <v>12</v>
      </c>
      <c r="J490" s="96">
        <v>1.2909999999999999</v>
      </c>
      <c r="K490" s="101">
        <v>6.2346000000000004</v>
      </c>
    </row>
    <row r="491" spans="1:11">
      <c r="A491" s="96" t="s">
        <v>22</v>
      </c>
      <c r="B491" s="98">
        <v>120</v>
      </c>
      <c r="C491" s="101">
        <v>0.6008</v>
      </c>
      <c r="D491" s="98">
        <v>9.6600000000000005E-2</v>
      </c>
      <c r="E491" s="98">
        <v>0.13</v>
      </c>
      <c r="F491" s="98">
        <v>1008</v>
      </c>
      <c r="G491" s="98"/>
      <c r="H491" s="96">
        <v>20</v>
      </c>
      <c r="I491" s="96" t="s">
        <v>12</v>
      </c>
      <c r="J491" s="96">
        <v>1.2909999999999999</v>
      </c>
      <c r="K491" s="101">
        <v>6.3662000000000001</v>
      </c>
    </row>
    <row r="492" spans="1:11">
      <c r="A492" s="96" t="s">
        <v>22</v>
      </c>
      <c r="B492" s="98">
        <v>120</v>
      </c>
      <c r="C492" s="101">
        <v>0.80069999999999997</v>
      </c>
      <c r="D492" s="98">
        <v>9.6600000000000005E-2</v>
      </c>
      <c r="E492" s="98">
        <v>0.13</v>
      </c>
      <c r="F492" s="98">
        <v>1008</v>
      </c>
      <c r="G492" s="98"/>
      <c r="H492" s="96">
        <v>20</v>
      </c>
      <c r="I492" s="96" t="s">
        <v>12</v>
      </c>
      <c r="J492" s="96">
        <v>1.2909999999999999</v>
      </c>
      <c r="K492" s="101">
        <v>6.4660000000000002</v>
      </c>
    </row>
    <row r="493" spans="1:11">
      <c r="A493" s="96" t="s">
        <v>22</v>
      </c>
      <c r="B493" s="98">
        <v>120</v>
      </c>
      <c r="C493" s="101">
        <v>1</v>
      </c>
      <c r="D493" s="98">
        <v>9.6600000000000005E-2</v>
      </c>
      <c r="E493" s="98">
        <v>0.13</v>
      </c>
      <c r="F493" s="98">
        <v>1008</v>
      </c>
      <c r="G493" s="98"/>
      <c r="H493" s="96">
        <v>20</v>
      </c>
      <c r="I493" s="96" t="s">
        <v>12</v>
      </c>
      <c r="J493" s="96">
        <v>1.2909999999999999</v>
      </c>
      <c r="K493" s="101">
        <v>6.5975999999999999</v>
      </c>
    </row>
    <row r="494" spans="1:11">
      <c r="A494" s="96" t="s">
        <v>22</v>
      </c>
      <c r="B494" s="98">
        <v>150</v>
      </c>
      <c r="C494" s="101">
        <v>0.30049999999999999</v>
      </c>
      <c r="D494" s="98">
        <v>9.6600000000000005E-2</v>
      </c>
      <c r="E494" s="98">
        <v>0.13</v>
      </c>
      <c r="F494" s="98">
        <v>1008</v>
      </c>
      <c r="G494" s="98"/>
      <c r="H494" s="96">
        <v>20</v>
      </c>
      <c r="I494" s="96" t="s">
        <v>12</v>
      </c>
      <c r="J494" s="96">
        <v>1.2909999999999999</v>
      </c>
      <c r="K494" s="101">
        <v>6.5884999999999998</v>
      </c>
    </row>
    <row r="495" spans="1:11">
      <c r="A495" s="96" t="s">
        <v>22</v>
      </c>
      <c r="B495" s="98">
        <v>150</v>
      </c>
      <c r="C495" s="101">
        <v>0.40129999999999999</v>
      </c>
      <c r="D495" s="98">
        <v>9.6600000000000005E-2</v>
      </c>
      <c r="E495" s="98">
        <v>0.13</v>
      </c>
      <c r="F495" s="98">
        <v>1008</v>
      </c>
      <c r="G495" s="98"/>
      <c r="H495" s="96">
        <v>20</v>
      </c>
      <c r="I495" s="96" t="s">
        <v>12</v>
      </c>
      <c r="J495" s="96">
        <v>1.2909999999999999</v>
      </c>
      <c r="K495" s="101">
        <v>6.6882999999999999</v>
      </c>
    </row>
    <row r="496" spans="1:11">
      <c r="A496" s="96" t="s">
        <v>22</v>
      </c>
      <c r="B496" s="98">
        <v>150</v>
      </c>
      <c r="C496" s="101">
        <v>0.50049999999999994</v>
      </c>
      <c r="D496" s="98">
        <v>9.6600000000000005E-2</v>
      </c>
      <c r="E496" s="98">
        <v>0.13</v>
      </c>
      <c r="F496" s="98">
        <v>1008</v>
      </c>
      <c r="G496" s="98"/>
      <c r="H496" s="96">
        <v>20</v>
      </c>
      <c r="I496" s="96" t="s">
        <v>12</v>
      </c>
      <c r="J496" s="96">
        <v>1.2909999999999999</v>
      </c>
      <c r="K496" s="101">
        <v>6.6837999999999997</v>
      </c>
    </row>
    <row r="497" spans="1:11">
      <c r="A497" s="96" t="s">
        <v>22</v>
      </c>
      <c r="B497" s="98">
        <v>150</v>
      </c>
      <c r="C497" s="101">
        <v>0.59799999999999998</v>
      </c>
      <c r="D497" s="98">
        <v>9.6600000000000005E-2</v>
      </c>
      <c r="E497" s="98">
        <v>0.13</v>
      </c>
      <c r="F497" s="98">
        <v>1008</v>
      </c>
      <c r="G497" s="98"/>
      <c r="H497" s="96">
        <v>20</v>
      </c>
      <c r="I497" s="96" t="s">
        <v>12</v>
      </c>
      <c r="J497" s="96">
        <v>1.2909999999999999</v>
      </c>
      <c r="K497" s="101">
        <v>6.8108000000000004</v>
      </c>
    </row>
    <row r="498" spans="1:11">
      <c r="A498" s="96" t="s">
        <v>22</v>
      </c>
      <c r="B498" s="98">
        <v>150</v>
      </c>
      <c r="C498" s="101">
        <v>0.80020000000000002</v>
      </c>
      <c r="D498" s="98">
        <v>9.6600000000000005E-2</v>
      </c>
      <c r="E498" s="98">
        <v>0.13</v>
      </c>
      <c r="F498" s="98">
        <v>1008</v>
      </c>
      <c r="G498" s="98"/>
      <c r="H498" s="96">
        <v>20</v>
      </c>
      <c r="I498" s="96" t="s">
        <v>12</v>
      </c>
      <c r="J498" s="96">
        <v>1.2909999999999999</v>
      </c>
      <c r="K498" s="101">
        <v>6.9061000000000003</v>
      </c>
    </row>
    <row r="499" spans="1:11">
      <c r="A499" s="96" t="s">
        <v>22</v>
      </c>
      <c r="B499" s="98">
        <v>150</v>
      </c>
      <c r="C499" s="101">
        <v>1.0009999999999999</v>
      </c>
      <c r="D499" s="98">
        <v>9.6600000000000005E-2</v>
      </c>
      <c r="E499" s="98">
        <v>0.13</v>
      </c>
      <c r="F499" s="98">
        <v>1008</v>
      </c>
      <c r="G499" s="98"/>
      <c r="H499" s="96">
        <v>20</v>
      </c>
      <c r="I499" s="96" t="s">
        <v>12</v>
      </c>
      <c r="J499" s="96">
        <v>1.2909999999999999</v>
      </c>
      <c r="K499" s="101">
        <v>6.9016000000000002</v>
      </c>
    </row>
    <row r="500" spans="1:11">
      <c r="A500" s="96" t="s">
        <v>22</v>
      </c>
      <c r="B500" s="98">
        <v>200</v>
      </c>
      <c r="C500" s="101">
        <v>0.30209999999999998</v>
      </c>
      <c r="D500" s="98">
        <v>9.6600000000000005E-2</v>
      </c>
      <c r="E500" s="98">
        <v>0.13</v>
      </c>
      <c r="F500" s="98">
        <v>1008</v>
      </c>
      <c r="G500" s="98"/>
      <c r="H500" s="96">
        <v>20</v>
      </c>
      <c r="I500" s="96" t="s">
        <v>12</v>
      </c>
      <c r="J500" s="96">
        <v>1.2909999999999999</v>
      </c>
      <c r="K500" s="101">
        <v>7.2373000000000003</v>
      </c>
    </row>
    <row r="501" spans="1:11">
      <c r="A501" s="96" t="s">
        <v>22</v>
      </c>
      <c r="B501" s="98">
        <v>200</v>
      </c>
      <c r="C501" s="101">
        <v>0.40079999999999999</v>
      </c>
      <c r="D501" s="98">
        <v>9.6600000000000005E-2</v>
      </c>
      <c r="E501" s="98">
        <v>0.13</v>
      </c>
      <c r="F501" s="98">
        <v>1008</v>
      </c>
      <c r="G501" s="98"/>
      <c r="H501" s="96">
        <v>20</v>
      </c>
      <c r="I501" s="96" t="s">
        <v>12</v>
      </c>
      <c r="J501" s="96">
        <v>1.2909999999999999</v>
      </c>
      <c r="K501" s="101">
        <v>7.2328000000000001</v>
      </c>
    </row>
    <row r="502" spans="1:11">
      <c r="A502" s="96" t="s">
        <v>22</v>
      </c>
      <c r="B502" s="98">
        <v>200</v>
      </c>
      <c r="C502" s="101">
        <v>0.50209999999999999</v>
      </c>
      <c r="D502" s="98">
        <v>9.6600000000000005E-2</v>
      </c>
      <c r="E502" s="98">
        <v>0.13</v>
      </c>
      <c r="F502" s="98">
        <v>1008</v>
      </c>
      <c r="G502" s="98"/>
      <c r="H502" s="96">
        <v>20</v>
      </c>
      <c r="I502" s="96" t="s">
        <v>12</v>
      </c>
      <c r="J502" s="96">
        <v>1.2909999999999999</v>
      </c>
      <c r="K502" s="101">
        <v>7.3461999999999996</v>
      </c>
    </row>
    <row r="503" spans="1:11">
      <c r="A503" s="96" t="s">
        <v>22</v>
      </c>
      <c r="B503" s="98">
        <v>200</v>
      </c>
      <c r="C503" s="101">
        <v>0.60019999999999996</v>
      </c>
      <c r="D503" s="98">
        <v>9.6600000000000005E-2</v>
      </c>
      <c r="E503" s="98">
        <v>0.13</v>
      </c>
      <c r="F503" s="98">
        <v>1008</v>
      </c>
      <c r="G503" s="98"/>
      <c r="H503" s="96">
        <v>20</v>
      </c>
      <c r="I503" s="96" t="s">
        <v>12</v>
      </c>
      <c r="J503" s="96">
        <v>1.2909999999999999</v>
      </c>
      <c r="K503" s="101">
        <v>7.3461999999999996</v>
      </c>
    </row>
    <row r="504" spans="1:11">
      <c r="A504" s="96" t="s">
        <v>22</v>
      </c>
      <c r="B504" s="98">
        <v>200</v>
      </c>
      <c r="C504" s="101">
        <v>0.79910000000000003</v>
      </c>
      <c r="D504" s="98">
        <v>9.6600000000000005E-2</v>
      </c>
      <c r="E504" s="98">
        <v>0.13</v>
      </c>
      <c r="F504" s="98">
        <v>1008</v>
      </c>
      <c r="G504" s="98"/>
      <c r="H504" s="96">
        <v>20</v>
      </c>
      <c r="I504" s="96" t="s">
        <v>12</v>
      </c>
      <c r="J504" s="96">
        <v>1.2909999999999999</v>
      </c>
      <c r="K504" s="101">
        <v>7.4641999999999999</v>
      </c>
    </row>
    <row r="505" spans="1:11">
      <c r="A505" s="96" t="s">
        <v>22</v>
      </c>
      <c r="B505" s="98">
        <v>200</v>
      </c>
      <c r="C505" s="101">
        <v>1.002</v>
      </c>
      <c r="D505" s="98">
        <v>9.6600000000000005E-2</v>
      </c>
      <c r="E505" s="98">
        <v>0.13</v>
      </c>
      <c r="F505" s="98">
        <v>1008</v>
      </c>
      <c r="G505" s="98"/>
      <c r="H505" s="96">
        <v>20</v>
      </c>
      <c r="I505" s="96" t="s">
        <v>12</v>
      </c>
      <c r="J505" s="96">
        <v>1.2909999999999999</v>
      </c>
      <c r="K505" s="101">
        <v>7.5548999999999999</v>
      </c>
    </row>
    <row r="506" spans="1:11">
      <c r="A506" s="96" t="s">
        <v>22</v>
      </c>
      <c r="B506" s="98">
        <v>50</v>
      </c>
      <c r="C506" s="101">
        <v>0.29830000000000001</v>
      </c>
      <c r="D506" s="98">
        <v>9.6600000000000005E-2</v>
      </c>
      <c r="E506" s="98">
        <v>0.13</v>
      </c>
      <c r="F506" s="98">
        <v>1008</v>
      </c>
      <c r="G506" s="98"/>
      <c r="H506" s="96">
        <v>20</v>
      </c>
      <c r="I506" s="96" t="s">
        <v>12</v>
      </c>
      <c r="J506" s="96">
        <v>1.2909999999999999</v>
      </c>
      <c r="K506" s="101">
        <v>4.3037999999999998</v>
      </c>
    </row>
    <row r="507" spans="1:11">
      <c r="A507" s="96" t="s">
        <v>22</v>
      </c>
      <c r="B507" s="98">
        <v>50</v>
      </c>
      <c r="C507" s="101">
        <v>0.40139999999999998</v>
      </c>
      <c r="D507" s="98">
        <v>9.6600000000000005E-2</v>
      </c>
      <c r="E507" s="98">
        <v>0.13</v>
      </c>
      <c r="F507" s="98">
        <v>1008</v>
      </c>
      <c r="G507" s="98"/>
      <c r="H507" s="96">
        <v>20</v>
      </c>
      <c r="I507" s="96" t="s">
        <v>12</v>
      </c>
      <c r="J507" s="96">
        <v>1.2909999999999999</v>
      </c>
      <c r="K507" s="101">
        <v>4.4577</v>
      </c>
    </row>
    <row r="508" spans="1:11">
      <c r="A508" s="96" t="s">
        <v>22</v>
      </c>
      <c r="B508" s="98">
        <v>50</v>
      </c>
      <c r="C508" s="101">
        <v>0.50109999999999999</v>
      </c>
      <c r="D508" s="98">
        <v>9.6600000000000005E-2</v>
      </c>
      <c r="E508" s="98">
        <v>0.13</v>
      </c>
      <c r="F508" s="98">
        <v>1008</v>
      </c>
      <c r="G508" s="98"/>
      <c r="H508" s="96">
        <v>20</v>
      </c>
      <c r="I508" s="96" t="s">
        <v>12</v>
      </c>
      <c r="J508" s="96">
        <v>1.2909999999999999</v>
      </c>
      <c r="K508" s="101">
        <v>4.5273000000000003</v>
      </c>
    </row>
    <row r="509" spans="1:11">
      <c r="A509" s="96" t="s">
        <v>22</v>
      </c>
      <c r="B509" s="98">
        <v>50</v>
      </c>
      <c r="C509" s="101">
        <v>0.60289999999999999</v>
      </c>
      <c r="D509" s="98">
        <v>9.6600000000000005E-2</v>
      </c>
      <c r="E509" s="98">
        <v>0.13</v>
      </c>
      <c r="F509" s="98">
        <v>1008</v>
      </c>
      <c r="G509" s="98"/>
      <c r="H509" s="96">
        <v>20</v>
      </c>
      <c r="I509" s="96" t="s">
        <v>12</v>
      </c>
      <c r="J509" s="96">
        <v>1.2909999999999999</v>
      </c>
      <c r="K509" s="101">
        <v>4.5819000000000001</v>
      </c>
    </row>
    <row r="510" spans="1:11">
      <c r="A510" s="96" t="s">
        <v>22</v>
      </c>
      <c r="B510" s="98">
        <v>50</v>
      </c>
      <c r="C510" s="101">
        <v>0.80089999999999995</v>
      </c>
      <c r="D510" s="98">
        <v>9.6600000000000005E-2</v>
      </c>
      <c r="E510" s="98">
        <v>0.13</v>
      </c>
      <c r="F510" s="98">
        <v>1008</v>
      </c>
      <c r="G510" s="98"/>
      <c r="H510" s="96">
        <v>20</v>
      </c>
      <c r="I510" s="96" t="s">
        <v>12</v>
      </c>
      <c r="J510" s="96">
        <v>1.2909999999999999</v>
      </c>
      <c r="K510" s="101">
        <v>4.6612999999999998</v>
      </c>
    </row>
    <row r="511" spans="1:11">
      <c r="A511" s="96" t="s">
        <v>22</v>
      </c>
      <c r="B511" s="98">
        <v>50</v>
      </c>
      <c r="C511" s="101">
        <v>1.002</v>
      </c>
      <c r="D511" s="98">
        <v>9.6600000000000005E-2</v>
      </c>
      <c r="E511" s="98">
        <v>0.13</v>
      </c>
      <c r="F511" s="98">
        <v>1008</v>
      </c>
      <c r="G511" s="98"/>
      <c r="H511" s="96">
        <v>20</v>
      </c>
      <c r="I511" s="96" t="s">
        <v>12</v>
      </c>
      <c r="J511" s="96">
        <v>1.2909999999999999</v>
      </c>
      <c r="K511" s="101">
        <v>4.8798000000000004</v>
      </c>
    </row>
    <row r="512" spans="1:11">
      <c r="A512" s="96" t="s">
        <v>22</v>
      </c>
      <c r="B512" s="98">
        <v>80</v>
      </c>
      <c r="C512" s="101">
        <v>0.30099999999999999</v>
      </c>
      <c r="D512" s="98">
        <v>9.6600000000000005E-2</v>
      </c>
      <c r="E512" s="98">
        <v>0.13</v>
      </c>
      <c r="F512" s="98">
        <v>1008</v>
      </c>
      <c r="G512" s="98"/>
      <c r="H512" s="96">
        <v>20</v>
      </c>
      <c r="I512" s="96" t="s">
        <v>12</v>
      </c>
      <c r="J512" s="96">
        <v>1.2909999999999999</v>
      </c>
      <c r="K512" s="101">
        <v>4.8598999999999997</v>
      </c>
    </row>
    <row r="513" spans="1:11">
      <c r="A513" s="96" t="s">
        <v>22</v>
      </c>
      <c r="B513" s="98">
        <v>80</v>
      </c>
      <c r="C513" s="101">
        <v>0.39929999999999999</v>
      </c>
      <c r="D513" s="98">
        <v>9.6600000000000005E-2</v>
      </c>
      <c r="E513" s="98">
        <v>0.13</v>
      </c>
      <c r="F513" s="98">
        <v>1008</v>
      </c>
      <c r="G513" s="98"/>
      <c r="H513" s="96">
        <v>20</v>
      </c>
      <c r="I513" s="96" t="s">
        <v>12</v>
      </c>
      <c r="J513" s="96">
        <v>1.2909999999999999</v>
      </c>
      <c r="K513" s="101">
        <v>4.8848000000000003</v>
      </c>
    </row>
    <row r="514" spans="1:11">
      <c r="A514" s="96" t="s">
        <v>22</v>
      </c>
      <c r="B514" s="98">
        <v>80</v>
      </c>
      <c r="C514" s="101">
        <v>0.49969999999999998</v>
      </c>
      <c r="D514" s="98">
        <v>9.6600000000000005E-2</v>
      </c>
      <c r="E514" s="98">
        <v>0.13</v>
      </c>
      <c r="F514" s="98">
        <v>1008</v>
      </c>
      <c r="G514" s="98"/>
      <c r="H514" s="96">
        <v>20</v>
      </c>
      <c r="I514" s="96" t="s">
        <v>12</v>
      </c>
      <c r="J514" s="96">
        <v>1.2909999999999999</v>
      </c>
      <c r="K514" s="101">
        <v>4.9840999999999998</v>
      </c>
    </row>
    <row r="515" spans="1:11">
      <c r="A515" s="96" t="s">
        <v>22</v>
      </c>
      <c r="B515" s="98">
        <v>80</v>
      </c>
      <c r="C515" s="101">
        <v>0.60009999999999997</v>
      </c>
      <c r="D515" s="98">
        <v>9.6600000000000005E-2</v>
      </c>
      <c r="E515" s="98">
        <v>0.13</v>
      </c>
      <c r="F515" s="98">
        <v>1008</v>
      </c>
      <c r="G515" s="98"/>
      <c r="H515" s="96">
        <v>20</v>
      </c>
      <c r="I515" s="96" t="s">
        <v>12</v>
      </c>
      <c r="J515" s="96">
        <v>1.2909999999999999</v>
      </c>
      <c r="K515" s="101">
        <v>5.0883000000000003</v>
      </c>
    </row>
    <row r="516" spans="1:11">
      <c r="A516" s="96" t="s">
        <v>22</v>
      </c>
      <c r="B516" s="98">
        <v>80</v>
      </c>
      <c r="C516" s="101">
        <v>0.80089999999999995</v>
      </c>
      <c r="D516" s="98">
        <v>9.6600000000000005E-2</v>
      </c>
      <c r="E516" s="98">
        <v>0.13</v>
      </c>
      <c r="F516" s="98">
        <v>1008</v>
      </c>
      <c r="G516" s="98"/>
      <c r="H516" s="96">
        <v>20</v>
      </c>
      <c r="I516" s="96" t="s">
        <v>12</v>
      </c>
      <c r="J516" s="96">
        <v>1.2909999999999999</v>
      </c>
      <c r="K516" s="101">
        <v>5.2125000000000004</v>
      </c>
    </row>
    <row r="517" spans="1:11">
      <c r="A517" s="96" t="s">
        <v>22</v>
      </c>
      <c r="B517" s="98">
        <v>80</v>
      </c>
      <c r="C517" s="101">
        <v>1.0016</v>
      </c>
      <c r="D517" s="98">
        <v>9.6600000000000005E-2</v>
      </c>
      <c r="E517" s="98">
        <v>0.13</v>
      </c>
      <c r="F517" s="98">
        <v>1008</v>
      </c>
      <c r="G517" s="98"/>
      <c r="H517" s="96">
        <v>20</v>
      </c>
      <c r="I517" s="96" t="s">
        <v>12</v>
      </c>
      <c r="J517" s="96">
        <v>1.2909999999999999</v>
      </c>
      <c r="K517" s="101">
        <v>5.3068</v>
      </c>
    </row>
    <row r="518" spans="1:11">
      <c r="A518" s="96" t="s">
        <v>22</v>
      </c>
      <c r="B518" s="98">
        <v>100</v>
      </c>
      <c r="C518" s="101">
        <v>0.29899999999999999</v>
      </c>
      <c r="D518" s="98">
        <v>9.6600000000000005E-2</v>
      </c>
      <c r="E518" s="98">
        <v>0.13</v>
      </c>
      <c r="F518" s="98">
        <v>1008</v>
      </c>
      <c r="G518" s="98"/>
      <c r="H518" s="96">
        <v>20</v>
      </c>
      <c r="I518" s="96" t="s">
        <v>12</v>
      </c>
      <c r="J518" s="96">
        <v>1.2909999999999999</v>
      </c>
      <c r="K518" s="101">
        <v>5.2173999999999996</v>
      </c>
    </row>
    <row r="519" spans="1:11">
      <c r="A519" s="96" t="s">
        <v>22</v>
      </c>
      <c r="B519" s="98">
        <v>100</v>
      </c>
      <c r="C519" s="101">
        <v>0.4</v>
      </c>
      <c r="D519" s="98">
        <v>9.6600000000000005E-2</v>
      </c>
      <c r="E519" s="98">
        <v>0.13</v>
      </c>
      <c r="F519" s="98">
        <v>1008</v>
      </c>
      <c r="G519" s="98"/>
      <c r="H519" s="96">
        <v>20</v>
      </c>
      <c r="I519" s="96" t="s">
        <v>12</v>
      </c>
      <c r="J519" s="96">
        <v>1.2909999999999999</v>
      </c>
      <c r="K519" s="101">
        <v>5.3216999999999999</v>
      </c>
    </row>
    <row r="520" spans="1:11">
      <c r="A520" s="96" t="s">
        <v>22</v>
      </c>
      <c r="B520" s="98">
        <v>100</v>
      </c>
      <c r="C520" s="101">
        <v>0.499</v>
      </c>
      <c r="D520" s="98">
        <v>9.6600000000000005E-2</v>
      </c>
      <c r="E520" s="98">
        <v>0.13</v>
      </c>
      <c r="F520" s="98">
        <v>1008</v>
      </c>
      <c r="G520" s="98"/>
      <c r="H520" s="96">
        <v>20</v>
      </c>
      <c r="I520" s="96" t="s">
        <v>12</v>
      </c>
      <c r="J520" s="96">
        <v>1.2909999999999999</v>
      </c>
      <c r="K520" s="101">
        <v>5.3167</v>
      </c>
    </row>
    <row r="521" spans="1:11">
      <c r="A521" s="96" t="s">
        <v>22</v>
      </c>
      <c r="B521" s="98">
        <v>100</v>
      </c>
      <c r="C521" s="101">
        <v>0.60289999999999999</v>
      </c>
      <c r="D521" s="98">
        <v>9.6600000000000005E-2</v>
      </c>
      <c r="E521" s="98">
        <v>0.13</v>
      </c>
      <c r="F521" s="98">
        <v>1008</v>
      </c>
      <c r="G521" s="98"/>
      <c r="H521" s="96">
        <v>20</v>
      </c>
      <c r="I521" s="96" t="s">
        <v>12</v>
      </c>
      <c r="J521" s="96">
        <v>1.2909999999999999</v>
      </c>
      <c r="K521" s="101">
        <v>5.4260000000000002</v>
      </c>
    </row>
    <row r="522" spans="1:11">
      <c r="A522" s="96" t="s">
        <v>22</v>
      </c>
      <c r="B522" s="98">
        <v>100</v>
      </c>
      <c r="C522" s="101">
        <v>0.79949999999999999</v>
      </c>
      <c r="D522" s="98">
        <v>9.6600000000000005E-2</v>
      </c>
      <c r="E522" s="98">
        <v>0.13</v>
      </c>
      <c r="F522" s="98">
        <v>1008</v>
      </c>
      <c r="G522" s="98"/>
      <c r="H522" s="96">
        <v>20</v>
      </c>
      <c r="I522" s="96" t="s">
        <v>12</v>
      </c>
      <c r="J522" s="96">
        <v>1.2909999999999999</v>
      </c>
      <c r="K522" s="101">
        <v>5.5948000000000002</v>
      </c>
    </row>
    <row r="523" spans="1:11">
      <c r="A523" s="96" t="s">
        <v>22</v>
      </c>
      <c r="B523" s="98">
        <v>100</v>
      </c>
      <c r="C523" s="101">
        <v>1.0008999999999999</v>
      </c>
      <c r="D523" s="98">
        <v>9.6600000000000005E-2</v>
      </c>
      <c r="E523" s="98">
        <v>0.13</v>
      </c>
      <c r="F523" s="98">
        <v>1008</v>
      </c>
      <c r="G523" s="98"/>
      <c r="H523" s="96">
        <v>20</v>
      </c>
      <c r="I523" s="96" t="s">
        <v>12</v>
      </c>
      <c r="J523" s="96">
        <v>1.2909999999999999</v>
      </c>
      <c r="K523" s="101">
        <v>5.6494</v>
      </c>
    </row>
    <row r="524" spans="1:11">
      <c r="A524" s="96" t="s">
        <v>22</v>
      </c>
      <c r="B524" s="98">
        <v>120</v>
      </c>
      <c r="C524" s="101">
        <v>0.30099999999999999</v>
      </c>
      <c r="D524" s="98">
        <v>9.6600000000000005E-2</v>
      </c>
      <c r="E524" s="98">
        <v>0.13</v>
      </c>
      <c r="F524" s="98">
        <v>1008</v>
      </c>
      <c r="G524" s="98"/>
      <c r="H524" s="96">
        <v>20</v>
      </c>
      <c r="I524" s="96" t="s">
        <v>12</v>
      </c>
      <c r="J524" s="96">
        <v>1.2909999999999999</v>
      </c>
      <c r="K524" s="101">
        <v>5.5401999999999996</v>
      </c>
    </row>
    <row r="525" spans="1:11">
      <c r="A525" s="96" t="s">
        <v>22</v>
      </c>
      <c r="B525" s="98">
        <v>120</v>
      </c>
      <c r="C525" s="101">
        <v>0.39800000000000002</v>
      </c>
      <c r="D525" s="98">
        <v>9.6600000000000005E-2</v>
      </c>
      <c r="E525" s="98">
        <v>0.13</v>
      </c>
      <c r="F525" s="98">
        <v>1008</v>
      </c>
      <c r="G525" s="98"/>
      <c r="H525" s="96">
        <v>20</v>
      </c>
      <c r="I525" s="96" t="s">
        <v>12</v>
      </c>
      <c r="J525" s="96">
        <v>1.2909999999999999</v>
      </c>
      <c r="K525" s="101">
        <v>5.6395</v>
      </c>
    </row>
    <row r="526" spans="1:11">
      <c r="A526" s="96" t="s">
        <v>22</v>
      </c>
      <c r="B526" s="98">
        <v>120</v>
      </c>
      <c r="C526" s="101">
        <v>0.49969999999999998</v>
      </c>
      <c r="D526" s="98">
        <v>9.6600000000000005E-2</v>
      </c>
      <c r="E526" s="98">
        <v>0.13</v>
      </c>
      <c r="F526" s="98">
        <v>1008</v>
      </c>
      <c r="G526" s="98"/>
      <c r="H526" s="96">
        <v>20</v>
      </c>
      <c r="I526" s="96" t="s">
        <v>12</v>
      </c>
      <c r="J526" s="96">
        <v>1.2909999999999999</v>
      </c>
      <c r="K526" s="101">
        <v>5.6791999999999998</v>
      </c>
    </row>
    <row r="527" spans="1:11">
      <c r="A527" s="96" t="s">
        <v>22</v>
      </c>
      <c r="B527" s="98">
        <v>120</v>
      </c>
      <c r="C527" s="101">
        <v>0.60150000000000003</v>
      </c>
      <c r="D527" s="98">
        <v>9.6600000000000005E-2</v>
      </c>
      <c r="E527" s="98">
        <v>0.13</v>
      </c>
      <c r="F527" s="98">
        <v>1008</v>
      </c>
      <c r="G527" s="98"/>
      <c r="H527" s="96">
        <v>20</v>
      </c>
      <c r="I527" s="96" t="s">
        <v>12</v>
      </c>
      <c r="J527" s="96">
        <v>1.2909999999999999</v>
      </c>
      <c r="K527" s="101">
        <v>5.7735000000000003</v>
      </c>
    </row>
    <row r="528" spans="1:11">
      <c r="A528" s="96" t="s">
        <v>22</v>
      </c>
      <c r="B528" s="98">
        <v>120</v>
      </c>
      <c r="C528" s="101">
        <v>0.80159999999999998</v>
      </c>
      <c r="D528" s="98">
        <v>9.6600000000000005E-2</v>
      </c>
      <c r="E528" s="98">
        <v>0.13</v>
      </c>
      <c r="F528" s="98">
        <v>1008</v>
      </c>
      <c r="G528" s="98"/>
      <c r="H528" s="96">
        <v>20</v>
      </c>
      <c r="I528" s="96" t="s">
        <v>12</v>
      </c>
      <c r="J528" s="96">
        <v>1.2909999999999999</v>
      </c>
      <c r="K528" s="101">
        <v>5.8977000000000004</v>
      </c>
    </row>
    <row r="529" spans="1:11">
      <c r="A529" s="96" t="s">
        <v>22</v>
      </c>
      <c r="B529" s="98">
        <v>120</v>
      </c>
      <c r="C529" s="101">
        <v>0.99960000000000004</v>
      </c>
      <c r="D529" s="98">
        <v>9.6600000000000005E-2</v>
      </c>
      <c r="E529" s="98">
        <v>0.13</v>
      </c>
      <c r="F529" s="98">
        <v>1008</v>
      </c>
      <c r="G529" s="98"/>
      <c r="H529" s="96">
        <v>20</v>
      </c>
      <c r="I529" s="96" t="s">
        <v>12</v>
      </c>
      <c r="J529" s="96">
        <v>1.2909999999999999</v>
      </c>
      <c r="K529" s="101">
        <v>5.9870000000000001</v>
      </c>
    </row>
    <row r="530" spans="1:11">
      <c r="A530" s="96" t="s">
        <v>22</v>
      </c>
      <c r="B530" s="98">
        <v>150</v>
      </c>
      <c r="C530" s="101">
        <v>0.29620000000000002</v>
      </c>
      <c r="D530" s="98">
        <v>9.6600000000000005E-2</v>
      </c>
      <c r="E530" s="98">
        <v>0.13</v>
      </c>
      <c r="F530" s="98">
        <v>1008</v>
      </c>
      <c r="G530" s="98"/>
      <c r="H530" s="96">
        <v>20</v>
      </c>
      <c r="I530" s="96" t="s">
        <v>12</v>
      </c>
      <c r="J530" s="96">
        <v>1.2909999999999999</v>
      </c>
      <c r="K530" s="101">
        <v>6.1062000000000003</v>
      </c>
    </row>
    <row r="531" spans="1:11">
      <c r="A531" s="96" t="s">
        <v>22</v>
      </c>
      <c r="B531" s="98">
        <v>150</v>
      </c>
      <c r="C531" s="101">
        <v>0.40279999999999999</v>
      </c>
      <c r="D531" s="98">
        <v>9.6600000000000005E-2</v>
      </c>
      <c r="E531" s="98">
        <v>0.13</v>
      </c>
      <c r="F531" s="98">
        <v>1008</v>
      </c>
      <c r="G531" s="98"/>
      <c r="H531" s="96">
        <v>20</v>
      </c>
      <c r="I531" s="96" t="s">
        <v>12</v>
      </c>
      <c r="J531" s="96">
        <v>1.2909999999999999</v>
      </c>
      <c r="K531" s="101">
        <v>6.1012000000000004</v>
      </c>
    </row>
    <row r="532" spans="1:11">
      <c r="A532" s="96" t="s">
        <v>22</v>
      </c>
      <c r="B532" s="98">
        <v>150</v>
      </c>
      <c r="C532" s="101">
        <v>0.50039999999999996</v>
      </c>
      <c r="D532" s="98">
        <v>9.6600000000000005E-2</v>
      </c>
      <c r="E532" s="98">
        <v>0.13</v>
      </c>
      <c r="F532" s="98">
        <v>1008</v>
      </c>
      <c r="G532" s="98"/>
      <c r="H532" s="96">
        <v>20</v>
      </c>
      <c r="I532" s="96" t="s">
        <v>12</v>
      </c>
      <c r="J532" s="96">
        <v>1.2909999999999999</v>
      </c>
      <c r="K532" s="101">
        <v>6.2253999999999996</v>
      </c>
    </row>
    <row r="533" spans="1:11">
      <c r="A533" s="96" t="s">
        <v>22</v>
      </c>
      <c r="B533" s="98">
        <v>150</v>
      </c>
      <c r="C533" s="101">
        <v>0.60009999999999997</v>
      </c>
      <c r="D533" s="98">
        <v>9.6600000000000005E-2</v>
      </c>
      <c r="E533" s="98">
        <v>0.13</v>
      </c>
      <c r="F533" s="98">
        <v>1008</v>
      </c>
      <c r="G533" s="98"/>
      <c r="H533" s="96">
        <v>20</v>
      </c>
      <c r="I533" s="96" t="s">
        <v>12</v>
      </c>
      <c r="J533" s="96">
        <v>1.2909999999999999</v>
      </c>
      <c r="K533" s="101">
        <v>6.2750000000000004</v>
      </c>
    </row>
    <row r="534" spans="1:11">
      <c r="A534" s="96" t="s">
        <v>22</v>
      </c>
      <c r="B534" s="98">
        <v>150</v>
      </c>
      <c r="C534" s="101">
        <v>0.80220000000000002</v>
      </c>
      <c r="D534" s="98">
        <v>9.6600000000000005E-2</v>
      </c>
      <c r="E534" s="98">
        <v>0.13</v>
      </c>
      <c r="F534" s="98">
        <v>1008</v>
      </c>
      <c r="G534" s="98"/>
      <c r="H534" s="96">
        <v>20</v>
      </c>
      <c r="I534" s="96" t="s">
        <v>12</v>
      </c>
      <c r="J534" s="96">
        <v>1.2909999999999999</v>
      </c>
      <c r="K534" s="101">
        <v>6.2949000000000002</v>
      </c>
    </row>
    <row r="535" spans="1:11">
      <c r="A535" s="96" t="s">
        <v>22</v>
      </c>
      <c r="B535" s="98">
        <v>150</v>
      </c>
      <c r="C535" s="101">
        <v>1.0016</v>
      </c>
      <c r="D535" s="98">
        <v>9.6600000000000005E-2</v>
      </c>
      <c r="E535" s="98">
        <v>0.13</v>
      </c>
      <c r="F535" s="98">
        <v>1008</v>
      </c>
      <c r="G535" s="98"/>
      <c r="H535" s="96">
        <v>20</v>
      </c>
      <c r="I535" s="96" t="s">
        <v>12</v>
      </c>
      <c r="J535" s="96">
        <v>1.2909999999999999</v>
      </c>
      <c r="K535" s="101">
        <v>6.4438000000000004</v>
      </c>
    </row>
    <row r="536" spans="1:11">
      <c r="A536" s="96" t="s">
        <v>22</v>
      </c>
      <c r="B536" s="98">
        <v>200</v>
      </c>
      <c r="C536" s="101">
        <v>0.29830000000000001</v>
      </c>
      <c r="D536" s="98">
        <v>9.6600000000000005E-2</v>
      </c>
      <c r="E536" s="98">
        <v>0.13</v>
      </c>
      <c r="F536" s="98">
        <v>1008</v>
      </c>
      <c r="G536" s="98"/>
      <c r="H536" s="96">
        <v>20</v>
      </c>
      <c r="I536" s="96" t="s">
        <v>12</v>
      </c>
      <c r="J536" s="96">
        <v>1.2909999999999999</v>
      </c>
      <c r="K536" s="101">
        <v>6.6673</v>
      </c>
    </row>
    <row r="537" spans="1:11">
      <c r="A537" s="96" t="s">
        <v>22</v>
      </c>
      <c r="B537" s="98">
        <v>200</v>
      </c>
      <c r="C537" s="101">
        <v>0.40210000000000001</v>
      </c>
      <c r="D537" s="98">
        <v>9.6600000000000005E-2</v>
      </c>
      <c r="E537" s="98">
        <v>0.13</v>
      </c>
      <c r="F537" s="98">
        <v>1008</v>
      </c>
      <c r="G537" s="98"/>
      <c r="H537" s="96">
        <v>20</v>
      </c>
      <c r="I537" s="96" t="s">
        <v>12</v>
      </c>
      <c r="J537" s="96">
        <v>1.2909999999999999</v>
      </c>
      <c r="K537" s="101">
        <v>6.7567000000000004</v>
      </c>
    </row>
    <row r="538" spans="1:11">
      <c r="A538" s="96" t="s">
        <v>22</v>
      </c>
      <c r="B538" s="98">
        <v>200</v>
      </c>
      <c r="C538" s="101">
        <v>0.499</v>
      </c>
      <c r="D538" s="98">
        <v>9.6600000000000005E-2</v>
      </c>
      <c r="E538" s="98">
        <v>0.13</v>
      </c>
      <c r="F538" s="98">
        <v>1008</v>
      </c>
      <c r="G538" s="98"/>
      <c r="H538" s="96">
        <v>20</v>
      </c>
      <c r="I538" s="96" t="s">
        <v>12</v>
      </c>
      <c r="J538" s="96">
        <v>1.2909999999999999</v>
      </c>
      <c r="K538" s="101">
        <v>6.7714999999999996</v>
      </c>
    </row>
    <row r="539" spans="1:11">
      <c r="A539" s="96" t="s">
        <v>22</v>
      </c>
      <c r="B539" s="98">
        <v>200</v>
      </c>
      <c r="C539" s="101">
        <v>0.6008</v>
      </c>
      <c r="D539" s="98">
        <v>9.6600000000000005E-2</v>
      </c>
      <c r="E539" s="98">
        <v>0.13</v>
      </c>
      <c r="F539" s="98">
        <v>1008</v>
      </c>
      <c r="G539" s="98"/>
      <c r="H539" s="96">
        <v>20</v>
      </c>
      <c r="I539" s="96" t="s">
        <v>12</v>
      </c>
      <c r="J539" s="96">
        <v>1.2909999999999999</v>
      </c>
      <c r="K539" s="101">
        <v>6.8807999999999998</v>
      </c>
    </row>
    <row r="540" spans="1:11">
      <c r="A540" s="96" t="s">
        <v>22</v>
      </c>
      <c r="B540" s="98">
        <v>200</v>
      </c>
      <c r="C540" s="101">
        <v>0.79810000000000003</v>
      </c>
      <c r="D540" s="98">
        <v>9.6600000000000005E-2</v>
      </c>
      <c r="E540" s="98">
        <v>0.13</v>
      </c>
      <c r="F540" s="98">
        <v>1008</v>
      </c>
      <c r="G540" s="98"/>
      <c r="H540" s="96">
        <v>20</v>
      </c>
      <c r="I540" s="96" t="s">
        <v>12</v>
      </c>
      <c r="J540" s="96">
        <v>1.2909999999999999</v>
      </c>
      <c r="K540" s="101">
        <v>6.8757999999999999</v>
      </c>
    </row>
    <row r="541" spans="1:11">
      <c r="A541" s="96" t="s">
        <v>22</v>
      </c>
      <c r="B541" s="98">
        <v>200</v>
      </c>
      <c r="C541" s="101">
        <v>1</v>
      </c>
      <c r="D541" s="98">
        <v>9.6600000000000005E-2</v>
      </c>
      <c r="E541" s="98">
        <v>0.13</v>
      </c>
      <c r="F541" s="98">
        <v>1008</v>
      </c>
      <c r="G541" s="98"/>
      <c r="H541" s="96">
        <v>20</v>
      </c>
      <c r="I541" s="96" t="s">
        <v>12</v>
      </c>
      <c r="J541" s="96">
        <v>1.2909999999999999</v>
      </c>
      <c r="K541" s="101">
        <v>6.9801000000000002</v>
      </c>
    </row>
    <row r="542" spans="1:11">
      <c r="A542" s="96" t="s">
        <v>22</v>
      </c>
      <c r="B542" s="98">
        <v>50</v>
      </c>
      <c r="C542" s="101">
        <v>0.29799999999999999</v>
      </c>
      <c r="D542" s="98">
        <v>9.6600000000000005E-2</v>
      </c>
      <c r="E542" s="98">
        <v>0.13</v>
      </c>
      <c r="F542" s="98">
        <v>1008</v>
      </c>
      <c r="G542" s="98"/>
      <c r="H542" s="96">
        <v>20</v>
      </c>
      <c r="I542" s="96" t="s">
        <v>12</v>
      </c>
      <c r="J542" s="96">
        <v>1.2909999999999999</v>
      </c>
      <c r="K542" s="101">
        <v>3.6810999999999998</v>
      </c>
    </row>
    <row r="543" spans="1:11">
      <c r="A543" s="96" t="s">
        <v>22</v>
      </c>
      <c r="B543" s="98">
        <v>50</v>
      </c>
      <c r="C543" s="101">
        <v>0.39939999999999998</v>
      </c>
      <c r="D543" s="98">
        <v>9.6600000000000005E-2</v>
      </c>
      <c r="E543" s="98">
        <v>0.13</v>
      </c>
      <c r="F543" s="98">
        <v>1008</v>
      </c>
      <c r="G543" s="98"/>
      <c r="H543" s="96">
        <v>20</v>
      </c>
      <c r="I543" s="96" t="s">
        <v>12</v>
      </c>
      <c r="J543" s="96">
        <v>1.2909999999999999</v>
      </c>
      <c r="K543" s="101">
        <v>3.8094999999999999</v>
      </c>
    </row>
    <row r="544" spans="1:11">
      <c r="A544" s="96" t="s">
        <v>22</v>
      </c>
      <c r="B544" s="98">
        <v>50</v>
      </c>
      <c r="C544" s="101">
        <v>0.50019999999999998</v>
      </c>
      <c r="D544" s="98">
        <v>9.6600000000000005E-2</v>
      </c>
      <c r="E544" s="98">
        <v>0.13</v>
      </c>
      <c r="F544" s="98">
        <v>1008</v>
      </c>
      <c r="G544" s="98"/>
      <c r="H544" s="96">
        <v>20</v>
      </c>
      <c r="I544" s="96" t="s">
        <v>12</v>
      </c>
      <c r="J544" s="96">
        <v>1.2909999999999999</v>
      </c>
      <c r="K544" s="101">
        <v>3.8302</v>
      </c>
    </row>
    <row r="545" spans="1:11">
      <c r="A545" s="96" t="s">
        <v>22</v>
      </c>
      <c r="B545" s="98">
        <v>50</v>
      </c>
      <c r="C545" s="101">
        <v>0.59760000000000002</v>
      </c>
      <c r="D545" s="98">
        <v>9.6600000000000005E-2</v>
      </c>
      <c r="E545" s="98">
        <v>0.13</v>
      </c>
      <c r="F545" s="98">
        <v>1008</v>
      </c>
      <c r="G545" s="98"/>
      <c r="H545" s="96">
        <v>20</v>
      </c>
      <c r="I545" s="96" t="s">
        <v>12</v>
      </c>
      <c r="J545" s="96">
        <v>1.2909999999999999</v>
      </c>
      <c r="K545" s="101">
        <v>3.8799000000000001</v>
      </c>
    </row>
    <row r="546" spans="1:11">
      <c r="A546" s="96" t="s">
        <v>22</v>
      </c>
      <c r="B546" s="98">
        <v>50</v>
      </c>
      <c r="C546" s="101">
        <v>0.8024</v>
      </c>
      <c r="D546" s="98">
        <v>9.6600000000000005E-2</v>
      </c>
      <c r="E546" s="98">
        <v>0.13</v>
      </c>
      <c r="F546" s="98">
        <v>1008</v>
      </c>
      <c r="G546" s="98"/>
      <c r="H546" s="96">
        <v>20</v>
      </c>
      <c r="I546" s="96" t="s">
        <v>12</v>
      </c>
      <c r="J546" s="96">
        <v>1.2909999999999999</v>
      </c>
      <c r="K546" s="101">
        <v>3.9958</v>
      </c>
    </row>
    <row r="547" spans="1:11">
      <c r="A547" s="96" t="s">
        <v>22</v>
      </c>
      <c r="B547" s="98">
        <v>50</v>
      </c>
      <c r="C547" s="101">
        <v>0.99850000000000005</v>
      </c>
      <c r="D547" s="98">
        <v>9.6600000000000005E-2</v>
      </c>
      <c r="E547" s="98">
        <v>0.13</v>
      </c>
      <c r="F547" s="98">
        <v>1008</v>
      </c>
      <c r="G547" s="98"/>
      <c r="H547" s="96">
        <v>20</v>
      </c>
      <c r="I547" s="96" t="s">
        <v>12</v>
      </c>
      <c r="J547" s="96">
        <v>1.2909999999999999</v>
      </c>
      <c r="K547" s="101">
        <v>4.1904000000000003</v>
      </c>
    </row>
    <row r="548" spans="1:11">
      <c r="A548" s="96" t="s">
        <v>22</v>
      </c>
      <c r="B548" s="98">
        <v>80</v>
      </c>
      <c r="C548" s="101">
        <v>0.30070000000000002</v>
      </c>
      <c r="D548" s="98">
        <v>9.6600000000000005E-2</v>
      </c>
      <c r="E548" s="98">
        <v>0.13</v>
      </c>
      <c r="F548" s="98">
        <v>1008</v>
      </c>
      <c r="G548" s="98"/>
      <c r="H548" s="96">
        <v>20</v>
      </c>
      <c r="I548" s="96" t="s">
        <v>12</v>
      </c>
      <c r="J548" s="96">
        <v>1.2909999999999999</v>
      </c>
      <c r="K548" s="101">
        <v>4.0910000000000002</v>
      </c>
    </row>
    <row r="549" spans="1:11">
      <c r="A549" s="96" t="s">
        <v>22</v>
      </c>
      <c r="B549" s="98">
        <v>80</v>
      </c>
      <c r="C549" s="101">
        <v>0.40350000000000003</v>
      </c>
      <c r="D549" s="98">
        <v>9.6600000000000005E-2</v>
      </c>
      <c r="E549" s="98">
        <v>0.13</v>
      </c>
      <c r="F549" s="98">
        <v>1008</v>
      </c>
      <c r="G549" s="98"/>
      <c r="H549" s="96">
        <v>20</v>
      </c>
      <c r="I549" s="96" t="s">
        <v>12</v>
      </c>
      <c r="J549" s="96">
        <v>1.2909999999999999</v>
      </c>
      <c r="K549" s="101">
        <v>4.2027999999999999</v>
      </c>
    </row>
    <row r="550" spans="1:11">
      <c r="A550" s="96" t="s">
        <v>22</v>
      </c>
      <c r="B550" s="98">
        <v>80</v>
      </c>
      <c r="C550" s="101">
        <v>0.50149999999999995</v>
      </c>
      <c r="D550" s="98">
        <v>9.6600000000000005E-2</v>
      </c>
      <c r="E550" s="98">
        <v>0.13</v>
      </c>
      <c r="F550" s="98">
        <v>1008</v>
      </c>
      <c r="G550" s="98"/>
      <c r="H550" s="96">
        <v>20</v>
      </c>
      <c r="I550" s="96" t="s">
        <v>12</v>
      </c>
      <c r="J550" s="96">
        <v>1.2909999999999999</v>
      </c>
      <c r="K550" s="101">
        <v>4.3022</v>
      </c>
    </row>
    <row r="551" spans="1:11">
      <c r="A551" s="96" t="s">
        <v>22</v>
      </c>
      <c r="B551" s="98">
        <v>80</v>
      </c>
      <c r="C551" s="101">
        <v>0.59960000000000002</v>
      </c>
      <c r="D551" s="98">
        <v>9.6600000000000005E-2</v>
      </c>
      <c r="E551" s="98">
        <v>0.13</v>
      </c>
      <c r="F551" s="98">
        <v>1008</v>
      </c>
      <c r="G551" s="98"/>
      <c r="H551" s="96">
        <v>20</v>
      </c>
      <c r="I551" s="96" t="s">
        <v>12</v>
      </c>
      <c r="J551" s="96">
        <v>1.2909999999999999</v>
      </c>
      <c r="K551" s="101">
        <v>4.3105000000000002</v>
      </c>
    </row>
    <row r="552" spans="1:11">
      <c r="A552" s="96" t="s">
        <v>22</v>
      </c>
      <c r="B552" s="98">
        <v>80</v>
      </c>
      <c r="C552" s="101">
        <v>0.79969999999999997</v>
      </c>
      <c r="D552" s="98">
        <v>9.6600000000000005E-2</v>
      </c>
      <c r="E552" s="98">
        <v>0.13</v>
      </c>
      <c r="F552" s="98">
        <v>1008</v>
      </c>
      <c r="G552" s="98"/>
      <c r="H552" s="96">
        <v>20</v>
      </c>
      <c r="I552" s="96" t="s">
        <v>12</v>
      </c>
      <c r="J552" s="96">
        <v>1.2909999999999999</v>
      </c>
      <c r="K552" s="101">
        <v>4.3975</v>
      </c>
    </row>
    <row r="553" spans="1:11">
      <c r="A553" s="96" t="s">
        <v>22</v>
      </c>
      <c r="B553" s="98">
        <v>80</v>
      </c>
      <c r="C553" s="101">
        <v>1.0019</v>
      </c>
      <c r="D553" s="98">
        <v>9.6600000000000005E-2</v>
      </c>
      <c r="E553" s="98">
        <v>0.13</v>
      </c>
      <c r="F553" s="98">
        <v>1008</v>
      </c>
      <c r="G553" s="98"/>
      <c r="H553" s="96">
        <v>20</v>
      </c>
      <c r="I553" s="96" t="s">
        <v>12</v>
      </c>
      <c r="J553" s="96">
        <v>1.2909999999999999</v>
      </c>
      <c r="K553" s="101">
        <v>4.4802999999999997</v>
      </c>
    </row>
    <row r="554" spans="1:11">
      <c r="A554" s="96" t="s">
        <v>22</v>
      </c>
      <c r="B554" s="98">
        <v>100</v>
      </c>
      <c r="C554" s="101">
        <v>0.29870000000000002</v>
      </c>
      <c r="D554" s="98">
        <v>9.6600000000000005E-2</v>
      </c>
      <c r="E554" s="98">
        <v>0.13</v>
      </c>
      <c r="F554" s="98">
        <v>1008</v>
      </c>
      <c r="G554" s="98"/>
      <c r="H554" s="96">
        <v>20</v>
      </c>
      <c r="I554" s="96" t="s">
        <v>12</v>
      </c>
      <c r="J554" s="96">
        <v>1.2909999999999999</v>
      </c>
      <c r="K554" s="101">
        <v>4.5050999999999997</v>
      </c>
    </row>
    <row r="555" spans="1:11">
      <c r="A555" s="96" t="s">
        <v>22</v>
      </c>
      <c r="B555" s="98">
        <v>100</v>
      </c>
      <c r="C555" s="101">
        <v>0.39939999999999998</v>
      </c>
      <c r="D555" s="98">
        <v>9.6600000000000005E-2</v>
      </c>
      <c r="E555" s="98">
        <v>0.13</v>
      </c>
      <c r="F555" s="98">
        <v>1008</v>
      </c>
      <c r="G555" s="98"/>
      <c r="H555" s="96">
        <v>20</v>
      </c>
      <c r="I555" s="96" t="s">
        <v>12</v>
      </c>
      <c r="J555" s="96">
        <v>1.2909999999999999</v>
      </c>
      <c r="K555" s="101">
        <v>4.4927000000000001</v>
      </c>
    </row>
    <row r="556" spans="1:11">
      <c r="A556" s="96" t="s">
        <v>22</v>
      </c>
      <c r="B556" s="98">
        <v>100</v>
      </c>
      <c r="C556" s="101">
        <v>0.4995</v>
      </c>
      <c r="D556" s="98">
        <v>9.6600000000000005E-2</v>
      </c>
      <c r="E556" s="98">
        <v>0.13</v>
      </c>
      <c r="F556" s="98">
        <v>1008</v>
      </c>
      <c r="G556" s="98"/>
      <c r="H556" s="96">
        <v>20</v>
      </c>
      <c r="I556" s="96" t="s">
        <v>12</v>
      </c>
      <c r="J556" s="96">
        <v>1.2909999999999999</v>
      </c>
      <c r="K556" s="101">
        <v>4.6128</v>
      </c>
    </row>
    <row r="557" spans="1:11">
      <c r="A557" s="96" t="s">
        <v>22</v>
      </c>
      <c r="B557" s="98">
        <v>100</v>
      </c>
      <c r="C557" s="101">
        <v>0.59889999999999999</v>
      </c>
      <c r="D557" s="98">
        <v>9.6600000000000005E-2</v>
      </c>
      <c r="E557" s="98">
        <v>0.13</v>
      </c>
      <c r="F557" s="98">
        <v>1008</v>
      </c>
      <c r="G557" s="98"/>
      <c r="H557" s="96">
        <v>20</v>
      </c>
      <c r="I557" s="96" t="s">
        <v>12</v>
      </c>
      <c r="J557" s="96">
        <v>1.2909999999999999</v>
      </c>
      <c r="K557" s="101">
        <v>4.6955999999999998</v>
      </c>
    </row>
    <row r="558" spans="1:11">
      <c r="A558" s="96" t="s">
        <v>22</v>
      </c>
      <c r="B558" s="98">
        <v>100</v>
      </c>
      <c r="C558" s="102">
        <v>0.8</v>
      </c>
      <c r="D558" s="98">
        <v>9.6600000000000005E-2</v>
      </c>
      <c r="E558" s="98">
        <v>0.13</v>
      </c>
      <c r="F558" s="98">
        <v>1008</v>
      </c>
      <c r="G558" s="98"/>
      <c r="H558" s="96">
        <v>20</v>
      </c>
      <c r="I558" s="96" t="s">
        <v>12</v>
      </c>
      <c r="J558" s="96">
        <v>1.2909999999999999</v>
      </c>
      <c r="K558" s="101">
        <v>4.7949999999999999</v>
      </c>
    </row>
    <row r="559" spans="1:11">
      <c r="A559" s="96" t="s">
        <v>22</v>
      </c>
      <c r="B559" s="98">
        <v>100</v>
      </c>
      <c r="C559" s="101">
        <v>1</v>
      </c>
      <c r="D559" s="98">
        <v>9.6600000000000005E-2</v>
      </c>
      <c r="E559" s="98">
        <v>0.13</v>
      </c>
      <c r="F559" s="98">
        <v>1008</v>
      </c>
      <c r="G559" s="98"/>
      <c r="H559" s="96">
        <v>20</v>
      </c>
      <c r="I559" s="96" t="s">
        <v>12</v>
      </c>
      <c r="J559" s="96">
        <v>1.2909999999999999</v>
      </c>
      <c r="K559" s="101">
        <v>4.9067999999999996</v>
      </c>
    </row>
    <row r="560" spans="1:11">
      <c r="A560" s="96" t="s">
        <v>22</v>
      </c>
      <c r="B560" s="98">
        <v>120</v>
      </c>
      <c r="C560" s="101">
        <v>0.3</v>
      </c>
      <c r="D560" s="98">
        <v>9.6600000000000005E-2</v>
      </c>
      <c r="E560" s="98">
        <v>0.13</v>
      </c>
      <c r="F560" s="98">
        <v>1008</v>
      </c>
      <c r="G560" s="98"/>
      <c r="H560" s="96">
        <v>20</v>
      </c>
      <c r="I560" s="96" t="s">
        <v>12</v>
      </c>
      <c r="J560" s="96">
        <v>1.2909999999999999</v>
      </c>
      <c r="K560" s="101">
        <v>4.7866999999999997</v>
      </c>
    </row>
    <row r="561" spans="1:11">
      <c r="A561" s="96" t="s">
        <v>22</v>
      </c>
      <c r="B561" s="98">
        <v>120</v>
      </c>
      <c r="C561" s="101">
        <v>0.40210000000000001</v>
      </c>
      <c r="D561" s="98">
        <v>9.6600000000000005E-2</v>
      </c>
      <c r="E561" s="98">
        <v>0.13</v>
      </c>
      <c r="F561" s="98">
        <v>1008</v>
      </c>
      <c r="G561" s="98"/>
      <c r="H561" s="96">
        <v>20</v>
      </c>
      <c r="I561" s="96" t="s">
        <v>12</v>
      </c>
      <c r="J561" s="96">
        <v>1.2909999999999999</v>
      </c>
      <c r="K561" s="101">
        <v>4.8860999999999999</v>
      </c>
    </row>
    <row r="562" spans="1:11">
      <c r="A562" s="96" t="s">
        <v>22</v>
      </c>
      <c r="B562" s="98">
        <v>120</v>
      </c>
      <c r="C562" s="101">
        <v>0.50219999999999998</v>
      </c>
      <c r="D562" s="98">
        <v>9.6600000000000005E-2</v>
      </c>
      <c r="E562" s="98">
        <v>0.13</v>
      </c>
      <c r="F562" s="98">
        <v>1008</v>
      </c>
      <c r="G562" s="98"/>
      <c r="H562" s="96">
        <v>20</v>
      </c>
      <c r="I562" s="96" t="s">
        <v>12</v>
      </c>
      <c r="J562" s="96">
        <v>1.2909999999999999</v>
      </c>
      <c r="K562" s="101">
        <v>4.8944000000000001</v>
      </c>
    </row>
    <row r="563" spans="1:11">
      <c r="A563" s="96" t="s">
        <v>22</v>
      </c>
      <c r="B563" s="98">
        <v>120</v>
      </c>
      <c r="C563" s="101">
        <v>0.60089999999999999</v>
      </c>
      <c r="D563" s="98">
        <v>9.6600000000000005E-2</v>
      </c>
      <c r="E563" s="98">
        <v>0.13</v>
      </c>
      <c r="F563" s="98">
        <v>1008</v>
      </c>
      <c r="G563" s="98"/>
      <c r="H563" s="96">
        <v>20</v>
      </c>
      <c r="I563" s="96" t="s">
        <v>12</v>
      </c>
      <c r="J563" s="96">
        <v>1.2909999999999999</v>
      </c>
      <c r="K563" s="101">
        <v>4.9978999999999996</v>
      </c>
    </row>
    <row r="564" spans="1:11">
      <c r="A564" s="96" t="s">
        <v>22</v>
      </c>
      <c r="B564" s="98">
        <v>120</v>
      </c>
      <c r="C564" s="101">
        <v>0.80379999999999996</v>
      </c>
      <c r="D564" s="98">
        <v>9.6600000000000005E-2</v>
      </c>
      <c r="E564" s="98">
        <v>0.13</v>
      </c>
      <c r="F564" s="98">
        <v>1008</v>
      </c>
      <c r="G564" s="98"/>
      <c r="H564" s="96">
        <v>20</v>
      </c>
      <c r="I564" s="96" t="s">
        <v>12</v>
      </c>
      <c r="J564" s="96">
        <v>1.2909999999999999</v>
      </c>
      <c r="K564" s="101">
        <v>4.9978999999999996</v>
      </c>
    </row>
    <row r="565" spans="1:11">
      <c r="A565" s="96" t="s">
        <v>22</v>
      </c>
      <c r="B565" s="98">
        <v>120</v>
      </c>
      <c r="C565" s="101">
        <v>0.99850000000000005</v>
      </c>
      <c r="D565" s="98">
        <v>9.6600000000000005E-2</v>
      </c>
      <c r="E565" s="98">
        <v>0.13</v>
      </c>
      <c r="F565" s="98">
        <v>1008</v>
      </c>
      <c r="G565" s="98"/>
      <c r="H565" s="96">
        <v>20</v>
      </c>
      <c r="I565" s="96" t="s">
        <v>12</v>
      </c>
      <c r="J565" s="96">
        <v>1.2909999999999999</v>
      </c>
      <c r="K565" s="101">
        <v>5.0972999999999997</v>
      </c>
    </row>
    <row r="566" spans="1:11">
      <c r="A566" s="96" t="s">
        <v>22</v>
      </c>
      <c r="B566" s="98">
        <v>150</v>
      </c>
      <c r="C566" s="101">
        <v>0.2994</v>
      </c>
      <c r="D566" s="98">
        <v>9.6600000000000005E-2</v>
      </c>
      <c r="E566" s="98">
        <v>0.13</v>
      </c>
      <c r="F566" s="98">
        <v>1008</v>
      </c>
      <c r="G566" s="98"/>
      <c r="H566" s="96">
        <v>20</v>
      </c>
      <c r="I566" s="96" t="s">
        <v>12</v>
      </c>
      <c r="J566" s="96">
        <v>1.2909999999999999</v>
      </c>
      <c r="K566" s="101">
        <v>5.2008000000000001</v>
      </c>
    </row>
    <row r="567" spans="1:11">
      <c r="A567" s="96" t="s">
        <v>22</v>
      </c>
      <c r="B567" s="98">
        <v>150</v>
      </c>
      <c r="C567" s="101">
        <v>0.40010000000000001</v>
      </c>
      <c r="D567" s="98">
        <v>9.6600000000000005E-2</v>
      </c>
      <c r="E567" s="98">
        <v>0.13</v>
      </c>
      <c r="F567" s="98">
        <v>1008</v>
      </c>
      <c r="G567" s="98"/>
      <c r="H567" s="96">
        <v>20</v>
      </c>
      <c r="I567" s="96" t="s">
        <v>12</v>
      </c>
      <c r="J567" s="96">
        <v>1.2909999999999999</v>
      </c>
      <c r="K567" s="101">
        <v>5.3002000000000002</v>
      </c>
    </row>
    <row r="568" spans="1:11">
      <c r="A568" s="96" t="s">
        <v>22</v>
      </c>
      <c r="B568" s="98">
        <v>150</v>
      </c>
      <c r="C568" s="101">
        <v>0.49880000000000002</v>
      </c>
      <c r="D568" s="98">
        <v>9.6600000000000005E-2</v>
      </c>
      <c r="E568" s="98">
        <v>0.13</v>
      </c>
      <c r="F568" s="98">
        <v>1008</v>
      </c>
      <c r="G568" s="98"/>
      <c r="H568" s="96">
        <v>20</v>
      </c>
      <c r="I568" s="96" t="s">
        <v>12</v>
      </c>
      <c r="J568" s="96">
        <v>1.2909999999999999</v>
      </c>
      <c r="K568" s="101">
        <v>5.3042999999999996</v>
      </c>
    </row>
    <row r="569" spans="1:11">
      <c r="A569" s="96" t="s">
        <v>22</v>
      </c>
      <c r="B569" s="98">
        <v>150</v>
      </c>
      <c r="C569" s="101">
        <v>0.60289999999999999</v>
      </c>
      <c r="D569" s="98">
        <v>9.6600000000000005E-2</v>
      </c>
      <c r="E569" s="98">
        <v>0.13</v>
      </c>
      <c r="F569" s="98">
        <v>1008</v>
      </c>
      <c r="G569" s="98"/>
      <c r="H569" s="96">
        <v>20</v>
      </c>
      <c r="I569" s="96" t="s">
        <v>12</v>
      </c>
      <c r="J569" s="96">
        <v>1.2909999999999999</v>
      </c>
      <c r="K569" s="101">
        <v>5.4077999999999999</v>
      </c>
    </row>
    <row r="570" spans="1:11">
      <c r="A570" s="96" t="s">
        <v>22</v>
      </c>
      <c r="B570" s="98">
        <v>150</v>
      </c>
      <c r="C570" s="101">
        <v>0.8004</v>
      </c>
      <c r="D570" s="98">
        <v>9.6600000000000005E-2</v>
      </c>
      <c r="E570" s="98">
        <v>0.13</v>
      </c>
      <c r="F570" s="98">
        <v>1008</v>
      </c>
      <c r="G570" s="98"/>
      <c r="H570" s="96">
        <v>20</v>
      </c>
      <c r="I570" s="96" t="s">
        <v>12</v>
      </c>
      <c r="J570" s="96">
        <v>1.2909999999999999</v>
      </c>
      <c r="K570" s="101">
        <v>5.3994999999999997</v>
      </c>
    </row>
    <row r="571" spans="1:11">
      <c r="A571" s="96" t="s">
        <v>22</v>
      </c>
      <c r="B571" s="98">
        <v>150</v>
      </c>
      <c r="C571" s="101">
        <v>1.0012000000000001</v>
      </c>
      <c r="D571" s="98">
        <v>9.6600000000000005E-2</v>
      </c>
      <c r="E571" s="98">
        <v>0.13</v>
      </c>
      <c r="F571" s="98">
        <v>1008</v>
      </c>
      <c r="G571" s="98"/>
      <c r="H571" s="96">
        <v>20</v>
      </c>
      <c r="I571" s="96" t="s">
        <v>12</v>
      </c>
      <c r="J571" s="96">
        <v>1.2909999999999999</v>
      </c>
      <c r="K571" s="101">
        <v>5.4824000000000002</v>
      </c>
    </row>
    <row r="572" spans="1:11">
      <c r="A572" s="96" t="s">
        <v>22</v>
      </c>
      <c r="B572" s="98">
        <v>200</v>
      </c>
      <c r="C572" s="101">
        <v>0.3</v>
      </c>
      <c r="D572" s="98">
        <v>9.6600000000000005E-2</v>
      </c>
      <c r="E572" s="98">
        <v>0.13</v>
      </c>
      <c r="F572" s="98">
        <v>1008</v>
      </c>
      <c r="G572" s="98"/>
      <c r="H572" s="96">
        <v>20</v>
      </c>
      <c r="I572" s="96" t="s">
        <v>12</v>
      </c>
      <c r="J572" s="96">
        <v>1.2909999999999999</v>
      </c>
      <c r="K572" s="101">
        <v>5.8052999999999999</v>
      </c>
    </row>
    <row r="573" spans="1:11">
      <c r="A573" s="96" t="s">
        <v>22</v>
      </c>
      <c r="B573" s="98">
        <v>200</v>
      </c>
      <c r="C573" s="101">
        <v>0.40079999999999999</v>
      </c>
      <c r="D573" s="98">
        <v>9.6600000000000005E-2</v>
      </c>
      <c r="E573" s="98">
        <v>0.13</v>
      </c>
      <c r="F573" s="98">
        <v>1008</v>
      </c>
      <c r="G573" s="98"/>
      <c r="H573" s="96">
        <v>20</v>
      </c>
      <c r="I573" s="96" t="s">
        <v>12</v>
      </c>
      <c r="J573" s="96">
        <v>1.2909999999999999</v>
      </c>
      <c r="K573" s="101">
        <v>5.8922999999999996</v>
      </c>
    </row>
    <row r="574" spans="1:11">
      <c r="A574" s="96" t="s">
        <v>22</v>
      </c>
      <c r="B574" s="98">
        <v>200</v>
      </c>
      <c r="C574" s="101">
        <v>0.50219999999999998</v>
      </c>
      <c r="D574" s="98">
        <v>9.6600000000000005E-2</v>
      </c>
      <c r="E574" s="98">
        <v>0.13</v>
      </c>
      <c r="F574" s="98">
        <v>1008</v>
      </c>
      <c r="G574" s="98"/>
      <c r="H574" s="96">
        <v>20</v>
      </c>
      <c r="I574" s="96" t="s">
        <v>12</v>
      </c>
      <c r="J574" s="96">
        <v>1.2909999999999999</v>
      </c>
      <c r="K574" s="101">
        <v>5.9005999999999998</v>
      </c>
    </row>
    <row r="575" spans="1:11">
      <c r="A575" s="96" t="s">
        <v>22</v>
      </c>
      <c r="B575" s="98">
        <v>200</v>
      </c>
      <c r="C575" s="101">
        <v>0.60229999999999995</v>
      </c>
      <c r="D575" s="98">
        <v>9.6600000000000005E-2</v>
      </c>
      <c r="E575" s="98">
        <v>0.13</v>
      </c>
      <c r="F575" s="98">
        <v>1008</v>
      </c>
      <c r="G575" s="98"/>
      <c r="H575" s="96">
        <v>20</v>
      </c>
      <c r="I575" s="96" t="s">
        <v>12</v>
      </c>
      <c r="J575" s="96">
        <v>1.2909999999999999</v>
      </c>
      <c r="K575" s="101">
        <v>5.9047000000000001</v>
      </c>
    </row>
    <row r="576" spans="1:11">
      <c r="A576" s="96" t="s">
        <v>22</v>
      </c>
      <c r="B576" s="98">
        <v>200</v>
      </c>
      <c r="C576" s="101">
        <v>0.80110000000000003</v>
      </c>
      <c r="D576" s="98">
        <v>9.6600000000000005E-2</v>
      </c>
      <c r="E576" s="98">
        <v>0.13</v>
      </c>
      <c r="F576" s="98">
        <v>1008</v>
      </c>
      <c r="G576" s="98"/>
      <c r="H576" s="96">
        <v>20</v>
      </c>
      <c r="I576" s="96" t="s">
        <v>12</v>
      </c>
      <c r="J576" s="96">
        <v>1.2909999999999999</v>
      </c>
      <c r="K576" s="101">
        <v>6.0082000000000004</v>
      </c>
    </row>
    <row r="577" spans="1:11">
      <c r="A577" s="96" t="s">
        <v>22</v>
      </c>
      <c r="B577" s="98">
        <v>200</v>
      </c>
      <c r="C577" s="101">
        <v>0.99990000000000001</v>
      </c>
      <c r="D577" s="98">
        <v>9.6600000000000005E-2</v>
      </c>
      <c r="E577" s="98">
        <v>0.13</v>
      </c>
      <c r="F577" s="98">
        <v>1008</v>
      </c>
      <c r="G577" s="98"/>
      <c r="H577" s="96">
        <v>20</v>
      </c>
      <c r="I577" s="96" t="s">
        <v>12</v>
      </c>
      <c r="J577" s="96">
        <v>1.2909999999999999</v>
      </c>
      <c r="K577" s="101">
        <v>6.0910000000000002</v>
      </c>
    </row>
    <row r="581" spans="1:11">
      <c r="A581" s="103" t="s">
        <v>24</v>
      </c>
      <c r="B581" s="103"/>
      <c r="C581" s="104">
        <v>0.25</v>
      </c>
      <c r="D581" s="103">
        <v>7.1999999999999995E-2</v>
      </c>
      <c r="E581" s="103">
        <v>1.003E-3</v>
      </c>
      <c r="F581" s="103">
        <v>998.2</v>
      </c>
      <c r="G581" s="103"/>
      <c r="H581" s="105">
        <v>22.5</v>
      </c>
      <c r="I581" s="103" t="s">
        <v>12</v>
      </c>
      <c r="J581" s="103"/>
      <c r="K581" s="104">
        <v>2.90043901829078</v>
      </c>
    </row>
    <row r="582" spans="1:11">
      <c r="A582" s="103" t="s">
        <v>24</v>
      </c>
      <c r="B582" s="103"/>
      <c r="C582" s="104">
        <v>0.25</v>
      </c>
      <c r="D582" s="103">
        <v>7.1999999999999995E-2</v>
      </c>
      <c r="E582" s="103">
        <v>1.003E-3</v>
      </c>
      <c r="F582" s="103">
        <v>998.2</v>
      </c>
      <c r="G582" s="103"/>
      <c r="H582" s="105">
        <v>22.5</v>
      </c>
      <c r="I582" s="103" t="s">
        <v>12</v>
      </c>
      <c r="J582" s="103"/>
      <c r="K582" s="104">
        <v>3.3616399120078402</v>
      </c>
    </row>
    <row r="583" spans="1:11">
      <c r="A583" s="103" t="s">
        <v>24</v>
      </c>
      <c r="B583" s="103"/>
      <c r="C583" s="104">
        <v>0.25</v>
      </c>
      <c r="D583" s="103">
        <v>7.1999999999999995E-2</v>
      </c>
      <c r="E583" s="103">
        <v>1.003E-3</v>
      </c>
      <c r="F583" s="103">
        <v>998.2</v>
      </c>
      <c r="G583" s="103"/>
      <c r="H583" s="105">
        <v>22.5</v>
      </c>
      <c r="I583" s="103" t="s">
        <v>12</v>
      </c>
      <c r="J583" s="103"/>
      <c r="K583" s="104">
        <v>3.9809663093971999</v>
      </c>
    </row>
    <row r="584" spans="1:11">
      <c r="A584" s="103" t="s">
        <v>24</v>
      </c>
      <c r="B584" s="103"/>
      <c r="C584" s="104">
        <v>0.25</v>
      </c>
      <c r="D584" s="103">
        <v>7.1999999999999995E-2</v>
      </c>
      <c r="E584" s="103">
        <v>1.003E-3</v>
      </c>
      <c r="F584" s="103">
        <v>998.2</v>
      </c>
      <c r="G584" s="103"/>
      <c r="H584" s="105">
        <v>22.5</v>
      </c>
      <c r="I584" s="103" t="s">
        <v>12</v>
      </c>
      <c r="J584" s="103"/>
      <c r="K584" s="104">
        <v>4.1434847187662696</v>
      </c>
    </row>
    <row r="585" spans="1:11">
      <c r="A585" s="103" t="s">
        <v>24</v>
      </c>
      <c r="B585" s="103"/>
      <c r="C585" s="104">
        <v>0.25</v>
      </c>
      <c r="D585" s="103">
        <v>7.1999999999999995E-2</v>
      </c>
      <c r="E585" s="103">
        <v>1.003E-3</v>
      </c>
      <c r="F585" s="103">
        <v>998.2</v>
      </c>
      <c r="G585" s="103"/>
      <c r="H585" s="105">
        <v>22.5</v>
      </c>
      <c r="I585" s="103" t="s">
        <v>12</v>
      </c>
      <c r="J585" s="103"/>
      <c r="K585" s="104">
        <v>4.3016105575510597</v>
      </c>
    </row>
    <row r="586" spans="1:11">
      <c r="A586" s="103" t="s">
        <v>24</v>
      </c>
      <c r="B586" s="103"/>
      <c r="C586" s="104">
        <v>0.25</v>
      </c>
      <c r="D586" s="103">
        <v>7.1999999999999995E-2</v>
      </c>
      <c r="E586" s="103">
        <v>1.003E-3</v>
      </c>
      <c r="F586" s="103">
        <v>998.2</v>
      </c>
      <c r="G586" s="103"/>
      <c r="H586" s="105">
        <v>22.5</v>
      </c>
      <c r="I586" s="103" t="s">
        <v>12</v>
      </c>
      <c r="J586" s="103"/>
      <c r="K586" s="104">
        <v>4.2708639039109597</v>
      </c>
    </row>
    <row r="587" spans="1:11">
      <c r="A587" s="103" t="s">
        <v>24</v>
      </c>
      <c r="B587" s="103"/>
      <c r="C587" s="104">
        <v>0.25</v>
      </c>
      <c r="D587" s="103">
        <v>5.8500000000000003E-2</v>
      </c>
      <c r="E587" s="103">
        <v>1.003E-3</v>
      </c>
      <c r="F587" s="103">
        <v>998.2</v>
      </c>
      <c r="G587" s="103"/>
      <c r="H587" s="105">
        <v>22.5</v>
      </c>
      <c r="I587" s="103" t="s">
        <v>12</v>
      </c>
      <c r="J587" s="103"/>
      <c r="K587" s="104">
        <v>2.4348463079925202</v>
      </c>
    </row>
    <row r="588" spans="1:11">
      <c r="A588" s="103" t="s">
        <v>24</v>
      </c>
      <c r="B588" s="103"/>
      <c r="C588" s="104">
        <v>0.25</v>
      </c>
      <c r="D588" s="103">
        <v>5.8500000000000003E-2</v>
      </c>
      <c r="E588" s="103">
        <v>1.003E-3</v>
      </c>
      <c r="F588" s="103">
        <v>998.2</v>
      </c>
      <c r="G588" s="103"/>
      <c r="H588" s="105">
        <v>22.5</v>
      </c>
      <c r="I588" s="103" t="s">
        <v>12</v>
      </c>
      <c r="J588" s="103"/>
      <c r="K588" s="104">
        <v>3.2825769926154398</v>
      </c>
    </row>
    <row r="589" spans="1:11">
      <c r="A589" s="103" t="s">
        <v>24</v>
      </c>
      <c r="B589" s="103"/>
      <c r="C589" s="104">
        <v>0.25</v>
      </c>
      <c r="D589" s="103">
        <v>5.8500000000000003E-2</v>
      </c>
      <c r="E589" s="103">
        <v>1.003E-3</v>
      </c>
      <c r="F589" s="103">
        <v>998.2</v>
      </c>
      <c r="G589" s="103"/>
      <c r="H589" s="105">
        <v>22.5</v>
      </c>
      <c r="I589" s="103" t="s">
        <v>12</v>
      </c>
      <c r="J589" s="103"/>
      <c r="K589" s="104">
        <v>3.5900440316851601</v>
      </c>
    </row>
    <row r="590" spans="1:11">
      <c r="A590" s="103" t="s">
        <v>24</v>
      </c>
      <c r="B590" s="103"/>
      <c r="C590" s="104">
        <v>0.25</v>
      </c>
      <c r="D590" s="103">
        <v>5.8500000000000003E-2</v>
      </c>
      <c r="E590" s="103">
        <v>1.003E-3</v>
      </c>
      <c r="F590" s="103">
        <v>998.2</v>
      </c>
      <c r="G590" s="103"/>
      <c r="H590" s="105">
        <v>22.5</v>
      </c>
      <c r="I590" s="103" t="s">
        <v>12</v>
      </c>
      <c r="J590" s="103"/>
      <c r="K590" s="104">
        <v>3.7920937331941902</v>
      </c>
    </row>
    <row r="591" spans="1:11">
      <c r="A591" s="103" t="s">
        <v>24</v>
      </c>
      <c r="B591" s="103"/>
      <c r="C591" s="104">
        <v>0.25</v>
      </c>
      <c r="D591" s="103">
        <v>5.8500000000000003E-2</v>
      </c>
      <c r="E591" s="103">
        <v>1.003E-3</v>
      </c>
      <c r="F591" s="103">
        <v>998.2</v>
      </c>
      <c r="G591" s="103"/>
      <c r="H591" s="105">
        <v>22.5</v>
      </c>
      <c r="I591" s="103" t="s">
        <v>12</v>
      </c>
      <c r="J591" s="103"/>
      <c r="K591" s="104">
        <v>3.8316252766685102</v>
      </c>
    </row>
    <row r="592" spans="1:11">
      <c r="A592" s="103" t="s">
        <v>24</v>
      </c>
      <c r="B592" s="103"/>
      <c r="C592" s="104">
        <v>0.25</v>
      </c>
      <c r="D592" s="103">
        <v>5.8500000000000003E-2</v>
      </c>
      <c r="E592" s="103">
        <v>1.003E-3</v>
      </c>
      <c r="F592" s="103">
        <v>998.2</v>
      </c>
      <c r="G592" s="103"/>
      <c r="H592" s="105">
        <v>22.5</v>
      </c>
      <c r="I592" s="103" t="s">
        <v>12</v>
      </c>
      <c r="J592" s="103"/>
      <c r="K592" s="104">
        <v>3.80527085850022</v>
      </c>
    </row>
    <row r="593" spans="1:11">
      <c r="A593" s="103" t="s">
        <v>24</v>
      </c>
      <c r="B593" s="103"/>
      <c r="C593" s="104">
        <v>0.25</v>
      </c>
      <c r="D593" s="103">
        <v>5.0700000000000002E-2</v>
      </c>
      <c r="E593" s="103">
        <v>1.003E-3</v>
      </c>
      <c r="F593" s="103">
        <v>998.2</v>
      </c>
      <c r="G593" s="103"/>
      <c r="H593" s="105">
        <v>22.5</v>
      </c>
      <c r="I593" s="103" t="s">
        <v>12</v>
      </c>
      <c r="J593" s="103"/>
      <c r="K593" s="104">
        <v>2.6456809831138899</v>
      </c>
    </row>
    <row r="594" spans="1:11">
      <c r="A594" s="103" t="s">
        <v>24</v>
      </c>
      <c r="B594" s="103"/>
      <c r="C594" s="104">
        <v>0.25</v>
      </c>
      <c r="D594" s="103">
        <v>5.0700000000000002E-2</v>
      </c>
      <c r="E594" s="103">
        <v>1.003E-3</v>
      </c>
      <c r="F594" s="103">
        <v>998.2</v>
      </c>
      <c r="G594" s="103"/>
      <c r="H594" s="105">
        <v>22.5</v>
      </c>
      <c r="I594" s="103" t="s">
        <v>12</v>
      </c>
      <c r="J594" s="103"/>
      <c r="K594" s="104">
        <v>3.1639825297487301</v>
      </c>
    </row>
    <row r="595" spans="1:11">
      <c r="A595" s="103" t="s">
        <v>24</v>
      </c>
      <c r="B595" s="103"/>
      <c r="C595" s="104">
        <v>0.25</v>
      </c>
      <c r="D595" s="103">
        <v>5.0700000000000002E-2</v>
      </c>
      <c r="E595" s="103">
        <v>1.003E-3</v>
      </c>
      <c r="F595" s="103">
        <v>998.2</v>
      </c>
      <c r="G595" s="103"/>
      <c r="H595" s="105">
        <v>22.5</v>
      </c>
      <c r="I595" s="103" t="s">
        <v>12</v>
      </c>
      <c r="J595" s="103"/>
      <c r="K595" s="104">
        <v>3.5900440316851601</v>
      </c>
    </row>
    <row r="596" spans="1:11">
      <c r="A596" s="103" t="s">
        <v>24</v>
      </c>
      <c r="B596" s="103"/>
      <c r="C596" s="104">
        <v>0.25</v>
      </c>
      <c r="D596" s="103">
        <v>5.0700000000000002E-2</v>
      </c>
      <c r="E596" s="103">
        <v>1.003E-3</v>
      </c>
      <c r="F596" s="103">
        <v>998.2</v>
      </c>
      <c r="G596" s="103"/>
      <c r="H596" s="105">
        <v>22.5</v>
      </c>
      <c r="I596" s="103" t="s">
        <v>12</v>
      </c>
      <c r="J596" s="103"/>
      <c r="K596" s="104">
        <v>3.5153734315426899</v>
      </c>
    </row>
    <row r="597" spans="1:11">
      <c r="A597" s="103" t="s">
        <v>24</v>
      </c>
      <c r="B597" s="103"/>
      <c r="C597" s="104">
        <v>0.25</v>
      </c>
      <c r="D597" s="103">
        <v>5.0700000000000002E-2</v>
      </c>
      <c r="E597" s="103">
        <v>1.003E-3</v>
      </c>
      <c r="F597" s="103">
        <v>998.2</v>
      </c>
      <c r="G597" s="103"/>
      <c r="H597" s="105">
        <v>22.5</v>
      </c>
      <c r="I597" s="103" t="s">
        <v>12</v>
      </c>
      <c r="J597" s="103"/>
      <c r="K597" s="104">
        <v>3.7833089271380902</v>
      </c>
    </row>
    <row r="598" spans="1:11">
      <c r="A598" s="103" t="s">
        <v>24</v>
      </c>
      <c r="B598" s="103"/>
      <c r="C598" s="104">
        <v>0.25</v>
      </c>
      <c r="D598" s="103">
        <v>5.0700000000000002E-2</v>
      </c>
      <c r="E598" s="103">
        <v>1.003E-3</v>
      </c>
      <c r="F598" s="103">
        <v>998.2</v>
      </c>
      <c r="G598" s="103"/>
      <c r="H598" s="105">
        <v>22.5</v>
      </c>
      <c r="I598" s="103" t="s">
        <v>12</v>
      </c>
      <c r="J598" s="103"/>
      <c r="K598" s="104">
        <v>3.80966334530638</v>
      </c>
    </row>
    <row r="599" spans="1:11">
      <c r="A599" s="103" t="s">
        <v>24</v>
      </c>
      <c r="B599" s="103"/>
      <c r="C599" s="104">
        <v>0.25</v>
      </c>
      <c r="D599" s="103">
        <v>4.7800000000000002E-2</v>
      </c>
      <c r="E599" s="103">
        <v>1.003E-3</v>
      </c>
      <c r="F599" s="103">
        <v>998.2</v>
      </c>
      <c r="G599" s="103"/>
      <c r="H599" s="105">
        <v>22.5</v>
      </c>
      <c r="I599" s="103" t="s">
        <v>12</v>
      </c>
      <c r="J599" s="103"/>
      <c r="K599" s="104">
        <v>2.3338216247942398</v>
      </c>
    </row>
    <row r="600" spans="1:11">
      <c r="A600" s="103" t="s">
        <v>24</v>
      </c>
      <c r="B600" s="103"/>
      <c r="C600" s="104">
        <v>0.25</v>
      </c>
      <c r="D600" s="103">
        <v>4.7800000000000002E-2</v>
      </c>
      <c r="E600" s="103">
        <v>1.003E-3</v>
      </c>
      <c r="F600" s="103">
        <v>998.2</v>
      </c>
      <c r="G600" s="103"/>
      <c r="H600" s="105">
        <v>22.5</v>
      </c>
      <c r="I600" s="103" t="s">
        <v>12</v>
      </c>
      <c r="J600" s="103"/>
      <c r="K600" s="104">
        <v>3.23426064308503</v>
      </c>
    </row>
    <row r="601" spans="1:11">
      <c r="A601" s="103" t="s">
        <v>24</v>
      </c>
      <c r="B601" s="103"/>
      <c r="C601" s="104">
        <v>0.25</v>
      </c>
      <c r="D601" s="103">
        <v>4.7800000000000002E-2</v>
      </c>
      <c r="E601" s="103">
        <v>1.003E-3</v>
      </c>
      <c r="F601" s="103">
        <v>998.2</v>
      </c>
      <c r="G601" s="103"/>
      <c r="H601" s="105">
        <v>22.5</v>
      </c>
      <c r="I601" s="103" t="s">
        <v>12</v>
      </c>
      <c r="J601" s="103"/>
      <c r="K601" s="104">
        <v>3.5373353629048201</v>
      </c>
    </row>
    <row r="602" spans="1:11">
      <c r="A602" s="103" t="s">
        <v>24</v>
      </c>
      <c r="B602" s="103"/>
      <c r="C602" s="104">
        <v>0.25</v>
      </c>
      <c r="D602" s="103">
        <v>4.7800000000000002E-2</v>
      </c>
      <c r="E602" s="103">
        <v>1.003E-3</v>
      </c>
      <c r="F602" s="103">
        <v>998.2</v>
      </c>
      <c r="G602" s="103"/>
      <c r="H602" s="105">
        <v>22.5</v>
      </c>
      <c r="I602" s="103" t="s">
        <v>12</v>
      </c>
      <c r="J602" s="103"/>
      <c r="K602" s="104">
        <v>3.6778917571336498</v>
      </c>
    </row>
    <row r="603" spans="1:11">
      <c r="A603" s="103" t="s">
        <v>24</v>
      </c>
      <c r="B603" s="103"/>
      <c r="C603" s="104">
        <v>0.25</v>
      </c>
      <c r="D603" s="103">
        <v>4.7800000000000002E-2</v>
      </c>
      <c r="E603" s="103">
        <v>1.003E-3</v>
      </c>
      <c r="F603" s="103">
        <v>998.2</v>
      </c>
      <c r="G603" s="103"/>
      <c r="H603" s="105">
        <v>22.5</v>
      </c>
      <c r="I603" s="103" t="s">
        <v>12</v>
      </c>
      <c r="J603" s="103"/>
      <c r="K603" s="104">
        <v>3.9590043780350799</v>
      </c>
    </row>
    <row r="604" spans="1:11">
      <c r="A604" s="103" t="s">
        <v>24</v>
      </c>
      <c r="B604" s="103"/>
      <c r="C604" s="104">
        <v>0.25</v>
      </c>
      <c r="D604" s="103">
        <v>4.7800000000000002E-2</v>
      </c>
      <c r="E604" s="103">
        <v>1.003E-3</v>
      </c>
      <c r="F604" s="103">
        <v>998.2</v>
      </c>
      <c r="G604" s="103"/>
      <c r="H604" s="105">
        <v>22.5</v>
      </c>
      <c r="I604" s="103" t="s">
        <v>12</v>
      </c>
      <c r="J604" s="103"/>
      <c r="K604" s="104">
        <v>3.8579795272805599</v>
      </c>
    </row>
    <row r="605" spans="1:11">
      <c r="A605" s="103" t="s">
        <v>40</v>
      </c>
      <c r="B605" s="103"/>
      <c r="C605" s="104">
        <v>0.34</v>
      </c>
      <c r="D605" s="103">
        <v>7.1999999999999995E-2</v>
      </c>
      <c r="E605" s="103">
        <v>1.003E-3</v>
      </c>
      <c r="F605" s="103">
        <v>998.2</v>
      </c>
      <c r="G605" s="103"/>
      <c r="H605" s="105">
        <v>22.5</v>
      </c>
      <c r="I605" s="103" t="s">
        <v>12</v>
      </c>
      <c r="J605" s="103"/>
      <c r="K605" s="106">
        <v>3.15821910912307</v>
      </c>
    </row>
    <row r="606" spans="1:11">
      <c r="A606" s="103" t="s">
        <v>40</v>
      </c>
      <c r="B606" s="103"/>
      <c r="C606" s="104">
        <v>0.34</v>
      </c>
      <c r="D606" s="103">
        <v>7.1999999999999995E-2</v>
      </c>
      <c r="E606" s="103">
        <v>1.003E-3</v>
      </c>
      <c r="F606" s="103">
        <v>998.2</v>
      </c>
      <c r="G606" s="103"/>
      <c r="H606" s="105">
        <v>22.5</v>
      </c>
      <c r="I606" s="103" t="s">
        <v>12</v>
      </c>
      <c r="J606" s="103"/>
      <c r="K606" s="107">
        <v>3.8324823449882701</v>
      </c>
    </row>
    <row r="607" spans="1:11">
      <c r="A607" s="103" t="s">
        <v>40</v>
      </c>
      <c r="B607" s="103"/>
      <c r="C607" s="104">
        <v>0.34</v>
      </c>
      <c r="D607" s="103">
        <v>7.1999999999999995E-2</v>
      </c>
      <c r="E607" s="103">
        <v>1.003E-3</v>
      </c>
      <c r="F607" s="103">
        <v>998.2</v>
      </c>
      <c r="G607" s="103"/>
      <c r="H607" s="105">
        <v>22.5</v>
      </c>
      <c r="I607" s="103" t="s">
        <v>12</v>
      </c>
      <c r="J607" s="103"/>
      <c r="K607" s="103">
        <v>4.5695916694233896</v>
      </c>
    </row>
    <row r="608" spans="1:11">
      <c r="A608" s="103" t="s">
        <v>40</v>
      </c>
      <c r="B608" s="103"/>
      <c r="C608" s="104">
        <v>0.34</v>
      </c>
      <c r="D608" s="103">
        <v>7.1999999999999995E-2</v>
      </c>
      <c r="E608" s="103">
        <v>1.003E-3</v>
      </c>
      <c r="F608" s="103">
        <v>998.2</v>
      </c>
      <c r="G608" s="103"/>
      <c r="H608" s="105">
        <v>22.5</v>
      </c>
      <c r="I608" s="103" t="s">
        <v>12</v>
      </c>
      <c r="J608" s="103"/>
      <c r="K608" s="103">
        <v>4.5269607490615096</v>
      </c>
    </row>
    <row r="609" spans="1:11">
      <c r="A609" s="103" t="s">
        <v>40</v>
      </c>
      <c r="B609" s="103"/>
      <c r="C609" s="104">
        <v>0.34</v>
      </c>
      <c r="D609" s="103">
        <v>7.1999999999999995E-2</v>
      </c>
      <c r="E609" s="103">
        <v>1.003E-3</v>
      </c>
      <c r="F609" s="103">
        <v>998.2</v>
      </c>
      <c r="G609" s="103"/>
      <c r="H609" s="105">
        <v>22.5</v>
      </c>
      <c r="I609" s="103" t="s">
        <v>12</v>
      </c>
      <c r="J609" s="103"/>
      <c r="K609" s="103">
        <v>4.4753764724495504</v>
      </c>
    </row>
    <row r="610" spans="1:11">
      <c r="A610" s="103" t="s">
        <v>40</v>
      </c>
      <c r="B610" s="103"/>
      <c r="C610" s="104">
        <v>0.34</v>
      </c>
      <c r="D610" s="103">
        <v>7.1999999999999995E-2</v>
      </c>
      <c r="E610" s="103">
        <v>1.003E-3</v>
      </c>
      <c r="F610" s="103">
        <v>998.2</v>
      </c>
      <c r="G610" s="103"/>
      <c r="H610" s="105">
        <v>22.5</v>
      </c>
      <c r="I610" s="103" t="s">
        <v>12</v>
      </c>
      <c r="J610" s="103"/>
      <c r="K610" s="103">
        <v>4.39814029082227</v>
      </c>
    </row>
    <row r="611" spans="1:11">
      <c r="A611" s="103" t="s">
        <v>40</v>
      </c>
      <c r="B611" s="103"/>
      <c r="C611" s="104">
        <v>0.34</v>
      </c>
      <c r="D611" s="103">
        <v>5.8500000000000003E-2</v>
      </c>
      <c r="E611" s="103">
        <v>1.003E-3</v>
      </c>
      <c r="F611" s="103">
        <v>998.2</v>
      </c>
      <c r="G611" s="103"/>
      <c r="H611" s="105">
        <v>22.5</v>
      </c>
      <c r="I611" s="103" t="s">
        <v>12</v>
      </c>
      <c r="J611" s="103"/>
      <c r="K611" s="108">
        <v>2.6870999755490601</v>
      </c>
    </row>
    <row r="612" spans="1:11">
      <c r="A612" s="103" t="s">
        <v>40</v>
      </c>
      <c r="B612" s="103"/>
      <c r="C612" s="104">
        <v>0.34</v>
      </c>
      <c r="D612" s="103">
        <v>5.8500000000000003E-2</v>
      </c>
      <c r="E612" s="103">
        <v>1.003E-3</v>
      </c>
      <c r="F612" s="103">
        <v>998.2</v>
      </c>
      <c r="G612" s="103"/>
      <c r="H612" s="105">
        <v>22.5</v>
      </c>
      <c r="I612" s="103" t="s">
        <v>12</v>
      </c>
      <c r="J612" s="103"/>
      <c r="K612" s="103">
        <v>3.8130654278193998</v>
      </c>
    </row>
    <row r="613" spans="1:11">
      <c r="A613" s="103" t="s">
        <v>40</v>
      </c>
      <c r="B613" s="103"/>
      <c r="C613" s="104">
        <v>0.34</v>
      </c>
      <c r="D613" s="103">
        <v>5.8500000000000003E-2</v>
      </c>
      <c r="E613" s="103">
        <v>1.003E-3</v>
      </c>
      <c r="F613" s="103">
        <v>998.2</v>
      </c>
      <c r="G613" s="103"/>
      <c r="H613" s="105">
        <v>22.5</v>
      </c>
      <c r="I613" s="103" t="s">
        <v>12</v>
      </c>
      <c r="J613" s="103"/>
      <c r="K613" s="103">
        <v>4.1780818962417401</v>
      </c>
    </row>
    <row r="614" spans="1:11">
      <c r="A614" s="103" t="s">
        <v>40</v>
      </c>
      <c r="B614" s="103"/>
      <c r="C614" s="104">
        <v>0.34</v>
      </c>
      <c r="D614" s="103">
        <v>5.8500000000000003E-2</v>
      </c>
      <c r="E614" s="103">
        <v>1.003E-3</v>
      </c>
      <c r="F614" s="103">
        <v>998.2</v>
      </c>
      <c r="G614" s="103"/>
      <c r="H614" s="105">
        <v>22.5</v>
      </c>
      <c r="I614" s="103" t="s">
        <v>12</v>
      </c>
      <c r="J614" s="103"/>
      <c r="K614" s="103">
        <v>4.11480432062364</v>
      </c>
    </row>
    <row r="615" spans="1:11">
      <c r="A615" s="103" t="s">
        <v>40</v>
      </c>
      <c r="B615" s="103"/>
      <c r="C615" s="104">
        <v>0.34</v>
      </c>
      <c r="D615" s="103">
        <v>5.8500000000000003E-2</v>
      </c>
      <c r="E615" s="103">
        <v>1.003E-3</v>
      </c>
      <c r="F615" s="103">
        <v>998.2</v>
      </c>
      <c r="G615" s="103"/>
      <c r="H615" s="105">
        <v>22.5</v>
      </c>
      <c r="I615" s="103" t="s">
        <v>12</v>
      </c>
      <c r="J615" s="103"/>
      <c r="K615" s="103">
        <v>4.0376328620535897</v>
      </c>
    </row>
    <row r="616" spans="1:11">
      <c r="A616" s="103" t="s">
        <v>40</v>
      </c>
      <c r="B616" s="103"/>
      <c r="C616" s="104">
        <v>0.34</v>
      </c>
      <c r="D616" s="103">
        <v>5.8500000000000003E-2</v>
      </c>
      <c r="E616" s="103">
        <v>1.003E-3</v>
      </c>
      <c r="F616" s="103">
        <v>998.2</v>
      </c>
      <c r="G616" s="103"/>
      <c r="H616" s="105">
        <v>22.5</v>
      </c>
      <c r="I616" s="103" t="s">
        <v>12</v>
      </c>
      <c r="J616" s="103"/>
      <c r="K616" s="108">
        <v>4.0545471543429104</v>
      </c>
    </row>
    <row r="617" spans="1:11">
      <c r="A617" s="103" t="s">
        <v>40</v>
      </c>
      <c r="B617" s="103"/>
      <c r="C617" s="104">
        <v>0.34</v>
      </c>
      <c r="D617" s="103">
        <v>5.0700000000000002E-2</v>
      </c>
      <c r="E617" s="103">
        <v>1.003E-3</v>
      </c>
      <c r="F617" s="103">
        <v>998.2</v>
      </c>
      <c r="G617" s="103"/>
      <c r="H617" s="105">
        <v>22.5</v>
      </c>
      <c r="I617" s="103" t="s">
        <v>12</v>
      </c>
      <c r="J617" s="103"/>
      <c r="K617" s="108">
        <v>2.72936413191997</v>
      </c>
    </row>
    <row r="618" spans="1:11">
      <c r="A618" s="103" t="s">
        <v>40</v>
      </c>
      <c r="B618" s="103"/>
      <c r="C618" s="104">
        <v>0.34</v>
      </c>
      <c r="D618" s="103">
        <v>5.0700000000000002E-2</v>
      </c>
      <c r="E618" s="103">
        <v>1.003E-3</v>
      </c>
      <c r="F618" s="103">
        <v>998.2</v>
      </c>
      <c r="G618" s="103"/>
      <c r="H618" s="105">
        <v>22.5</v>
      </c>
      <c r="I618" s="103" t="s">
        <v>12</v>
      </c>
      <c r="J618" s="103"/>
      <c r="K618" s="108">
        <v>3.7130683043997199</v>
      </c>
    </row>
    <row r="619" spans="1:11">
      <c r="A619" s="103" t="s">
        <v>40</v>
      </c>
      <c r="B619" s="103"/>
      <c r="C619" s="104">
        <v>0.34</v>
      </c>
      <c r="D619" s="103">
        <v>5.0700000000000002E-2</v>
      </c>
      <c r="E619" s="103">
        <v>1.003E-3</v>
      </c>
      <c r="F619" s="103">
        <v>998.2</v>
      </c>
      <c r="G619" s="103"/>
      <c r="H619" s="105">
        <v>22.5</v>
      </c>
      <c r="I619" s="103" t="s">
        <v>12</v>
      </c>
      <c r="J619" s="103"/>
      <c r="K619" s="108">
        <v>4.1400031642383501</v>
      </c>
    </row>
    <row r="620" spans="1:11">
      <c r="A620" s="103" t="s">
        <v>40</v>
      </c>
      <c r="B620" s="103"/>
      <c r="C620" s="104">
        <v>0.34</v>
      </c>
      <c r="D620" s="103">
        <v>5.0700000000000002E-2</v>
      </c>
      <c r="E620" s="103">
        <v>1.003E-3</v>
      </c>
      <c r="F620" s="103">
        <v>998.2</v>
      </c>
      <c r="G620" s="103"/>
      <c r="H620" s="105">
        <v>22.5</v>
      </c>
      <c r="I620" s="103" t="s">
        <v>12</v>
      </c>
      <c r="J620" s="103"/>
      <c r="K620" s="103">
        <v>4.0476649359241703</v>
      </c>
    </row>
    <row r="621" spans="1:11">
      <c r="A621" s="103" t="s">
        <v>40</v>
      </c>
      <c r="B621" s="103"/>
      <c r="C621" s="104">
        <v>0.34</v>
      </c>
      <c r="D621" s="103">
        <v>5.0700000000000002E-2</v>
      </c>
      <c r="E621" s="103">
        <v>1.003E-3</v>
      </c>
      <c r="F621" s="103">
        <v>998.2</v>
      </c>
      <c r="G621" s="103"/>
      <c r="H621" s="105">
        <v>22.5</v>
      </c>
      <c r="I621" s="103" t="s">
        <v>12</v>
      </c>
      <c r="J621" s="103"/>
      <c r="K621" s="103">
        <v>4.05819321990018</v>
      </c>
    </row>
    <row r="622" spans="1:11">
      <c r="A622" s="103" t="s">
        <v>40</v>
      </c>
      <c r="B622" s="103"/>
      <c r="C622" s="104">
        <v>0.34</v>
      </c>
      <c r="D622" s="103">
        <v>5.0700000000000002E-2</v>
      </c>
      <c r="E622" s="103">
        <v>1.003E-3</v>
      </c>
      <c r="F622" s="103">
        <v>998.2</v>
      </c>
      <c r="G622" s="103"/>
      <c r="H622" s="105">
        <v>22.5</v>
      </c>
      <c r="I622" s="103" t="s">
        <v>12</v>
      </c>
      <c r="J622" s="103"/>
      <c r="K622" s="103">
        <v>4.0069757072791798</v>
      </c>
    </row>
    <row r="623" spans="1:11">
      <c r="A623" s="103" t="s">
        <v>40</v>
      </c>
      <c r="B623" s="103"/>
      <c r="C623" s="104">
        <v>0.34</v>
      </c>
      <c r="D623" s="103">
        <v>4.7800000000000002E-2</v>
      </c>
      <c r="E623" s="103">
        <v>1.003E-3</v>
      </c>
      <c r="F623" s="103">
        <v>998.2</v>
      </c>
      <c r="G623" s="103"/>
      <c r="H623" s="105">
        <v>22.5</v>
      </c>
      <c r="I623" s="103" t="s">
        <v>12</v>
      </c>
      <c r="J623" s="103"/>
      <c r="K623" s="103">
        <v>2.6873804421303902</v>
      </c>
    </row>
    <row r="624" spans="1:11">
      <c r="A624" s="103" t="s">
        <v>40</v>
      </c>
      <c r="B624" s="103"/>
      <c r="C624" s="104">
        <v>0.34</v>
      </c>
      <c r="D624" s="103">
        <v>4.7800000000000002E-2</v>
      </c>
      <c r="E624" s="103">
        <v>1.003E-3</v>
      </c>
      <c r="F624" s="103">
        <v>998.2</v>
      </c>
      <c r="G624" s="103"/>
      <c r="H624" s="105">
        <v>22.5</v>
      </c>
      <c r="I624" s="103" t="s">
        <v>12</v>
      </c>
      <c r="J624" s="103"/>
      <c r="K624" s="108">
        <v>3.8497202525637499</v>
      </c>
    </row>
    <row r="625" spans="1:11">
      <c r="A625" s="103" t="s">
        <v>40</v>
      </c>
      <c r="B625" s="103"/>
      <c r="C625" s="104">
        <v>0.34</v>
      </c>
      <c r="D625" s="103">
        <v>4.7800000000000002E-2</v>
      </c>
      <c r="E625" s="103">
        <v>1.003E-3</v>
      </c>
      <c r="F625" s="103">
        <v>998.2</v>
      </c>
      <c r="G625" s="103"/>
      <c r="H625" s="105">
        <v>22.5</v>
      </c>
      <c r="I625" s="103" t="s">
        <v>12</v>
      </c>
      <c r="J625" s="103"/>
      <c r="K625" s="103">
        <v>4.0158859148244499</v>
      </c>
    </row>
    <row r="626" spans="1:11">
      <c r="A626" s="103" t="s">
        <v>40</v>
      </c>
      <c r="B626" s="103"/>
      <c r="C626" s="104">
        <v>0.34</v>
      </c>
      <c r="D626" s="103">
        <v>4.7800000000000002E-2</v>
      </c>
      <c r="E626" s="103">
        <v>1.003E-3</v>
      </c>
      <c r="F626" s="103">
        <v>998.2</v>
      </c>
      <c r="G626" s="103"/>
      <c r="H626" s="105">
        <v>22.5</v>
      </c>
      <c r="I626" s="103" t="s">
        <v>12</v>
      </c>
      <c r="J626" s="103"/>
      <c r="K626" s="108">
        <v>4.0323687200655796</v>
      </c>
    </row>
    <row r="627" spans="1:11">
      <c r="A627" s="103" t="s">
        <v>40</v>
      </c>
      <c r="B627" s="103"/>
      <c r="C627" s="104">
        <v>0.34</v>
      </c>
      <c r="D627" s="103">
        <v>4.7800000000000002E-2</v>
      </c>
      <c r="E627" s="103">
        <v>1.003E-3</v>
      </c>
      <c r="F627" s="103">
        <v>998.2</v>
      </c>
      <c r="G627" s="103"/>
      <c r="H627" s="105">
        <v>22.5</v>
      </c>
      <c r="I627" s="103" t="s">
        <v>12</v>
      </c>
      <c r="J627" s="103"/>
      <c r="K627" s="103">
        <v>3.9971378025802902</v>
      </c>
    </row>
    <row r="628" spans="1:11">
      <c r="A628" s="103" t="s">
        <v>40</v>
      </c>
      <c r="B628" s="103"/>
      <c r="C628" s="104">
        <v>0.34</v>
      </c>
      <c r="D628" s="103">
        <v>4.7800000000000002E-2</v>
      </c>
      <c r="E628" s="103">
        <v>1.003E-3</v>
      </c>
      <c r="F628" s="103">
        <v>998.2</v>
      </c>
      <c r="G628" s="103"/>
      <c r="H628" s="105">
        <v>22.5</v>
      </c>
      <c r="I628" s="103" t="s">
        <v>12</v>
      </c>
      <c r="J628" s="103"/>
      <c r="K628" s="108">
        <v>3.9441727674140901</v>
      </c>
    </row>
    <row r="629" spans="1:11">
      <c r="A629" s="103" t="s">
        <v>40</v>
      </c>
      <c r="B629" s="103"/>
      <c r="C629" s="104">
        <v>0.51</v>
      </c>
      <c r="D629" s="103">
        <v>7.1999999999999995E-2</v>
      </c>
      <c r="E629" s="103">
        <v>1.003E-3</v>
      </c>
      <c r="F629" s="103">
        <v>998.2</v>
      </c>
      <c r="G629" s="103"/>
      <c r="H629" s="105">
        <v>22.5</v>
      </c>
      <c r="I629" s="103" t="s">
        <v>12</v>
      </c>
      <c r="J629" s="103"/>
      <c r="K629" s="109">
        <v>4.6021999999999998</v>
      </c>
    </row>
    <row r="630" spans="1:11">
      <c r="A630" s="103" t="s">
        <v>40</v>
      </c>
      <c r="B630" s="103"/>
      <c r="C630" s="104">
        <v>0.51</v>
      </c>
      <c r="D630" s="103">
        <v>7.1999999999999995E-2</v>
      </c>
      <c r="E630" s="103">
        <v>1.003E-3</v>
      </c>
      <c r="F630" s="103">
        <v>998.2</v>
      </c>
      <c r="G630" s="103"/>
      <c r="H630" s="105">
        <v>22.5</v>
      </c>
      <c r="I630" s="103" t="s">
        <v>12</v>
      </c>
      <c r="J630" s="103"/>
      <c r="K630" s="109">
        <v>5.3171999999999997</v>
      </c>
    </row>
    <row r="631" spans="1:11">
      <c r="A631" s="103" t="s">
        <v>40</v>
      </c>
      <c r="B631" s="103"/>
      <c r="C631" s="104">
        <v>0.51</v>
      </c>
      <c r="D631" s="103">
        <v>7.1999999999999995E-2</v>
      </c>
      <c r="E631" s="103">
        <v>1.003E-3</v>
      </c>
      <c r="F631" s="103">
        <v>998.2</v>
      </c>
      <c r="G631" s="103"/>
      <c r="H631" s="105">
        <v>22.5</v>
      </c>
      <c r="I631" s="103" t="s">
        <v>12</v>
      </c>
      <c r="J631" s="103"/>
      <c r="K631" s="109">
        <v>5.0982000000000003</v>
      </c>
    </row>
    <row r="632" spans="1:11">
      <c r="A632" s="103" t="s">
        <v>40</v>
      </c>
      <c r="B632" s="103"/>
      <c r="C632" s="104">
        <v>0.51</v>
      </c>
      <c r="D632" s="103">
        <v>7.1999999999999995E-2</v>
      </c>
      <c r="E632" s="103">
        <v>1.003E-3</v>
      </c>
      <c r="F632" s="103">
        <v>998.2</v>
      </c>
      <c r="G632" s="103"/>
      <c r="H632" s="105">
        <v>22.5</v>
      </c>
      <c r="I632" s="103" t="s">
        <v>12</v>
      </c>
      <c r="J632" s="103"/>
      <c r="K632" s="109">
        <v>5.2270000000000003</v>
      </c>
    </row>
    <row r="633" spans="1:11">
      <c r="A633" s="103" t="s">
        <v>40</v>
      </c>
      <c r="B633" s="103"/>
      <c r="C633" s="104">
        <v>0.51</v>
      </c>
      <c r="D633" s="103">
        <v>7.1999999999999995E-2</v>
      </c>
      <c r="E633" s="103">
        <v>1.003E-3</v>
      </c>
      <c r="F633" s="103">
        <v>998.2</v>
      </c>
      <c r="G633" s="103"/>
      <c r="H633" s="105">
        <v>22.5</v>
      </c>
      <c r="I633" s="103" t="s">
        <v>12</v>
      </c>
      <c r="J633" s="103"/>
      <c r="K633" s="109">
        <v>5.1689999999999996</v>
      </c>
    </row>
    <row r="634" spans="1:11">
      <c r="A634" s="103" t="s">
        <v>40</v>
      </c>
      <c r="B634" s="103"/>
      <c r="C634" s="104">
        <v>0.51</v>
      </c>
      <c r="D634" s="103">
        <v>7.1999999999999995E-2</v>
      </c>
      <c r="E634" s="103">
        <v>1.003E-3</v>
      </c>
      <c r="F634" s="103">
        <v>998.2</v>
      </c>
      <c r="G634" s="103"/>
      <c r="H634" s="105">
        <v>22.5</v>
      </c>
      <c r="I634" s="103" t="s">
        <v>12</v>
      </c>
      <c r="J634" s="103"/>
      <c r="K634" s="109">
        <v>5.2270000000000003</v>
      </c>
    </row>
    <row r="635" spans="1:11">
      <c r="A635" s="103" t="s">
        <v>40</v>
      </c>
      <c r="B635" s="103"/>
      <c r="C635" s="104">
        <v>0.51</v>
      </c>
      <c r="D635" s="103">
        <v>5.8500000000000003E-2</v>
      </c>
      <c r="E635" s="103">
        <v>1.003E-3</v>
      </c>
      <c r="F635" s="103">
        <v>998.2</v>
      </c>
      <c r="G635" s="103"/>
      <c r="H635" s="105">
        <v>22.5</v>
      </c>
      <c r="I635" s="103" t="s">
        <v>12</v>
      </c>
      <c r="J635" s="103"/>
      <c r="K635" s="109">
        <v>3.3140000000000001</v>
      </c>
    </row>
    <row r="636" spans="1:11">
      <c r="A636" s="103" t="s">
        <v>40</v>
      </c>
      <c r="B636" s="103"/>
      <c r="C636" s="104">
        <v>0.51</v>
      </c>
      <c r="D636" s="103">
        <v>5.8500000000000003E-2</v>
      </c>
      <c r="E636" s="103">
        <v>1.003E-3</v>
      </c>
      <c r="F636" s="103">
        <v>998.2</v>
      </c>
      <c r="G636" s="103"/>
      <c r="H636" s="105">
        <v>22.5</v>
      </c>
      <c r="I636" s="103" t="s">
        <v>12</v>
      </c>
      <c r="J636" s="103"/>
      <c r="K636" s="109">
        <v>4.5957999999999997</v>
      </c>
    </row>
    <row r="637" spans="1:11">
      <c r="A637" s="103" t="s">
        <v>40</v>
      </c>
      <c r="B637" s="103"/>
      <c r="C637" s="104">
        <v>0.51</v>
      </c>
      <c r="D637" s="103">
        <v>5.8500000000000003E-2</v>
      </c>
      <c r="E637" s="103">
        <v>1.003E-3</v>
      </c>
      <c r="F637" s="103">
        <v>998.2</v>
      </c>
      <c r="G637" s="103"/>
      <c r="H637" s="105">
        <v>22.5</v>
      </c>
      <c r="I637" s="103" t="s">
        <v>12</v>
      </c>
      <c r="J637" s="103"/>
      <c r="K637" s="109">
        <v>4.5119999999999996</v>
      </c>
    </row>
    <row r="638" spans="1:11">
      <c r="A638" s="103" t="s">
        <v>40</v>
      </c>
      <c r="B638" s="103"/>
      <c r="C638" s="104">
        <v>0.51</v>
      </c>
      <c r="D638" s="103">
        <v>5.8500000000000003E-2</v>
      </c>
      <c r="E638" s="103">
        <v>1.003E-3</v>
      </c>
      <c r="F638" s="103">
        <v>998.2</v>
      </c>
      <c r="G638" s="103"/>
      <c r="H638" s="105">
        <v>22.5</v>
      </c>
      <c r="I638" s="103" t="s">
        <v>12</v>
      </c>
      <c r="J638" s="103"/>
      <c r="K638" s="109">
        <v>4.5313999999999997</v>
      </c>
    </row>
    <row r="639" spans="1:11">
      <c r="A639" s="103" t="s">
        <v>40</v>
      </c>
      <c r="B639" s="103"/>
      <c r="C639" s="104">
        <v>0.51</v>
      </c>
      <c r="D639" s="103">
        <v>5.8500000000000003E-2</v>
      </c>
      <c r="E639" s="103">
        <v>1.003E-3</v>
      </c>
      <c r="F639" s="103">
        <v>998.2</v>
      </c>
      <c r="G639" s="103"/>
      <c r="H639" s="105">
        <v>22.5</v>
      </c>
      <c r="I639" s="103" t="s">
        <v>12</v>
      </c>
      <c r="J639" s="103"/>
      <c r="K639" s="109">
        <v>4.4541000000000004</v>
      </c>
    </row>
    <row r="640" spans="1:11">
      <c r="A640" s="103" t="s">
        <v>40</v>
      </c>
      <c r="B640" s="103"/>
      <c r="C640" s="104">
        <v>0.51</v>
      </c>
      <c r="D640" s="103">
        <v>5.8500000000000003E-2</v>
      </c>
      <c r="E640" s="103">
        <v>1.003E-3</v>
      </c>
      <c r="F640" s="103">
        <v>998.2</v>
      </c>
      <c r="G640" s="103"/>
      <c r="H640" s="105">
        <v>22.5</v>
      </c>
      <c r="I640" s="103" t="s">
        <v>12</v>
      </c>
      <c r="J640" s="103"/>
      <c r="K640" s="109">
        <v>4.4668999999999999</v>
      </c>
    </row>
    <row r="641" spans="1:11">
      <c r="A641" s="103" t="s">
        <v>40</v>
      </c>
      <c r="B641" s="103"/>
      <c r="C641" s="104">
        <v>0.51</v>
      </c>
      <c r="D641" s="105">
        <v>5.0700000000000002E-2</v>
      </c>
      <c r="E641" s="103">
        <v>1.003E-3</v>
      </c>
      <c r="F641" s="103">
        <v>998.2</v>
      </c>
      <c r="G641" s="103"/>
      <c r="H641" s="105">
        <v>22.5</v>
      </c>
      <c r="I641" s="103" t="s">
        <v>12</v>
      </c>
      <c r="J641" s="103"/>
      <c r="K641" s="109">
        <v>3.4685000000000001</v>
      </c>
    </row>
    <row r="642" spans="1:11">
      <c r="A642" s="103" t="s">
        <v>40</v>
      </c>
      <c r="B642" s="103"/>
      <c r="C642" s="104">
        <v>0.51</v>
      </c>
      <c r="D642" s="105">
        <v>5.0700000000000002E-2</v>
      </c>
      <c r="E642" s="103">
        <v>1.003E-3</v>
      </c>
      <c r="F642" s="103">
        <v>998.2</v>
      </c>
      <c r="G642" s="103"/>
      <c r="H642" s="105">
        <v>22.5</v>
      </c>
      <c r="I642" s="103" t="s">
        <v>12</v>
      </c>
      <c r="J642" s="103"/>
      <c r="K642" s="109">
        <v>4.6151</v>
      </c>
    </row>
    <row r="643" spans="1:11">
      <c r="A643" s="103" t="s">
        <v>40</v>
      </c>
      <c r="B643" s="103"/>
      <c r="C643" s="104">
        <v>0.51</v>
      </c>
      <c r="D643" s="105">
        <v>5.0700000000000002E-2</v>
      </c>
      <c r="E643" s="103">
        <v>1.003E-3</v>
      </c>
      <c r="F643" s="103">
        <v>998.2</v>
      </c>
      <c r="G643" s="103"/>
      <c r="H643" s="105">
        <v>22.5</v>
      </c>
      <c r="I643" s="103" t="s">
        <v>12</v>
      </c>
      <c r="J643" s="103"/>
      <c r="K643" s="109">
        <v>4.4991000000000003</v>
      </c>
    </row>
    <row r="644" spans="1:11">
      <c r="A644" s="103" t="s">
        <v>40</v>
      </c>
      <c r="B644" s="103"/>
      <c r="C644" s="104">
        <v>0.51</v>
      </c>
      <c r="D644" s="105">
        <v>5.0700000000000002E-2</v>
      </c>
      <c r="E644" s="103">
        <v>1.003E-3</v>
      </c>
      <c r="F644" s="103">
        <v>998.2</v>
      </c>
      <c r="G644" s="103"/>
      <c r="H644" s="105">
        <v>22.5</v>
      </c>
      <c r="I644" s="103" t="s">
        <v>12</v>
      </c>
      <c r="J644" s="103"/>
      <c r="K644" s="109">
        <v>4.5763999999999996</v>
      </c>
    </row>
    <row r="645" spans="1:11">
      <c r="A645" s="103" t="s">
        <v>40</v>
      </c>
      <c r="B645" s="103"/>
      <c r="C645" s="104">
        <v>0.51</v>
      </c>
      <c r="D645" s="105">
        <v>5.0700000000000002E-2</v>
      </c>
      <c r="E645" s="103">
        <v>1.003E-3</v>
      </c>
      <c r="F645" s="103">
        <v>998.2</v>
      </c>
      <c r="G645" s="103"/>
      <c r="H645" s="105">
        <v>22.5</v>
      </c>
      <c r="I645" s="103" t="s">
        <v>12</v>
      </c>
      <c r="J645" s="103"/>
      <c r="K645" s="109">
        <v>4.5507</v>
      </c>
    </row>
    <row r="646" spans="1:11">
      <c r="A646" s="103" t="s">
        <v>40</v>
      </c>
      <c r="B646" s="103"/>
      <c r="C646" s="104">
        <v>0.51</v>
      </c>
      <c r="D646" s="105">
        <v>5.0700000000000002E-2</v>
      </c>
      <c r="E646" s="103">
        <v>1.003E-3</v>
      </c>
      <c r="F646" s="103">
        <v>998.2</v>
      </c>
      <c r="G646" s="103"/>
      <c r="H646" s="105">
        <v>22.5</v>
      </c>
      <c r="I646" s="103" t="s">
        <v>12</v>
      </c>
      <c r="J646" s="103"/>
      <c r="K646" s="109">
        <v>4.3380999999999998</v>
      </c>
    </row>
    <row r="647" spans="1:11">
      <c r="A647" s="103" t="s">
        <v>40</v>
      </c>
      <c r="B647" s="103"/>
      <c r="C647" s="104">
        <v>0.51</v>
      </c>
      <c r="D647" s="103">
        <v>4.7800000000000002E-2</v>
      </c>
      <c r="E647" s="103">
        <v>1.003E-3</v>
      </c>
      <c r="F647" s="103">
        <v>998.2</v>
      </c>
      <c r="G647" s="103"/>
      <c r="H647" s="105">
        <v>22.5</v>
      </c>
      <c r="I647" s="103" t="s">
        <v>12</v>
      </c>
      <c r="J647" s="103"/>
      <c r="K647" s="109">
        <v>4.0031999999999996</v>
      </c>
    </row>
    <row r="648" spans="1:11">
      <c r="A648" s="103" t="s">
        <v>40</v>
      </c>
      <c r="B648" s="103"/>
      <c r="C648" s="104">
        <v>0.51</v>
      </c>
      <c r="D648" s="103">
        <v>4.7800000000000002E-2</v>
      </c>
      <c r="E648" s="103">
        <v>1.003E-3</v>
      </c>
      <c r="F648" s="103">
        <v>998.2</v>
      </c>
      <c r="G648" s="103"/>
      <c r="H648" s="105">
        <v>22.5</v>
      </c>
      <c r="I648" s="103" t="s">
        <v>12</v>
      </c>
      <c r="J648" s="103"/>
      <c r="K648" s="109">
        <v>4.4283000000000001</v>
      </c>
    </row>
    <row r="649" spans="1:11">
      <c r="A649" s="103" t="s">
        <v>40</v>
      </c>
      <c r="B649" s="103"/>
      <c r="C649" s="104">
        <v>0.51</v>
      </c>
      <c r="D649" s="103">
        <v>4.7800000000000002E-2</v>
      </c>
      <c r="E649" s="103">
        <v>1.003E-3</v>
      </c>
      <c r="F649" s="103">
        <v>998.2</v>
      </c>
      <c r="G649" s="103"/>
      <c r="H649" s="105">
        <v>22.5</v>
      </c>
      <c r="I649" s="103" t="s">
        <v>12</v>
      </c>
      <c r="J649" s="103"/>
      <c r="K649" s="109">
        <v>4.57</v>
      </c>
    </row>
    <row r="650" spans="1:11">
      <c r="A650" s="103" t="s">
        <v>40</v>
      </c>
      <c r="B650" s="103"/>
      <c r="C650" s="104">
        <v>0.51</v>
      </c>
      <c r="D650" s="103">
        <v>4.7800000000000002E-2</v>
      </c>
      <c r="E650" s="103">
        <v>1.003E-3</v>
      </c>
      <c r="F650" s="103">
        <v>998.2</v>
      </c>
      <c r="G650" s="103"/>
      <c r="H650" s="105">
        <v>22.5</v>
      </c>
      <c r="I650" s="103" t="s">
        <v>12</v>
      </c>
      <c r="J650" s="103"/>
      <c r="K650" s="109">
        <v>4.6086</v>
      </c>
    </row>
    <row r="651" spans="1:11">
      <c r="A651" s="103" t="s">
        <v>40</v>
      </c>
      <c r="B651" s="103"/>
      <c r="C651" s="104">
        <v>0.51</v>
      </c>
      <c r="D651" s="103">
        <v>4.7800000000000002E-2</v>
      </c>
      <c r="E651" s="103">
        <v>1.003E-3</v>
      </c>
      <c r="F651" s="103">
        <v>998.2</v>
      </c>
      <c r="G651" s="103"/>
      <c r="H651" s="105">
        <v>22.5</v>
      </c>
      <c r="I651" s="103" t="s">
        <v>12</v>
      </c>
      <c r="J651" s="103"/>
      <c r="K651" s="109">
        <v>4.5892999999999997</v>
      </c>
    </row>
    <row r="652" spans="1:11">
      <c r="A652" s="103" t="s">
        <v>40</v>
      </c>
      <c r="B652" s="103"/>
      <c r="C652" s="104">
        <v>0.51</v>
      </c>
      <c r="D652" s="103">
        <v>4.7800000000000002E-2</v>
      </c>
      <c r="E652" s="103">
        <v>1.003E-3</v>
      </c>
      <c r="F652" s="103">
        <v>998.2</v>
      </c>
      <c r="G652" s="103"/>
      <c r="H652" s="105">
        <v>22.5</v>
      </c>
      <c r="I652" s="103" t="s">
        <v>12</v>
      </c>
      <c r="J652" s="103"/>
      <c r="K652" s="109">
        <v>4.3639000000000001</v>
      </c>
    </row>
    <row r="653" spans="1:11">
      <c r="A653" s="103" t="s">
        <v>40</v>
      </c>
      <c r="B653" s="103"/>
      <c r="C653" s="104">
        <v>0.51</v>
      </c>
      <c r="D653" s="103">
        <v>6.25E-2</v>
      </c>
      <c r="E653" s="103">
        <v>0.77500000000000002</v>
      </c>
      <c r="F653" s="103">
        <v>1260</v>
      </c>
      <c r="G653" s="103"/>
      <c r="H653" s="105">
        <v>22.5</v>
      </c>
      <c r="I653" s="103" t="s">
        <v>12</v>
      </c>
      <c r="J653" s="103"/>
      <c r="K653" s="109">
        <v>4.0144000000000002</v>
      </c>
    </row>
    <row r="654" spans="1:11">
      <c r="A654" s="103" t="s">
        <v>40</v>
      </c>
      <c r="B654" s="103"/>
      <c r="C654" s="104">
        <v>0.51</v>
      </c>
      <c r="D654" s="103">
        <v>6.25E-2</v>
      </c>
      <c r="E654" s="103">
        <v>0.77500000000000002</v>
      </c>
      <c r="F654" s="103">
        <v>1260</v>
      </c>
      <c r="G654" s="103"/>
      <c r="H654" s="105">
        <v>22.5</v>
      </c>
      <c r="I654" s="103" t="s">
        <v>12</v>
      </c>
      <c r="J654" s="103"/>
      <c r="K654" s="109">
        <v>6.0541999999999998</v>
      </c>
    </row>
    <row r="655" spans="1:11">
      <c r="A655" s="103" t="s">
        <v>40</v>
      </c>
      <c r="B655" s="103"/>
      <c r="C655" s="104">
        <v>0.51</v>
      </c>
      <c r="D655" s="103">
        <v>6.25E-2</v>
      </c>
      <c r="E655" s="103">
        <v>0.77500000000000002</v>
      </c>
      <c r="F655" s="103">
        <v>1260</v>
      </c>
      <c r="G655" s="103"/>
      <c r="H655" s="105">
        <v>22.5</v>
      </c>
      <c r="I655" s="103" t="s">
        <v>12</v>
      </c>
      <c r="J655" s="103"/>
      <c r="K655" s="109">
        <v>8.7667000000000002</v>
      </c>
    </row>
    <row r="656" spans="1:11">
      <c r="A656" s="103" t="s">
        <v>40</v>
      </c>
      <c r="B656" s="103"/>
      <c r="C656" s="104">
        <v>0.51</v>
      </c>
      <c r="D656" s="103">
        <v>6.25E-2</v>
      </c>
      <c r="E656" s="103">
        <v>0.77500000000000002</v>
      </c>
      <c r="F656" s="103">
        <v>1260</v>
      </c>
      <c r="G656" s="103"/>
      <c r="H656" s="105">
        <v>22.5</v>
      </c>
      <c r="I656" s="103" t="s">
        <v>12</v>
      </c>
      <c r="J656" s="103"/>
      <c r="K656" s="109">
        <v>9.7215000000000007</v>
      </c>
    </row>
    <row r="657" spans="1:11">
      <c r="A657" s="103" t="s">
        <v>40</v>
      </c>
      <c r="B657" s="103"/>
      <c r="C657" s="104">
        <v>0.51</v>
      </c>
      <c r="D657" s="103">
        <v>6.25E-2</v>
      </c>
      <c r="E657" s="103">
        <v>0.77500000000000002</v>
      </c>
      <c r="F657" s="103">
        <v>1260</v>
      </c>
      <c r="G657" s="103"/>
      <c r="H657" s="105">
        <v>22.5</v>
      </c>
      <c r="I657" s="103" t="s">
        <v>12</v>
      </c>
      <c r="J657" s="103"/>
      <c r="K657" s="109">
        <v>10.415900000000001</v>
      </c>
    </row>
    <row r="658" spans="1:11">
      <c r="A658" s="103" t="s">
        <v>40</v>
      </c>
      <c r="B658" s="103"/>
      <c r="C658" s="104">
        <v>0.51</v>
      </c>
      <c r="D658" s="103">
        <v>6.25E-2</v>
      </c>
      <c r="E658" s="103">
        <v>0.77500000000000002</v>
      </c>
      <c r="F658" s="103">
        <v>1260</v>
      </c>
      <c r="G658" s="103"/>
      <c r="H658" s="105">
        <v>22.5</v>
      </c>
      <c r="I658" s="103" t="s">
        <v>12</v>
      </c>
      <c r="J658" s="103"/>
      <c r="K658" s="109">
        <v>10.5678</v>
      </c>
    </row>
    <row r="659" spans="1:11">
      <c r="A659" s="103" t="s">
        <v>40</v>
      </c>
      <c r="B659" s="103"/>
      <c r="C659" s="104">
        <v>0.51</v>
      </c>
      <c r="D659" s="103">
        <v>6.3E-2</v>
      </c>
      <c r="E659" s="103">
        <v>0.32700000000000001</v>
      </c>
      <c r="F659" s="103">
        <v>1245.5999999999999</v>
      </c>
      <c r="G659" s="103"/>
      <c r="H659" s="105">
        <v>22.5</v>
      </c>
      <c r="I659" s="103" t="s">
        <v>12</v>
      </c>
      <c r="J659" s="103"/>
      <c r="K659" s="109">
        <v>2.2784</v>
      </c>
    </row>
    <row r="660" spans="1:11">
      <c r="A660" s="103" t="s">
        <v>40</v>
      </c>
      <c r="B660" s="103"/>
      <c r="C660" s="104">
        <v>0.51</v>
      </c>
      <c r="D660" s="103">
        <v>6.3E-2</v>
      </c>
      <c r="E660" s="103">
        <v>0.32700000000000001</v>
      </c>
      <c r="F660" s="103">
        <v>1245.5999999999999</v>
      </c>
      <c r="G660" s="103"/>
      <c r="H660" s="105">
        <v>22.5</v>
      </c>
      <c r="I660" s="103" t="s">
        <v>12</v>
      </c>
      <c r="J660" s="103"/>
      <c r="K660" s="109">
        <v>3.6888999999999998</v>
      </c>
    </row>
    <row r="661" spans="1:11">
      <c r="A661" s="103" t="s">
        <v>40</v>
      </c>
      <c r="B661" s="103"/>
      <c r="C661" s="104">
        <v>0.51</v>
      </c>
      <c r="D661" s="103">
        <v>6.3E-2</v>
      </c>
      <c r="E661" s="103">
        <v>0.32700000000000001</v>
      </c>
      <c r="F661" s="103">
        <v>1245.5999999999999</v>
      </c>
      <c r="G661" s="103"/>
      <c r="H661" s="105">
        <v>22.5</v>
      </c>
      <c r="I661" s="103" t="s">
        <v>12</v>
      </c>
      <c r="J661" s="103"/>
      <c r="K661" s="109">
        <v>5.5551000000000004</v>
      </c>
    </row>
    <row r="662" spans="1:11">
      <c r="A662" s="103" t="s">
        <v>40</v>
      </c>
      <c r="B662" s="103"/>
      <c r="C662" s="104">
        <v>0.51</v>
      </c>
      <c r="D662" s="103">
        <v>6.3E-2</v>
      </c>
      <c r="E662" s="103">
        <v>0.32700000000000001</v>
      </c>
      <c r="F662" s="103">
        <v>1245.5999999999999</v>
      </c>
      <c r="G662" s="103"/>
      <c r="H662" s="105">
        <v>22.5</v>
      </c>
      <c r="I662" s="103" t="s">
        <v>12</v>
      </c>
      <c r="J662" s="103"/>
      <c r="K662" s="109">
        <v>6.0758999999999999</v>
      </c>
    </row>
    <row r="663" spans="1:11">
      <c r="A663" s="103" t="s">
        <v>40</v>
      </c>
      <c r="B663" s="103"/>
      <c r="C663" s="104">
        <v>0.51</v>
      </c>
      <c r="D663" s="103">
        <v>6.3E-2</v>
      </c>
      <c r="E663" s="103">
        <v>0.32700000000000001</v>
      </c>
      <c r="F663" s="103">
        <v>1245.5999999999999</v>
      </c>
      <c r="G663" s="103"/>
      <c r="H663" s="105">
        <v>22.5</v>
      </c>
      <c r="I663" s="103" t="s">
        <v>12</v>
      </c>
      <c r="J663" s="103"/>
      <c r="K663" s="109">
        <v>7.3779000000000003</v>
      </c>
    </row>
    <row r="664" spans="1:11">
      <c r="A664" s="103" t="s">
        <v>40</v>
      </c>
      <c r="B664" s="103"/>
      <c r="C664" s="104">
        <v>0.51</v>
      </c>
      <c r="D664" s="103">
        <v>6.3E-2</v>
      </c>
      <c r="E664" s="103">
        <v>0.32700000000000001</v>
      </c>
      <c r="F664" s="103">
        <v>1245.5999999999999</v>
      </c>
      <c r="G664" s="103"/>
      <c r="H664" s="105">
        <v>22.5</v>
      </c>
      <c r="I664" s="103" t="s">
        <v>12</v>
      </c>
      <c r="J664" s="103"/>
      <c r="K664" s="109">
        <v>7.2477</v>
      </c>
    </row>
    <row r="665" spans="1:11">
      <c r="A665" s="103" t="s">
        <v>40</v>
      </c>
      <c r="B665" s="103"/>
      <c r="C665" s="104">
        <v>0.51</v>
      </c>
      <c r="D665" s="103">
        <v>6.4000000000000001E-2</v>
      </c>
      <c r="E665" s="103">
        <v>5.6899999999999999E-2</v>
      </c>
      <c r="F665" s="103">
        <v>1214.5</v>
      </c>
      <c r="G665" s="103"/>
      <c r="H665" s="105">
        <v>22.5</v>
      </c>
      <c r="I665" s="103" t="s">
        <v>12</v>
      </c>
      <c r="J665" s="103"/>
      <c r="K665" s="109">
        <v>1.3236000000000001</v>
      </c>
    </row>
    <row r="666" spans="1:11">
      <c r="A666" s="103" t="s">
        <v>40</v>
      </c>
      <c r="B666" s="103"/>
      <c r="C666" s="104">
        <v>0.51</v>
      </c>
      <c r="D666" s="103">
        <v>6.4000000000000001E-2</v>
      </c>
      <c r="E666" s="103">
        <v>5.6899999999999999E-2</v>
      </c>
      <c r="F666" s="103">
        <v>1214.5</v>
      </c>
      <c r="G666" s="103"/>
      <c r="H666" s="105">
        <v>22.5</v>
      </c>
      <c r="I666" s="103" t="s">
        <v>12</v>
      </c>
      <c r="J666" s="103"/>
      <c r="K666" s="109">
        <v>1.8661000000000001</v>
      </c>
    </row>
    <row r="667" spans="1:11">
      <c r="A667" s="103" t="s">
        <v>40</v>
      </c>
      <c r="B667" s="103"/>
      <c r="C667" s="104">
        <v>0.51</v>
      </c>
      <c r="D667" s="103">
        <v>6.4000000000000001E-2</v>
      </c>
      <c r="E667" s="103">
        <v>5.6899999999999999E-2</v>
      </c>
      <c r="F667" s="103">
        <v>1214.5</v>
      </c>
      <c r="G667" s="103"/>
      <c r="H667" s="105">
        <v>22.5</v>
      </c>
      <c r="I667" s="103" t="s">
        <v>12</v>
      </c>
      <c r="J667" s="103"/>
      <c r="K667" s="109">
        <v>2.5388000000000002</v>
      </c>
    </row>
    <row r="668" spans="1:11">
      <c r="A668" s="103" t="s">
        <v>40</v>
      </c>
      <c r="B668" s="103"/>
      <c r="C668" s="104">
        <v>0.51</v>
      </c>
      <c r="D668" s="103">
        <v>6.4000000000000001E-2</v>
      </c>
      <c r="E668" s="103">
        <v>5.6899999999999999E-2</v>
      </c>
      <c r="F668" s="103">
        <v>1214.5</v>
      </c>
      <c r="G668" s="103"/>
      <c r="H668" s="105">
        <v>22.5</v>
      </c>
      <c r="I668" s="103" t="s">
        <v>12</v>
      </c>
      <c r="J668" s="103"/>
      <c r="K668" s="109">
        <v>2.2349999999999999</v>
      </c>
    </row>
    <row r="669" spans="1:11">
      <c r="A669" s="103" t="s">
        <v>40</v>
      </c>
      <c r="B669" s="103"/>
      <c r="C669" s="104">
        <v>0.51</v>
      </c>
      <c r="D669" s="103">
        <v>6.4000000000000001E-2</v>
      </c>
      <c r="E669" s="103">
        <v>5.6899999999999999E-2</v>
      </c>
      <c r="F669" s="103">
        <v>1214.5</v>
      </c>
      <c r="G669" s="103"/>
      <c r="H669" s="105">
        <v>22.5</v>
      </c>
      <c r="I669" s="103" t="s">
        <v>12</v>
      </c>
      <c r="J669" s="103"/>
      <c r="K669" s="109">
        <v>2.1482000000000001</v>
      </c>
    </row>
    <row r="670" spans="1:11">
      <c r="A670" s="103" t="s">
        <v>40</v>
      </c>
      <c r="B670" s="103"/>
      <c r="C670" s="104">
        <v>0.51</v>
      </c>
      <c r="D670" s="103">
        <v>6.4000000000000001E-2</v>
      </c>
      <c r="E670" s="103">
        <v>5.6899999999999999E-2</v>
      </c>
      <c r="F670" s="103">
        <v>1214.5</v>
      </c>
      <c r="G670" s="103"/>
      <c r="H670" s="105">
        <v>22.5</v>
      </c>
      <c r="I670" s="103" t="s">
        <v>12</v>
      </c>
      <c r="J670" s="103"/>
      <c r="K670" s="109">
        <v>2.1699000000000002</v>
      </c>
    </row>
    <row r="671" spans="1:11">
      <c r="A671" s="103" t="s">
        <v>40</v>
      </c>
      <c r="B671" s="103"/>
      <c r="C671" s="104">
        <v>0.51</v>
      </c>
      <c r="D671" s="103">
        <v>7.1999999999999995E-2</v>
      </c>
      <c r="E671" s="103">
        <v>1.003E-3</v>
      </c>
      <c r="F671" s="103">
        <v>998.2</v>
      </c>
      <c r="G671" s="103"/>
      <c r="H671" s="105">
        <v>22.5</v>
      </c>
      <c r="I671" s="103" t="s">
        <v>12</v>
      </c>
      <c r="J671" s="103"/>
      <c r="K671" s="109">
        <v>2.0396999999999998</v>
      </c>
    </row>
    <row r="672" spans="1:11">
      <c r="A672" s="103" t="s">
        <v>40</v>
      </c>
      <c r="B672" s="103"/>
      <c r="C672" s="104">
        <v>0.51</v>
      </c>
      <c r="D672" s="103">
        <v>7.1999999999999995E-2</v>
      </c>
      <c r="E672" s="103">
        <v>1.003E-3</v>
      </c>
      <c r="F672" s="103">
        <v>998.2</v>
      </c>
      <c r="G672" s="103"/>
      <c r="H672" s="105">
        <v>22.5</v>
      </c>
      <c r="I672" s="103" t="s">
        <v>12</v>
      </c>
      <c r="J672" s="103"/>
      <c r="K672" s="109">
        <v>3.1030000000000002</v>
      </c>
    </row>
    <row r="673" spans="1:11">
      <c r="A673" s="103" t="s">
        <v>40</v>
      </c>
      <c r="B673" s="103"/>
      <c r="C673" s="104">
        <v>0.51</v>
      </c>
      <c r="D673" s="103">
        <v>7.1999999999999995E-2</v>
      </c>
      <c r="E673" s="103">
        <v>1.003E-3</v>
      </c>
      <c r="F673" s="103">
        <v>998.2</v>
      </c>
      <c r="G673" s="103"/>
      <c r="H673" s="105">
        <v>22.5</v>
      </c>
      <c r="I673" s="103" t="s">
        <v>12</v>
      </c>
      <c r="J673" s="103"/>
      <c r="K673" s="109">
        <v>2.8426</v>
      </c>
    </row>
    <row r="674" spans="1:11">
      <c r="A674" s="103" t="s">
        <v>40</v>
      </c>
      <c r="B674" s="103"/>
      <c r="C674" s="104">
        <v>0.51</v>
      </c>
      <c r="D674" s="103">
        <v>7.1999999999999995E-2</v>
      </c>
      <c r="E674" s="103">
        <v>1.003E-3</v>
      </c>
      <c r="F674" s="103">
        <v>998.2</v>
      </c>
      <c r="G674" s="103"/>
      <c r="H674" s="105">
        <v>22.5</v>
      </c>
      <c r="I674" s="103" t="s">
        <v>12</v>
      </c>
      <c r="J674" s="103"/>
      <c r="K674" s="109">
        <v>2.8643000000000001</v>
      </c>
    </row>
    <row r="675" spans="1:11">
      <c r="A675" s="103" t="s">
        <v>40</v>
      </c>
      <c r="B675" s="103"/>
      <c r="C675" s="104">
        <v>0.51</v>
      </c>
      <c r="D675" s="103">
        <v>7.1999999999999995E-2</v>
      </c>
      <c r="E675" s="103">
        <v>1.003E-3</v>
      </c>
      <c r="F675" s="103">
        <v>998.2</v>
      </c>
      <c r="G675" s="103"/>
      <c r="H675" s="105">
        <v>22.5</v>
      </c>
      <c r="I675" s="103" t="s">
        <v>12</v>
      </c>
      <c r="J675" s="103"/>
      <c r="K675" s="109">
        <v>2.8426</v>
      </c>
    </row>
    <row r="676" spans="1:11">
      <c r="A676" s="103" t="s">
        <v>40</v>
      </c>
      <c r="B676" s="103"/>
      <c r="C676" s="104">
        <v>0.51</v>
      </c>
      <c r="D676" s="103">
        <v>7.1999999999999995E-2</v>
      </c>
      <c r="E676" s="103">
        <v>1.003E-3</v>
      </c>
      <c r="F676" s="103">
        <v>998.2</v>
      </c>
      <c r="G676" s="103"/>
      <c r="H676" s="105">
        <v>22.5</v>
      </c>
      <c r="I676" s="103" t="s">
        <v>12</v>
      </c>
      <c r="J676" s="103"/>
      <c r="K676" s="109">
        <v>2.8643000000000001</v>
      </c>
    </row>
    <row r="677" spans="1:11">
      <c r="A677" s="103" t="s">
        <v>24</v>
      </c>
      <c r="B677" s="103"/>
      <c r="C677" s="104">
        <v>0.25</v>
      </c>
      <c r="D677" s="103">
        <v>7.1999999999999995E-2</v>
      </c>
      <c r="E677" s="103">
        <v>1.003E-3</v>
      </c>
      <c r="F677" s="103">
        <v>998.2</v>
      </c>
      <c r="G677" s="103"/>
      <c r="H677" s="105">
        <v>22.5</v>
      </c>
      <c r="I677" s="103" t="s">
        <v>12</v>
      </c>
      <c r="J677" s="103"/>
      <c r="K677" s="104">
        <v>2.8995502531833801</v>
      </c>
    </row>
    <row r="678" spans="1:11">
      <c r="A678" s="103" t="s">
        <v>24</v>
      </c>
      <c r="B678" s="103"/>
      <c r="C678" s="104">
        <v>0.25</v>
      </c>
      <c r="D678" s="103">
        <v>7.1999999999999995E-2</v>
      </c>
      <c r="E678" s="103">
        <v>1.003E-3</v>
      </c>
      <c r="F678" s="103">
        <v>998.2</v>
      </c>
      <c r="G678" s="103"/>
      <c r="H678" s="105">
        <v>22.5</v>
      </c>
      <c r="I678" s="103" t="s">
        <v>12</v>
      </c>
      <c r="J678" s="103"/>
      <c r="K678" s="104">
        <v>3.36731611031778</v>
      </c>
    </row>
    <row r="679" spans="1:11">
      <c r="A679" s="103" t="s">
        <v>24</v>
      </c>
      <c r="B679" s="103"/>
      <c r="C679" s="104">
        <v>0.25</v>
      </c>
      <c r="D679" s="103">
        <v>7.1999999999999995E-2</v>
      </c>
      <c r="E679" s="103">
        <v>1.003E-3</v>
      </c>
      <c r="F679" s="103">
        <v>998.2</v>
      </c>
      <c r="G679" s="103"/>
      <c r="H679" s="105">
        <v>22.5</v>
      </c>
      <c r="I679" s="103" t="s">
        <v>12</v>
      </c>
      <c r="J679" s="103"/>
      <c r="K679" s="104">
        <v>3.9790102138522498</v>
      </c>
    </row>
    <row r="680" spans="1:11">
      <c r="A680" s="103" t="s">
        <v>24</v>
      </c>
      <c r="B680" s="103"/>
      <c r="C680" s="104">
        <v>0.25</v>
      </c>
      <c r="D680" s="103">
        <v>7.1999999999999995E-2</v>
      </c>
      <c r="E680" s="103">
        <v>1.003E-3</v>
      </c>
      <c r="F680" s="103">
        <v>998.2</v>
      </c>
      <c r="G680" s="103"/>
      <c r="H680" s="105">
        <v>22.5</v>
      </c>
      <c r="I680" s="103" t="s">
        <v>12</v>
      </c>
      <c r="J680" s="103"/>
      <c r="K680" s="104">
        <v>4.1589202644889198</v>
      </c>
    </row>
    <row r="681" spans="1:11">
      <c r="A681" s="103" t="s">
        <v>24</v>
      </c>
      <c r="B681" s="103"/>
      <c r="C681" s="104">
        <v>0.25</v>
      </c>
      <c r="D681" s="103">
        <v>7.1999999999999995E-2</v>
      </c>
      <c r="E681" s="103">
        <v>1.003E-3</v>
      </c>
      <c r="F681" s="103">
        <v>998.2</v>
      </c>
      <c r="G681" s="103"/>
      <c r="H681" s="105">
        <v>22.5</v>
      </c>
      <c r="I681" s="103" t="s">
        <v>12</v>
      </c>
      <c r="J681" s="103"/>
      <c r="K681" s="104">
        <v>4.30284851088898</v>
      </c>
    </row>
    <row r="682" spans="1:11">
      <c r="A682" s="103" t="s">
        <v>24</v>
      </c>
      <c r="B682" s="103"/>
      <c r="C682" s="104">
        <v>0.25</v>
      </c>
      <c r="D682" s="103">
        <v>7.1999999999999995E-2</v>
      </c>
      <c r="E682" s="103">
        <v>1.003E-3</v>
      </c>
      <c r="F682" s="103">
        <v>998.2</v>
      </c>
      <c r="G682" s="103"/>
      <c r="H682" s="105">
        <v>22.5</v>
      </c>
      <c r="I682" s="103" t="s">
        <v>12</v>
      </c>
      <c r="J682" s="103"/>
      <c r="K682" s="104">
        <v>4.2758620719237097</v>
      </c>
    </row>
    <row r="683" spans="1:11">
      <c r="A683" s="103" t="s">
        <v>24</v>
      </c>
      <c r="B683" s="103"/>
      <c r="C683" s="104">
        <v>0.25</v>
      </c>
      <c r="D683" s="103">
        <v>6.4000000000000001E-2</v>
      </c>
      <c r="E683" s="103">
        <v>5.6899999999999999E-2</v>
      </c>
      <c r="F683" s="103">
        <v>1214.5</v>
      </c>
      <c r="G683" s="103"/>
      <c r="H683" s="105">
        <v>22.5</v>
      </c>
      <c r="I683" s="103" t="s">
        <v>12</v>
      </c>
      <c r="J683" s="103"/>
      <c r="K683" s="104">
        <v>2.1349325379774999</v>
      </c>
    </row>
    <row r="684" spans="1:11">
      <c r="A684" s="103" t="s">
        <v>24</v>
      </c>
      <c r="B684" s="103"/>
      <c r="C684" s="104">
        <v>0.25</v>
      </c>
      <c r="D684" s="103">
        <v>6.4000000000000001E-2</v>
      </c>
      <c r="E684" s="103">
        <v>5.6899999999999999E-2</v>
      </c>
      <c r="F684" s="103">
        <v>1214.5</v>
      </c>
      <c r="G684" s="103"/>
      <c r="H684" s="105">
        <v>22.5</v>
      </c>
      <c r="I684" s="103" t="s">
        <v>12</v>
      </c>
      <c r="J684" s="103"/>
      <c r="K684" s="104">
        <v>2.7286355678180598</v>
      </c>
    </row>
    <row r="685" spans="1:11">
      <c r="A685" s="103" t="s">
        <v>24</v>
      </c>
      <c r="B685" s="103"/>
      <c r="C685" s="104">
        <v>0.25</v>
      </c>
      <c r="D685" s="103">
        <v>6.4000000000000001E-2</v>
      </c>
      <c r="E685" s="103">
        <v>5.6899999999999999E-2</v>
      </c>
      <c r="F685" s="103">
        <v>1214.5</v>
      </c>
      <c r="G685" s="103"/>
      <c r="H685" s="105">
        <v>22.5</v>
      </c>
      <c r="I685" s="103" t="s">
        <v>12</v>
      </c>
      <c r="J685" s="103"/>
      <c r="K685" s="104">
        <v>3.18740605968111</v>
      </c>
    </row>
    <row r="686" spans="1:11">
      <c r="A686" s="103" t="s">
        <v>24</v>
      </c>
      <c r="B686" s="103"/>
      <c r="C686" s="104">
        <v>0.25</v>
      </c>
      <c r="D686" s="103">
        <v>6.4000000000000001E-2</v>
      </c>
      <c r="E686" s="103">
        <v>5.6899999999999999E-2</v>
      </c>
      <c r="F686" s="103">
        <v>1214.5</v>
      </c>
      <c r="G686" s="103"/>
      <c r="H686" s="105">
        <v>22.5</v>
      </c>
      <c r="I686" s="103" t="s">
        <v>12</v>
      </c>
      <c r="J686" s="103"/>
      <c r="K686" s="104">
        <v>3.3853064977093101</v>
      </c>
    </row>
    <row r="687" spans="1:11">
      <c r="A687" s="103" t="s">
        <v>24</v>
      </c>
      <c r="B687" s="103"/>
      <c r="C687" s="104">
        <v>0.25</v>
      </c>
      <c r="D687" s="103">
        <v>6.4000000000000001E-2</v>
      </c>
      <c r="E687" s="103">
        <v>5.6899999999999999E-2</v>
      </c>
      <c r="F687" s="103">
        <v>1214.5</v>
      </c>
      <c r="G687" s="103"/>
      <c r="H687" s="105">
        <v>22.5</v>
      </c>
      <c r="I687" s="103" t="s">
        <v>12</v>
      </c>
      <c r="J687" s="103"/>
      <c r="K687" s="104">
        <v>3.3493250366238798</v>
      </c>
    </row>
    <row r="688" spans="1:11">
      <c r="A688" s="103" t="s">
        <v>24</v>
      </c>
      <c r="B688" s="103"/>
      <c r="C688" s="104">
        <v>0.25</v>
      </c>
      <c r="D688" s="103">
        <v>6.4000000000000001E-2</v>
      </c>
      <c r="E688" s="103">
        <v>5.6899999999999999E-2</v>
      </c>
      <c r="F688" s="103">
        <v>1214.5</v>
      </c>
      <c r="G688" s="103"/>
      <c r="H688" s="105">
        <v>22.5</v>
      </c>
      <c r="I688" s="103" t="s">
        <v>12</v>
      </c>
      <c r="J688" s="103"/>
      <c r="K688" s="104">
        <v>3.3493250366238798</v>
      </c>
    </row>
    <row r="689" spans="1:11">
      <c r="A689" s="103" t="s">
        <v>24</v>
      </c>
      <c r="B689" s="103"/>
      <c r="C689" s="104">
        <v>0.25</v>
      </c>
      <c r="D689" s="103">
        <v>6.3E-2</v>
      </c>
      <c r="E689" s="103">
        <v>0.32700000000000001</v>
      </c>
      <c r="F689" s="103">
        <v>1245.5999999999999</v>
      </c>
      <c r="G689" s="103"/>
      <c r="H689" s="105">
        <v>22.5</v>
      </c>
      <c r="I689" s="103" t="s">
        <v>12</v>
      </c>
      <c r="J689" s="103"/>
      <c r="K689" s="104">
        <v>3.3133432323872598</v>
      </c>
    </row>
    <row r="690" spans="1:11">
      <c r="A690" s="103" t="s">
        <v>24</v>
      </c>
      <c r="B690" s="103"/>
      <c r="C690" s="104">
        <v>0.25</v>
      </c>
      <c r="D690" s="103">
        <v>6.3E-2</v>
      </c>
      <c r="E690" s="103">
        <v>0.32700000000000001</v>
      </c>
      <c r="F690" s="103">
        <v>1245.5999999999999</v>
      </c>
      <c r="G690" s="103"/>
      <c r="H690" s="105">
        <v>22.5</v>
      </c>
      <c r="I690" s="103" t="s">
        <v>12</v>
      </c>
      <c r="J690" s="103"/>
      <c r="K690" s="104">
        <v>3.4662668440586701</v>
      </c>
    </row>
    <row r="691" spans="1:11">
      <c r="A691" s="103" t="s">
        <v>24</v>
      </c>
      <c r="B691" s="103"/>
      <c r="C691" s="104">
        <v>0.25</v>
      </c>
      <c r="D691" s="103">
        <v>6.3E-2</v>
      </c>
      <c r="E691" s="103">
        <v>0.32700000000000001</v>
      </c>
      <c r="F691" s="103">
        <v>1245.5999999999999</v>
      </c>
      <c r="G691" s="103"/>
      <c r="H691" s="105">
        <v>22.5</v>
      </c>
      <c r="I691" s="103" t="s">
        <v>12</v>
      </c>
      <c r="J691" s="103"/>
      <c r="K691" s="104">
        <v>4.5637178784214401</v>
      </c>
    </row>
    <row r="692" spans="1:11">
      <c r="A692" s="103" t="s">
        <v>24</v>
      </c>
      <c r="B692" s="103"/>
      <c r="C692" s="104">
        <v>0.25</v>
      </c>
      <c r="D692" s="103">
        <v>6.3E-2</v>
      </c>
      <c r="E692" s="103">
        <v>0.32700000000000001</v>
      </c>
      <c r="F692" s="103">
        <v>1245.5999999999999</v>
      </c>
      <c r="G692" s="103"/>
      <c r="H692" s="105">
        <v>22.5</v>
      </c>
      <c r="I692" s="103" t="s">
        <v>12</v>
      </c>
      <c r="J692" s="103"/>
      <c r="K692" s="104">
        <v>5.2383805683089797</v>
      </c>
    </row>
    <row r="693" spans="1:11">
      <c r="A693" s="103" t="s">
        <v>24</v>
      </c>
      <c r="B693" s="103"/>
      <c r="C693" s="104">
        <v>0.25</v>
      </c>
      <c r="D693" s="103">
        <v>6.3E-2</v>
      </c>
      <c r="E693" s="103">
        <v>0.32700000000000001</v>
      </c>
      <c r="F693" s="103">
        <v>1245.5999999999999</v>
      </c>
      <c r="G693" s="103"/>
      <c r="H693" s="105">
        <v>22.5</v>
      </c>
      <c r="I693" s="103" t="s">
        <v>12</v>
      </c>
      <c r="J693" s="103"/>
      <c r="K693" s="104">
        <v>5.5532231569231598</v>
      </c>
    </row>
    <row r="694" spans="1:11">
      <c r="A694" s="103" t="s">
        <v>24</v>
      </c>
      <c r="B694" s="103"/>
      <c r="C694" s="104">
        <v>0.25</v>
      </c>
      <c r="D694" s="103">
        <v>6.3E-2</v>
      </c>
      <c r="E694" s="103">
        <v>0.32700000000000001</v>
      </c>
      <c r="F694" s="103">
        <v>1245.5999999999999</v>
      </c>
      <c r="G694" s="103"/>
      <c r="H694" s="105">
        <v>22.5</v>
      </c>
      <c r="I694" s="103" t="s">
        <v>12</v>
      </c>
      <c r="J694" s="103"/>
      <c r="K694" s="104">
        <v>5.5082456442639902</v>
      </c>
    </row>
    <row r="695" spans="1:11">
      <c r="A695" s="103" t="s">
        <v>24</v>
      </c>
      <c r="B695" s="103"/>
      <c r="C695" s="104">
        <v>0.25</v>
      </c>
      <c r="D695" s="103">
        <v>6.25E-2</v>
      </c>
      <c r="E695" s="103">
        <v>0.77500000000000002</v>
      </c>
      <c r="F695" s="103">
        <v>1260</v>
      </c>
      <c r="G695" s="103"/>
      <c r="H695" s="105">
        <v>22.5</v>
      </c>
      <c r="I695" s="103" t="s">
        <v>12</v>
      </c>
      <c r="J695" s="103"/>
      <c r="K695" s="104">
        <v>3.7631183589789501</v>
      </c>
    </row>
    <row r="696" spans="1:11">
      <c r="A696" s="103" t="s">
        <v>24</v>
      </c>
      <c r="B696" s="103"/>
      <c r="C696" s="104">
        <v>0.25</v>
      </c>
      <c r="D696" s="103">
        <v>6.25E-2</v>
      </c>
      <c r="E696" s="103">
        <v>0.77500000000000002</v>
      </c>
      <c r="F696" s="103">
        <v>1260</v>
      </c>
      <c r="G696" s="103"/>
      <c r="H696" s="105">
        <v>22.5</v>
      </c>
      <c r="I696" s="103" t="s">
        <v>12</v>
      </c>
      <c r="J696" s="103"/>
      <c r="K696" s="104">
        <v>4.6356821731970701</v>
      </c>
    </row>
    <row r="697" spans="1:11">
      <c r="A697" s="103" t="s">
        <v>24</v>
      </c>
      <c r="B697" s="103"/>
      <c r="C697" s="104">
        <v>0.25</v>
      </c>
      <c r="D697" s="103">
        <v>6.25E-2</v>
      </c>
      <c r="E697" s="103">
        <v>0.77500000000000002</v>
      </c>
      <c r="F697" s="103">
        <v>1260</v>
      </c>
      <c r="G697" s="103"/>
      <c r="H697" s="105">
        <v>22.5</v>
      </c>
      <c r="I697" s="103" t="s">
        <v>12</v>
      </c>
      <c r="J697" s="103"/>
      <c r="K697" s="104">
        <v>5.6161917432762403</v>
      </c>
    </row>
    <row r="698" spans="1:11">
      <c r="A698" s="103" t="s">
        <v>24</v>
      </c>
      <c r="B698" s="103"/>
      <c r="C698" s="104">
        <v>0.25</v>
      </c>
      <c r="D698" s="103">
        <v>6.25E-2</v>
      </c>
      <c r="E698" s="103">
        <v>0.77500000000000002</v>
      </c>
      <c r="F698" s="103">
        <v>1260</v>
      </c>
      <c r="G698" s="103"/>
      <c r="H698" s="105">
        <v>22.5</v>
      </c>
      <c r="I698" s="103" t="s">
        <v>12</v>
      </c>
      <c r="J698" s="103"/>
      <c r="K698" s="104">
        <v>5.9310343318904204</v>
      </c>
    </row>
    <row r="699" spans="1:11">
      <c r="A699" s="103" t="s">
        <v>24</v>
      </c>
      <c r="B699" s="103"/>
      <c r="C699" s="104">
        <v>0.25</v>
      </c>
      <c r="D699" s="103">
        <v>6.25E-2</v>
      </c>
      <c r="E699" s="103">
        <v>0.77500000000000002</v>
      </c>
      <c r="F699" s="103">
        <v>1260</v>
      </c>
      <c r="G699" s="103"/>
      <c r="H699" s="105">
        <v>22.5</v>
      </c>
      <c r="I699" s="103" t="s">
        <v>12</v>
      </c>
      <c r="J699" s="103"/>
      <c r="K699" s="104">
        <v>6.8395801219207497</v>
      </c>
    </row>
    <row r="700" spans="1:11">
      <c r="A700" s="103" t="s">
        <v>24</v>
      </c>
      <c r="B700" s="103"/>
      <c r="C700" s="104">
        <v>0.25</v>
      </c>
      <c r="D700" s="103">
        <v>6.25E-2</v>
      </c>
      <c r="E700" s="103">
        <v>0.77500000000000002</v>
      </c>
      <c r="F700" s="103">
        <v>1260</v>
      </c>
      <c r="G700" s="103"/>
      <c r="H700" s="105">
        <v>22.5</v>
      </c>
      <c r="I700" s="103" t="s">
        <v>12</v>
      </c>
      <c r="J700" s="103"/>
      <c r="K700" s="104">
        <v>7.2173912968880103</v>
      </c>
    </row>
    <row r="701" spans="1:11">
      <c r="A701" s="103" t="s">
        <v>24</v>
      </c>
      <c r="B701" s="103"/>
      <c r="C701" s="104">
        <v>0.34</v>
      </c>
      <c r="D701" s="103">
        <v>7.1999999999999995E-2</v>
      </c>
      <c r="E701" s="103">
        <v>1.003E-3</v>
      </c>
      <c r="F701" s="103">
        <v>998.2</v>
      </c>
      <c r="G701" s="103"/>
      <c r="H701" s="105">
        <v>22.5</v>
      </c>
      <c r="I701" s="103" t="s">
        <v>12</v>
      </c>
      <c r="J701" s="103"/>
      <c r="K701" s="103">
        <v>3.14987930656133</v>
      </c>
    </row>
    <row r="702" spans="1:11">
      <c r="A702" s="103" t="s">
        <v>24</v>
      </c>
      <c r="B702" s="103"/>
      <c r="C702" s="104">
        <v>0.34</v>
      </c>
      <c r="D702" s="103">
        <v>7.1999999999999995E-2</v>
      </c>
      <c r="E702" s="103">
        <v>1.003E-3</v>
      </c>
      <c r="F702" s="103">
        <v>998.2</v>
      </c>
      <c r="G702" s="103"/>
      <c r="H702" s="105">
        <v>22.5</v>
      </c>
      <c r="I702" s="103" t="s">
        <v>12</v>
      </c>
      <c r="J702" s="103"/>
      <c r="K702" s="103">
        <v>3.8821526655628</v>
      </c>
    </row>
    <row r="703" spans="1:11">
      <c r="A703" s="103" t="s">
        <v>24</v>
      </c>
      <c r="B703" s="103"/>
      <c r="C703" s="104">
        <v>0.34</v>
      </c>
      <c r="D703" s="103">
        <v>7.1999999999999995E-2</v>
      </c>
      <c r="E703" s="103">
        <v>1.003E-3</v>
      </c>
      <c r="F703" s="103">
        <v>998.2</v>
      </c>
      <c r="G703" s="103"/>
      <c r="H703" s="105">
        <v>22.5</v>
      </c>
      <c r="I703" s="103" t="s">
        <v>12</v>
      </c>
      <c r="J703" s="103"/>
      <c r="K703" s="103">
        <v>4.5558015972762496</v>
      </c>
    </row>
    <row r="704" spans="1:11">
      <c r="A704" s="103" t="s">
        <v>24</v>
      </c>
      <c r="B704" s="103"/>
      <c r="C704" s="104">
        <v>0.34</v>
      </c>
      <c r="D704" s="103">
        <v>7.1999999999999995E-2</v>
      </c>
      <c r="E704" s="103">
        <v>1.003E-3</v>
      </c>
      <c r="F704" s="103">
        <v>998.2</v>
      </c>
      <c r="G704" s="103"/>
      <c r="H704" s="105">
        <v>22.5</v>
      </c>
      <c r="I704" s="103" t="s">
        <v>12</v>
      </c>
      <c r="J704" s="103"/>
      <c r="K704" s="110">
        <v>4.5167541112241496</v>
      </c>
    </row>
    <row r="705" spans="1:11">
      <c r="A705" s="103" t="s">
        <v>24</v>
      </c>
      <c r="B705" s="103"/>
      <c r="C705" s="104">
        <v>0.34</v>
      </c>
      <c r="D705" s="103">
        <v>7.1999999999999995E-2</v>
      </c>
      <c r="E705" s="103">
        <v>1.003E-3</v>
      </c>
      <c r="F705" s="103">
        <v>998.2</v>
      </c>
      <c r="G705" s="103"/>
      <c r="H705" s="105">
        <v>22.5</v>
      </c>
      <c r="I705" s="103" t="s">
        <v>12</v>
      </c>
      <c r="J705" s="103"/>
      <c r="K705" s="110">
        <v>4.4490327900466102</v>
      </c>
    </row>
    <row r="706" spans="1:11">
      <c r="A706" s="103" t="s">
        <v>24</v>
      </c>
      <c r="B706" s="103"/>
      <c r="C706" s="104">
        <v>0.34</v>
      </c>
      <c r="D706" s="103">
        <v>7.1999999999999995E-2</v>
      </c>
      <c r="E706" s="103">
        <v>1.003E-3</v>
      </c>
      <c r="F706" s="103">
        <v>998.2</v>
      </c>
      <c r="G706" s="103"/>
      <c r="H706" s="105">
        <v>22.5</v>
      </c>
      <c r="I706" s="103" t="s">
        <v>12</v>
      </c>
      <c r="J706" s="103"/>
      <c r="K706" s="110">
        <v>4.3825882259061899</v>
      </c>
    </row>
    <row r="707" spans="1:11">
      <c r="A707" s="103" t="s">
        <v>24</v>
      </c>
      <c r="B707" s="103"/>
      <c r="C707" s="104">
        <v>0.34</v>
      </c>
      <c r="D707" s="103">
        <v>6.4000000000000001E-2</v>
      </c>
      <c r="E707" s="103">
        <v>5.6899999999999999E-2</v>
      </c>
      <c r="F707" s="103">
        <v>1214.5</v>
      </c>
      <c r="G707" s="103"/>
      <c r="H707" s="105">
        <v>22.5</v>
      </c>
      <c r="I707" s="103" t="s">
        <v>12</v>
      </c>
      <c r="J707" s="103"/>
      <c r="K707" s="110">
        <v>3.0037970222302</v>
      </c>
    </row>
    <row r="708" spans="1:11">
      <c r="A708" s="103" t="s">
        <v>24</v>
      </c>
      <c r="B708" s="103"/>
      <c r="C708" s="104">
        <v>0.34</v>
      </c>
      <c r="D708" s="103">
        <v>6.4000000000000001E-2</v>
      </c>
      <c r="E708" s="103">
        <v>5.6899999999999999E-2</v>
      </c>
      <c r="F708" s="103">
        <v>1214.5</v>
      </c>
      <c r="G708" s="103"/>
      <c r="H708" s="105">
        <v>22.5</v>
      </c>
      <c r="I708" s="103" t="s">
        <v>12</v>
      </c>
      <c r="J708" s="103"/>
      <c r="K708" s="110">
        <v>3.7162274489463401</v>
      </c>
    </row>
    <row r="709" spans="1:11">
      <c r="A709" s="103" t="s">
        <v>24</v>
      </c>
      <c r="B709" s="103"/>
      <c r="C709" s="104">
        <v>0.34</v>
      </c>
      <c r="D709" s="103">
        <v>6.4000000000000001E-2</v>
      </c>
      <c r="E709" s="103">
        <v>5.6899999999999999E-2</v>
      </c>
      <c r="F709" s="103">
        <v>1214.5</v>
      </c>
      <c r="G709" s="103"/>
      <c r="H709" s="105">
        <v>22.5</v>
      </c>
      <c r="I709" s="103" t="s">
        <v>12</v>
      </c>
      <c r="J709" s="103"/>
      <c r="K709" s="111">
        <v>4.0471735126113</v>
      </c>
    </row>
    <row r="710" spans="1:11">
      <c r="A710" s="103" t="s">
        <v>24</v>
      </c>
      <c r="B710" s="103"/>
      <c r="C710" s="104">
        <v>0.34</v>
      </c>
      <c r="D710" s="103">
        <v>6.4000000000000001E-2</v>
      </c>
      <c r="E710" s="103">
        <v>5.6899999999999999E-2</v>
      </c>
      <c r="F710" s="103">
        <v>1214.5</v>
      </c>
      <c r="G710" s="103"/>
      <c r="H710" s="105">
        <v>22.5</v>
      </c>
      <c r="I710" s="103" t="s">
        <v>12</v>
      </c>
      <c r="J710" s="103"/>
      <c r="K710" s="110">
        <v>4.03977896143794</v>
      </c>
    </row>
    <row r="711" spans="1:11">
      <c r="A711" s="103" t="s">
        <v>24</v>
      </c>
      <c r="B711" s="103"/>
      <c r="C711" s="104">
        <v>0.34</v>
      </c>
      <c r="D711" s="103">
        <v>6.4000000000000001E-2</v>
      </c>
      <c r="E711" s="103">
        <v>5.6899999999999999E-2</v>
      </c>
      <c r="F711" s="103">
        <v>1214.5</v>
      </c>
      <c r="G711" s="103"/>
      <c r="H711" s="105">
        <v>22.5</v>
      </c>
      <c r="I711" s="103" t="s">
        <v>12</v>
      </c>
      <c r="J711" s="103"/>
      <c r="K711" s="110">
        <v>3.80735598247119</v>
      </c>
    </row>
    <row r="712" spans="1:11">
      <c r="A712" s="103" t="s">
        <v>24</v>
      </c>
      <c r="B712" s="103"/>
      <c r="C712" s="104">
        <v>0.34</v>
      </c>
      <c r="D712" s="103">
        <v>6.4000000000000001E-2</v>
      </c>
      <c r="E712" s="103">
        <v>5.6899999999999999E-2</v>
      </c>
      <c r="F712" s="103">
        <v>1214.5</v>
      </c>
      <c r="G712" s="103"/>
      <c r="H712" s="105">
        <v>22.5</v>
      </c>
      <c r="I712" s="103" t="s">
        <v>12</v>
      </c>
      <c r="J712" s="103"/>
      <c r="K712" s="110">
        <v>3.7853851217906498</v>
      </c>
    </row>
    <row r="713" spans="1:11">
      <c r="A713" s="103" t="s">
        <v>24</v>
      </c>
      <c r="B713" s="103"/>
      <c r="C713" s="104">
        <v>0.34</v>
      </c>
      <c r="D713" s="103">
        <v>6.3E-2</v>
      </c>
      <c r="E713" s="103">
        <v>0.32700000000000001</v>
      </c>
      <c r="F713" s="103">
        <v>1245.5999999999999</v>
      </c>
      <c r="G713" s="103"/>
      <c r="H713" s="105">
        <v>22.5</v>
      </c>
      <c r="I713" s="103" t="s">
        <v>12</v>
      </c>
      <c r="J713" s="103"/>
      <c r="K713" s="110">
        <v>4.0992545600840504</v>
      </c>
    </row>
    <row r="714" spans="1:11">
      <c r="A714" s="103" t="s">
        <v>24</v>
      </c>
      <c r="B714" s="103"/>
      <c r="C714" s="104">
        <v>0.34</v>
      </c>
      <c r="D714" s="103">
        <v>6.3E-2</v>
      </c>
      <c r="E714" s="103">
        <v>0.32700000000000001</v>
      </c>
      <c r="F714" s="103">
        <v>1245.5999999999999</v>
      </c>
      <c r="G714" s="103"/>
      <c r="H714" s="105">
        <v>22.5</v>
      </c>
      <c r="I714" s="103" t="s">
        <v>12</v>
      </c>
      <c r="J714" s="103"/>
      <c r="K714" s="110">
        <v>4.7623702462412103</v>
      </c>
    </row>
    <row r="715" spans="1:11">
      <c r="A715" s="103" t="s">
        <v>24</v>
      </c>
      <c r="B715" s="103"/>
      <c r="C715" s="104">
        <v>0.34</v>
      </c>
      <c r="D715" s="103">
        <v>6.3E-2</v>
      </c>
      <c r="E715" s="103">
        <v>0.32700000000000001</v>
      </c>
      <c r="F715" s="103">
        <v>1245.5999999999999</v>
      </c>
      <c r="G715" s="103"/>
      <c r="H715" s="105">
        <v>22.5</v>
      </c>
      <c r="I715" s="103" t="s">
        <v>12</v>
      </c>
      <c r="J715" s="103"/>
      <c r="K715" s="110">
        <v>5.6320013831534501</v>
      </c>
    </row>
    <row r="716" spans="1:11">
      <c r="A716" s="103" t="s">
        <v>24</v>
      </c>
      <c r="B716" s="103"/>
      <c r="C716" s="104">
        <v>0.34</v>
      </c>
      <c r="D716" s="103">
        <v>6.3E-2</v>
      </c>
      <c r="E716" s="103">
        <v>0.32700000000000001</v>
      </c>
      <c r="F716" s="103">
        <v>1245.5999999999999</v>
      </c>
      <c r="G716" s="103"/>
      <c r="H716" s="105">
        <v>22.5</v>
      </c>
      <c r="I716" s="103" t="s">
        <v>12</v>
      </c>
      <c r="J716" s="103"/>
      <c r="K716" s="110">
        <v>6.83678124231119</v>
      </c>
    </row>
    <row r="717" spans="1:11">
      <c r="A717" s="103" t="s">
        <v>24</v>
      </c>
      <c r="B717" s="103"/>
      <c r="C717" s="104">
        <v>0.34</v>
      </c>
      <c r="D717" s="103">
        <v>6.3E-2</v>
      </c>
      <c r="E717" s="103">
        <v>0.32700000000000001</v>
      </c>
      <c r="F717" s="103">
        <v>1245.5999999999999</v>
      </c>
      <c r="G717" s="103"/>
      <c r="H717" s="105">
        <v>22.5</v>
      </c>
      <c r="I717" s="103" t="s">
        <v>12</v>
      </c>
      <c r="J717" s="103"/>
      <c r="K717" s="110">
        <v>6.8613056170659803</v>
      </c>
    </row>
    <row r="718" spans="1:11">
      <c r="A718" s="103" t="s">
        <v>24</v>
      </c>
      <c r="B718" s="103"/>
      <c r="C718" s="104">
        <v>0.34</v>
      </c>
      <c r="D718" s="103">
        <v>6.3E-2</v>
      </c>
      <c r="E718" s="103">
        <v>0.32700000000000001</v>
      </c>
      <c r="F718" s="103">
        <v>1245.5999999999999</v>
      </c>
      <c r="G718" s="103"/>
      <c r="H718" s="105">
        <v>22.5</v>
      </c>
      <c r="I718" s="103" t="s">
        <v>12</v>
      </c>
      <c r="J718" s="103"/>
      <c r="K718" s="110">
        <v>6.8438566042252598</v>
      </c>
    </row>
    <row r="719" spans="1:11">
      <c r="A719" s="103" t="s">
        <v>24</v>
      </c>
      <c r="B719" s="103"/>
      <c r="C719" s="104">
        <v>0.34</v>
      </c>
      <c r="D719" s="103">
        <v>6.25E-2</v>
      </c>
      <c r="E719" s="103">
        <v>0.77500000000000002</v>
      </c>
      <c r="F719" s="103">
        <v>1260</v>
      </c>
      <c r="G719" s="103"/>
      <c r="H719" s="105">
        <v>22.5</v>
      </c>
      <c r="I719" s="103" t="s">
        <v>12</v>
      </c>
      <c r="J719" s="103"/>
      <c r="K719" s="110">
        <v>4.6627831973453997</v>
      </c>
    </row>
    <row r="720" spans="1:11">
      <c r="A720" s="103" t="s">
        <v>24</v>
      </c>
      <c r="B720" s="103"/>
      <c r="C720" s="104">
        <v>0.34</v>
      </c>
      <c r="D720" s="103">
        <v>6.25E-2</v>
      </c>
      <c r="E720" s="103">
        <v>0.77500000000000002</v>
      </c>
      <c r="F720" s="103">
        <v>1260</v>
      </c>
      <c r="G720" s="103"/>
      <c r="H720" s="105">
        <v>22.5</v>
      </c>
      <c r="I720" s="103" t="s">
        <v>12</v>
      </c>
      <c r="J720" s="103"/>
      <c r="K720" s="110">
        <v>5.6800393666753104</v>
      </c>
    </row>
    <row r="721" spans="1:11">
      <c r="A721" s="103" t="s">
        <v>24</v>
      </c>
      <c r="B721" s="103"/>
      <c r="C721" s="104">
        <v>0.34</v>
      </c>
      <c r="D721" s="103">
        <v>6.25E-2</v>
      </c>
      <c r="E721" s="103">
        <v>0.77500000000000002</v>
      </c>
      <c r="F721" s="103">
        <v>1260</v>
      </c>
      <c r="G721" s="103"/>
      <c r="H721" s="105">
        <v>22.5</v>
      </c>
      <c r="I721" s="103" t="s">
        <v>12</v>
      </c>
      <c r="J721" s="103"/>
      <c r="K721" s="110">
        <v>6.63659637853186</v>
      </c>
    </row>
    <row r="722" spans="1:11">
      <c r="A722" s="103" t="s">
        <v>24</v>
      </c>
      <c r="B722" s="103"/>
      <c r="C722" s="104">
        <v>0.34</v>
      </c>
      <c r="D722" s="103">
        <v>6.25E-2</v>
      </c>
      <c r="E722" s="103">
        <v>0.77500000000000002</v>
      </c>
      <c r="F722" s="103">
        <v>1260</v>
      </c>
      <c r="G722" s="103"/>
      <c r="H722" s="105">
        <v>22.5</v>
      </c>
      <c r="I722" s="103" t="s">
        <v>12</v>
      </c>
      <c r="J722" s="103"/>
      <c r="K722" s="110">
        <v>8.1000259341273093</v>
      </c>
    </row>
    <row r="723" spans="1:11">
      <c r="A723" s="103" t="s">
        <v>24</v>
      </c>
      <c r="B723" s="103"/>
      <c r="C723" s="104">
        <v>0.34</v>
      </c>
      <c r="D723" s="103">
        <v>6.25E-2</v>
      </c>
      <c r="E723" s="103">
        <v>0.77500000000000002</v>
      </c>
      <c r="F723" s="103">
        <v>1260</v>
      </c>
      <c r="G723" s="103"/>
      <c r="H723" s="105">
        <v>22.5</v>
      </c>
      <c r="I723" s="103" t="s">
        <v>12</v>
      </c>
      <c r="J723" s="103"/>
      <c r="K723" s="110">
        <v>8.4667211948317895</v>
      </c>
    </row>
    <row r="724" spans="1:11">
      <c r="A724" s="103" t="s">
        <v>24</v>
      </c>
      <c r="B724" s="103"/>
      <c r="C724" s="104">
        <v>0.34</v>
      </c>
      <c r="D724" s="103">
        <v>6.25E-2</v>
      </c>
      <c r="E724" s="103">
        <v>0.77500000000000002</v>
      </c>
      <c r="F724" s="103">
        <v>1260</v>
      </c>
      <c r="G724" s="103"/>
      <c r="H724" s="105">
        <v>22.5</v>
      </c>
      <c r="I724" s="103" t="s">
        <v>12</v>
      </c>
      <c r="J724" s="103"/>
      <c r="K724" s="110">
        <v>9.0173758653021299</v>
      </c>
    </row>
    <row r="725" spans="1:11">
      <c r="A725" s="112" t="s">
        <v>41</v>
      </c>
      <c r="B725" s="113">
        <v>178.7</v>
      </c>
      <c r="C725" s="114">
        <v>2</v>
      </c>
      <c r="D725" s="113">
        <v>6.9000000000000006E-2</v>
      </c>
      <c r="E725" s="113">
        <v>7.0000000000000001E-3</v>
      </c>
      <c r="F725" s="113">
        <v>1126</v>
      </c>
      <c r="G725" s="113">
        <v>0</v>
      </c>
      <c r="H725" s="113">
        <v>22</v>
      </c>
      <c r="I725" s="112" t="s">
        <v>12</v>
      </c>
      <c r="J725" s="113">
        <v>1.2</v>
      </c>
      <c r="K725" s="113">
        <v>6.07</v>
      </c>
    </row>
    <row r="726" spans="1:11">
      <c r="A726" s="112" t="s">
        <v>41</v>
      </c>
      <c r="B726" s="113">
        <v>346.62</v>
      </c>
      <c r="C726" s="114">
        <v>2</v>
      </c>
      <c r="D726" s="113">
        <v>6.9000000000000006E-2</v>
      </c>
      <c r="E726" s="113">
        <v>7.0000000000000001E-3</v>
      </c>
      <c r="F726" s="113">
        <v>1126</v>
      </c>
      <c r="G726" s="113">
        <v>0</v>
      </c>
      <c r="H726" s="113">
        <v>22</v>
      </c>
      <c r="I726" s="112" t="s">
        <v>12</v>
      </c>
      <c r="J726" s="113">
        <v>1.2</v>
      </c>
      <c r="K726" s="113">
        <v>7.14</v>
      </c>
    </row>
    <row r="727" spans="1:11">
      <c r="A727" s="112" t="s">
        <v>41</v>
      </c>
      <c r="B727" s="113">
        <v>415.44</v>
      </c>
      <c r="C727" s="114">
        <v>2</v>
      </c>
      <c r="D727" s="113">
        <v>6.9000000000000006E-2</v>
      </c>
      <c r="E727" s="113">
        <v>7.0000000000000001E-3</v>
      </c>
      <c r="F727" s="113">
        <v>1126</v>
      </c>
      <c r="G727" s="113">
        <v>0</v>
      </c>
      <c r="H727" s="113">
        <v>22</v>
      </c>
      <c r="I727" s="112" t="s">
        <v>12</v>
      </c>
      <c r="J727" s="113">
        <v>1.2</v>
      </c>
      <c r="K727" s="113">
        <v>7.44</v>
      </c>
    </row>
    <row r="728" spans="1:11">
      <c r="A728" s="112" t="s">
        <v>41</v>
      </c>
      <c r="B728" s="113">
        <v>542.41</v>
      </c>
      <c r="C728" s="114">
        <v>2</v>
      </c>
      <c r="D728" s="113">
        <v>6.9000000000000006E-2</v>
      </c>
      <c r="E728" s="113">
        <v>7.0000000000000001E-3</v>
      </c>
      <c r="F728" s="113">
        <v>1126</v>
      </c>
      <c r="G728" s="113">
        <v>0</v>
      </c>
      <c r="H728" s="113">
        <v>22</v>
      </c>
      <c r="I728" s="112" t="s">
        <v>12</v>
      </c>
      <c r="J728" s="113">
        <v>1.2</v>
      </c>
      <c r="K728" s="113">
        <v>7.83</v>
      </c>
    </row>
    <row r="729" spans="1:11">
      <c r="A729" s="112" t="s">
        <v>41</v>
      </c>
      <c r="B729" s="113">
        <v>1035.75</v>
      </c>
      <c r="C729" s="114">
        <v>2</v>
      </c>
      <c r="D729" s="113">
        <v>6.9000000000000006E-2</v>
      </c>
      <c r="E729" s="113">
        <v>7.0000000000000001E-3</v>
      </c>
      <c r="F729" s="113">
        <v>1126</v>
      </c>
      <c r="G729" s="113">
        <v>0</v>
      </c>
      <c r="H729" s="113">
        <v>22</v>
      </c>
      <c r="I729" s="112" t="s">
        <v>12</v>
      </c>
      <c r="J729" s="113">
        <v>1.2</v>
      </c>
      <c r="K729" s="113">
        <v>9.33</v>
      </c>
    </row>
    <row r="730" spans="1:11">
      <c r="A730" s="112" t="s">
        <v>41</v>
      </c>
      <c r="B730" s="113">
        <v>1510.23</v>
      </c>
      <c r="C730" s="114">
        <v>2</v>
      </c>
      <c r="D730" s="113">
        <v>6.9000000000000006E-2</v>
      </c>
      <c r="E730" s="113">
        <v>7.0000000000000001E-3</v>
      </c>
      <c r="F730" s="113">
        <v>1126</v>
      </c>
      <c r="G730" s="113">
        <v>0</v>
      </c>
      <c r="H730" s="113">
        <v>22</v>
      </c>
      <c r="I730" s="112" t="s">
        <v>12</v>
      </c>
      <c r="J730" s="113">
        <v>1.2</v>
      </c>
      <c r="K730" s="113">
        <v>10.43</v>
      </c>
    </row>
    <row r="731" spans="1:11">
      <c r="A731" s="112" t="s">
        <v>41</v>
      </c>
      <c r="B731" s="113">
        <v>1667.07</v>
      </c>
      <c r="C731" s="114">
        <v>2</v>
      </c>
      <c r="D731" s="113">
        <v>6.9000000000000006E-2</v>
      </c>
      <c r="E731" s="113">
        <v>7.0000000000000001E-3</v>
      </c>
      <c r="F731" s="113">
        <v>1126</v>
      </c>
      <c r="G731" s="113">
        <v>0</v>
      </c>
      <c r="H731" s="113">
        <v>22</v>
      </c>
      <c r="I731" s="112" t="s">
        <v>12</v>
      </c>
      <c r="J731" s="113">
        <v>1.2</v>
      </c>
      <c r="K731" s="113">
        <v>10.94</v>
      </c>
    </row>
    <row r="732" spans="1:11">
      <c r="A732" s="112" t="s">
        <v>41</v>
      </c>
      <c r="B732" s="113">
        <v>2342.94</v>
      </c>
      <c r="C732" s="114">
        <v>2</v>
      </c>
      <c r="D732" s="113">
        <v>6.9000000000000006E-2</v>
      </c>
      <c r="E732" s="113">
        <v>7.0000000000000001E-3</v>
      </c>
      <c r="F732" s="113">
        <v>1126</v>
      </c>
      <c r="G732" s="113">
        <v>0</v>
      </c>
      <c r="H732" s="113">
        <v>22</v>
      </c>
      <c r="I732" s="112" t="s">
        <v>12</v>
      </c>
      <c r="J732" s="113">
        <v>1.2</v>
      </c>
      <c r="K732" s="113">
        <v>11.78</v>
      </c>
    </row>
    <row r="733" spans="1:11">
      <c r="A733" s="112" t="s">
        <v>41</v>
      </c>
      <c r="B733" s="113">
        <v>3041.96</v>
      </c>
      <c r="C733" s="114">
        <v>2</v>
      </c>
      <c r="D733" s="113">
        <v>6.9000000000000006E-2</v>
      </c>
      <c r="E733" s="113">
        <v>7.0000000000000001E-3</v>
      </c>
      <c r="F733" s="113">
        <v>1126</v>
      </c>
      <c r="G733" s="113">
        <v>0</v>
      </c>
      <c r="H733" s="113">
        <v>22</v>
      </c>
      <c r="I733" s="112" t="s">
        <v>12</v>
      </c>
      <c r="J733" s="113">
        <v>1.2</v>
      </c>
      <c r="K733" s="113">
        <v>12.72</v>
      </c>
    </row>
    <row r="734" spans="1:11">
      <c r="A734" s="112" t="s">
        <v>41</v>
      </c>
      <c r="B734" s="113">
        <v>3269.62</v>
      </c>
      <c r="C734" s="114">
        <v>2</v>
      </c>
      <c r="D734" s="113">
        <v>6.9000000000000006E-2</v>
      </c>
      <c r="E734" s="113">
        <v>7.0000000000000001E-3</v>
      </c>
      <c r="F734" s="113">
        <v>1126</v>
      </c>
      <c r="G734" s="113">
        <v>0</v>
      </c>
      <c r="H734" s="113">
        <v>22</v>
      </c>
      <c r="I734" s="112" t="s">
        <v>12</v>
      </c>
      <c r="J734" s="113">
        <v>1.2</v>
      </c>
      <c r="K734" s="113">
        <v>13.59</v>
      </c>
    </row>
    <row r="735" spans="1:11">
      <c r="A735" s="112" t="s">
        <v>41</v>
      </c>
      <c r="B735" s="113">
        <v>3570.05</v>
      </c>
      <c r="C735" s="114">
        <v>2</v>
      </c>
      <c r="D735" s="113">
        <v>6.9000000000000006E-2</v>
      </c>
      <c r="E735" s="113">
        <v>7.0000000000000001E-3</v>
      </c>
      <c r="F735" s="113">
        <v>1126</v>
      </c>
      <c r="G735" s="113">
        <v>0</v>
      </c>
      <c r="H735" s="113">
        <v>22</v>
      </c>
      <c r="I735" s="112" t="s">
        <v>12</v>
      </c>
      <c r="J735" s="113">
        <v>1.2</v>
      </c>
      <c r="K735" s="113">
        <v>13.59</v>
      </c>
    </row>
    <row r="736" spans="1:11">
      <c r="A736" s="112" t="s">
        <v>41</v>
      </c>
      <c r="B736" s="113">
        <v>3824.17</v>
      </c>
      <c r="C736" s="114">
        <v>2</v>
      </c>
      <c r="D736" s="113">
        <v>6.9000000000000006E-2</v>
      </c>
      <c r="E736" s="113">
        <v>7.0000000000000001E-3</v>
      </c>
      <c r="F736" s="113">
        <v>1126</v>
      </c>
      <c r="G736" s="113">
        <v>0</v>
      </c>
      <c r="H736" s="113">
        <v>22</v>
      </c>
      <c r="I736" s="112" t="s">
        <v>12</v>
      </c>
      <c r="J736" s="113">
        <v>1.2</v>
      </c>
      <c r="K736" s="113">
        <v>13.7</v>
      </c>
    </row>
    <row r="737" spans="1:11">
      <c r="A737" s="112" t="s">
        <v>41</v>
      </c>
      <c r="B737" s="113">
        <v>4167.38</v>
      </c>
      <c r="C737" s="114">
        <v>2</v>
      </c>
      <c r="D737" s="113">
        <v>6.9000000000000006E-2</v>
      </c>
      <c r="E737" s="113">
        <v>7.0000000000000001E-3</v>
      </c>
      <c r="F737" s="113">
        <v>1126</v>
      </c>
      <c r="G737" s="113">
        <v>0</v>
      </c>
      <c r="H737" s="113">
        <v>22</v>
      </c>
      <c r="I737" s="112" t="s">
        <v>12</v>
      </c>
      <c r="J737" s="113">
        <v>1.2</v>
      </c>
      <c r="K737" s="113">
        <v>13.74</v>
      </c>
    </row>
    <row r="738" spans="1:11">
      <c r="A738" s="112" t="s">
        <v>41</v>
      </c>
      <c r="B738" s="113">
        <v>4330.59</v>
      </c>
      <c r="C738" s="114">
        <v>2</v>
      </c>
      <c r="D738" s="113">
        <v>6.9000000000000006E-2</v>
      </c>
      <c r="E738" s="113">
        <v>7.0000000000000001E-3</v>
      </c>
      <c r="F738" s="113">
        <v>1126</v>
      </c>
      <c r="G738" s="113">
        <v>0</v>
      </c>
      <c r="H738" s="113">
        <v>22</v>
      </c>
      <c r="I738" s="112" t="s">
        <v>12</v>
      </c>
      <c r="J738" s="113">
        <v>1.2</v>
      </c>
      <c r="K738" s="113">
        <v>14.59</v>
      </c>
    </row>
    <row r="739" spans="1:11">
      <c r="A739" s="112" t="s">
        <v>41</v>
      </c>
      <c r="B739" s="113">
        <v>4729.71</v>
      </c>
      <c r="C739" s="114">
        <v>2</v>
      </c>
      <c r="D739" s="113">
        <v>6.9000000000000006E-2</v>
      </c>
      <c r="E739" s="113">
        <v>7.0000000000000001E-3</v>
      </c>
      <c r="F739" s="113">
        <v>1126</v>
      </c>
      <c r="G739" s="113">
        <v>0</v>
      </c>
      <c r="H739" s="113">
        <v>22</v>
      </c>
      <c r="I739" s="112" t="s">
        <v>12</v>
      </c>
      <c r="J739" s="113">
        <v>1.2</v>
      </c>
      <c r="K739" s="113">
        <v>14.61</v>
      </c>
    </row>
    <row r="740" spans="1:11">
      <c r="A740" s="112" t="s">
        <v>41</v>
      </c>
      <c r="B740" s="113">
        <v>4981</v>
      </c>
      <c r="C740" s="114">
        <v>2</v>
      </c>
      <c r="D740" s="113">
        <v>6.9000000000000006E-2</v>
      </c>
      <c r="E740" s="113">
        <v>7.0000000000000001E-3</v>
      </c>
      <c r="F740" s="113">
        <v>1126</v>
      </c>
      <c r="G740" s="113">
        <v>0</v>
      </c>
      <c r="H740" s="113">
        <v>22</v>
      </c>
      <c r="I740" s="112" t="s">
        <v>12</v>
      </c>
      <c r="J740" s="113">
        <v>1.2</v>
      </c>
      <c r="K740" s="113">
        <v>15.96</v>
      </c>
    </row>
    <row r="741" spans="1:11">
      <c r="A741" s="112" t="s">
        <v>41</v>
      </c>
      <c r="B741" s="113">
        <v>6075.96</v>
      </c>
      <c r="C741" s="114">
        <v>2</v>
      </c>
      <c r="D741" s="113">
        <v>6.9000000000000006E-2</v>
      </c>
      <c r="E741" s="113">
        <v>7.0000000000000001E-3</v>
      </c>
      <c r="F741" s="113">
        <v>1126</v>
      </c>
      <c r="G741" s="113">
        <v>0</v>
      </c>
      <c r="H741" s="113">
        <v>22</v>
      </c>
      <c r="I741" s="112" t="s">
        <v>12</v>
      </c>
      <c r="J741" s="113">
        <v>1.2</v>
      </c>
      <c r="K741" s="113">
        <v>13.9</v>
      </c>
    </row>
    <row r="742" spans="1:11">
      <c r="A742" s="112" t="s">
        <v>41</v>
      </c>
      <c r="B742" s="113">
        <v>175.05</v>
      </c>
      <c r="C742" s="114">
        <v>7</v>
      </c>
      <c r="D742" s="113">
        <v>7.1999999999999995E-2</v>
      </c>
      <c r="E742" s="113">
        <v>1E-3</v>
      </c>
      <c r="F742" s="113">
        <v>1000</v>
      </c>
      <c r="G742" s="113">
        <v>0</v>
      </c>
      <c r="H742" s="113">
        <v>22</v>
      </c>
      <c r="I742" s="112" t="s">
        <v>12</v>
      </c>
      <c r="J742" s="113">
        <v>1.2</v>
      </c>
      <c r="K742" s="113">
        <v>9.6199999999999992</v>
      </c>
    </row>
    <row r="743" spans="1:11">
      <c r="A743" s="112" t="s">
        <v>41</v>
      </c>
      <c r="B743" s="113">
        <v>331.42</v>
      </c>
      <c r="C743" s="114">
        <v>7</v>
      </c>
      <c r="D743" s="113">
        <v>7.1999999999999995E-2</v>
      </c>
      <c r="E743" s="113">
        <v>1E-3</v>
      </c>
      <c r="F743" s="113">
        <v>1000</v>
      </c>
      <c r="G743" s="113">
        <v>0</v>
      </c>
      <c r="H743" s="113">
        <v>22</v>
      </c>
      <c r="I743" s="112" t="s">
        <v>12</v>
      </c>
      <c r="J743" s="113">
        <v>1.2</v>
      </c>
      <c r="K743" s="113">
        <v>9.74</v>
      </c>
    </row>
    <row r="744" spans="1:11">
      <c r="A744" s="112" t="s">
        <v>41</v>
      </c>
      <c r="B744" s="113">
        <v>534.58000000000004</v>
      </c>
      <c r="C744" s="114">
        <v>7</v>
      </c>
      <c r="D744" s="113">
        <v>7.1999999999999995E-2</v>
      </c>
      <c r="E744" s="113">
        <v>1E-3</v>
      </c>
      <c r="F744" s="113">
        <v>1000</v>
      </c>
      <c r="G744" s="113">
        <v>0</v>
      </c>
      <c r="H744" s="113">
        <v>22</v>
      </c>
      <c r="I744" s="112" t="s">
        <v>12</v>
      </c>
      <c r="J744" s="113">
        <v>1.2</v>
      </c>
      <c r="K744" s="113">
        <v>10.38</v>
      </c>
    </row>
    <row r="745" spans="1:11">
      <c r="A745" s="112" t="s">
        <v>41</v>
      </c>
      <c r="B745" s="113">
        <v>794.77</v>
      </c>
      <c r="C745" s="114">
        <v>7</v>
      </c>
      <c r="D745" s="113">
        <v>7.1999999999999995E-2</v>
      </c>
      <c r="E745" s="113">
        <v>1E-3</v>
      </c>
      <c r="F745" s="113">
        <v>1000</v>
      </c>
      <c r="G745" s="113">
        <v>0</v>
      </c>
      <c r="H745" s="113">
        <v>22</v>
      </c>
      <c r="I745" s="112" t="s">
        <v>12</v>
      </c>
      <c r="J745" s="113">
        <v>1.2</v>
      </c>
      <c r="K745" s="113">
        <v>11.12</v>
      </c>
    </row>
    <row r="746" spans="1:11">
      <c r="A746" s="112" t="s">
        <v>41</v>
      </c>
      <c r="B746" s="113">
        <v>984.9</v>
      </c>
      <c r="C746" s="114">
        <v>7</v>
      </c>
      <c r="D746" s="113">
        <v>7.1999999999999995E-2</v>
      </c>
      <c r="E746" s="113">
        <v>1E-3</v>
      </c>
      <c r="F746" s="113">
        <v>1000</v>
      </c>
      <c r="G746" s="113">
        <v>0</v>
      </c>
      <c r="H746" s="113">
        <v>22</v>
      </c>
      <c r="I746" s="112" t="s">
        <v>12</v>
      </c>
      <c r="J746" s="113">
        <v>1.2</v>
      </c>
      <c r="K746" s="113">
        <v>12.46</v>
      </c>
    </row>
    <row r="747" spans="1:11">
      <c r="A747" s="112" t="s">
        <v>41</v>
      </c>
      <c r="B747" s="113">
        <v>1192</v>
      </c>
      <c r="C747" s="114">
        <v>7</v>
      </c>
      <c r="D747" s="113">
        <v>7.1999999999999995E-2</v>
      </c>
      <c r="E747" s="113">
        <v>1E-3</v>
      </c>
      <c r="F747" s="113">
        <v>1000</v>
      </c>
      <c r="G747" s="113">
        <v>0</v>
      </c>
      <c r="H747" s="113">
        <v>22</v>
      </c>
      <c r="I747" s="112" t="s">
        <v>12</v>
      </c>
      <c r="J747" s="113">
        <v>1.2</v>
      </c>
      <c r="K747" s="113">
        <v>12.73</v>
      </c>
    </row>
    <row r="748" spans="1:11">
      <c r="A748" s="112" t="s">
        <v>41</v>
      </c>
      <c r="B748" s="113">
        <v>1415.84</v>
      </c>
      <c r="C748" s="114">
        <v>7</v>
      </c>
      <c r="D748" s="113">
        <v>7.1999999999999995E-2</v>
      </c>
      <c r="E748" s="113">
        <v>1E-3</v>
      </c>
      <c r="F748" s="113">
        <v>1000</v>
      </c>
      <c r="G748" s="113">
        <v>0</v>
      </c>
      <c r="H748" s="113">
        <v>22</v>
      </c>
      <c r="I748" s="112" t="s">
        <v>12</v>
      </c>
      <c r="J748" s="113">
        <v>1.2</v>
      </c>
      <c r="K748" s="113">
        <v>13.33</v>
      </c>
    </row>
    <row r="749" spans="1:11">
      <c r="A749" s="112" t="s">
        <v>41</v>
      </c>
      <c r="B749" s="113">
        <v>1727.17</v>
      </c>
      <c r="C749" s="114">
        <v>7</v>
      </c>
      <c r="D749" s="113">
        <v>7.1999999999999995E-2</v>
      </c>
      <c r="E749" s="113">
        <v>1E-3</v>
      </c>
      <c r="F749" s="113">
        <v>1000</v>
      </c>
      <c r="G749" s="113">
        <v>0</v>
      </c>
      <c r="H749" s="113">
        <v>22</v>
      </c>
      <c r="I749" s="112" t="s">
        <v>12</v>
      </c>
      <c r="J749" s="113">
        <v>1.2</v>
      </c>
      <c r="K749" s="113">
        <v>13.86</v>
      </c>
    </row>
    <row r="750" spans="1:11">
      <c r="A750" s="112" t="s">
        <v>41</v>
      </c>
      <c r="B750" s="113">
        <v>2493.3000000000002</v>
      </c>
      <c r="C750" s="114">
        <v>7</v>
      </c>
      <c r="D750" s="113">
        <v>7.1999999999999995E-2</v>
      </c>
      <c r="E750" s="113">
        <v>1E-3</v>
      </c>
      <c r="F750" s="113">
        <v>1000</v>
      </c>
      <c r="G750" s="113">
        <v>0</v>
      </c>
      <c r="H750" s="113">
        <v>22</v>
      </c>
      <c r="I750" s="112" t="s">
        <v>12</v>
      </c>
      <c r="J750" s="113">
        <v>1.2</v>
      </c>
      <c r="K750" s="113">
        <v>15.15</v>
      </c>
    </row>
    <row r="751" spans="1:11">
      <c r="A751" s="112" t="s">
        <v>41</v>
      </c>
      <c r="B751" s="113">
        <v>3437.6</v>
      </c>
      <c r="C751" s="114">
        <v>7</v>
      </c>
      <c r="D751" s="113">
        <v>7.1999999999999995E-2</v>
      </c>
      <c r="E751" s="113">
        <v>1E-3</v>
      </c>
      <c r="F751" s="113">
        <v>1000</v>
      </c>
      <c r="G751" s="113">
        <v>0</v>
      </c>
      <c r="H751" s="113">
        <v>22</v>
      </c>
      <c r="I751" s="112" t="s">
        <v>12</v>
      </c>
      <c r="J751" s="113">
        <v>1.2</v>
      </c>
      <c r="K751" s="113">
        <v>16.600000000000001</v>
      </c>
    </row>
    <row r="752" spans="1:11">
      <c r="A752" s="112" t="s">
        <v>41</v>
      </c>
      <c r="B752" s="113">
        <v>4395.6400000000003</v>
      </c>
      <c r="C752" s="114">
        <v>7</v>
      </c>
      <c r="D752" s="113">
        <v>7.1999999999999995E-2</v>
      </c>
      <c r="E752" s="113">
        <v>1E-3</v>
      </c>
      <c r="F752" s="113">
        <v>1000</v>
      </c>
      <c r="G752" s="113">
        <v>0</v>
      </c>
      <c r="H752" s="113">
        <v>22</v>
      </c>
      <c r="I752" s="112" t="s">
        <v>12</v>
      </c>
      <c r="J752" s="113">
        <v>1.2</v>
      </c>
      <c r="K752" s="113">
        <v>17.52</v>
      </c>
    </row>
    <row r="753" spans="1:11">
      <c r="A753" s="112" t="s">
        <v>41</v>
      </c>
      <c r="B753" s="113">
        <v>5027.67</v>
      </c>
      <c r="C753" s="114">
        <v>7</v>
      </c>
      <c r="D753" s="113">
        <v>7.1999999999999995E-2</v>
      </c>
      <c r="E753" s="113">
        <v>1E-3</v>
      </c>
      <c r="F753" s="113">
        <v>1000</v>
      </c>
      <c r="G753" s="113">
        <v>0</v>
      </c>
      <c r="H753" s="113">
        <v>22</v>
      </c>
      <c r="I753" s="112" t="s">
        <v>12</v>
      </c>
      <c r="J753" s="113">
        <v>1.2</v>
      </c>
      <c r="K753" s="113">
        <v>18.43</v>
      </c>
    </row>
    <row r="754" spans="1:11">
      <c r="A754" s="112" t="s">
        <v>41</v>
      </c>
      <c r="B754" s="113">
        <v>5642.14</v>
      </c>
      <c r="C754" s="114">
        <v>7</v>
      </c>
      <c r="D754" s="113">
        <v>7.1999999999999995E-2</v>
      </c>
      <c r="E754" s="113">
        <v>1E-3</v>
      </c>
      <c r="F754" s="113">
        <v>1000</v>
      </c>
      <c r="G754" s="113">
        <v>0</v>
      </c>
      <c r="H754" s="113">
        <v>22</v>
      </c>
      <c r="I754" s="112" t="s">
        <v>12</v>
      </c>
      <c r="J754" s="113">
        <v>1.2</v>
      </c>
      <c r="K754" s="113">
        <v>18.850000000000001</v>
      </c>
    </row>
    <row r="755" spans="1:11">
      <c r="A755" s="112" t="s">
        <v>41</v>
      </c>
      <c r="B755" s="113">
        <v>6148.9</v>
      </c>
      <c r="C755" s="114">
        <v>7</v>
      </c>
      <c r="D755" s="113">
        <v>7.1999999999999995E-2</v>
      </c>
      <c r="E755" s="113">
        <v>1E-3</v>
      </c>
      <c r="F755" s="113">
        <v>1000</v>
      </c>
      <c r="G755" s="113">
        <v>0</v>
      </c>
      <c r="H755" s="113">
        <v>22</v>
      </c>
      <c r="I755" s="112" t="s">
        <v>12</v>
      </c>
      <c r="J755" s="113">
        <v>1.2</v>
      </c>
      <c r="K755" s="113">
        <v>19.66</v>
      </c>
    </row>
    <row r="756" spans="1:11">
      <c r="A756" s="112" t="s">
        <v>41</v>
      </c>
      <c r="B756" s="113">
        <v>7183.01</v>
      </c>
      <c r="C756" s="114">
        <v>7</v>
      </c>
      <c r="D756" s="113">
        <v>7.1999999999999995E-2</v>
      </c>
      <c r="E756" s="113">
        <v>1E-3</v>
      </c>
      <c r="F756" s="113">
        <v>1000</v>
      </c>
      <c r="G756" s="113">
        <v>0</v>
      </c>
      <c r="H756" s="113">
        <v>22</v>
      </c>
      <c r="I756" s="112" t="s">
        <v>12</v>
      </c>
      <c r="J756" s="113">
        <v>1.2</v>
      </c>
      <c r="K756" s="113">
        <v>20.81</v>
      </c>
    </row>
    <row r="757" spans="1:11">
      <c r="A757" s="112" t="s">
        <v>41</v>
      </c>
      <c r="B757" s="113">
        <v>8108.75</v>
      </c>
      <c r="C757" s="114">
        <v>7</v>
      </c>
      <c r="D757" s="113">
        <v>7.1999999999999995E-2</v>
      </c>
      <c r="E757" s="113">
        <v>1E-3</v>
      </c>
      <c r="F757" s="113">
        <v>1000</v>
      </c>
      <c r="G757" s="113">
        <v>0</v>
      </c>
      <c r="H757" s="113">
        <v>22</v>
      </c>
      <c r="I757" s="112" t="s">
        <v>12</v>
      </c>
      <c r="J757" s="113">
        <v>1.2</v>
      </c>
      <c r="K757" s="113">
        <v>21.59</v>
      </c>
    </row>
    <row r="758" spans="1:11">
      <c r="A758" s="112" t="s">
        <v>41</v>
      </c>
      <c r="B758" s="113">
        <v>8808.24</v>
      </c>
      <c r="C758" s="114">
        <v>7</v>
      </c>
      <c r="D758" s="113">
        <v>7.1999999999999995E-2</v>
      </c>
      <c r="E758" s="113">
        <v>1E-3</v>
      </c>
      <c r="F758" s="113">
        <v>1000</v>
      </c>
      <c r="G758" s="113">
        <v>0</v>
      </c>
      <c r="H758" s="113">
        <v>22</v>
      </c>
      <c r="I758" s="112" t="s">
        <v>12</v>
      </c>
      <c r="J758" s="113">
        <v>1.2</v>
      </c>
      <c r="K758" s="113">
        <v>21.86</v>
      </c>
    </row>
    <row r="759" spans="1:11">
      <c r="A759" s="112" t="s">
        <v>41</v>
      </c>
      <c r="B759" s="113">
        <v>9486.76</v>
      </c>
      <c r="C759" s="114">
        <v>7</v>
      </c>
      <c r="D759" s="113">
        <v>7.1999999999999995E-2</v>
      </c>
      <c r="E759" s="113">
        <v>1E-3</v>
      </c>
      <c r="F759" s="113">
        <v>1000</v>
      </c>
      <c r="G759" s="113">
        <v>0</v>
      </c>
      <c r="H759" s="113">
        <v>22</v>
      </c>
      <c r="I759" s="112" t="s">
        <v>12</v>
      </c>
      <c r="J759" s="113">
        <v>1.2</v>
      </c>
      <c r="K759" s="113">
        <v>22.68</v>
      </c>
    </row>
    <row r="760" spans="1:11">
      <c r="A760" s="112" t="s">
        <v>41</v>
      </c>
      <c r="B760" s="113">
        <v>452.87</v>
      </c>
      <c r="C760" s="114">
        <v>5.9450000000000003</v>
      </c>
      <c r="D760" s="113">
        <v>7.7700000000000005E-2</v>
      </c>
      <c r="E760" s="113">
        <v>4.4900000000000002E-2</v>
      </c>
      <c r="F760" s="113">
        <v>1179</v>
      </c>
      <c r="G760" s="113">
        <v>0</v>
      </c>
      <c r="H760" s="113">
        <v>22</v>
      </c>
      <c r="I760" s="112" t="s">
        <v>12</v>
      </c>
      <c r="J760" s="113">
        <v>1.2</v>
      </c>
      <c r="K760" s="113">
        <v>9.07</v>
      </c>
    </row>
    <row r="761" spans="1:11">
      <c r="A761" s="112" t="s">
        <v>41</v>
      </c>
      <c r="B761" s="113">
        <v>501.48</v>
      </c>
      <c r="C761" s="114">
        <v>5.9450000000000003</v>
      </c>
      <c r="D761" s="113">
        <v>7.7700000000000005E-2</v>
      </c>
      <c r="E761" s="113">
        <v>4.4900000000000002E-2</v>
      </c>
      <c r="F761" s="113">
        <v>1179</v>
      </c>
      <c r="G761" s="113">
        <v>0</v>
      </c>
      <c r="H761" s="113">
        <v>22</v>
      </c>
      <c r="I761" s="112" t="s">
        <v>12</v>
      </c>
      <c r="J761" s="113">
        <v>1.2</v>
      </c>
      <c r="K761" s="113">
        <v>9.2899999999999991</v>
      </c>
    </row>
    <row r="762" spans="1:11">
      <c r="A762" s="112" t="s">
        <v>41</v>
      </c>
      <c r="B762" s="113">
        <v>573.39</v>
      </c>
      <c r="C762" s="114">
        <v>5.9450000000000003</v>
      </c>
      <c r="D762" s="113">
        <v>7.7700000000000005E-2</v>
      </c>
      <c r="E762" s="113">
        <v>4.4900000000000002E-2</v>
      </c>
      <c r="F762" s="113">
        <v>1179</v>
      </c>
      <c r="G762" s="113">
        <v>0</v>
      </c>
      <c r="H762" s="113">
        <v>22</v>
      </c>
      <c r="I762" s="112" t="s">
        <v>12</v>
      </c>
      <c r="J762" s="113">
        <v>1.2</v>
      </c>
      <c r="K762" s="113">
        <v>9.51</v>
      </c>
    </row>
    <row r="763" spans="1:11">
      <c r="A763" s="112" t="s">
        <v>41</v>
      </c>
      <c r="B763" s="113">
        <v>642</v>
      </c>
      <c r="C763" s="114">
        <v>5.9450000000000003</v>
      </c>
      <c r="D763" s="113">
        <v>7.7700000000000005E-2</v>
      </c>
      <c r="E763" s="113">
        <v>4.4900000000000002E-2</v>
      </c>
      <c r="F763" s="113">
        <v>1179</v>
      </c>
      <c r="G763" s="113">
        <v>0</v>
      </c>
      <c r="H763" s="113">
        <v>22</v>
      </c>
      <c r="I763" s="112" t="s">
        <v>12</v>
      </c>
      <c r="J763" s="113">
        <v>1.2</v>
      </c>
      <c r="K763" s="113">
        <v>9.8699999999999992</v>
      </c>
    </row>
    <row r="764" spans="1:11">
      <c r="A764" s="112" t="s">
        <v>41</v>
      </c>
      <c r="B764" s="113">
        <v>721.05</v>
      </c>
      <c r="C764" s="114">
        <v>5.9450000000000003</v>
      </c>
      <c r="D764" s="113">
        <v>7.7700000000000005E-2</v>
      </c>
      <c r="E764" s="113">
        <v>4.4900000000000002E-2</v>
      </c>
      <c r="F764" s="113">
        <v>1179</v>
      </c>
      <c r="G764" s="113">
        <v>0</v>
      </c>
      <c r="H764" s="113">
        <v>22</v>
      </c>
      <c r="I764" s="112" t="s">
        <v>12</v>
      </c>
      <c r="J764" s="113">
        <v>1.2</v>
      </c>
      <c r="K764" s="113">
        <v>10.039999999999999</v>
      </c>
    </row>
    <row r="765" spans="1:11">
      <c r="A765" s="112" t="s">
        <v>41</v>
      </c>
      <c r="B765" s="113">
        <v>780.24</v>
      </c>
      <c r="C765" s="114">
        <v>5.9450000000000003</v>
      </c>
      <c r="D765" s="113">
        <v>7.7700000000000005E-2</v>
      </c>
      <c r="E765" s="113">
        <v>4.4900000000000002E-2</v>
      </c>
      <c r="F765" s="113">
        <v>1179</v>
      </c>
      <c r="G765" s="113">
        <v>0</v>
      </c>
      <c r="H765" s="113">
        <v>22</v>
      </c>
      <c r="I765" s="112" t="s">
        <v>12</v>
      </c>
      <c r="J765" s="113">
        <v>1.2</v>
      </c>
      <c r="K765" s="113">
        <v>10.37</v>
      </c>
    </row>
    <row r="766" spans="1:11">
      <c r="A766" s="112" t="s">
        <v>41</v>
      </c>
      <c r="B766" s="113">
        <v>863.65</v>
      </c>
      <c r="C766" s="114">
        <v>5.9450000000000003</v>
      </c>
      <c r="D766" s="113">
        <v>7.7700000000000005E-2</v>
      </c>
      <c r="E766" s="113">
        <v>4.4900000000000002E-2</v>
      </c>
      <c r="F766" s="113">
        <v>1179</v>
      </c>
      <c r="G766" s="113">
        <v>0</v>
      </c>
      <c r="H766" s="113">
        <v>22</v>
      </c>
      <c r="I766" s="112" t="s">
        <v>12</v>
      </c>
      <c r="J766" s="113">
        <v>1.2</v>
      </c>
      <c r="K766" s="113">
        <v>10.69</v>
      </c>
    </row>
    <row r="767" spans="1:11">
      <c r="A767" s="112" t="s">
        <v>41</v>
      </c>
      <c r="B767" s="113">
        <v>1405.73</v>
      </c>
      <c r="C767" s="114">
        <v>5.9450000000000003</v>
      </c>
      <c r="D767" s="113">
        <v>7.7700000000000005E-2</v>
      </c>
      <c r="E767" s="113">
        <v>4.4900000000000002E-2</v>
      </c>
      <c r="F767" s="113">
        <v>1179</v>
      </c>
      <c r="G767" s="113">
        <v>0</v>
      </c>
      <c r="H767" s="113">
        <v>22</v>
      </c>
      <c r="I767" s="112" t="s">
        <v>12</v>
      </c>
      <c r="J767" s="113">
        <v>1.2</v>
      </c>
      <c r="K767" s="113">
        <v>12.33</v>
      </c>
    </row>
    <row r="768" spans="1:11">
      <c r="A768" s="112" t="s">
        <v>41</v>
      </c>
      <c r="B768" s="113">
        <v>1771.1</v>
      </c>
      <c r="C768" s="114">
        <v>5.9450000000000003</v>
      </c>
      <c r="D768" s="113">
        <v>7.7700000000000005E-2</v>
      </c>
      <c r="E768" s="113">
        <v>4.4900000000000002E-2</v>
      </c>
      <c r="F768" s="113">
        <v>1179</v>
      </c>
      <c r="G768" s="113">
        <v>0</v>
      </c>
      <c r="H768" s="113">
        <v>22</v>
      </c>
      <c r="I768" s="112" t="s">
        <v>12</v>
      </c>
      <c r="J768" s="113">
        <v>1.2</v>
      </c>
      <c r="K768" s="113">
        <v>13.25</v>
      </c>
    </row>
    <row r="769" spans="1:11">
      <c r="A769" s="112" t="s">
        <v>41</v>
      </c>
      <c r="B769" s="113">
        <v>2156.8200000000002</v>
      </c>
      <c r="C769" s="114">
        <v>5.9450000000000003</v>
      </c>
      <c r="D769" s="113">
        <v>7.7700000000000005E-2</v>
      </c>
      <c r="E769" s="113">
        <v>4.4900000000000002E-2</v>
      </c>
      <c r="F769" s="113">
        <v>1179</v>
      </c>
      <c r="G769" s="113">
        <v>0</v>
      </c>
      <c r="H769" s="113">
        <v>22</v>
      </c>
      <c r="I769" s="112" t="s">
        <v>12</v>
      </c>
      <c r="J769" s="113">
        <v>1.2</v>
      </c>
      <c r="K769" s="113">
        <v>14.12</v>
      </c>
    </row>
    <row r="770" spans="1:11">
      <c r="A770" s="112" t="s">
        <v>41</v>
      </c>
      <c r="B770" s="113">
        <v>2587.11</v>
      </c>
      <c r="C770" s="114">
        <v>5.9450000000000003</v>
      </c>
      <c r="D770" s="113">
        <v>7.7700000000000005E-2</v>
      </c>
      <c r="E770" s="113">
        <v>4.4900000000000002E-2</v>
      </c>
      <c r="F770" s="113">
        <v>1179</v>
      </c>
      <c r="G770" s="113">
        <v>0</v>
      </c>
      <c r="H770" s="113">
        <v>22</v>
      </c>
      <c r="I770" s="112" t="s">
        <v>12</v>
      </c>
      <c r="J770" s="113">
        <v>1.2</v>
      </c>
      <c r="K770" s="113">
        <v>14.91</v>
      </c>
    </row>
    <row r="771" spans="1:11">
      <c r="A771" s="112" t="s">
        <v>41</v>
      </c>
      <c r="B771" s="113">
        <v>2656.96</v>
      </c>
      <c r="C771" s="114">
        <v>5.9450000000000003</v>
      </c>
      <c r="D771" s="113">
        <v>7.7700000000000005E-2</v>
      </c>
      <c r="E771" s="113">
        <v>4.4900000000000002E-2</v>
      </c>
      <c r="F771" s="113">
        <v>1179</v>
      </c>
      <c r="G771" s="113">
        <v>0</v>
      </c>
      <c r="H771" s="113">
        <v>22</v>
      </c>
      <c r="I771" s="112" t="s">
        <v>12</v>
      </c>
      <c r="J771" s="113">
        <v>1.2</v>
      </c>
      <c r="K771" s="113">
        <v>11.39</v>
      </c>
    </row>
    <row r="772" spans="1:11">
      <c r="A772" s="112" t="s">
        <v>41</v>
      </c>
      <c r="B772" s="113">
        <v>3189.09</v>
      </c>
      <c r="C772" s="114">
        <v>5.9450000000000003</v>
      </c>
      <c r="D772" s="113">
        <v>7.7700000000000005E-2</v>
      </c>
      <c r="E772" s="113">
        <v>4.4900000000000002E-2</v>
      </c>
      <c r="F772" s="113">
        <v>1179</v>
      </c>
      <c r="G772" s="113">
        <v>0</v>
      </c>
      <c r="H772" s="113">
        <v>22</v>
      </c>
      <c r="I772" s="112" t="s">
        <v>12</v>
      </c>
      <c r="J772" s="113">
        <v>1.2</v>
      </c>
      <c r="K772" s="113">
        <v>15.88</v>
      </c>
    </row>
    <row r="773" spans="1:11">
      <c r="A773" s="112" t="s">
        <v>41</v>
      </c>
      <c r="B773" s="113">
        <v>3526.16</v>
      </c>
      <c r="C773" s="114">
        <v>5.9450000000000003</v>
      </c>
      <c r="D773" s="113">
        <v>7.7700000000000005E-2</v>
      </c>
      <c r="E773" s="113">
        <v>4.4900000000000002E-2</v>
      </c>
      <c r="F773" s="113">
        <v>1179</v>
      </c>
      <c r="G773" s="113">
        <v>0</v>
      </c>
      <c r="H773" s="113">
        <v>22</v>
      </c>
      <c r="I773" s="112" t="s">
        <v>12</v>
      </c>
      <c r="J773" s="113">
        <v>1.2</v>
      </c>
      <c r="K773" s="113">
        <v>16.73</v>
      </c>
    </row>
    <row r="774" spans="1:11">
      <c r="A774" s="112" t="s">
        <v>41</v>
      </c>
      <c r="B774" s="113">
        <v>539.65</v>
      </c>
      <c r="C774" s="114">
        <v>7.0419999999999998</v>
      </c>
      <c r="D774" s="113">
        <v>7.7700000000000005E-2</v>
      </c>
      <c r="E774" s="113">
        <v>4.4900000000000002E-2</v>
      </c>
      <c r="F774" s="113">
        <v>1179</v>
      </c>
      <c r="G774" s="113">
        <v>0</v>
      </c>
      <c r="H774" s="113">
        <v>22</v>
      </c>
      <c r="I774" s="112" t="s">
        <v>12</v>
      </c>
      <c r="J774" s="113">
        <v>1.2</v>
      </c>
      <c r="K774" s="113">
        <v>10</v>
      </c>
    </row>
    <row r="775" spans="1:11">
      <c r="A775" s="112" t="s">
        <v>41</v>
      </c>
      <c r="B775" s="113">
        <v>593.35</v>
      </c>
      <c r="C775" s="114">
        <v>7.0419999999999998</v>
      </c>
      <c r="D775" s="113">
        <v>7.7700000000000005E-2</v>
      </c>
      <c r="E775" s="113">
        <v>4.4900000000000002E-2</v>
      </c>
      <c r="F775" s="113">
        <v>1179</v>
      </c>
      <c r="G775" s="113">
        <v>0</v>
      </c>
      <c r="H775" s="113">
        <v>22</v>
      </c>
      <c r="I775" s="112" t="s">
        <v>12</v>
      </c>
      <c r="J775" s="113">
        <v>1.2</v>
      </c>
      <c r="K775" s="113">
        <v>10.23</v>
      </c>
    </row>
    <row r="776" spans="1:11">
      <c r="A776" s="112" t="s">
        <v>41</v>
      </c>
      <c r="B776" s="113">
        <v>661.53</v>
      </c>
      <c r="C776" s="114">
        <v>7.0419999999999998</v>
      </c>
      <c r="D776" s="113">
        <v>7.7700000000000005E-2</v>
      </c>
      <c r="E776" s="113">
        <v>4.4900000000000002E-2</v>
      </c>
      <c r="F776" s="113">
        <v>1179</v>
      </c>
      <c r="G776" s="113">
        <v>0</v>
      </c>
      <c r="H776" s="113">
        <v>22</v>
      </c>
      <c r="I776" s="112" t="s">
        <v>12</v>
      </c>
      <c r="J776" s="113">
        <v>1.2</v>
      </c>
      <c r="K776" s="113">
        <v>10.5</v>
      </c>
    </row>
    <row r="777" spans="1:11">
      <c r="A777" s="112" t="s">
        <v>41</v>
      </c>
      <c r="B777" s="113">
        <v>725.84</v>
      </c>
      <c r="C777" s="114">
        <v>7.0419999999999998</v>
      </c>
      <c r="D777" s="113">
        <v>7.7700000000000005E-2</v>
      </c>
      <c r="E777" s="113">
        <v>4.4900000000000002E-2</v>
      </c>
      <c r="F777" s="113">
        <v>1179</v>
      </c>
      <c r="G777" s="113">
        <v>0</v>
      </c>
      <c r="H777" s="113">
        <v>22</v>
      </c>
      <c r="I777" s="112" t="s">
        <v>12</v>
      </c>
      <c r="J777" s="113">
        <v>1.2</v>
      </c>
      <c r="K777" s="113">
        <v>10.84</v>
      </c>
    </row>
    <row r="778" spans="1:11">
      <c r="A778" s="112" t="s">
        <v>41</v>
      </c>
      <c r="B778" s="113">
        <v>852.48</v>
      </c>
      <c r="C778" s="114">
        <v>7.0419999999999998</v>
      </c>
      <c r="D778" s="113">
        <v>7.7700000000000005E-2</v>
      </c>
      <c r="E778" s="113">
        <v>4.4900000000000002E-2</v>
      </c>
      <c r="F778" s="113">
        <v>1179</v>
      </c>
      <c r="G778" s="113">
        <v>0</v>
      </c>
      <c r="H778" s="113">
        <v>22</v>
      </c>
      <c r="I778" s="112" t="s">
        <v>12</v>
      </c>
      <c r="J778" s="113">
        <v>1.2</v>
      </c>
      <c r="K778" s="113">
        <v>11.28</v>
      </c>
    </row>
    <row r="779" spans="1:11">
      <c r="A779" s="112" t="s">
        <v>41</v>
      </c>
      <c r="B779" s="113">
        <v>1166.96</v>
      </c>
      <c r="C779" s="114">
        <v>7.0419999999999998</v>
      </c>
      <c r="D779" s="113">
        <v>7.7700000000000005E-2</v>
      </c>
      <c r="E779" s="113">
        <v>4.4900000000000002E-2</v>
      </c>
      <c r="F779" s="113">
        <v>1179</v>
      </c>
      <c r="G779" s="113">
        <v>0</v>
      </c>
      <c r="H779" s="113">
        <v>22</v>
      </c>
      <c r="I779" s="112" t="s">
        <v>12</v>
      </c>
      <c r="J779" s="113">
        <v>1.2</v>
      </c>
      <c r="K779" s="113">
        <v>12.15</v>
      </c>
    </row>
    <row r="780" spans="1:11">
      <c r="A780" s="112" t="s">
        <v>41</v>
      </c>
      <c r="B780" s="113">
        <v>1657.02</v>
      </c>
      <c r="C780" s="114">
        <v>7.0419999999999998</v>
      </c>
      <c r="D780" s="113">
        <v>7.7700000000000005E-2</v>
      </c>
      <c r="E780" s="113">
        <v>4.4900000000000002E-2</v>
      </c>
      <c r="F780" s="113">
        <v>1179</v>
      </c>
      <c r="G780" s="113">
        <v>0</v>
      </c>
      <c r="H780" s="113">
        <v>22</v>
      </c>
      <c r="I780" s="112" t="s">
        <v>12</v>
      </c>
      <c r="J780" s="113">
        <v>1.2</v>
      </c>
      <c r="K780" s="113">
        <v>13.44</v>
      </c>
    </row>
    <row r="781" spans="1:11">
      <c r="A781" s="112" t="s">
        <v>41</v>
      </c>
      <c r="B781" s="113">
        <v>1976.08</v>
      </c>
      <c r="C781" s="114">
        <v>7.0419999999999998</v>
      </c>
      <c r="D781" s="113">
        <v>7.7700000000000005E-2</v>
      </c>
      <c r="E781" s="113">
        <v>4.4900000000000002E-2</v>
      </c>
      <c r="F781" s="113">
        <v>1179</v>
      </c>
      <c r="G781" s="113">
        <v>0</v>
      </c>
      <c r="H781" s="113">
        <v>22</v>
      </c>
      <c r="I781" s="112" t="s">
        <v>12</v>
      </c>
      <c r="J781" s="113">
        <v>1.2</v>
      </c>
      <c r="K781" s="113">
        <v>14.28</v>
      </c>
    </row>
    <row r="782" spans="1:11">
      <c r="A782" s="112" t="s">
        <v>41</v>
      </c>
      <c r="B782" s="113">
        <v>2439.9</v>
      </c>
      <c r="C782" s="114">
        <v>7.0419999999999998</v>
      </c>
      <c r="D782" s="113">
        <v>7.7700000000000005E-2</v>
      </c>
      <c r="E782" s="113">
        <v>4.4900000000000002E-2</v>
      </c>
      <c r="F782" s="113">
        <v>1179</v>
      </c>
      <c r="G782" s="113">
        <v>0</v>
      </c>
      <c r="H782" s="113">
        <v>22</v>
      </c>
      <c r="I782" s="112" t="s">
        <v>12</v>
      </c>
      <c r="J782" s="113">
        <v>1.2</v>
      </c>
      <c r="K782" s="113">
        <v>15.13</v>
      </c>
    </row>
    <row r="783" spans="1:11">
      <c r="A783" s="112" t="s">
        <v>41</v>
      </c>
      <c r="B783" s="113">
        <v>3044.11</v>
      </c>
      <c r="C783" s="114">
        <v>7.0419999999999998</v>
      </c>
      <c r="D783" s="113">
        <v>7.7700000000000005E-2</v>
      </c>
      <c r="E783" s="113">
        <v>4.4900000000000002E-2</v>
      </c>
      <c r="F783" s="113">
        <v>1179</v>
      </c>
      <c r="G783" s="113">
        <v>0</v>
      </c>
      <c r="H783" s="113">
        <v>22</v>
      </c>
      <c r="I783" s="112" t="s">
        <v>12</v>
      </c>
      <c r="J783" s="113">
        <v>1.2</v>
      </c>
      <c r="K783" s="113">
        <v>16.170000000000002</v>
      </c>
    </row>
    <row r="784" spans="1:11">
      <c r="A784" s="112" t="s">
        <v>41</v>
      </c>
      <c r="B784" s="113">
        <v>3427.02</v>
      </c>
      <c r="C784" s="114">
        <v>7.0419999999999998</v>
      </c>
      <c r="D784" s="113">
        <v>7.7700000000000005E-2</v>
      </c>
      <c r="E784" s="113">
        <v>4.4900000000000002E-2</v>
      </c>
      <c r="F784" s="113">
        <v>1179</v>
      </c>
      <c r="G784" s="113">
        <v>0</v>
      </c>
      <c r="H784" s="113">
        <v>22</v>
      </c>
      <c r="I784" s="112" t="s">
        <v>12</v>
      </c>
      <c r="J784" s="113">
        <v>1.2</v>
      </c>
      <c r="K784" s="113">
        <v>16.8</v>
      </c>
    </row>
    <row r="785" spans="1:11">
      <c r="A785" s="112" t="s">
        <v>41</v>
      </c>
      <c r="B785" s="113">
        <v>3747.53</v>
      </c>
      <c r="C785" s="114">
        <v>7.0419999999999998</v>
      </c>
      <c r="D785" s="113">
        <v>7.7700000000000005E-2</v>
      </c>
      <c r="E785" s="113">
        <v>4.4900000000000002E-2</v>
      </c>
      <c r="F785" s="113">
        <v>1179</v>
      </c>
      <c r="G785" s="113">
        <v>0</v>
      </c>
      <c r="H785" s="113">
        <v>22</v>
      </c>
      <c r="I785" s="112" t="s">
        <v>12</v>
      </c>
      <c r="J785" s="113">
        <v>1.2</v>
      </c>
      <c r="K785" s="113">
        <v>17.399999999999999</v>
      </c>
    </row>
    <row r="786" spans="1:11">
      <c r="A786" s="115" t="s">
        <v>42</v>
      </c>
      <c r="B786" s="116">
        <v>1.2</v>
      </c>
      <c r="C786" s="117">
        <v>0.5</v>
      </c>
      <c r="D786" s="116">
        <v>7.1999999999999995E-2</v>
      </c>
      <c r="E786" s="116">
        <v>1E-3</v>
      </c>
      <c r="F786" s="116">
        <v>997</v>
      </c>
      <c r="G786" s="116">
        <v>0</v>
      </c>
      <c r="H786" s="115"/>
      <c r="I786" s="115" t="s">
        <v>12</v>
      </c>
      <c r="J786" s="118">
        <v>1.3</v>
      </c>
      <c r="K786" s="116">
        <v>6.92</v>
      </c>
    </row>
    <row r="787" spans="1:11">
      <c r="A787" s="115" t="s">
        <v>42</v>
      </c>
      <c r="B787" s="116">
        <v>1.2</v>
      </c>
      <c r="C787" s="117">
        <v>0.5</v>
      </c>
      <c r="D787" s="116">
        <v>7.1999999999999995E-2</v>
      </c>
      <c r="E787" s="116">
        <v>1E-3</v>
      </c>
      <c r="F787" s="116">
        <v>997</v>
      </c>
      <c r="G787" s="116">
        <v>0</v>
      </c>
      <c r="H787" s="115"/>
      <c r="I787" s="115" t="s">
        <v>12</v>
      </c>
      <c r="J787" s="118">
        <v>1.3</v>
      </c>
      <c r="K787" s="116">
        <v>8.36</v>
      </c>
    </row>
    <row r="788" spans="1:11">
      <c r="A788" s="115" t="s">
        <v>42</v>
      </c>
      <c r="B788" s="116">
        <v>1.2</v>
      </c>
      <c r="C788" s="117">
        <v>0.5</v>
      </c>
      <c r="D788" s="116">
        <v>7.1999999999999995E-2</v>
      </c>
      <c r="E788" s="116">
        <v>1E-3</v>
      </c>
      <c r="F788" s="116">
        <v>997</v>
      </c>
      <c r="G788" s="116">
        <v>0</v>
      </c>
      <c r="H788" s="115"/>
      <c r="I788" s="115" t="s">
        <v>12</v>
      </c>
      <c r="J788" s="118">
        <v>1.3</v>
      </c>
      <c r="K788" s="116">
        <v>8.66</v>
      </c>
    </row>
    <row r="789" spans="1:11">
      <c r="A789" s="98" t="s">
        <v>43</v>
      </c>
      <c r="B789" s="98">
        <v>49.98</v>
      </c>
      <c r="C789" s="102">
        <v>0.5</v>
      </c>
      <c r="D789" s="98">
        <v>7.1999999999999995E-2</v>
      </c>
      <c r="E789" s="98">
        <v>9.5E-4</v>
      </c>
      <c r="F789" s="98">
        <v>997</v>
      </c>
      <c r="G789" s="119"/>
      <c r="H789" s="98">
        <v>22.1</v>
      </c>
      <c r="I789" s="98" t="s">
        <v>12</v>
      </c>
      <c r="J789" s="98">
        <v>1.2</v>
      </c>
      <c r="K789" s="98">
        <v>4.9984307920333597</v>
      </c>
    </row>
    <row r="790" spans="1:11">
      <c r="A790" s="98" t="s">
        <v>43</v>
      </c>
      <c r="B790" s="98">
        <v>75</v>
      </c>
      <c r="C790" s="102">
        <v>0.5</v>
      </c>
      <c r="D790" s="98">
        <v>7.1999999999999995E-2</v>
      </c>
      <c r="E790" s="98">
        <v>9.5E-4</v>
      </c>
      <c r="F790" s="98">
        <v>997</v>
      </c>
      <c r="G790" s="119"/>
      <c r="H790" s="98">
        <v>22.1</v>
      </c>
      <c r="I790" s="98" t="s">
        <v>12</v>
      </c>
      <c r="J790" s="98">
        <v>1.2</v>
      </c>
      <c r="K790" s="120">
        <v>5.2054941664739296</v>
      </c>
    </row>
    <row r="791" spans="1:11">
      <c r="A791" s="98" t="s">
        <v>43</v>
      </c>
      <c r="B791" s="98">
        <v>124.8</v>
      </c>
      <c r="C791" s="102">
        <v>0.5</v>
      </c>
      <c r="D791" s="98">
        <v>7.1999999999999995E-2</v>
      </c>
      <c r="E791" s="98">
        <v>9.5E-4</v>
      </c>
      <c r="F791" s="98">
        <v>997</v>
      </c>
      <c r="G791" s="119"/>
      <c r="H791" s="98">
        <v>22.1</v>
      </c>
      <c r="I791" s="98" t="s">
        <v>12</v>
      </c>
      <c r="J791" s="98">
        <v>1.2</v>
      </c>
      <c r="K791" s="120">
        <v>5.4883837759515997</v>
      </c>
    </row>
    <row r="792" spans="1:11">
      <c r="A792" s="98" t="s">
        <v>43</v>
      </c>
      <c r="B792" s="98">
        <v>175.2</v>
      </c>
      <c r="C792" s="102">
        <v>0.5</v>
      </c>
      <c r="D792" s="98">
        <v>7.1999999999999995E-2</v>
      </c>
      <c r="E792" s="98">
        <v>9.5E-4</v>
      </c>
      <c r="F792" s="98">
        <v>997</v>
      </c>
      <c r="G792" s="119"/>
      <c r="H792" s="98">
        <v>22.1</v>
      </c>
      <c r="I792" s="98" t="s">
        <v>12</v>
      </c>
      <c r="J792" s="98">
        <v>1.2</v>
      </c>
      <c r="K792" s="120">
        <v>5.7391929525277199</v>
      </c>
    </row>
    <row r="793" spans="1:11">
      <c r="A793" s="98" t="s">
        <v>43</v>
      </c>
      <c r="B793" s="98">
        <v>250.2</v>
      </c>
      <c r="C793" s="102">
        <v>0.5</v>
      </c>
      <c r="D793" s="98">
        <v>7.1999999999999995E-2</v>
      </c>
      <c r="E793" s="98">
        <v>9.5E-4</v>
      </c>
      <c r="F793" s="98">
        <v>997</v>
      </c>
      <c r="G793" s="119"/>
      <c r="H793" s="98">
        <v>22.1</v>
      </c>
      <c r="I793" s="98" t="s">
        <v>12</v>
      </c>
      <c r="J793" s="98">
        <v>1.2</v>
      </c>
      <c r="K793" s="120">
        <v>5.3950594870634703</v>
      </c>
    </row>
    <row r="794" spans="1:11">
      <c r="A794" s="98" t="s">
        <v>43</v>
      </c>
      <c r="B794" s="98">
        <v>325.2</v>
      </c>
      <c r="C794" s="102">
        <v>0.5</v>
      </c>
      <c r="D794" s="98">
        <v>7.1999999999999995E-2</v>
      </c>
      <c r="E794" s="98">
        <v>9.5E-4</v>
      </c>
      <c r="F794" s="98">
        <v>997</v>
      </c>
      <c r="G794" s="119"/>
      <c r="H794" s="98">
        <v>22.1</v>
      </c>
      <c r="I794" s="98" t="s">
        <v>12</v>
      </c>
      <c r="J794" s="98">
        <v>1.2</v>
      </c>
      <c r="K794" s="120">
        <v>5.1821631610027001</v>
      </c>
    </row>
    <row r="795" spans="1:11">
      <c r="A795" s="98" t="s">
        <v>43</v>
      </c>
      <c r="B795" s="98">
        <v>375</v>
      </c>
      <c r="C795" s="102">
        <v>0.5</v>
      </c>
      <c r="D795" s="98">
        <v>7.1999999999999995E-2</v>
      </c>
      <c r="E795" s="98">
        <v>9.5E-4</v>
      </c>
      <c r="F795" s="98">
        <v>997</v>
      </c>
      <c r="G795" s="119"/>
      <c r="H795" s="98">
        <v>22.1</v>
      </c>
      <c r="I795" s="98" t="s">
        <v>12</v>
      </c>
      <c r="J795" s="98">
        <v>1.2</v>
      </c>
      <c r="K795" s="120">
        <v>5.0713405512603504</v>
      </c>
    </row>
    <row r="796" spans="1:11">
      <c r="A796" s="98" t="s">
        <v>43</v>
      </c>
      <c r="B796" s="98">
        <v>424.8</v>
      </c>
      <c r="C796" s="102">
        <v>0.5</v>
      </c>
      <c r="D796" s="98">
        <v>7.1999999999999995E-2</v>
      </c>
      <c r="E796" s="98">
        <v>9.5E-4</v>
      </c>
      <c r="F796" s="98">
        <v>997</v>
      </c>
      <c r="G796" s="119"/>
      <c r="H796" s="98">
        <v>22.1</v>
      </c>
      <c r="I796" s="98" t="s">
        <v>12</v>
      </c>
      <c r="J796" s="98">
        <v>1.2</v>
      </c>
      <c r="K796" s="120">
        <v>5.1646648401484798</v>
      </c>
    </row>
    <row r="797" spans="1:11">
      <c r="A797" s="98" t="s">
        <v>43</v>
      </c>
      <c r="B797" s="98">
        <v>499.8</v>
      </c>
      <c r="C797" s="102">
        <v>0.5</v>
      </c>
      <c r="D797" s="98">
        <v>7.1999999999999995E-2</v>
      </c>
      <c r="E797" s="98">
        <v>9.5E-4</v>
      </c>
      <c r="F797" s="98">
        <v>997</v>
      </c>
      <c r="G797" s="119"/>
      <c r="H797" s="98">
        <v>22.1</v>
      </c>
      <c r="I797" s="98" t="s">
        <v>12</v>
      </c>
      <c r="J797" s="98">
        <v>1.2</v>
      </c>
      <c r="K797" s="120">
        <v>5.2200762785212396</v>
      </c>
    </row>
    <row r="798" spans="1:11">
      <c r="A798" s="98" t="s">
        <v>43</v>
      </c>
      <c r="B798" s="98">
        <v>49.98</v>
      </c>
      <c r="C798" s="102">
        <v>0.5</v>
      </c>
      <c r="D798" s="98">
        <v>7.0900000000000005E-2</v>
      </c>
      <c r="E798" s="98">
        <v>1.1299999999999999E-3</v>
      </c>
      <c r="F798" s="98">
        <v>1007</v>
      </c>
      <c r="G798" s="119"/>
      <c r="H798" s="98">
        <v>23.2</v>
      </c>
      <c r="I798" s="98" t="s">
        <v>12</v>
      </c>
      <c r="J798" s="98">
        <v>1.2</v>
      </c>
      <c r="K798" s="98">
        <v>5.0150170471952702</v>
      </c>
    </row>
    <row r="799" spans="1:11">
      <c r="A799" s="98" t="s">
        <v>43</v>
      </c>
      <c r="B799" s="98">
        <v>75</v>
      </c>
      <c r="C799" s="102">
        <v>0.5</v>
      </c>
      <c r="D799" s="98">
        <v>7.0900000000000005E-2</v>
      </c>
      <c r="E799" s="98">
        <v>1.1299999999999999E-3</v>
      </c>
      <c r="F799" s="98">
        <v>1007</v>
      </c>
      <c r="G799" s="119"/>
      <c r="H799" s="98">
        <v>23.2</v>
      </c>
      <c r="I799" s="98" t="s">
        <v>12</v>
      </c>
      <c r="J799" s="98">
        <v>1.2</v>
      </c>
      <c r="K799" s="120">
        <v>4.9949666931402401</v>
      </c>
    </row>
    <row r="800" spans="1:11">
      <c r="A800" s="98" t="s">
        <v>43</v>
      </c>
      <c r="B800" s="98">
        <v>100.2</v>
      </c>
      <c r="C800" s="102">
        <v>0.5</v>
      </c>
      <c r="D800" s="98">
        <v>7.0900000000000005E-2</v>
      </c>
      <c r="E800" s="98">
        <v>1.1299999999999999E-3</v>
      </c>
      <c r="F800" s="98">
        <v>1007</v>
      </c>
      <c r="G800" s="119"/>
      <c r="H800" s="98">
        <v>23.2</v>
      </c>
      <c r="I800" s="98" t="s">
        <v>12</v>
      </c>
      <c r="J800" s="98">
        <v>1.2</v>
      </c>
      <c r="K800" s="120">
        <v>5.1444325925885996</v>
      </c>
    </row>
    <row r="801" spans="1:11">
      <c r="A801" s="98" t="s">
        <v>43</v>
      </c>
      <c r="B801" s="98">
        <v>124.8</v>
      </c>
      <c r="C801" s="102">
        <v>0.5</v>
      </c>
      <c r="D801" s="98">
        <v>7.0900000000000005E-2</v>
      </c>
      <c r="E801" s="98">
        <v>1.1299999999999999E-3</v>
      </c>
      <c r="F801" s="98">
        <v>1007</v>
      </c>
      <c r="G801" s="119"/>
      <c r="H801" s="98">
        <v>23.2</v>
      </c>
      <c r="I801" s="98" t="s">
        <v>12</v>
      </c>
      <c r="J801" s="98">
        <v>1.2</v>
      </c>
      <c r="K801" s="120">
        <v>5.3339992001470202</v>
      </c>
    </row>
    <row r="802" spans="1:11">
      <c r="A802" s="98" t="s">
        <v>43</v>
      </c>
      <c r="B802" s="98">
        <v>175.2</v>
      </c>
      <c r="C802" s="102">
        <v>0.5</v>
      </c>
      <c r="D802" s="98">
        <v>7.0900000000000005E-2</v>
      </c>
      <c r="E802" s="98">
        <v>1.1299999999999999E-3</v>
      </c>
      <c r="F802" s="98">
        <v>1007</v>
      </c>
      <c r="G802" s="119"/>
      <c r="H802" s="98">
        <v>23.2</v>
      </c>
      <c r="I802" s="98" t="s">
        <v>12</v>
      </c>
      <c r="J802" s="98">
        <v>1.2</v>
      </c>
      <c r="K802" s="120">
        <v>5.8170294738627</v>
      </c>
    </row>
    <row r="803" spans="1:11">
      <c r="A803" s="98" t="s">
        <v>43</v>
      </c>
      <c r="B803" s="98">
        <v>250.2</v>
      </c>
      <c r="C803" s="102">
        <v>0.5</v>
      </c>
      <c r="D803" s="98">
        <v>7.0900000000000005E-2</v>
      </c>
      <c r="E803" s="98">
        <v>1.1299999999999999E-3</v>
      </c>
      <c r="F803" s="98">
        <v>1007</v>
      </c>
      <c r="G803" s="119"/>
      <c r="H803" s="98">
        <v>23.2</v>
      </c>
      <c r="I803" s="98" t="s">
        <v>12</v>
      </c>
      <c r="J803" s="98">
        <v>1.2</v>
      </c>
      <c r="K803" s="120">
        <v>5.1881787225249596</v>
      </c>
    </row>
    <row r="804" spans="1:11">
      <c r="A804" s="98" t="s">
        <v>43</v>
      </c>
      <c r="B804" s="98">
        <v>325.2</v>
      </c>
      <c r="C804" s="102">
        <v>0.5</v>
      </c>
      <c r="D804" s="98">
        <v>7.0900000000000005E-2</v>
      </c>
      <c r="E804" s="98">
        <v>1.1299999999999999E-3</v>
      </c>
      <c r="F804" s="98">
        <v>1007</v>
      </c>
      <c r="G804" s="121"/>
      <c r="H804" s="98">
        <v>23.2</v>
      </c>
      <c r="I804" s="98" t="s">
        <v>12</v>
      </c>
      <c r="J804" s="98">
        <v>1.2</v>
      </c>
      <c r="K804" s="120">
        <v>4.9931439822270898</v>
      </c>
    </row>
    <row r="805" spans="1:11">
      <c r="A805" s="98" t="s">
        <v>43</v>
      </c>
      <c r="B805" s="98">
        <v>375</v>
      </c>
      <c r="C805" s="102">
        <v>0.5</v>
      </c>
      <c r="D805" s="98">
        <v>7.0900000000000005E-2</v>
      </c>
      <c r="E805" s="98">
        <v>1.1299999999999999E-3</v>
      </c>
      <c r="F805" s="98">
        <v>1007</v>
      </c>
      <c r="G805" s="121"/>
      <c r="H805" s="98">
        <v>23.2</v>
      </c>
      <c r="I805" s="98" t="s">
        <v>12</v>
      </c>
      <c r="J805" s="98">
        <v>1.2</v>
      </c>
      <c r="K805" s="120">
        <v>4.9165882548384703</v>
      </c>
    </row>
    <row r="806" spans="1:11">
      <c r="A806" s="98" t="s">
        <v>43</v>
      </c>
      <c r="B806" s="98">
        <v>424.8</v>
      </c>
      <c r="C806" s="102">
        <v>0.5</v>
      </c>
      <c r="D806" s="98">
        <v>7.0900000000000005E-2</v>
      </c>
      <c r="E806" s="98">
        <v>1.1299999999999999E-3</v>
      </c>
      <c r="F806" s="98">
        <v>1007</v>
      </c>
      <c r="G806" s="121"/>
      <c r="H806" s="98">
        <v>23.2</v>
      </c>
      <c r="I806" s="98" t="s">
        <v>12</v>
      </c>
      <c r="J806" s="98">
        <v>1.2</v>
      </c>
      <c r="K806" s="120">
        <v>4.8400325274498401</v>
      </c>
    </row>
    <row r="807" spans="1:11">
      <c r="A807" s="98" t="s">
        <v>43</v>
      </c>
      <c r="B807" s="98">
        <v>499.8</v>
      </c>
      <c r="C807" s="102">
        <v>0.5</v>
      </c>
      <c r="D807" s="98">
        <v>7.0900000000000005E-2</v>
      </c>
      <c r="E807" s="98">
        <v>1.1299999999999999E-3</v>
      </c>
      <c r="F807" s="98">
        <v>1007</v>
      </c>
      <c r="G807" s="121"/>
      <c r="H807" s="98">
        <v>23.2</v>
      </c>
      <c r="I807" s="98" t="s">
        <v>12</v>
      </c>
      <c r="J807" s="98">
        <v>1.2</v>
      </c>
      <c r="K807" s="120">
        <v>4.8546146152628298</v>
      </c>
    </row>
    <row r="808" spans="1:11">
      <c r="A808" s="98" t="s">
        <v>43</v>
      </c>
      <c r="B808" s="98">
        <v>49.98</v>
      </c>
      <c r="C808" s="102">
        <v>0.5</v>
      </c>
      <c r="D808" s="98">
        <v>7.0599999999999996E-2</v>
      </c>
      <c r="E808" s="98">
        <v>1.16E-3</v>
      </c>
      <c r="F808" s="98">
        <v>1019</v>
      </c>
      <c r="G808" s="121"/>
      <c r="H808" s="98">
        <v>24</v>
      </c>
      <c r="I808" s="98" t="s">
        <v>12</v>
      </c>
      <c r="J808" s="98">
        <v>1.2</v>
      </c>
      <c r="K808" s="98">
        <v>5.1025093070679901</v>
      </c>
    </row>
    <row r="809" spans="1:11">
      <c r="A809" s="98" t="s">
        <v>43</v>
      </c>
      <c r="B809" s="98">
        <v>75</v>
      </c>
      <c r="C809" s="102">
        <v>0.5</v>
      </c>
      <c r="D809" s="98">
        <v>7.0599999999999996E-2</v>
      </c>
      <c r="E809" s="98">
        <v>1.16E-3</v>
      </c>
      <c r="F809" s="98">
        <v>1019</v>
      </c>
      <c r="G809" s="121"/>
      <c r="H809" s="98">
        <v>24</v>
      </c>
      <c r="I809" s="98" t="s">
        <v>12</v>
      </c>
      <c r="J809" s="98">
        <v>1.2</v>
      </c>
      <c r="K809" s="120">
        <v>5.1517237032463896</v>
      </c>
    </row>
    <row r="810" spans="1:11">
      <c r="A810" s="98" t="s">
        <v>43</v>
      </c>
      <c r="B810" s="98">
        <v>100.2</v>
      </c>
      <c r="C810" s="102">
        <v>0.5</v>
      </c>
      <c r="D810" s="98">
        <v>7.0599999999999996E-2</v>
      </c>
      <c r="E810" s="98">
        <v>1.16E-3</v>
      </c>
      <c r="F810" s="98">
        <v>1019</v>
      </c>
      <c r="G810" s="121"/>
      <c r="H810" s="98">
        <v>24</v>
      </c>
      <c r="I810" s="98" t="s">
        <v>12</v>
      </c>
      <c r="J810" s="98">
        <v>1.2</v>
      </c>
      <c r="K810" s="120">
        <v>5.1954698331827496</v>
      </c>
    </row>
    <row r="811" spans="1:11">
      <c r="A811" s="98" t="s">
        <v>43</v>
      </c>
      <c r="B811" s="98">
        <v>124.8</v>
      </c>
      <c r="C811" s="102">
        <v>0.5</v>
      </c>
      <c r="D811" s="98">
        <v>7.0599999999999996E-2</v>
      </c>
      <c r="E811" s="98">
        <v>1.16E-3</v>
      </c>
      <c r="F811" s="98">
        <v>1019</v>
      </c>
      <c r="G811" s="121"/>
      <c r="H811" s="98">
        <v>24</v>
      </c>
      <c r="I811" s="98" t="s">
        <v>12</v>
      </c>
      <c r="J811" s="98">
        <v>1.2</v>
      </c>
      <c r="K811" s="120">
        <v>5.3230626676629296</v>
      </c>
    </row>
    <row r="812" spans="1:11">
      <c r="A812" s="98" t="s">
        <v>43</v>
      </c>
      <c r="B812" s="98">
        <v>175.2</v>
      </c>
      <c r="C812" s="102">
        <v>0.5</v>
      </c>
      <c r="D812" s="98">
        <v>7.0599999999999996E-2</v>
      </c>
      <c r="E812" s="98">
        <v>1.16E-3</v>
      </c>
      <c r="F812" s="98">
        <v>1019</v>
      </c>
      <c r="G812" s="119"/>
      <c r="H812" s="98">
        <v>24</v>
      </c>
      <c r="I812" s="98" t="s">
        <v>12</v>
      </c>
      <c r="J812" s="98">
        <v>1.2</v>
      </c>
      <c r="K812" s="120">
        <v>5.9610271070690102</v>
      </c>
    </row>
    <row r="813" spans="1:11">
      <c r="A813" s="98" t="s">
        <v>43</v>
      </c>
      <c r="B813" s="98">
        <v>250.2</v>
      </c>
      <c r="C813" s="102">
        <v>0.5</v>
      </c>
      <c r="D813" s="98">
        <v>7.0599999999999996E-2</v>
      </c>
      <c r="E813" s="98">
        <v>1.16E-3</v>
      </c>
      <c r="F813" s="98">
        <v>1019</v>
      </c>
      <c r="G813" s="119"/>
      <c r="H813" s="98">
        <v>24</v>
      </c>
      <c r="I813" s="98" t="s">
        <v>12</v>
      </c>
      <c r="J813" s="98">
        <v>1.2</v>
      </c>
      <c r="K813" s="120">
        <v>5.5162746970476499</v>
      </c>
    </row>
    <row r="814" spans="1:11">
      <c r="A814" s="98" t="s">
        <v>43</v>
      </c>
      <c r="B814" s="98">
        <v>325.2</v>
      </c>
      <c r="C814" s="102">
        <v>0.5</v>
      </c>
      <c r="D814" s="98">
        <v>7.0599999999999996E-2</v>
      </c>
      <c r="E814" s="98">
        <v>1.16E-3</v>
      </c>
      <c r="F814" s="98">
        <v>1019</v>
      </c>
      <c r="G814" s="119"/>
      <c r="H814" s="98">
        <v>24</v>
      </c>
      <c r="I814" s="98" t="s">
        <v>12</v>
      </c>
      <c r="J814" s="98">
        <v>1.2</v>
      </c>
      <c r="K814" s="120">
        <v>5.2556207618452397</v>
      </c>
    </row>
    <row r="815" spans="1:11">
      <c r="A815" s="98" t="s">
        <v>43</v>
      </c>
      <c r="B815" s="98">
        <v>375</v>
      </c>
      <c r="C815" s="102">
        <v>0.5</v>
      </c>
      <c r="D815" s="98">
        <v>7.0599999999999996E-2</v>
      </c>
      <c r="E815" s="98">
        <v>1.16E-3</v>
      </c>
      <c r="F815" s="98">
        <v>1019</v>
      </c>
      <c r="G815" s="119"/>
      <c r="H815" s="98">
        <v>24</v>
      </c>
      <c r="I815" s="98" t="s">
        <v>12</v>
      </c>
      <c r="J815" s="98">
        <v>1.2</v>
      </c>
      <c r="K815" s="120">
        <v>5.0496493555606898</v>
      </c>
    </row>
    <row r="816" spans="1:11">
      <c r="A816" s="98" t="s">
        <v>43</v>
      </c>
      <c r="B816" s="98">
        <v>424.8</v>
      </c>
      <c r="C816" s="102">
        <v>0.5</v>
      </c>
      <c r="D816" s="98">
        <v>7.0599999999999996E-2</v>
      </c>
      <c r="E816" s="98">
        <v>1.16E-3</v>
      </c>
      <c r="F816" s="98">
        <v>1019</v>
      </c>
      <c r="G816" s="119"/>
      <c r="H816" s="98">
        <v>24</v>
      </c>
      <c r="I816" s="98" t="s">
        <v>12</v>
      </c>
      <c r="J816" s="98">
        <v>1.2</v>
      </c>
      <c r="K816" s="120">
        <v>5.1371416154334097</v>
      </c>
    </row>
    <row r="817" spans="1:11">
      <c r="A817" s="98" t="s">
        <v>43</v>
      </c>
      <c r="B817" s="98">
        <v>499.8</v>
      </c>
      <c r="C817" s="102">
        <v>0.5</v>
      </c>
      <c r="D817" s="98">
        <v>7.0599999999999996E-2</v>
      </c>
      <c r="E817" s="98">
        <v>1.16E-3</v>
      </c>
      <c r="F817" s="98">
        <v>1019</v>
      </c>
      <c r="G817" s="119"/>
      <c r="H817" s="98">
        <v>24</v>
      </c>
      <c r="I817" s="98" t="s">
        <v>12</v>
      </c>
      <c r="J817" s="98">
        <v>1.2</v>
      </c>
      <c r="K817" s="120">
        <v>5.4488327912299601</v>
      </c>
    </row>
    <row r="818" spans="1:11">
      <c r="A818" s="98" t="s">
        <v>43</v>
      </c>
      <c r="B818" s="98">
        <v>49.98</v>
      </c>
      <c r="C818" s="102">
        <v>0.5</v>
      </c>
      <c r="D818" s="98">
        <v>7.0099999999999996E-2</v>
      </c>
      <c r="E818" s="98">
        <v>1.2800000000000001E-3</v>
      </c>
      <c r="F818" s="98">
        <v>1034</v>
      </c>
      <c r="G818" s="119"/>
      <c r="H818" s="98">
        <v>24.8</v>
      </c>
      <c r="I818" s="98" t="s">
        <v>12</v>
      </c>
      <c r="J818" s="98">
        <v>1.2</v>
      </c>
      <c r="K818" s="98">
        <v>5.0480092787859299</v>
      </c>
    </row>
    <row r="819" spans="1:11">
      <c r="A819" s="98" t="s">
        <v>43</v>
      </c>
      <c r="B819" s="98">
        <v>75</v>
      </c>
      <c r="C819" s="102">
        <v>0.5</v>
      </c>
      <c r="D819" s="98">
        <v>7.0099999999999996E-2</v>
      </c>
      <c r="E819" s="98">
        <v>1.2800000000000001E-3</v>
      </c>
      <c r="F819" s="98">
        <v>1034</v>
      </c>
      <c r="G819" s="119"/>
      <c r="H819" s="98">
        <v>24.8</v>
      </c>
      <c r="I819" s="98" t="s">
        <v>12</v>
      </c>
      <c r="J819" s="98">
        <v>1.2</v>
      </c>
      <c r="K819" s="120">
        <v>5.1675813159585804</v>
      </c>
    </row>
    <row r="820" spans="1:11">
      <c r="A820" s="98" t="s">
        <v>43</v>
      </c>
      <c r="B820" s="98">
        <v>100.2</v>
      </c>
      <c r="C820" s="102">
        <v>0.5</v>
      </c>
      <c r="D820" s="98">
        <v>7.0099999999999996E-2</v>
      </c>
      <c r="E820" s="98">
        <v>1.2800000000000001E-3</v>
      </c>
      <c r="F820" s="98">
        <v>1034</v>
      </c>
      <c r="G820" s="119"/>
      <c r="H820" s="98">
        <v>24.8</v>
      </c>
      <c r="I820" s="98" t="s">
        <v>12</v>
      </c>
      <c r="J820" s="98">
        <v>1.2</v>
      </c>
      <c r="K820" s="120">
        <v>5.2725712410839103</v>
      </c>
    </row>
    <row r="821" spans="1:11">
      <c r="A821" s="98" t="s">
        <v>43</v>
      </c>
      <c r="B821" s="98">
        <v>124.8</v>
      </c>
      <c r="C821" s="102">
        <v>0.5</v>
      </c>
      <c r="D821" s="98">
        <v>7.0099999999999996E-2</v>
      </c>
      <c r="E821" s="98">
        <v>1.2800000000000001E-3</v>
      </c>
      <c r="F821" s="98">
        <v>1034</v>
      </c>
      <c r="G821" s="119"/>
      <c r="H821" s="98">
        <v>24.8</v>
      </c>
      <c r="I821" s="98" t="s">
        <v>12</v>
      </c>
      <c r="J821" s="98">
        <v>1.2</v>
      </c>
      <c r="K821" s="120">
        <v>5.4417214980059398</v>
      </c>
    </row>
    <row r="822" spans="1:11">
      <c r="A822" s="98" t="s">
        <v>43</v>
      </c>
      <c r="B822" s="98">
        <v>175.2</v>
      </c>
      <c r="C822" s="102">
        <v>0.5</v>
      </c>
      <c r="D822" s="98">
        <v>7.0099999999999996E-2</v>
      </c>
      <c r="E822" s="98">
        <v>1.2800000000000001E-3</v>
      </c>
      <c r="F822" s="98">
        <v>1034</v>
      </c>
      <c r="G822" s="119"/>
      <c r="H822" s="98">
        <v>24.8</v>
      </c>
      <c r="I822" s="98" t="s">
        <v>12</v>
      </c>
      <c r="J822" s="98">
        <v>1.2</v>
      </c>
      <c r="K822" s="120">
        <v>6.1066576904663998</v>
      </c>
    </row>
    <row r="823" spans="1:11">
      <c r="A823" s="98" t="s">
        <v>43</v>
      </c>
      <c r="B823" s="98">
        <v>250.2</v>
      </c>
      <c r="C823" s="102">
        <v>0.5</v>
      </c>
      <c r="D823" s="98">
        <v>7.0099999999999996E-2</v>
      </c>
      <c r="E823" s="98">
        <v>1.2800000000000001E-3</v>
      </c>
      <c r="F823" s="98">
        <v>1034</v>
      </c>
      <c r="G823" s="119"/>
      <c r="H823" s="98">
        <v>24.8</v>
      </c>
      <c r="I823" s="98" t="s">
        <v>12</v>
      </c>
      <c r="J823" s="98">
        <v>1.2</v>
      </c>
      <c r="K823" s="120">
        <v>5.38922653544327</v>
      </c>
    </row>
    <row r="824" spans="1:11">
      <c r="A824" s="98" t="s">
        <v>43</v>
      </c>
      <c r="B824" s="98">
        <v>325.2</v>
      </c>
      <c r="C824" s="102">
        <v>0.5</v>
      </c>
      <c r="D824" s="98">
        <v>7.0099999999999996E-2</v>
      </c>
      <c r="E824" s="98">
        <v>1.2800000000000001E-3</v>
      </c>
      <c r="F824" s="98">
        <v>1034</v>
      </c>
      <c r="G824" s="119"/>
      <c r="H824" s="98">
        <v>24.8</v>
      </c>
      <c r="I824" s="98" t="s">
        <v>12</v>
      </c>
      <c r="J824" s="98">
        <v>1.2</v>
      </c>
      <c r="K824" s="120">
        <v>5.13841735886714</v>
      </c>
    </row>
    <row r="825" spans="1:11">
      <c r="A825" s="98" t="s">
        <v>43</v>
      </c>
      <c r="B825" s="98">
        <v>375</v>
      </c>
      <c r="C825" s="102">
        <v>0.5</v>
      </c>
      <c r="D825" s="98">
        <v>7.0099999999999996E-2</v>
      </c>
      <c r="E825" s="98">
        <v>1.2800000000000001E-3</v>
      </c>
      <c r="F825" s="98">
        <v>1034</v>
      </c>
      <c r="G825" s="119"/>
      <c r="H825" s="98">
        <v>24.8</v>
      </c>
      <c r="I825" s="98" t="s">
        <v>12</v>
      </c>
      <c r="J825" s="98">
        <v>1.2</v>
      </c>
      <c r="K825" s="120">
        <v>5.1879958456197102</v>
      </c>
    </row>
    <row r="826" spans="1:11">
      <c r="A826" s="98" t="s">
        <v>43</v>
      </c>
      <c r="B826" s="98">
        <v>424.8</v>
      </c>
      <c r="C826" s="102">
        <v>0.5</v>
      </c>
      <c r="D826" s="98">
        <v>7.0099999999999996E-2</v>
      </c>
      <c r="E826" s="98">
        <v>1.2800000000000001E-3</v>
      </c>
      <c r="F826" s="98">
        <v>1034</v>
      </c>
      <c r="G826" s="119"/>
      <c r="H826" s="98">
        <v>24.8</v>
      </c>
      <c r="I826" s="98" t="s">
        <v>12</v>
      </c>
      <c r="J826" s="98">
        <v>1.2</v>
      </c>
      <c r="K826" s="120">
        <v>5.2434072839924797</v>
      </c>
    </row>
    <row r="827" spans="1:11">
      <c r="A827" s="98" t="s">
        <v>43</v>
      </c>
      <c r="B827" s="98">
        <v>499.8</v>
      </c>
      <c r="C827" s="102">
        <v>0.5</v>
      </c>
      <c r="D827" s="98">
        <v>7.0099999999999996E-2</v>
      </c>
      <c r="E827" s="98">
        <v>1.2800000000000001E-3</v>
      </c>
      <c r="F827" s="98">
        <v>1034</v>
      </c>
      <c r="G827" s="119"/>
      <c r="H827" s="98">
        <v>24.8</v>
      </c>
      <c r="I827" s="98" t="s">
        <v>12</v>
      </c>
      <c r="J827" s="98">
        <v>1.2</v>
      </c>
      <c r="K827" s="120">
        <v>5.2725712410839103</v>
      </c>
    </row>
    <row r="828" spans="1:11">
      <c r="A828" s="98" t="s">
        <v>43</v>
      </c>
      <c r="B828" s="98">
        <v>49.98</v>
      </c>
      <c r="C828" s="102">
        <v>0.5</v>
      </c>
      <c r="D828" s="98">
        <v>6.9900000000000004E-2</v>
      </c>
      <c r="E828" s="98">
        <v>1.89E-3</v>
      </c>
      <c r="F828" s="98">
        <v>1057</v>
      </c>
      <c r="G828" s="119"/>
      <c r="H828" s="98">
        <v>25.6</v>
      </c>
      <c r="I828" s="98" t="s">
        <v>12</v>
      </c>
      <c r="J828" s="98">
        <v>1.2</v>
      </c>
      <c r="K828" s="98">
        <v>4.86719338562669</v>
      </c>
    </row>
    <row r="829" spans="1:11">
      <c r="A829" s="98" t="s">
        <v>43</v>
      </c>
      <c r="B829" s="98">
        <v>75</v>
      </c>
      <c r="C829" s="102">
        <v>0.5</v>
      </c>
      <c r="D829" s="98">
        <v>6.9900000000000004E-2</v>
      </c>
      <c r="E829" s="98">
        <v>1.89E-3</v>
      </c>
      <c r="F829" s="98">
        <v>1057</v>
      </c>
      <c r="G829" s="119"/>
      <c r="H829" s="98">
        <v>25.6</v>
      </c>
      <c r="I829" s="98" t="s">
        <v>12</v>
      </c>
      <c r="J829" s="98">
        <v>1.2</v>
      </c>
      <c r="K829" s="120">
        <v>4.9401031448536799</v>
      </c>
    </row>
    <row r="830" spans="1:11">
      <c r="A830" s="98" t="s">
        <v>43</v>
      </c>
      <c r="B830" s="98">
        <v>100.2</v>
      </c>
      <c r="C830" s="102">
        <v>0.5</v>
      </c>
      <c r="D830" s="98">
        <v>6.9900000000000004E-2</v>
      </c>
      <c r="E830" s="98">
        <v>1.89E-3</v>
      </c>
      <c r="F830" s="98">
        <v>1057</v>
      </c>
      <c r="G830" s="119"/>
      <c r="H830" s="98">
        <v>25.6</v>
      </c>
      <c r="I830" s="98" t="s">
        <v>12</v>
      </c>
      <c r="J830" s="98">
        <v>1.2</v>
      </c>
      <c r="K830" s="120">
        <v>5.0246782733147004</v>
      </c>
    </row>
    <row r="831" spans="1:11">
      <c r="A831" s="98" t="s">
        <v>43</v>
      </c>
      <c r="B831" s="98">
        <v>124.8</v>
      </c>
      <c r="C831" s="102">
        <v>0.5</v>
      </c>
      <c r="D831" s="98">
        <v>6.9900000000000004E-2</v>
      </c>
      <c r="E831" s="98">
        <v>1.89E-3</v>
      </c>
      <c r="F831" s="98">
        <v>1057</v>
      </c>
      <c r="G831" s="119"/>
      <c r="H831" s="98">
        <v>25.6</v>
      </c>
      <c r="I831" s="98" t="s">
        <v>12</v>
      </c>
      <c r="J831" s="98">
        <v>1.2</v>
      </c>
      <c r="K831" s="120">
        <v>5.3425645245008004</v>
      </c>
    </row>
    <row r="832" spans="1:11">
      <c r="A832" s="98" t="s">
        <v>43</v>
      </c>
      <c r="B832" s="98">
        <v>175.2</v>
      </c>
      <c r="C832" s="102">
        <v>0.5</v>
      </c>
      <c r="D832" s="98">
        <v>6.9900000000000004E-2</v>
      </c>
      <c r="E832" s="98">
        <v>1.89E-3</v>
      </c>
      <c r="F832" s="98">
        <v>1057</v>
      </c>
      <c r="G832" s="119"/>
      <c r="H832" s="98">
        <v>25.6</v>
      </c>
      <c r="I832" s="98" t="s">
        <v>12</v>
      </c>
      <c r="J832" s="98">
        <v>1.2</v>
      </c>
      <c r="K832" s="120">
        <v>5.7887717062834803</v>
      </c>
    </row>
    <row r="833" spans="1:11">
      <c r="A833" s="98" t="s">
        <v>43</v>
      </c>
      <c r="B833" s="98">
        <v>250.2</v>
      </c>
      <c r="C833" s="102">
        <v>0.5</v>
      </c>
      <c r="D833" s="98">
        <v>6.9900000000000004E-2</v>
      </c>
      <c r="E833" s="98">
        <v>1.89E-3</v>
      </c>
      <c r="F833" s="98">
        <v>1057</v>
      </c>
      <c r="G833" s="119"/>
      <c r="H833" s="98">
        <v>25.6</v>
      </c>
      <c r="I833" s="98" t="s">
        <v>12</v>
      </c>
      <c r="J833" s="98">
        <v>1.2</v>
      </c>
      <c r="K833" s="120">
        <v>5.3542298937348303</v>
      </c>
    </row>
    <row r="834" spans="1:11">
      <c r="A834" s="98" t="s">
        <v>43</v>
      </c>
      <c r="B834" s="98">
        <v>325.2</v>
      </c>
      <c r="C834" s="102">
        <v>0.5</v>
      </c>
      <c r="D834" s="98">
        <v>6.9900000000000004E-2</v>
      </c>
      <c r="E834" s="98">
        <v>1.89E-3</v>
      </c>
      <c r="F834" s="98">
        <v>1057</v>
      </c>
      <c r="G834" s="119"/>
      <c r="H834" s="98">
        <v>25.6</v>
      </c>
      <c r="I834" s="98" t="s">
        <v>12</v>
      </c>
      <c r="J834" s="98">
        <v>1.2</v>
      </c>
      <c r="K834" s="120">
        <v>5.0305109579317104</v>
      </c>
    </row>
    <row r="835" spans="1:11">
      <c r="A835" s="98" t="s">
        <v>43</v>
      </c>
      <c r="B835" s="98">
        <v>375</v>
      </c>
      <c r="C835" s="102">
        <v>0.5</v>
      </c>
      <c r="D835" s="98">
        <v>6.9900000000000004E-2</v>
      </c>
      <c r="E835" s="98">
        <v>1.89E-3</v>
      </c>
      <c r="F835" s="98">
        <v>1057</v>
      </c>
      <c r="G835" s="119"/>
      <c r="H835" s="98">
        <v>25.6</v>
      </c>
      <c r="I835" s="98" t="s">
        <v>12</v>
      </c>
      <c r="J835" s="98">
        <v>1.2</v>
      </c>
      <c r="K835" s="120">
        <v>5.08592239630448</v>
      </c>
    </row>
    <row r="836" spans="1:11">
      <c r="A836" s="98" t="s">
        <v>43</v>
      </c>
      <c r="B836" s="98">
        <v>424.8</v>
      </c>
      <c r="C836" s="102">
        <v>0.5</v>
      </c>
      <c r="D836" s="98">
        <v>6.9900000000000004E-2</v>
      </c>
      <c r="E836" s="98">
        <v>1.89E-3</v>
      </c>
      <c r="F836" s="98">
        <v>1057</v>
      </c>
      <c r="G836" s="119"/>
      <c r="H836" s="98">
        <v>25.6</v>
      </c>
      <c r="I836" s="98" t="s">
        <v>12</v>
      </c>
      <c r="J836" s="98">
        <v>1.2</v>
      </c>
      <c r="K836" s="120">
        <v>5.1092534017757103</v>
      </c>
    </row>
    <row r="837" spans="1:11">
      <c r="A837" s="98" t="s">
        <v>43</v>
      </c>
      <c r="B837" s="98">
        <v>499.8</v>
      </c>
      <c r="C837" s="102">
        <v>0.5</v>
      </c>
      <c r="D837" s="98">
        <v>6.9900000000000004E-2</v>
      </c>
      <c r="E837" s="98">
        <v>1.89E-3</v>
      </c>
      <c r="F837" s="98">
        <v>1057</v>
      </c>
      <c r="G837" s="119"/>
      <c r="H837" s="98">
        <v>25.6</v>
      </c>
      <c r="I837" s="98" t="s">
        <v>12</v>
      </c>
      <c r="J837" s="98">
        <v>1.2</v>
      </c>
      <c r="K837" s="120">
        <v>5.1209190380129197</v>
      </c>
    </row>
    <row r="838" spans="1:11">
      <c r="A838" s="98" t="s">
        <v>43</v>
      </c>
      <c r="B838" s="98">
        <v>49.98</v>
      </c>
      <c r="C838" s="102">
        <v>0.5</v>
      </c>
      <c r="D838" s="122">
        <v>6.7699999999999996E-2</v>
      </c>
      <c r="E838" s="98">
        <v>2.6700000000000001E-3</v>
      </c>
      <c r="F838" s="98">
        <v>1097</v>
      </c>
      <c r="G838" s="119"/>
      <c r="H838" s="98">
        <v>24.8</v>
      </c>
      <c r="I838" s="98" t="s">
        <v>12</v>
      </c>
      <c r="J838" s="98">
        <v>1.2</v>
      </c>
      <c r="K838" s="98">
        <v>4.3480764446170301</v>
      </c>
    </row>
    <row r="839" spans="1:11">
      <c r="A839" s="98" t="s">
        <v>43</v>
      </c>
      <c r="B839" s="98">
        <v>75</v>
      </c>
      <c r="C839" s="102">
        <v>0.5</v>
      </c>
      <c r="D839" s="123">
        <v>6.7699999999999996E-2</v>
      </c>
      <c r="E839" s="98">
        <v>2.6700000000000001E-3</v>
      </c>
      <c r="F839" s="98">
        <v>1097</v>
      </c>
      <c r="G839" s="119"/>
      <c r="H839" s="98">
        <v>24.8</v>
      </c>
      <c r="I839" s="98" t="s">
        <v>12</v>
      </c>
      <c r="J839" s="98">
        <v>1.2</v>
      </c>
      <c r="K839" s="120">
        <v>4.2343373590645799</v>
      </c>
    </row>
    <row r="840" spans="1:11">
      <c r="A840" s="98" t="s">
        <v>43</v>
      </c>
      <c r="B840" s="98">
        <v>100.2</v>
      </c>
      <c r="C840" s="102">
        <v>0.5</v>
      </c>
      <c r="D840" s="123">
        <v>6.7699999999999996E-2</v>
      </c>
      <c r="E840" s="98">
        <v>2.6700000000000001E-3</v>
      </c>
      <c r="F840" s="98">
        <v>1097</v>
      </c>
      <c r="G840" s="119"/>
      <c r="H840" s="98">
        <v>24.8</v>
      </c>
      <c r="I840" s="98" t="s">
        <v>12</v>
      </c>
      <c r="J840" s="98">
        <v>1.2</v>
      </c>
      <c r="K840" s="120">
        <v>4.45306636974236</v>
      </c>
    </row>
    <row r="841" spans="1:11">
      <c r="A841" s="98" t="s">
        <v>43</v>
      </c>
      <c r="B841" s="98">
        <v>124.8</v>
      </c>
      <c r="C841" s="102">
        <v>0.5</v>
      </c>
      <c r="D841" s="123">
        <v>6.7699999999999996E-2</v>
      </c>
      <c r="E841" s="98">
        <v>2.6700000000000001E-3</v>
      </c>
      <c r="F841" s="98">
        <v>1097</v>
      </c>
      <c r="G841" s="119"/>
      <c r="H841" s="98">
        <v>24.8</v>
      </c>
      <c r="I841" s="98" t="s">
        <v>12</v>
      </c>
      <c r="J841" s="98">
        <v>1.2</v>
      </c>
      <c r="K841" s="120">
        <v>4.8963573427181304</v>
      </c>
    </row>
    <row r="842" spans="1:11">
      <c r="A842" s="98" t="s">
        <v>43</v>
      </c>
      <c r="B842" s="98">
        <v>175.2</v>
      </c>
      <c r="C842" s="102">
        <v>0.5</v>
      </c>
      <c r="D842" s="123">
        <v>6.7699999999999996E-2</v>
      </c>
      <c r="E842" s="98">
        <v>2.6700000000000001E-3</v>
      </c>
      <c r="F842" s="98">
        <v>1097</v>
      </c>
      <c r="G842" s="119"/>
      <c r="H842" s="98">
        <v>24.8</v>
      </c>
      <c r="I842" s="98" t="s">
        <v>12</v>
      </c>
      <c r="J842" s="98">
        <v>1.2</v>
      </c>
      <c r="K842" s="120">
        <v>5.6866979899650598</v>
      </c>
    </row>
    <row r="843" spans="1:11">
      <c r="A843" s="98" t="s">
        <v>43</v>
      </c>
      <c r="B843" s="98">
        <v>250.2</v>
      </c>
      <c r="C843" s="102">
        <v>0.5</v>
      </c>
      <c r="D843" s="123">
        <v>6.7699999999999996E-2</v>
      </c>
      <c r="E843" s="98">
        <v>2.6700000000000001E-3</v>
      </c>
      <c r="F843" s="98">
        <v>1097</v>
      </c>
      <c r="G843" s="119"/>
      <c r="H843" s="98">
        <v>24.8</v>
      </c>
      <c r="I843" s="98" t="s">
        <v>12</v>
      </c>
      <c r="J843" s="98">
        <v>1.2</v>
      </c>
      <c r="K843" s="120">
        <v>4.8176148988741199</v>
      </c>
    </row>
    <row r="844" spans="1:11">
      <c r="A844" s="98" t="s">
        <v>43</v>
      </c>
      <c r="B844" s="98">
        <v>325.2</v>
      </c>
      <c r="C844" s="102">
        <v>0.5</v>
      </c>
      <c r="D844" s="123">
        <v>6.7699999999999996E-2</v>
      </c>
      <c r="E844" s="98">
        <v>2.6700000000000001E-3</v>
      </c>
      <c r="F844" s="98">
        <v>1097</v>
      </c>
      <c r="G844" s="119"/>
      <c r="H844" s="98">
        <v>24.8</v>
      </c>
      <c r="I844" s="98" t="s">
        <v>12</v>
      </c>
      <c r="J844" s="98">
        <v>1.2</v>
      </c>
      <c r="K844" s="120">
        <v>4.7592869846912604</v>
      </c>
    </row>
    <row r="845" spans="1:11">
      <c r="A845" s="98" t="s">
        <v>43</v>
      </c>
      <c r="B845" s="98">
        <v>375</v>
      </c>
      <c r="C845" s="102">
        <v>0.5</v>
      </c>
      <c r="D845" s="123">
        <v>6.7699999999999996E-2</v>
      </c>
      <c r="E845" s="98">
        <v>2.6700000000000001E-3</v>
      </c>
      <c r="F845" s="98">
        <v>1097</v>
      </c>
      <c r="G845" s="119"/>
      <c r="H845" s="98">
        <v>24.8</v>
      </c>
      <c r="I845" s="98" t="s">
        <v>12</v>
      </c>
      <c r="J845" s="98">
        <v>1.2</v>
      </c>
      <c r="K845" s="120">
        <v>4.8263640593012402</v>
      </c>
    </row>
    <row r="846" spans="1:11">
      <c r="A846" s="98" t="s">
        <v>43</v>
      </c>
      <c r="B846" s="98">
        <v>424.8</v>
      </c>
      <c r="C846" s="102">
        <v>0.5</v>
      </c>
      <c r="D846" s="123">
        <v>6.7699999999999996E-2</v>
      </c>
      <c r="E846" s="98">
        <v>2.6700000000000001E-3</v>
      </c>
      <c r="F846" s="98">
        <v>1097</v>
      </c>
      <c r="G846" s="119"/>
      <c r="H846" s="98">
        <v>24.8</v>
      </c>
      <c r="I846" s="98" t="s">
        <v>12</v>
      </c>
      <c r="J846" s="98">
        <v>1.2</v>
      </c>
      <c r="K846" s="120">
        <v>4.7622034605013601</v>
      </c>
    </row>
    <row r="847" spans="1:11">
      <c r="A847" s="98" t="s">
        <v>43</v>
      </c>
      <c r="B847" s="98">
        <v>499.8</v>
      </c>
      <c r="C847" s="102">
        <v>0.5</v>
      </c>
      <c r="D847" s="123">
        <v>6.7699999999999996E-2</v>
      </c>
      <c r="E847" s="98">
        <v>2.6700000000000001E-3</v>
      </c>
      <c r="F847" s="98">
        <v>1097</v>
      </c>
      <c r="G847" s="119"/>
      <c r="H847" s="98">
        <v>24.8</v>
      </c>
      <c r="I847" s="98" t="s">
        <v>12</v>
      </c>
      <c r="J847" s="98">
        <v>1.2</v>
      </c>
      <c r="K847" s="120">
        <v>4.8234475834911397</v>
      </c>
    </row>
    <row r="848" spans="1:11">
      <c r="A848" s="98" t="s">
        <v>43</v>
      </c>
      <c r="B848" s="98">
        <v>49.98</v>
      </c>
      <c r="C848" s="102">
        <v>0.5</v>
      </c>
      <c r="D848" s="123">
        <v>6.7299999999999999E-2</v>
      </c>
      <c r="E848" s="122">
        <v>4.15E-3</v>
      </c>
      <c r="F848" s="98">
        <v>1124</v>
      </c>
      <c r="G848" s="119"/>
      <c r="H848" s="98">
        <v>25.6</v>
      </c>
      <c r="I848" s="98" t="s">
        <v>12</v>
      </c>
      <c r="J848" s="98">
        <v>1.2</v>
      </c>
      <c r="K848" s="98">
        <v>4.60180209700325</v>
      </c>
    </row>
    <row r="849" spans="1:11">
      <c r="A849" s="98" t="s">
        <v>43</v>
      </c>
      <c r="B849" s="98">
        <v>75</v>
      </c>
      <c r="C849" s="102">
        <v>0.5</v>
      </c>
      <c r="D849" s="123">
        <v>6.7299999999999999E-2</v>
      </c>
      <c r="E849" s="123">
        <v>4.15E-3</v>
      </c>
      <c r="F849" s="98">
        <v>1124</v>
      </c>
      <c r="G849" s="119"/>
      <c r="H849" s="98">
        <v>25.6</v>
      </c>
      <c r="I849" s="98" t="s">
        <v>12</v>
      </c>
      <c r="J849" s="98">
        <v>1.2</v>
      </c>
      <c r="K849" s="120">
        <v>4.5726384069150097</v>
      </c>
    </row>
    <row r="850" spans="1:11">
      <c r="A850" s="98" t="s">
        <v>43</v>
      </c>
      <c r="B850" s="98">
        <v>100.2</v>
      </c>
      <c r="C850" s="102">
        <v>0.5</v>
      </c>
      <c r="D850" s="123">
        <v>6.7299999999999999E-2</v>
      </c>
      <c r="E850" s="123">
        <v>4.15E-3</v>
      </c>
      <c r="F850" s="98">
        <v>1124</v>
      </c>
      <c r="G850" s="119"/>
      <c r="H850" s="98">
        <v>25.6</v>
      </c>
      <c r="I850" s="98" t="s">
        <v>12</v>
      </c>
      <c r="J850" s="98">
        <v>1.2</v>
      </c>
      <c r="K850" s="120">
        <v>4.59013672776923</v>
      </c>
    </row>
    <row r="851" spans="1:11">
      <c r="A851" s="98" t="s">
        <v>43</v>
      </c>
      <c r="B851" s="98">
        <v>124.8</v>
      </c>
      <c r="C851" s="102">
        <v>0.5</v>
      </c>
      <c r="D851" s="123">
        <v>6.7299999999999999E-2</v>
      </c>
      <c r="E851" s="123">
        <v>4.15E-3</v>
      </c>
      <c r="F851" s="98">
        <v>1124</v>
      </c>
      <c r="G851" s="119"/>
      <c r="H851" s="98">
        <v>25.6</v>
      </c>
      <c r="I851" s="98" t="s">
        <v>12</v>
      </c>
      <c r="J851" s="98">
        <v>1.2</v>
      </c>
      <c r="K851" s="120">
        <v>4.83511321972835</v>
      </c>
    </row>
    <row r="852" spans="1:11">
      <c r="A852" s="98" t="s">
        <v>43</v>
      </c>
      <c r="B852" s="98">
        <v>175.2</v>
      </c>
      <c r="C852" s="102">
        <v>0.5</v>
      </c>
      <c r="D852" s="123">
        <v>6.7299999999999999E-2</v>
      </c>
      <c r="E852" s="123">
        <v>4.15E-3</v>
      </c>
      <c r="F852" s="98">
        <v>1124</v>
      </c>
      <c r="G852" s="119"/>
      <c r="H852" s="98">
        <v>25.6</v>
      </c>
      <c r="I852" s="98" t="s">
        <v>12</v>
      </c>
      <c r="J852" s="98">
        <v>1.2</v>
      </c>
      <c r="K852" s="120">
        <v>5.5875410164599204</v>
      </c>
    </row>
    <row r="853" spans="1:11">
      <c r="A853" s="98" t="s">
        <v>43</v>
      </c>
      <c r="B853" s="98">
        <v>250.2</v>
      </c>
      <c r="C853" s="102">
        <v>0.5</v>
      </c>
      <c r="D853" s="123">
        <v>6.7299999999999999E-2</v>
      </c>
      <c r="E853" s="123">
        <v>4.15E-3</v>
      </c>
      <c r="F853" s="98">
        <v>1124</v>
      </c>
      <c r="G853" s="119"/>
      <c r="H853" s="98">
        <v>25.6</v>
      </c>
      <c r="I853" s="98" t="s">
        <v>12</v>
      </c>
      <c r="J853" s="98">
        <v>1.2</v>
      </c>
      <c r="K853" s="120">
        <v>5.66045050868372</v>
      </c>
    </row>
    <row r="854" spans="1:11">
      <c r="A854" s="98" t="s">
        <v>43</v>
      </c>
      <c r="B854" s="98">
        <v>325.2</v>
      </c>
      <c r="C854" s="102">
        <v>0.5</v>
      </c>
      <c r="D854" s="123">
        <v>6.7299999999999999E-2</v>
      </c>
      <c r="E854" s="123">
        <v>4.15E-3</v>
      </c>
      <c r="F854" s="98">
        <v>1124</v>
      </c>
      <c r="G854" s="119"/>
      <c r="H854" s="98">
        <v>25.6</v>
      </c>
      <c r="I854" s="98" t="s">
        <v>12</v>
      </c>
      <c r="J854" s="98">
        <v>1.2</v>
      </c>
      <c r="K854" s="120">
        <v>4.9430193536606</v>
      </c>
    </row>
    <row r="855" spans="1:11">
      <c r="A855" s="98" t="s">
        <v>43</v>
      </c>
      <c r="B855" s="98">
        <v>375</v>
      </c>
      <c r="C855" s="102">
        <v>0.5</v>
      </c>
      <c r="D855" s="123">
        <v>6.7299999999999999E-2</v>
      </c>
      <c r="E855" s="123">
        <v>4.15E-3</v>
      </c>
      <c r="F855" s="98">
        <v>1124</v>
      </c>
      <c r="G855" s="119"/>
      <c r="H855" s="98">
        <v>25.6</v>
      </c>
      <c r="I855" s="98" t="s">
        <v>12</v>
      </c>
      <c r="J855" s="98">
        <v>1.2</v>
      </c>
      <c r="K855" s="120">
        <v>4.8992735515250398</v>
      </c>
    </row>
    <row r="856" spans="1:11">
      <c r="A856" s="98" t="s">
        <v>43</v>
      </c>
      <c r="B856" s="98">
        <v>424.8</v>
      </c>
      <c r="C856" s="102">
        <v>0.5</v>
      </c>
      <c r="D856" s="123">
        <v>6.7299999999999999E-2</v>
      </c>
      <c r="E856" s="123">
        <v>4.15E-3</v>
      </c>
      <c r="F856" s="98">
        <v>1124</v>
      </c>
      <c r="G856" s="119"/>
      <c r="H856" s="98">
        <v>25.6</v>
      </c>
      <c r="I856" s="98" t="s">
        <v>12</v>
      </c>
      <c r="J856" s="98">
        <v>1.2</v>
      </c>
      <c r="K856" s="120">
        <v>4.9925981074163497</v>
      </c>
    </row>
    <row r="857" spans="1:11">
      <c r="A857" s="98" t="s">
        <v>43</v>
      </c>
      <c r="B857" s="98">
        <v>499.8</v>
      </c>
      <c r="C857" s="102">
        <v>0.5</v>
      </c>
      <c r="D857" s="123">
        <v>6.7299999999999999E-2</v>
      </c>
      <c r="E857" s="123">
        <v>4.15E-3</v>
      </c>
      <c r="F857" s="98">
        <v>1124</v>
      </c>
      <c r="G857" s="119"/>
      <c r="H857" s="98">
        <v>25.6</v>
      </c>
      <c r="I857" s="98" t="s">
        <v>12</v>
      </c>
      <c r="J857" s="98">
        <v>1.2</v>
      </c>
      <c r="K857" s="120">
        <v>5.0830059204943803</v>
      </c>
    </row>
    <row r="858" spans="1:11">
      <c r="A858" s="98" t="s">
        <v>43</v>
      </c>
      <c r="B858" s="98">
        <v>49.98</v>
      </c>
      <c r="C858" s="102">
        <v>0.5</v>
      </c>
      <c r="D858" s="120">
        <v>6.59E-2</v>
      </c>
      <c r="E858" s="124">
        <v>1.0699999999999999E-2</v>
      </c>
      <c r="F858" s="98">
        <v>1159</v>
      </c>
      <c r="G858" s="119"/>
      <c r="H858" s="122">
        <v>24.8</v>
      </c>
      <c r="I858" s="98" t="s">
        <v>12</v>
      </c>
      <c r="J858" s="98">
        <v>1.2</v>
      </c>
      <c r="K858" s="98">
        <v>4.8934408669080298</v>
      </c>
    </row>
    <row r="859" spans="1:11">
      <c r="A859" s="98" t="s">
        <v>43</v>
      </c>
      <c r="B859" s="98">
        <v>75</v>
      </c>
      <c r="C859" s="102">
        <v>0.5</v>
      </c>
      <c r="D859" s="98">
        <v>6.59E-2</v>
      </c>
      <c r="E859" s="125">
        <v>1.0699999999999999E-2</v>
      </c>
      <c r="F859" s="98">
        <v>1159</v>
      </c>
      <c r="G859" s="119"/>
      <c r="H859" s="123">
        <v>24.8</v>
      </c>
      <c r="I859" s="98" t="s">
        <v>12</v>
      </c>
      <c r="J859" s="98">
        <v>1.2</v>
      </c>
      <c r="K859" s="98">
        <v>4.8934408669080298</v>
      </c>
    </row>
    <row r="860" spans="1:11">
      <c r="A860" s="98" t="s">
        <v>43</v>
      </c>
      <c r="B860" s="98">
        <v>100.2</v>
      </c>
      <c r="C860" s="102">
        <v>0.5</v>
      </c>
      <c r="D860" s="98">
        <v>6.59E-2</v>
      </c>
      <c r="E860" s="125">
        <v>1.0699999999999999E-2</v>
      </c>
      <c r="F860" s="98">
        <v>1159</v>
      </c>
      <c r="G860" s="119"/>
      <c r="H860" s="123">
        <v>24.8</v>
      </c>
      <c r="I860" s="98" t="s">
        <v>12</v>
      </c>
      <c r="J860" s="98">
        <v>1.2</v>
      </c>
      <c r="K860" s="98">
        <v>4.9313539844265701</v>
      </c>
    </row>
    <row r="861" spans="1:11">
      <c r="A861" s="98" t="s">
        <v>43</v>
      </c>
      <c r="B861" s="98">
        <v>124.8</v>
      </c>
      <c r="C861" s="102">
        <v>0.5</v>
      </c>
      <c r="D861" s="98">
        <v>6.59E-2</v>
      </c>
      <c r="E861" s="125">
        <v>1.0699999999999999E-2</v>
      </c>
      <c r="F861" s="98">
        <v>1159</v>
      </c>
      <c r="G861" s="119"/>
      <c r="H861" s="123">
        <v>24.8</v>
      </c>
      <c r="I861" s="98" t="s">
        <v>12</v>
      </c>
      <c r="J861" s="98">
        <v>1.2</v>
      </c>
      <c r="K861" s="98">
        <v>4.8030327868268099</v>
      </c>
    </row>
    <row r="862" spans="1:11">
      <c r="A862" s="98" t="s">
        <v>43</v>
      </c>
      <c r="B862" s="98">
        <v>175.2</v>
      </c>
      <c r="C862" s="102">
        <v>0.5</v>
      </c>
      <c r="D862" s="98">
        <v>6.59E-2</v>
      </c>
      <c r="E862" s="125">
        <v>1.0699999999999999E-2</v>
      </c>
      <c r="F862" s="98">
        <v>1159</v>
      </c>
      <c r="G862" s="119"/>
      <c r="H862" s="123">
        <v>24.8</v>
      </c>
      <c r="I862" s="98" t="s">
        <v>12</v>
      </c>
      <c r="J862" s="98">
        <v>1.2</v>
      </c>
      <c r="K862" s="98">
        <v>5.87917951936151</v>
      </c>
    </row>
    <row r="863" spans="1:11">
      <c r="A863" s="98" t="s">
        <v>43</v>
      </c>
      <c r="B863" s="98">
        <v>250.2</v>
      </c>
      <c r="C863" s="102">
        <v>0.5</v>
      </c>
      <c r="D863" s="98">
        <v>6.59E-2</v>
      </c>
      <c r="E863" s="125">
        <v>1.0699999999999999E-2</v>
      </c>
      <c r="F863" s="98">
        <v>1159</v>
      </c>
      <c r="G863" s="119"/>
      <c r="H863" s="123">
        <v>24.8</v>
      </c>
      <c r="I863" s="98" t="s">
        <v>12</v>
      </c>
      <c r="J863" s="98">
        <v>1.2</v>
      </c>
      <c r="K863" s="98">
        <v>5.5408787385142597</v>
      </c>
    </row>
    <row r="864" spans="1:11">
      <c r="A864" s="98" t="s">
        <v>43</v>
      </c>
      <c r="B864" s="98">
        <v>325.2</v>
      </c>
      <c r="C864" s="102">
        <v>0.5</v>
      </c>
      <c r="D864" s="98">
        <v>6.59E-2</v>
      </c>
      <c r="E864" s="125">
        <v>1.0699999999999999E-2</v>
      </c>
      <c r="F864" s="98">
        <v>1159</v>
      </c>
      <c r="G864" s="119"/>
      <c r="H864" s="123">
        <v>24.8</v>
      </c>
      <c r="I864" s="98" t="s">
        <v>12</v>
      </c>
      <c r="J864" s="98">
        <v>1.2</v>
      </c>
      <c r="K864" s="98">
        <v>4.9342701932334796</v>
      </c>
    </row>
    <row r="865" spans="1:11">
      <c r="A865" s="98" t="s">
        <v>43</v>
      </c>
      <c r="B865" s="98">
        <v>375</v>
      </c>
      <c r="C865" s="102">
        <v>0.5</v>
      </c>
      <c r="D865" s="98">
        <v>6.59E-2</v>
      </c>
      <c r="E865" s="125">
        <v>1.0699999999999999E-2</v>
      </c>
      <c r="F865" s="98">
        <v>1159</v>
      </c>
      <c r="G865" s="119"/>
      <c r="H865" s="123">
        <v>24.8</v>
      </c>
      <c r="I865" s="98" t="s">
        <v>12</v>
      </c>
      <c r="J865" s="98">
        <v>1.2</v>
      </c>
      <c r="K865" s="98">
        <v>4.9721833107520297</v>
      </c>
    </row>
    <row r="866" spans="1:11">
      <c r="A866" s="98" t="s">
        <v>43</v>
      </c>
      <c r="B866" s="98">
        <v>424.8</v>
      </c>
      <c r="C866" s="102">
        <v>0.5</v>
      </c>
      <c r="D866" s="98">
        <v>6.59E-2</v>
      </c>
      <c r="E866" s="125">
        <v>1.0699999999999999E-2</v>
      </c>
      <c r="F866" s="98">
        <v>1159</v>
      </c>
      <c r="G866" s="119"/>
      <c r="H866" s="123">
        <v>24.8</v>
      </c>
      <c r="I866" s="98" t="s">
        <v>12</v>
      </c>
      <c r="J866" s="98">
        <v>1.2</v>
      </c>
      <c r="K866" s="98">
        <v>5.0275947491248001</v>
      </c>
    </row>
    <row r="867" spans="1:11">
      <c r="A867" s="98" t="s">
        <v>43</v>
      </c>
      <c r="B867" s="98">
        <v>499.8</v>
      </c>
      <c r="C867" s="102">
        <v>0.5</v>
      </c>
      <c r="D867" s="98">
        <v>6.59E-2</v>
      </c>
      <c r="E867" s="125">
        <v>1.0699999999999999E-2</v>
      </c>
      <c r="F867" s="98">
        <v>1159</v>
      </c>
      <c r="G867" s="119"/>
      <c r="H867" s="121"/>
      <c r="I867" s="98" t="s">
        <v>12</v>
      </c>
      <c r="J867" s="119"/>
      <c r="K867" s="98">
        <v>7.6419894127774004</v>
      </c>
    </row>
    <row r="868" spans="1:11">
      <c r="A868" s="107"/>
      <c r="B868" s="103"/>
      <c r="C868" s="109"/>
      <c r="D868" s="103"/>
      <c r="E868" s="103"/>
      <c r="F868" s="103"/>
      <c r="G868" s="103"/>
      <c r="H868" s="107"/>
      <c r="I868" s="107"/>
      <c r="J868" s="107"/>
      <c r="K868" s="109"/>
    </row>
    <row r="869" spans="1:11">
      <c r="A869" s="107"/>
      <c r="B869" s="103"/>
      <c r="C869" s="109"/>
      <c r="D869" s="103"/>
      <c r="E869" s="103"/>
      <c r="F869" s="103"/>
      <c r="G869" s="103"/>
      <c r="H869" s="107"/>
      <c r="I869" s="107"/>
      <c r="J869" s="107"/>
      <c r="K869" s="109"/>
    </row>
    <row r="870" spans="1:11">
      <c r="A870" s="107"/>
      <c r="B870" s="103"/>
      <c r="C870" s="109"/>
      <c r="D870" s="103"/>
      <c r="E870" s="103"/>
      <c r="F870" s="103"/>
      <c r="G870" s="103"/>
      <c r="H870" s="107"/>
      <c r="I870" s="107"/>
      <c r="J870" s="107"/>
      <c r="K870" s="109"/>
    </row>
    <row r="871" spans="1:11">
      <c r="A871" s="107"/>
      <c r="B871" s="103"/>
      <c r="C871" s="109"/>
      <c r="D871" s="103"/>
      <c r="E871" s="103"/>
      <c r="F871" s="103"/>
      <c r="G871" s="103"/>
      <c r="H871" s="107"/>
      <c r="I871" s="107"/>
      <c r="J871" s="107"/>
      <c r="K871" s="109"/>
    </row>
    <row r="872" spans="1:11">
      <c r="A872" s="107"/>
      <c r="B872" s="103"/>
      <c r="C872" s="109"/>
      <c r="D872" s="103"/>
      <c r="E872" s="103"/>
      <c r="F872" s="103"/>
      <c r="G872" s="103"/>
      <c r="H872" s="107"/>
      <c r="I872" s="107"/>
      <c r="J872" s="107"/>
      <c r="K872" s="109"/>
    </row>
    <row r="873" spans="1:11">
      <c r="A873" s="107"/>
      <c r="B873" s="103"/>
      <c r="C873" s="109"/>
      <c r="D873" s="103"/>
      <c r="E873" s="103"/>
      <c r="F873" s="103"/>
      <c r="G873" s="103"/>
      <c r="H873" s="107"/>
      <c r="I873" s="107"/>
      <c r="J873" s="107"/>
      <c r="K873" s="109"/>
    </row>
    <row r="874" spans="1:11">
      <c r="A874" s="107"/>
      <c r="B874" s="103"/>
      <c r="C874" s="109"/>
      <c r="D874" s="103"/>
      <c r="E874" s="103"/>
      <c r="F874" s="103"/>
      <c r="G874" s="103"/>
      <c r="H874" s="107"/>
      <c r="I874" s="107"/>
      <c r="J874" s="107"/>
      <c r="K874" s="109"/>
    </row>
    <row r="875" spans="1:11">
      <c r="A875" s="107"/>
      <c r="B875" s="103"/>
      <c r="C875" s="109"/>
      <c r="D875" s="103"/>
      <c r="E875" s="103"/>
      <c r="F875" s="103"/>
      <c r="G875" s="103"/>
      <c r="H875" s="107"/>
      <c r="I875" s="107"/>
      <c r="J875" s="107"/>
      <c r="K875" s="109"/>
    </row>
    <row r="876" spans="1:11">
      <c r="A876" s="107"/>
      <c r="B876" s="103"/>
      <c r="C876" s="109"/>
      <c r="D876" s="103"/>
      <c r="E876" s="103"/>
      <c r="F876" s="103"/>
      <c r="G876" s="103"/>
      <c r="H876" s="107"/>
      <c r="I876" s="107"/>
      <c r="J876" s="107"/>
      <c r="K876" s="109"/>
    </row>
    <row r="877" spans="1:11">
      <c r="A877" s="107"/>
      <c r="B877" s="103"/>
      <c r="C877" s="109"/>
      <c r="D877" s="103"/>
      <c r="E877" s="103"/>
      <c r="F877" s="103"/>
      <c r="G877" s="103"/>
      <c r="H877" s="107"/>
      <c r="I877" s="107"/>
      <c r="J877" s="107"/>
      <c r="K877" s="109"/>
    </row>
    <row r="878" spans="1:11">
      <c r="A878" s="107"/>
      <c r="B878" s="103"/>
      <c r="C878" s="109"/>
      <c r="D878" s="103"/>
      <c r="E878" s="103"/>
      <c r="F878" s="103"/>
      <c r="G878" s="103"/>
      <c r="H878" s="107"/>
      <c r="I878" s="107"/>
      <c r="J878" s="107"/>
      <c r="K878" s="109"/>
    </row>
    <row r="879" spans="1:11">
      <c r="A879" s="107"/>
      <c r="B879" s="103"/>
      <c r="C879" s="109"/>
      <c r="D879" s="103"/>
      <c r="E879" s="103"/>
      <c r="F879" s="103"/>
      <c r="G879" s="103"/>
      <c r="H879" s="107"/>
      <c r="I879" s="107"/>
      <c r="J879" s="107"/>
      <c r="K879" s="109"/>
    </row>
    <row r="880" spans="1:11">
      <c r="A880" s="107"/>
      <c r="B880" s="103"/>
      <c r="C880" s="109"/>
      <c r="D880" s="103"/>
      <c r="E880" s="103"/>
      <c r="F880" s="103"/>
      <c r="G880" s="103"/>
      <c r="H880" s="107"/>
      <c r="I880" s="107"/>
      <c r="J880" s="107"/>
      <c r="K880" s="109"/>
    </row>
    <row r="881" spans="1:11">
      <c r="A881" s="107"/>
      <c r="B881" s="103"/>
      <c r="C881" s="109"/>
      <c r="D881" s="103"/>
      <c r="E881" s="103"/>
      <c r="F881" s="103"/>
      <c r="G881" s="103"/>
      <c r="H881" s="107"/>
      <c r="I881" s="107"/>
      <c r="J881" s="107"/>
      <c r="K881" s="109"/>
    </row>
    <row r="882" spans="1:11">
      <c r="A882" s="107"/>
      <c r="B882" s="103"/>
      <c r="C882" s="109"/>
      <c r="D882" s="103"/>
      <c r="E882" s="103"/>
      <c r="F882" s="103"/>
      <c r="G882" s="103"/>
      <c r="H882" s="107"/>
      <c r="I882" s="107"/>
      <c r="J882" s="107"/>
      <c r="K882" s="109"/>
    </row>
    <row r="883" spans="1:11">
      <c r="A883" s="107"/>
      <c r="B883" s="103"/>
      <c r="C883" s="109"/>
      <c r="D883" s="103"/>
      <c r="E883" s="103"/>
      <c r="F883" s="103"/>
      <c r="G883" s="103"/>
      <c r="H883" s="107"/>
      <c r="I883" s="107"/>
      <c r="J883" s="107"/>
      <c r="K883" s="109"/>
    </row>
    <row r="884" spans="1:11">
      <c r="A884" s="107"/>
      <c r="B884" s="103"/>
      <c r="C884" s="109"/>
      <c r="D884" s="103"/>
      <c r="E884" s="103"/>
      <c r="F884" s="103"/>
      <c r="G884" s="103"/>
      <c r="H884" s="107"/>
      <c r="I884" s="107"/>
      <c r="J884" s="107"/>
      <c r="K884" s="109"/>
    </row>
    <row r="885" spans="1:11">
      <c r="A885" s="107"/>
      <c r="B885" s="103"/>
      <c r="C885" s="109"/>
      <c r="D885" s="103"/>
      <c r="E885" s="103"/>
      <c r="F885" s="103"/>
      <c r="G885" s="103"/>
      <c r="H885" s="107"/>
      <c r="I885" s="107"/>
      <c r="J885" s="107"/>
      <c r="K885" s="109"/>
    </row>
    <row r="886" spans="1:11">
      <c r="A886" s="107"/>
      <c r="B886" s="103"/>
      <c r="C886" s="109"/>
      <c r="D886" s="103"/>
      <c r="E886" s="103"/>
      <c r="F886" s="103"/>
      <c r="G886" s="103"/>
      <c r="H886" s="107"/>
      <c r="I886" s="107"/>
      <c r="J886" s="107"/>
      <c r="K886" s="109"/>
    </row>
    <row r="887" spans="1:11">
      <c r="A887" s="107"/>
      <c r="B887" s="103"/>
      <c r="C887" s="109"/>
      <c r="D887" s="103"/>
      <c r="E887" s="103"/>
      <c r="F887" s="103"/>
      <c r="G887" s="103"/>
      <c r="H887" s="107"/>
      <c r="I887" s="107"/>
      <c r="J887" s="107"/>
      <c r="K887" s="109"/>
    </row>
    <row r="888" spans="1:11">
      <c r="A888" s="107"/>
      <c r="B888" s="103"/>
      <c r="C888" s="109"/>
      <c r="D888" s="103"/>
      <c r="E888" s="103"/>
      <c r="F888" s="103"/>
      <c r="G888" s="103"/>
      <c r="H888" s="107"/>
      <c r="I888" s="107"/>
      <c r="J888" s="107"/>
      <c r="K888" s="109"/>
    </row>
    <row r="889" spans="1:11">
      <c r="A889" s="107"/>
      <c r="B889" s="103"/>
      <c r="C889" s="109"/>
      <c r="D889" s="103"/>
      <c r="E889" s="103"/>
      <c r="F889" s="103"/>
      <c r="G889" s="103"/>
      <c r="H889" s="107"/>
      <c r="I889" s="107"/>
      <c r="J889" s="107"/>
      <c r="K889" s="109"/>
    </row>
    <row r="890" spans="1:11">
      <c r="A890" s="107"/>
      <c r="B890" s="103"/>
      <c r="C890" s="109"/>
      <c r="D890" s="103"/>
      <c r="E890" s="103"/>
      <c r="F890" s="103"/>
      <c r="G890" s="103"/>
      <c r="H890" s="107"/>
      <c r="I890" s="107"/>
      <c r="J890" s="107"/>
      <c r="K890" s="109"/>
    </row>
    <row r="891" spans="1:11">
      <c r="A891" s="107"/>
      <c r="B891" s="103"/>
      <c r="C891" s="109"/>
      <c r="D891" s="103"/>
      <c r="E891" s="103"/>
      <c r="F891" s="103"/>
      <c r="G891" s="103"/>
      <c r="H891" s="107"/>
      <c r="I891" s="107"/>
      <c r="J891" s="107"/>
      <c r="K891" s="109"/>
    </row>
    <row r="892" spans="1:11">
      <c r="A892" s="107"/>
      <c r="B892" s="103"/>
      <c r="C892" s="109"/>
      <c r="D892" s="103"/>
      <c r="E892" s="103"/>
      <c r="F892" s="103"/>
      <c r="G892" s="103"/>
      <c r="H892" s="107"/>
      <c r="I892" s="107"/>
      <c r="J892" s="107"/>
      <c r="K892" s="109"/>
    </row>
    <row r="893" spans="1:11">
      <c r="A893" s="107"/>
      <c r="B893" s="103"/>
      <c r="C893" s="109"/>
      <c r="D893" s="103"/>
      <c r="E893" s="103"/>
      <c r="F893" s="103"/>
      <c r="G893" s="103"/>
      <c r="H893" s="107"/>
      <c r="I893" s="107"/>
      <c r="J893" s="107"/>
      <c r="K893" s="109"/>
    </row>
    <row r="894" spans="1:11">
      <c r="A894" s="107"/>
      <c r="B894" s="103"/>
      <c r="C894" s="109"/>
      <c r="D894" s="103"/>
      <c r="E894" s="103"/>
      <c r="F894" s="103"/>
      <c r="G894" s="103"/>
      <c r="H894" s="107"/>
      <c r="I894" s="107"/>
      <c r="J894" s="107"/>
      <c r="K894" s="109"/>
    </row>
    <row r="895" spans="1:11">
      <c r="A895" s="107"/>
      <c r="B895" s="103"/>
      <c r="C895" s="109"/>
      <c r="D895" s="103"/>
      <c r="E895" s="103"/>
      <c r="F895" s="103"/>
      <c r="G895" s="103"/>
      <c r="H895" s="107"/>
      <c r="I895" s="107"/>
      <c r="J895" s="107"/>
      <c r="K895" s="109"/>
    </row>
    <row r="896" spans="1:11">
      <c r="A896" s="107"/>
      <c r="B896" s="103"/>
      <c r="C896" s="109"/>
      <c r="D896" s="103"/>
      <c r="E896" s="103"/>
      <c r="F896" s="103"/>
      <c r="G896" s="103"/>
      <c r="H896" s="107"/>
      <c r="I896" s="107"/>
      <c r="J896" s="107"/>
      <c r="K896" s="109"/>
    </row>
    <row r="897" spans="1:11">
      <c r="A897" s="107"/>
      <c r="B897" s="103"/>
      <c r="C897" s="109"/>
      <c r="D897" s="103"/>
      <c r="E897" s="103"/>
      <c r="F897" s="103"/>
      <c r="G897" s="103"/>
      <c r="H897" s="107"/>
      <c r="I897" s="107"/>
      <c r="J897" s="107"/>
      <c r="K897" s="109"/>
    </row>
    <row r="898" spans="1:11">
      <c r="A898" s="107"/>
      <c r="B898" s="103"/>
      <c r="C898" s="109"/>
      <c r="D898" s="103"/>
      <c r="E898" s="103"/>
      <c r="F898" s="103"/>
      <c r="G898" s="103"/>
      <c r="H898" s="107"/>
      <c r="I898" s="107"/>
      <c r="J898" s="107"/>
      <c r="K898" s="109"/>
    </row>
    <row r="899" spans="1:11">
      <c r="A899" s="107"/>
      <c r="B899" s="103"/>
      <c r="C899" s="109"/>
      <c r="D899" s="103"/>
      <c r="E899" s="103"/>
      <c r="F899" s="103"/>
      <c r="G899" s="103"/>
      <c r="H899" s="107"/>
      <c r="I899" s="107"/>
      <c r="J899" s="107"/>
      <c r="K899" s="109"/>
    </row>
    <row r="900" spans="1:11">
      <c r="A900" s="107"/>
      <c r="B900" s="103"/>
      <c r="C900" s="109"/>
      <c r="D900" s="103"/>
      <c r="E900" s="103"/>
      <c r="F900" s="103"/>
      <c r="G900" s="103"/>
      <c r="H900" s="107"/>
      <c r="I900" s="107"/>
      <c r="J900" s="107"/>
      <c r="K900" s="109"/>
    </row>
    <row r="901" spans="1:11">
      <c r="A901" s="107"/>
      <c r="B901" s="103"/>
      <c r="C901" s="109"/>
      <c r="D901" s="103"/>
      <c r="E901" s="103"/>
      <c r="F901" s="103"/>
      <c r="G901" s="103"/>
      <c r="H901" s="107"/>
      <c r="I901" s="107"/>
      <c r="J901" s="107"/>
      <c r="K901" s="109"/>
    </row>
    <row r="902" spans="1:11">
      <c r="A902" s="107"/>
      <c r="B902" s="103"/>
      <c r="C902" s="109"/>
      <c r="D902" s="103"/>
      <c r="E902" s="103"/>
      <c r="F902" s="103"/>
      <c r="G902" s="103"/>
      <c r="H902" s="107"/>
      <c r="I902" s="107"/>
      <c r="J902" s="107"/>
      <c r="K902" s="109"/>
    </row>
    <row r="903" spans="1:11">
      <c r="A903" s="107"/>
      <c r="B903" s="103"/>
      <c r="C903" s="109"/>
      <c r="D903" s="103"/>
      <c r="E903" s="103"/>
      <c r="F903" s="103"/>
      <c r="G903" s="103"/>
      <c r="H903" s="107"/>
      <c r="I903" s="107"/>
      <c r="J903" s="107"/>
      <c r="K903" s="109"/>
    </row>
    <row r="904" spans="1:11">
      <c r="A904" s="107"/>
      <c r="B904" s="103"/>
      <c r="C904" s="109"/>
      <c r="D904" s="103"/>
      <c r="E904" s="103"/>
      <c r="F904" s="103"/>
      <c r="G904" s="103"/>
      <c r="H904" s="107"/>
      <c r="I904" s="107"/>
      <c r="J904" s="107"/>
      <c r="K904" s="109"/>
    </row>
    <row r="905" spans="1:11">
      <c r="A905" s="107"/>
      <c r="B905" s="103"/>
      <c r="C905" s="109"/>
      <c r="D905" s="103"/>
      <c r="E905" s="103"/>
      <c r="F905" s="103"/>
      <c r="G905" s="103"/>
      <c r="H905" s="107"/>
      <c r="I905" s="107"/>
      <c r="J905" s="107"/>
      <c r="K905" s="109"/>
    </row>
    <row r="906" spans="1:11">
      <c r="A906" s="107"/>
      <c r="B906" s="103"/>
      <c r="C906" s="109"/>
      <c r="D906" s="103"/>
      <c r="E906" s="103"/>
      <c r="F906" s="103"/>
      <c r="G906" s="103"/>
      <c r="H906" s="107"/>
      <c r="I906" s="107"/>
      <c r="J906" s="107"/>
      <c r="K906" s="109"/>
    </row>
    <row r="907" spans="1:11">
      <c r="A907" s="107"/>
      <c r="B907" s="103"/>
      <c r="C907" s="109"/>
      <c r="D907" s="103"/>
      <c r="E907" s="103"/>
      <c r="F907" s="103"/>
      <c r="G907" s="103"/>
      <c r="H907" s="107"/>
      <c r="I907" s="107"/>
      <c r="J907" s="107"/>
      <c r="K907" s="109"/>
    </row>
    <row r="908" spans="1:11">
      <c r="A908" s="107"/>
      <c r="B908" s="103"/>
      <c r="C908" s="109"/>
      <c r="D908" s="103"/>
      <c r="E908" s="103"/>
      <c r="F908" s="103"/>
      <c r="G908" s="103"/>
      <c r="H908" s="107"/>
      <c r="I908" s="107"/>
      <c r="J908" s="107"/>
      <c r="K908" s="109"/>
    </row>
    <row r="909" spans="1:11">
      <c r="A909" s="107"/>
      <c r="B909" s="103"/>
      <c r="C909" s="109"/>
      <c r="D909" s="103"/>
      <c r="E909" s="103"/>
      <c r="F909" s="103"/>
      <c r="G909" s="103"/>
      <c r="H909" s="107"/>
      <c r="I909" s="107"/>
      <c r="J909" s="107"/>
      <c r="K909" s="109"/>
    </row>
    <row r="910" spans="1:11">
      <c r="A910" s="107"/>
      <c r="B910" s="103"/>
      <c r="C910" s="109"/>
      <c r="D910" s="103"/>
      <c r="E910" s="103"/>
      <c r="F910" s="103"/>
      <c r="G910" s="103"/>
      <c r="H910" s="107"/>
      <c r="I910" s="107"/>
      <c r="J910" s="107"/>
      <c r="K910" s="109"/>
    </row>
    <row r="911" spans="1:11">
      <c r="A911" s="107"/>
      <c r="B911" s="103"/>
      <c r="C911" s="109"/>
      <c r="D911" s="103"/>
      <c r="E911" s="103"/>
      <c r="F911" s="103"/>
      <c r="G911" s="103"/>
      <c r="H911" s="107"/>
      <c r="I911" s="107"/>
      <c r="J911" s="107"/>
      <c r="K911" s="109"/>
    </row>
    <row r="912" spans="1:11">
      <c r="A912" s="107"/>
      <c r="B912" s="103"/>
      <c r="C912" s="109"/>
      <c r="D912" s="103"/>
      <c r="E912" s="103"/>
      <c r="F912" s="103"/>
      <c r="G912" s="103"/>
      <c r="H912" s="107"/>
      <c r="I912" s="107"/>
      <c r="J912" s="107"/>
      <c r="K912" s="109"/>
    </row>
    <row r="913" spans="1:11">
      <c r="A913" s="107"/>
      <c r="B913" s="103"/>
      <c r="C913" s="109"/>
      <c r="D913" s="103"/>
      <c r="E913" s="103"/>
      <c r="F913" s="103"/>
      <c r="G913" s="103"/>
      <c r="H913" s="107"/>
      <c r="I913" s="107"/>
      <c r="J913" s="107"/>
      <c r="K913" s="109"/>
    </row>
    <row r="914" spans="1:11">
      <c r="A914" s="107"/>
      <c r="B914" s="103"/>
      <c r="C914" s="109"/>
      <c r="D914" s="103"/>
      <c r="E914" s="103"/>
      <c r="F914" s="103"/>
      <c r="G914" s="103"/>
      <c r="H914" s="107"/>
      <c r="I914" s="107"/>
      <c r="J914" s="107"/>
      <c r="K914" s="109"/>
    </row>
    <row r="915" spans="1:11">
      <c r="A915" s="107"/>
      <c r="B915" s="103"/>
      <c r="C915" s="109"/>
      <c r="D915" s="103"/>
      <c r="E915" s="103"/>
      <c r="F915" s="103"/>
      <c r="G915" s="103"/>
      <c r="H915" s="107"/>
      <c r="I915" s="107"/>
      <c r="J915" s="107"/>
      <c r="K915" s="109"/>
    </row>
    <row r="916" spans="1:11">
      <c r="A916" s="107"/>
      <c r="B916" s="103"/>
      <c r="C916" s="109"/>
      <c r="D916" s="103"/>
      <c r="E916" s="103"/>
      <c r="F916" s="103"/>
      <c r="G916" s="103"/>
      <c r="H916" s="107"/>
      <c r="I916" s="107"/>
      <c r="J916" s="107"/>
      <c r="K916" s="109"/>
    </row>
    <row r="917" spans="1:11">
      <c r="A917" s="107"/>
      <c r="B917" s="103"/>
      <c r="C917" s="109"/>
      <c r="D917" s="103"/>
      <c r="E917" s="103"/>
      <c r="F917" s="103"/>
      <c r="G917" s="103"/>
      <c r="H917" s="107"/>
      <c r="I917" s="107"/>
      <c r="J917" s="107"/>
      <c r="K917" s="109"/>
    </row>
    <row r="918" spans="1:11">
      <c r="A918" s="107"/>
      <c r="B918" s="103"/>
      <c r="C918" s="109"/>
      <c r="D918" s="103"/>
      <c r="E918" s="103"/>
      <c r="F918" s="103"/>
      <c r="G918" s="103"/>
      <c r="H918" s="107"/>
      <c r="I918" s="107"/>
      <c r="J918" s="107"/>
      <c r="K918" s="109"/>
    </row>
    <row r="919" spans="1:11">
      <c r="A919" s="107"/>
      <c r="B919" s="103"/>
      <c r="C919" s="109"/>
      <c r="D919" s="103"/>
      <c r="E919" s="103"/>
      <c r="F919" s="103"/>
      <c r="G919" s="103"/>
      <c r="H919" s="107"/>
      <c r="I919" s="107"/>
      <c r="J919" s="107"/>
      <c r="K919" s="109"/>
    </row>
    <row r="920" spans="1:11">
      <c r="A920" s="107"/>
      <c r="B920" s="103"/>
      <c r="C920" s="109"/>
      <c r="D920" s="103"/>
      <c r="E920" s="103"/>
      <c r="F920" s="103"/>
      <c r="G920" s="103"/>
      <c r="H920" s="107"/>
      <c r="I920" s="107"/>
      <c r="J920" s="107"/>
      <c r="K920" s="109"/>
    </row>
    <row r="921" spans="1:11">
      <c r="A921" s="107"/>
      <c r="B921" s="103"/>
      <c r="C921" s="109"/>
      <c r="D921" s="103"/>
      <c r="E921" s="103"/>
      <c r="F921" s="103"/>
      <c r="G921" s="103"/>
      <c r="H921" s="107"/>
      <c r="I921" s="107"/>
      <c r="J921" s="107"/>
      <c r="K921" s="109"/>
    </row>
    <row r="922" spans="1:11">
      <c r="A922" s="107"/>
      <c r="B922" s="103"/>
      <c r="C922" s="109"/>
      <c r="D922" s="103"/>
      <c r="E922" s="103"/>
      <c r="F922" s="103"/>
      <c r="G922" s="103"/>
      <c r="H922" s="107"/>
      <c r="I922" s="107"/>
      <c r="J922" s="107"/>
      <c r="K922" s="109"/>
    </row>
    <row r="923" spans="1:11">
      <c r="A923" s="107"/>
      <c r="B923" s="103"/>
      <c r="C923" s="109"/>
      <c r="D923" s="103"/>
      <c r="E923" s="103"/>
      <c r="F923" s="103"/>
      <c r="G923" s="103"/>
      <c r="H923" s="107"/>
      <c r="I923" s="107"/>
      <c r="J923" s="107"/>
      <c r="K923" s="109"/>
    </row>
    <row r="924" spans="1:11">
      <c r="A924" s="107"/>
      <c r="B924" s="103"/>
      <c r="C924" s="109"/>
      <c r="D924" s="103"/>
      <c r="E924" s="103"/>
      <c r="F924" s="103"/>
      <c r="G924" s="103"/>
      <c r="H924" s="107"/>
      <c r="I924" s="107"/>
      <c r="J924" s="107"/>
      <c r="K924" s="109"/>
    </row>
    <row r="925" spans="1:11">
      <c r="A925" s="107"/>
      <c r="B925" s="103"/>
      <c r="C925" s="109"/>
      <c r="D925" s="103"/>
      <c r="E925" s="103"/>
      <c r="F925" s="103"/>
      <c r="G925" s="103"/>
      <c r="H925" s="107"/>
      <c r="I925" s="107"/>
      <c r="J925" s="107"/>
      <c r="K925" s="109"/>
    </row>
    <row r="926" spans="1:11">
      <c r="A926" s="107"/>
      <c r="B926" s="103"/>
      <c r="C926" s="109"/>
      <c r="D926" s="103"/>
      <c r="E926" s="103"/>
      <c r="F926" s="103"/>
      <c r="G926" s="103"/>
      <c r="H926" s="107"/>
      <c r="I926" s="107"/>
      <c r="J926" s="107"/>
      <c r="K926" s="109"/>
    </row>
    <row r="927" spans="1:11">
      <c r="A927" s="107"/>
      <c r="B927" s="103"/>
      <c r="C927" s="109"/>
      <c r="D927" s="103"/>
      <c r="E927" s="103"/>
      <c r="F927" s="103"/>
      <c r="G927" s="103"/>
      <c r="H927" s="107"/>
      <c r="I927" s="107"/>
      <c r="J927" s="107"/>
      <c r="K927" s="109"/>
    </row>
    <row r="928" spans="1:11">
      <c r="A928" s="107"/>
      <c r="B928" s="103"/>
      <c r="C928" s="109"/>
      <c r="D928" s="103"/>
      <c r="E928" s="103"/>
      <c r="F928" s="103"/>
      <c r="G928" s="103"/>
      <c r="H928" s="107"/>
      <c r="I928" s="107"/>
      <c r="J928" s="107"/>
      <c r="K928" s="109"/>
    </row>
    <row r="929" spans="1:11">
      <c r="A929" s="107"/>
      <c r="B929" s="103"/>
      <c r="C929" s="109"/>
      <c r="D929" s="103"/>
      <c r="E929" s="103"/>
      <c r="F929" s="103"/>
      <c r="G929" s="103"/>
      <c r="H929" s="107"/>
      <c r="I929" s="107"/>
      <c r="J929" s="107"/>
      <c r="K929" s="109"/>
    </row>
    <row r="930" spans="1:11">
      <c r="A930" s="107"/>
      <c r="B930" s="103"/>
      <c r="C930" s="109"/>
      <c r="D930" s="103"/>
      <c r="E930" s="103"/>
      <c r="F930" s="103"/>
      <c r="G930" s="103"/>
      <c r="H930" s="107"/>
      <c r="I930" s="107"/>
      <c r="J930" s="107"/>
      <c r="K930" s="109"/>
    </row>
    <row r="931" spans="1:11">
      <c r="A931" s="107"/>
      <c r="B931" s="103"/>
      <c r="C931" s="109"/>
      <c r="D931" s="103"/>
      <c r="E931" s="103"/>
      <c r="F931" s="103"/>
      <c r="G931" s="103"/>
      <c r="H931" s="107"/>
      <c r="I931" s="107"/>
      <c r="J931" s="107"/>
      <c r="K931" s="109"/>
    </row>
    <row r="932" spans="1:11">
      <c r="A932" s="107"/>
      <c r="B932" s="103"/>
      <c r="C932" s="109"/>
      <c r="D932" s="103"/>
      <c r="E932" s="103"/>
      <c r="F932" s="103"/>
      <c r="G932" s="103"/>
      <c r="H932" s="107"/>
      <c r="I932" s="107"/>
      <c r="J932" s="107"/>
      <c r="K932" s="109"/>
    </row>
    <row r="933" spans="1:11">
      <c r="A933" s="107"/>
      <c r="B933" s="103"/>
      <c r="C933" s="109"/>
      <c r="D933" s="103"/>
      <c r="E933" s="103"/>
      <c r="F933" s="103"/>
      <c r="G933" s="103"/>
      <c r="H933" s="107"/>
      <c r="I933" s="107"/>
      <c r="J933" s="107"/>
      <c r="K933" s="109"/>
    </row>
    <row r="934" spans="1:11">
      <c r="A934" s="107"/>
      <c r="B934" s="103"/>
      <c r="C934" s="109"/>
      <c r="D934" s="103"/>
      <c r="E934" s="103"/>
      <c r="F934" s="103"/>
      <c r="G934" s="103"/>
      <c r="H934" s="107"/>
      <c r="I934" s="107"/>
      <c r="J934" s="107"/>
      <c r="K934" s="109"/>
    </row>
    <row r="935" spans="1:11">
      <c r="A935" s="107"/>
      <c r="B935" s="103"/>
      <c r="C935" s="109"/>
      <c r="D935" s="103"/>
      <c r="E935" s="103"/>
      <c r="F935" s="103"/>
      <c r="G935" s="103"/>
      <c r="H935" s="107"/>
      <c r="I935" s="107"/>
      <c r="J935" s="107"/>
      <c r="K935" s="109"/>
    </row>
    <row r="936" spans="1:11">
      <c r="A936" s="107"/>
      <c r="B936" s="103"/>
      <c r="C936" s="109"/>
      <c r="D936" s="103"/>
      <c r="E936" s="103"/>
      <c r="F936" s="103"/>
      <c r="G936" s="103"/>
      <c r="H936" s="107"/>
      <c r="I936" s="107"/>
      <c r="J936" s="107"/>
      <c r="K936" s="109"/>
    </row>
    <row r="937" spans="1:11">
      <c r="A937" s="107"/>
      <c r="B937" s="103"/>
      <c r="C937" s="109"/>
      <c r="D937" s="103"/>
      <c r="E937" s="103"/>
      <c r="F937" s="103"/>
      <c r="G937" s="103"/>
      <c r="H937" s="107"/>
      <c r="I937" s="107"/>
      <c r="J937" s="107"/>
      <c r="K937" s="109"/>
    </row>
    <row r="938" spans="1:11">
      <c r="A938" s="107"/>
      <c r="B938" s="103"/>
      <c r="C938" s="109"/>
      <c r="D938" s="103"/>
      <c r="E938" s="103"/>
      <c r="F938" s="103"/>
      <c r="G938" s="103"/>
      <c r="H938" s="107"/>
      <c r="I938" s="107"/>
      <c r="J938" s="107"/>
      <c r="K938" s="109"/>
    </row>
    <row r="939" spans="1:11">
      <c r="A939" s="107"/>
      <c r="B939" s="103"/>
      <c r="C939" s="109"/>
      <c r="D939" s="103"/>
      <c r="E939" s="103"/>
      <c r="F939" s="103"/>
      <c r="G939" s="103"/>
      <c r="H939" s="107"/>
      <c r="I939" s="107"/>
      <c r="J939" s="107"/>
      <c r="K939" s="109"/>
    </row>
    <row r="940" spans="1:11">
      <c r="A940" s="107"/>
      <c r="B940" s="103"/>
      <c r="C940" s="109"/>
      <c r="D940" s="103"/>
      <c r="E940" s="103"/>
      <c r="F940" s="103"/>
      <c r="G940" s="103"/>
      <c r="H940" s="107"/>
      <c r="I940" s="107"/>
      <c r="J940" s="107"/>
      <c r="K940" s="109"/>
    </row>
    <row r="941" spans="1:11">
      <c r="A941" s="107"/>
      <c r="B941" s="103"/>
      <c r="C941" s="109"/>
      <c r="D941" s="103"/>
      <c r="E941" s="103"/>
      <c r="F941" s="103"/>
      <c r="G941" s="103"/>
      <c r="H941" s="107"/>
      <c r="I941" s="107"/>
      <c r="J941" s="107"/>
      <c r="K941" s="109"/>
    </row>
    <row r="942" spans="1:11">
      <c r="A942" s="107"/>
      <c r="B942" s="103"/>
      <c r="C942" s="109"/>
      <c r="D942" s="103"/>
      <c r="E942" s="103"/>
      <c r="F942" s="103"/>
      <c r="G942" s="103"/>
      <c r="H942" s="107"/>
      <c r="I942" s="107"/>
      <c r="J942" s="107"/>
      <c r="K942" s="109"/>
    </row>
    <row r="943" spans="1:11">
      <c r="A943" s="107"/>
      <c r="B943" s="103"/>
      <c r="C943" s="109"/>
      <c r="D943" s="103"/>
      <c r="E943" s="103"/>
      <c r="F943" s="103"/>
      <c r="G943" s="103"/>
      <c r="H943" s="107"/>
      <c r="I943" s="107"/>
      <c r="J943" s="107"/>
      <c r="K943" s="109"/>
    </row>
    <row r="944" spans="1:11">
      <c r="A944" s="107"/>
      <c r="B944" s="103"/>
      <c r="C944" s="109"/>
      <c r="D944" s="103"/>
      <c r="E944" s="103"/>
      <c r="F944" s="103"/>
      <c r="G944" s="103"/>
      <c r="H944" s="107"/>
      <c r="I944" s="107"/>
      <c r="J944" s="107"/>
      <c r="K944" s="109"/>
    </row>
    <row r="945" spans="1:11">
      <c r="A945" s="107"/>
      <c r="B945" s="103"/>
      <c r="C945" s="109"/>
      <c r="D945" s="103"/>
      <c r="E945" s="103"/>
      <c r="F945" s="103"/>
      <c r="G945" s="103"/>
      <c r="H945" s="107"/>
      <c r="I945" s="107"/>
      <c r="J945" s="107"/>
      <c r="K945" s="109"/>
    </row>
    <row r="946" spans="1:11">
      <c r="A946" s="107"/>
      <c r="B946" s="103"/>
      <c r="C946" s="109"/>
      <c r="D946" s="103"/>
      <c r="E946" s="103"/>
      <c r="F946" s="103"/>
      <c r="G946" s="103"/>
      <c r="H946" s="107"/>
      <c r="I946" s="107"/>
      <c r="J946" s="107"/>
      <c r="K946" s="109"/>
    </row>
    <row r="947" spans="1:11">
      <c r="A947" s="107"/>
      <c r="B947" s="103"/>
      <c r="C947" s="109"/>
      <c r="D947" s="103"/>
      <c r="E947" s="103"/>
      <c r="F947" s="103"/>
      <c r="G947" s="103"/>
      <c r="H947" s="107"/>
      <c r="I947" s="107"/>
      <c r="J947" s="107"/>
      <c r="K947" s="109"/>
    </row>
    <row r="948" spans="1:11">
      <c r="A948" s="107"/>
      <c r="B948" s="103"/>
      <c r="C948" s="109"/>
      <c r="D948" s="103"/>
      <c r="E948" s="103"/>
      <c r="F948" s="103"/>
      <c r="G948" s="103"/>
      <c r="H948" s="107"/>
      <c r="I948" s="107"/>
      <c r="J948" s="107"/>
      <c r="K948" s="109"/>
    </row>
    <row r="949" spans="1:11">
      <c r="A949" s="107"/>
      <c r="B949" s="103"/>
      <c r="C949" s="109"/>
      <c r="D949" s="103"/>
      <c r="E949" s="103"/>
      <c r="F949" s="103"/>
      <c r="G949" s="103"/>
      <c r="H949" s="107"/>
      <c r="I949" s="107"/>
      <c r="J949" s="107"/>
      <c r="K949" s="109"/>
    </row>
    <row r="950" spans="1:11">
      <c r="A950" s="107"/>
      <c r="B950" s="103"/>
      <c r="C950" s="109"/>
      <c r="D950" s="103"/>
      <c r="E950" s="103"/>
      <c r="F950" s="103"/>
      <c r="G950" s="103"/>
      <c r="H950" s="107"/>
      <c r="I950" s="107"/>
      <c r="J950" s="107"/>
      <c r="K950" s="109"/>
    </row>
    <row r="951" spans="1:11">
      <c r="A951" s="107"/>
      <c r="B951" s="103"/>
      <c r="C951" s="109"/>
      <c r="D951" s="103"/>
      <c r="E951" s="103"/>
      <c r="F951" s="103"/>
      <c r="G951" s="103"/>
      <c r="H951" s="107"/>
      <c r="I951" s="107"/>
      <c r="J951" s="107"/>
      <c r="K951" s="109"/>
    </row>
    <row r="952" spans="1:11">
      <c r="A952" s="107"/>
      <c r="B952" s="103"/>
      <c r="C952" s="109"/>
      <c r="D952" s="103"/>
      <c r="E952" s="103"/>
      <c r="F952" s="103"/>
      <c r="G952" s="103"/>
      <c r="H952" s="107"/>
      <c r="I952" s="107"/>
      <c r="J952" s="107"/>
      <c r="K952" s="109"/>
    </row>
    <row r="953" spans="1:11">
      <c r="A953" s="107"/>
      <c r="B953" s="103"/>
      <c r="C953" s="109"/>
      <c r="D953" s="103"/>
      <c r="E953" s="103"/>
      <c r="F953" s="103"/>
      <c r="G953" s="103"/>
      <c r="H953" s="107"/>
      <c r="I953" s="107"/>
      <c r="J953" s="107"/>
      <c r="K953" s="109"/>
    </row>
    <row r="954" spans="1:11">
      <c r="A954" s="107"/>
      <c r="B954" s="103"/>
      <c r="C954" s="109"/>
      <c r="D954" s="103"/>
      <c r="E954" s="103"/>
      <c r="F954" s="103"/>
      <c r="G954" s="103"/>
      <c r="H954" s="107"/>
      <c r="I954" s="107"/>
      <c r="J954" s="107"/>
      <c r="K954" s="109"/>
    </row>
    <row r="955" spans="1:11">
      <c r="A955" s="107"/>
      <c r="B955" s="103"/>
      <c r="C955" s="109"/>
      <c r="D955" s="103"/>
      <c r="E955" s="103"/>
      <c r="F955" s="103"/>
      <c r="G955" s="103"/>
      <c r="H955" s="107"/>
      <c r="I955" s="107"/>
      <c r="J955" s="107"/>
      <c r="K955" s="109"/>
    </row>
    <row r="956" spans="1:11">
      <c r="A956" s="107"/>
      <c r="B956" s="103"/>
      <c r="C956" s="109"/>
      <c r="D956" s="103"/>
      <c r="E956" s="103"/>
      <c r="F956" s="103"/>
      <c r="G956" s="103"/>
      <c r="H956" s="107"/>
      <c r="I956" s="107"/>
      <c r="J956" s="107"/>
      <c r="K956" s="109"/>
    </row>
    <row r="957" spans="1:11">
      <c r="A957" s="107"/>
      <c r="B957" s="103"/>
      <c r="C957" s="109"/>
      <c r="D957" s="103"/>
      <c r="E957" s="103"/>
      <c r="F957" s="103"/>
      <c r="G957" s="103"/>
      <c r="H957" s="107"/>
      <c r="I957" s="107"/>
      <c r="J957" s="107"/>
      <c r="K957" s="109"/>
    </row>
    <row r="958" spans="1:11">
      <c r="A958" s="107"/>
      <c r="B958" s="103"/>
      <c r="C958" s="109"/>
      <c r="D958" s="103"/>
      <c r="E958" s="103"/>
      <c r="F958" s="103"/>
      <c r="G958" s="103"/>
      <c r="H958" s="107"/>
      <c r="I958" s="107"/>
      <c r="J958" s="107"/>
      <c r="K958" s="109"/>
    </row>
    <row r="959" spans="1:11">
      <c r="A959" s="107"/>
      <c r="B959" s="103"/>
      <c r="C959" s="109"/>
      <c r="D959" s="103"/>
      <c r="E959" s="103"/>
      <c r="F959" s="103"/>
      <c r="G959" s="103"/>
      <c r="H959" s="107"/>
      <c r="I959" s="107"/>
      <c r="J959" s="107"/>
      <c r="K959" s="109"/>
    </row>
    <row r="960" spans="1:11">
      <c r="A960" s="107"/>
      <c r="B960" s="103"/>
      <c r="C960" s="109"/>
      <c r="D960" s="103"/>
      <c r="E960" s="103"/>
      <c r="F960" s="103"/>
      <c r="G960" s="103"/>
      <c r="H960" s="107"/>
      <c r="I960" s="107"/>
      <c r="J960" s="107"/>
      <c r="K960" s="109"/>
    </row>
    <row r="961" spans="1:11">
      <c r="A961" s="107"/>
      <c r="B961" s="103"/>
      <c r="C961" s="109"/>
      <c r="D961" s="103"/>
      <c r="E961" s="103"/>
      <c r="F961" s="103"/>
      <c r="G961" s="103"/>
      <c r="H961" s="107"/>
      <c r="I961" s="107"/>
      <c r="J961" s="107"/>
      <c r="K961" s="109"/>
    </row>
    <row r="962" spans="1:11">
      <c r="A962" s="107"/>
      <c r="B962" s="103"/>
      <c r="C962" s="109"/>
      <c r="D962" s="103"/>
      <c r="E962" s="103"/>
      <c r="F962" s="103"/>
      <c r="G962" s="103"/>
      <c r="H962" s="107"/>
      <c r="I962" s="107"/>
      <c r="J962" s="107"/>
      <c r="K962" s="109"/>
    </row>
    <row r="963" spans="1:11">
      <c r="A963" s="107"/>
      <c r="B963" s="103"/>
      <c r="C963" s="109"/>
      <c r="D963" s="103"/>
      <c r="E963" s="103"/>
      <c r="F963" s="103"/>
      <c r="G963" s="103"/>
      <c r="H963" s="107"/>
      <c r="I963" s="107"/>
      <c r="J963" s="107"/>
      <c r="K963" s="109"/>
    </row>
    <row r="964" spans="1:11">
      <c r="A964" s="107"/>
      <c r="B964" s="103"/>
      <c r="C964" s="109"/>
      <c r="D964" s="103"/>
      <c r="E964" s="103"/>
      <c r="F964" s="103"/>
      <c r="G964" s="103"/>
      <c r="H964" s="107"/>
      <c r="I964" s="107"/>
      <c r="J964" s="107"/>
      <c r="K964" s="109"/>
    </row>
    <row r="965" spans="1:11">
      <c r="A965" s="107"/>
      <c r="B965" s="103"/>
      <c r="C965" s="109"/>
      <c r="D965" s="103"/>
      <c r="E965" s="103"/>
      <c r="F965" s="103"/>
      <c r="G965" s="103"/>
      <c r="H965" s="107"/>
      <c r="I965" s="107"/>
      <c r="J965" s="107"/>
      <c r="K965" s="109"/>
    </row>
    <row r="966" spans="1:11">
      <c r="A966" s="107"/>
      <c r="B966" s="103"/>
      <c r="C966" s="109"/>
      <c r="D966" s="103"/>
      <c r="E966" s="103"/>
      <c r="F966" s="103"/>
      <c r="G966" s="103"/>
      <c r="H966" s="107"/>
      <c r="I966" s="107"/>
      <c r="J966" s="107"/>
      <c r="K966" s="109"/>
    </row>
    <row r="967" spans="1:11">
      <c r="A967" s="107"/>
      <c r="B967" s="103"/>
      <c r="C967" s="109"/>
      <c r="D967" s="103"/>
      <c r="E967" s="103"/>
      <c r="F967" s="103"/>
      <c r="G967" s="103"/>
      <c r="H967" s="107"/>
      <c r="I967" s="107"/>
      <c r="J967" s="107"/>
      <c r="K967" s="109"/>
    </row>
    <row r="968" spans="1:11">
      <c r="A968" s="107"/>
      <c r="B968" s="103"/>
      <c r="C968" s="109"/>
      <c r="D968" s="103"/>
      <c r="E968" s="103"/>
      <c r="F968" s="103"/>
      <c r="G968" s="103"/>
      <c r="H968" s="107"/>
      <c r="I968" s="107"/>
      <c r="J968" s="107"/>
      <c r="K968" s="109"/>
    </row>
    <row r="969" spans="1:11">
      <c r="A969" s="107"/>
      <c r="B969" s="103"/>
      <c r="C969" s="109"/>
      <c r="D969" s="103"/>
      <c r="E969" s="103"/>
      <c r="F969" s="103"/>
      <c r="G969" s="103"/>
      <c r="H969" s="107"/>
      <c r="I969" s="107"/>
      <c r="J969" s="107"/>
      <c r="K969" s="109"/>
    </row>
    <row r="970" spans="1:11">
      <c r="A970" s="107"/>
      <c r="B970" s="103"/>
      <c r="C970" s="109"/>
      <c r="D970" s="103"/>
      <c r="E970" s="103"/>
      <c r="F970" s="103"/>
      <c r="G970" s="103"/>
      <c r="H970" s="107"/>
      <c r="I970" s="107"/>
      <c r="J970" s="107"/>
      <c r="K970" s="109"/>
    </row>
    <row r="971" spans="1:11">
      <c r="A971" s="107"/>
      <c r="B971" s="103"/>
      <c r="C971" s="109"/>
      <c r="D971" s="103"/>
      <c r="E971" s="103"/>
      <c r="F971" s="103"/>
      <c r="G971" s="103"/>
      <c r="H971" s="107"/>
      <c r="I971" s="107"/>
      <c r="J971" s="107"/>
      <c r="K971" s="109"/>
    </row>
    <row r="972" spans="1:11">
      <c r="A972" s="107"/>
      <c r="B972" s="103"/>
      <c r="C972" s="109"/>
      <c r="D972" s="103"/>
      <c r="E972" s="103"/>
      <c r="F972" s="103"/>
      <c r="G972" s="103"/>
      <c r="H972" s="107"/>
      <c r="I972" s="107"/>
      <c r="J972" s="107"/>
      <c r="K972" s="109"/>
    </row>
    <row r="973" spans="1:11">
      <c r="A973" s="107"/>
      <c r="B973" s="103"/>
      <c r="C973" s="109"/>
      <c r="D973" s="103"/>
      <c r="E973" s="103"/>
      <c r="F973" s="103"/>
      <c r="G973" s="103"/>
      <c r="H973" s="107"/>
      <c r="I973" s="107"/>
      <c r="J973" s="107"/>
      <c r="K973" s="109"/>
    </row>
    <row r="974" spans="1:11">
      <c r="A974" s="107"/>
      <c r="B974" s="103"/>
      <c r="C974" s="109"/>
      <c r="D974" s="103"/>
      <c r="E974" s="103"/>
      <c r="F974" s="103"/>
      <c r="G974" s="103"/>
      <c r="H974" s="107"/>
      <c r="I974" s="107"/>
      <c r="J974" s="107"/>
      <c r="K974" s="109"/>
    </row>
    <row r="975" spans="1:11">
      <c r="A975" s="107"/>
      <c r="B975" s="103"/>
      <c r="C975" s="109"/>
      <c r="D975" s="103"/>
      <c r="E975" s="103"/>
      <c r="F975" s="103"/>
      <c r="G975" s="103"/>
      <c r="H975" s="107"/>
      <c r="I975" s="107"/>
      <c r="J975" s="107"/>
      <c r="K975" s="109"/>
    </row>
    <row r="976" spans="1:11">
      <c r="A976" s="107"/>
      <c r="B976" s="103"/>
      <c r="C976" s="109"/>
      <c r="D976" s="103"/>
      <c r="E976" s="103"/>
      <c r="F976" s="103"/>
      <c r="G976" s="103"/>
      <c r="H976" s="107"/>
      <c r="I976" s="107"/>
      <c r="J976" s="107"/>
      <c r="K976" s="109"/>
    </row>
    <row r="977" spans="1:11">
      <c r="A977" s="107"/>
      <c r="B977" s="103"/>
      <c r="C977" s="109"/>
      <c r="D977" s="103"/>
      <c r="E977" s="103"/>
      <c r="F977" s="103"/>
      <c r="G977" s="103"/>
      <c r="H977" s="107"/>
      <c r="I977" s="107"/>
      <c r="J977" s="107"/>
      <c r="K977" s="109"/>
    </row>
    <row r="978" spans="1:11">
      <c r="A978" s="107"/>
      <c r="B978" s="103"/>
      <c r="C978" s="109"/>
      <c r="D978" s="103"/>
      <c r="E978" s="103"/>
      <c r="F978" s="103"/>
      <c r="G978" s="103"/>
      <c r="H978" s="107"/>
      <c r="I978" s="107"/>
      <c r="J978" s="107"/>
      <c r="K978" s="109"/>
    </row>
    <row r="979" spans="1:11">
      <c r="A979" s="107"/>
      <c r="B979" s="103"/>
      <c r="C979" s="109"/>
      <c r="D979" s="103"/>
      <c r="E979" s="103"/>
      <c r="F979" s="103"/>
      <c r="G979" s="103"/>
      <c r="H979" s="107"/>
      <c r="I979" s="107"/>
      <c r="J979" s="107"/>
      <c r="K979" s="109"/>
    </row>
    <row r="980" spans="1:11">
      <c r="A980" s="107"/>
      <c r="B980" s="103"/>
      <c r="C980" s="109"/>
      <c r="D980" s="103"/>
      <c r="E980" s="103"/>
      <c r="F980" s="103"/>
      <c r="G980" s="103"/>
      <c r="H980" s="107"/>
      <c r="I980" s="107"/>
      <c r="J980" s="107"/>
      <c r="K980" s="109"/>
    </row>
    <row r="981" spans="1:11">
      <c r="A981" s="107"/>
      <c r="B981" s="103"/>
      <c r="C981" s="109"/>
      <c r="D981" s="103"/>
      <c r="E981" s="103"/>
      <c r="F981" s="103"/>
      <c r="G981" s="103"/>
      <c r="H981" s="107"/>
      <c r="I981" s="107"/>
      <c r="J981" s="107"/>
      <c r="K981" s="109"/>
    </row>
    <row r="982" spans="1:11">
      <c r="A982" s="107"/>
      <c r="B982" s="103"/>
      <c r="C982" s="109"/>
      <c r="D982" s="103"/>
      <c r="E982" s="103"/>
      <c r="F982" s="103"/>
      <c r="G982" s="103"/>
      <c r="H982" s="107"/>
      <c r="I982" s="107"/>
      <c r="J982" s="107"/>
      <c r="K982" s="109"/>
    </row>
    <row r="983" spans="1:11">
      <c r="A983" s="107"/>
      <c r="B983" s="103"/>
      <c r="C983" s="109"/>
      <c r="D983" s="103"/>
      <c r="E983" s="103"/>
      <c r="F983" s="103"/>
      <c r="G983" s="103"/>
      <c r="H983" s="107"/>
      <c r="I983" s="107"/>
      <c r="J983" s="107"/>
      <c r="K983" s="109"/>
    </row>
    <row r="984" spans="1:11">
      <c r="A984" s="107"/>
      <c r="B984" s="103"/>
      <c r="C984" s="109"/>
      <c r="D984" s="103"/>
      <c r="E984" s="103"/>
      <c r="F984" s="103"/>
      <c r="G984" s="103"/>
      <c r="H984" s="107"/>
      <c r="I984" s="107"/>
      <c r="J984" s="107"/>
      <c r="K984" s="109"/>
    </row>
    <row r="985" spans="1:11">
      <c r="A985" s="107"/>
      <c r="B985" s="103"/>
      <c r="C985" s="109"/>
      <c r="D985" s="103"/>
      <c r="E985" s="103"/>
      <c r="F985" s="103"/>
      <c r="G985" s="103"/>
      <c r="H985" s="107"/>
      <c r="I985" s="107"/>
      <c r="J985" s="107"/>
      <c r="K985" s="109"/>
    </row>
    <row r="986" spans="1:11">
      <c r="A986" s="107"/>
      <c r="B986" s="103"/>
      <c r="C986" s="109"/>
      <c r="D986" s="103"/>
      <c r="E986" s="103"/>
      <c r="F986" s="103"/>
      <c r="G986" s="103"/>
      <c r="H986" s="107"/>
      <c r="I986" s="107"/>
      <c r="J986" s="107"/>
      <c r="K986" s="109"/>
    </row>
    <row r="987" spans="1:11">
      <c r="A987" s="107"/>
      <c r="B987" s="103"/>
      <c r="C987" s="109"/>
      <c r="D987" s="103"/>
      <c r="E987" s="103"/>
      <c r="F987" s="103"/>
      <c r="G987" s="103"/>
      <c r="H987" s="107"/>
      <c r="I987" s="107"/>
      <c r="J987" s="107"/>
      <c r="K987" s="109"/>
    </row>
    <row r="988" spans="1:11">
      <c r="A988" s="107"/>
      <c r="B988" s="103"/>
      <c r="C988" s="109"/>
      <c r="D988" s="103"/>
      <c r="E988" s="103"/>
      <c r="F988" s="103"/>
      <c r="G988" s="103"/>
      <c r="H988" s="107"/>
      <c r="I988" s="107"/>
      <c r="J988" s="107"/>
      <c r="K988" s="109"/>
    </row>
    <row r="989" spans="1:11">
      <c r="A989" s="107"/>
      <c r="B989" s="103"/>
      <c r="C989" s="109"/>
      <c r="D989" s="103"/>
      <c r="E989" s="103"/>
      <c r="F989" s="103"/>
      <c r="G989" s="103"/>
      <c r="H989" s="107"/>
      <c r="I989" s="107"/>
      <c r="J989" s="107"/>
      <c r="K989" s="109"/>
    </row>
    <row r="990" spans="1:11">
      <c r="A990" s="107"/>
      <c r="B990" s="103"/>
      <c r="C990" s="109"/>
      <c r="D990" s="103"/>
      <c r="E990" s="103"/>
      <c r="F990" s="103"/>
      <c r="G990" s="103"/>
      <c r="H990" s="107"/>
      <c r="I990" s="107"/>
      <c r="J990" s="107"/>
      <c r="K990" s="109"/>
    </row>
    <row r="991" spans="1:11">
      <c r="A991" s="107"/>
      <c r="B991" s="103"/>
      <c r="C991" s="109"/>
      <c r="D991" s="103"/>
      <c r="E991" s="103"/>
      <c r="F991" s="103"/>
      <c r="G991" s="103"/>
      <c r="H991" s="107"/>
      <c r="I991" s="107"/>
      <c r="J991" s="107"/>
      <c r="K991" s="109"/>
    </row>
    <row r="992" spans="1:11">
      <c r="A992" s="107"/>
      <c r="B992" s="103"/>
      <c r="C992" s="109"/>
      <c r="D992" s="103"/>
      <c r="E992" s="103"/>
      <c r="F992" s="103"/>
      <c r="G992" s="103"/>
      <c r="H992" s="107"/>
      <c r="I992" s="107"/>
      <c r="J992" s="107"/>
      <c r="K992" s="109"/>
    </row>
    <row r="993" spans="1:11">
      <c r="A993" s="107"/>
      <c r="B993" s="103"/>
      <c r="C993" s="109"/>
      <c r="D993" s="103"/>
      <c r="E993" s="103"/>
      <c r="F993" s="103"/>
      <c r="G993" s="103"/>
      <c r="H993" s="107"/>
      <c r="I993" s="107"/>
      <c r="J993" s="107"/>
      <c r="K993" s="109"/>
    </row>
    <row r="994" spans="1:11">
      <c r="A994" s="107"/>
      <c r="B994" s="103"/>
      <c r="C994" s="109"/>
      <c r="D994" s="103"/>
      <c r="E994" s="103"/>
      <c r="F994" s="103"/>
      <c r="G994" s="103"/>
      <c r="H994" s="107"/>
      <c r="I994" s="107"/>
      <c r="J994" s="107"/>
      <c r="K994" s="109"/>
    </row>
    <row r="995" spans="1:11">
      <c r="A995" s="107"/>
      <c r="B995" s="103"/>
      <c r="C995" s="109"/>
      <c r="D995" s="103"/>
      <c r="E995" s="103"/>
      <c r="F995" s="103"/>
      <c r="G995" s="103"/>
      <c r="H995" s="107"/>
      <c r="I995" s="107"/>
      <c r="J995" s="107"/>
      <c r="K995" s="109"/>
    </row>
    <row r="996" spans="1:11">
      <c r="A996" s="107"/>
      <c r="B996" s="103"/>
      <c r="C996" s="109"/>
      <c r="D996" s="103"/>
      <c r="E996" s="103"/>
      <c r="F996" s="103"/>
      <c r="G996" s="103"/>
      <c r="H996" s="107"/>
      <c r="I996" s="107"/>
      <c r="J996" s="107"/>
      <c r="K996" s="109"/>
    </row>
    <row r="997" spans="1:11">
      <c r="A997" s="107"/>
      <c r="B997" s="103"/>
      <c r="C997" s="109"/>
      <c r="D997" s="103"/>
      <c r="E997" s="103"/>
      <c r="F997" s="103"/>
      <c r="G997" s="103"/>
      <c r="H997" s="107"/>
      <c r="I997" s="107"/>
      <c r="J997" s="107"/>
      <c r="K997" s="109"/>
    </row>
    <row r="998" spans="1:11">
      <c r="A998" s="107"/>
      <c r="B998" s="103"/>
      <c r="C998" s="109"/>
      <c r="D998" s="103"/>
      <c r="E998" s="103"/>
      <c r="F998" s="103"/>
      <c r="G998" s="103"/>
      <c r="H998" s="107"/>
      <c r="I998" s="107"/>
      <c r="J998" s="107"/>
      <c r="K998" s="109"/>
    </row>
    <row r="999" spans="1:11">
      <c r="A999" s="107"/>
      <c r="B999" s="103"/>
      <c r="C999" s="109"/>
      <c r="D999" s="103"/>
      <c r="E999" s="103"/>
      <c r="F999" s="103"/>
      <c r="G999" s="103"/>
      <c r="H999" s="107"/>
      <c r="I999" s="107"/>
      <c r="J999" s="107"/>
      <c r="K999" s="109"/>
    </row>
    <row r="1000" spans="1:11">
      <c r="A1000" s="107"/>
      <c r="B1000" s="103"/>
      <c r="C1000" s="109"/>
      <c r="D1000" s="103"/>
      <c r="E1000" s="103"/>
      <c r="F1000" s="103"/>
      <c r="G1000" s="103"/>
      <c r="H1000" s="107"/>
      <c r="I1000" s="107"/>
      <c r="J1000" s="107"/>
      <c r="K1000" s="109"/>
    </row>
    <row r="1001" spans="1:11">
      <c r="A1001" s="107"/>
      <c r="B1001" s="103"/>
      <c r="C1001" s="109"/>
      <c r="D1001" s="103"/>
      <c r="E1001" s="103"/>
      <c r="F1001" s="103"/>
      <c r="G1001" s="103"/>
      <c r="H1001" s="107"/>
      <c r="I1001" s="107"/>
      <c r="J1001" s="107"/>
      <c r="K1001" s="109"/>
    </row>
    <row r="1002" spans="1:11">
      <c r="A1002" s="107"/>
      <c r="B1002" s="103"/>
      <c r="C1002" s="109"/>
      <c r="D1002" s="103"/>
      <c r="E1002" s="103"/>
      <c r="F1002" s="103"/>
      <c r="G1002" s="103"/>
      <c r="H1002" s="107"/>
      <c r="I1002" s="107"/>
      <c r="J1002" s="107"/>
      <c r="K1002" s="109"/>
    </row>
    <row r="1003" spans="1:11">
      <c r="A1003" s="107"/>
      <c r="B1003" s="103"/>
      <c r="C1003" s="109"/>
      <c r="D1003" s="103"/>
      <c r="E1003" s="103"/>
      <c r="F1003" s="103"/>
      <c r="G1003" s="103"/>
      <c r="H1003" s="107"/>
      <c r="I1003" s="107"/>
      <c r="J1003" s="107"/>
      <c r="K1003" s="109"/>
    </row>
    <row r="1004" spans="1:11">
      <c r="A1004" s="107"/>
      <c r="B1004" s="103"/>
      <c r="C1004" s="109"/>
      <c r="D1004" s="103"/>
      <c r="E1004" s="103"/>
      <c r="F1004" s="103"/>
      <c r="G1004" s="103"/>
      <c r="H1004" s="107"/>
      <c r="I1004" s="107"/>
      <c r="J1004" s="107"/>
      <c r="K1004" s="109"/>
    </row>
    <row r="1005" spans="1:11">
      <c r="A1005" s="107"/>
      <c r="B1005" s="103"/>
      <c r="C1005" s="109"/>
      <c r="D1005" s="103"/>
      <c r="E1005" s="103"/>
      <c r="F1005" s="103"/>
      <c r="G1005" s="103"/>
      <c r="H1005" s="107"/>
      <c r="I1005" s="107"/>
      <c r="J1005" s="107"/>
      <c r="K1005" s="109"/>
    </row>
    <row r="1006" spans="1:11">
      <c r="A1006" s="107"/>
      <c r="B1006" s="103"/>
      <c r="C1006" s="109"/>
      <c r="D1006" s="103"/>
      <c r="E1006" s="103"/>
      <c r="F1006" s="103"/>
      <c r="G1006" s="103"/>
      <c r="H1006" s="107"/>
      <c r="I1006" s="107"/>
      <c r="J1006" s="107"/>
      <c r="K1006" s="109"/>
    </row>
    <row r="1007" spans="1:11">
      <c r="A1007" s="107"/>
      <c r="B1007" s="103"/>
      <c r="C1007" s="109"/>
      <c r="D1007" s="103"/>
      <c r="E1007" s="103"/>
      <c r="F1007" s="103"/>
      <c r="G1007" s="103"/>
      <c r="H1007" s="107"/>
      <c r="I1007" s="107"/>
      <c r="J1007" s="107"/>
      <c r="K1007" s="109"/>
    </row>
    <row r="1008" spans="1:11">
      <c r="A1008" s="107"/>
      <c r="B1008" s="103"/>
      <c r="C1008" s="109"/>
      <c r="D1008" s="103"/>
      <c r="E1008" s="103"/>
      <c r="F1008" s="103"/>
      <c r="G1008" s="103"/>
      <c r="H1008" s="107"/>
      <c r="I1008" s="107"/>
      <c r="J1008" s="107"/>
      <c r="K1008" s="109"/>
    </row>
    <row r="1009" spans="1:11">
      <c r="A1009" s="107"/>
      <c r="B1009" s="103"/>
      <c r="C1009" s="109"/>
      <c r="D1009" s="103"/>
      <c r="E1009" s="103"/>
      <c r="F1009" s="103"/>
      <c r="G1009" s="103"/>
      <c r="H1009" s="107"/>
      <c r="I1009" s="107"/>
      <c r="J1009" s="107"/>
      <c r="K1009" s="109"/>
    </row>
    <row r="1010" spans="1:11">
      <c r="A1010" s="107"/>
      <c r="B1010" s="103"/>
      <c r="C1010" s="109"/>
      <c r="D1010" s="103"/>
      <c r="E1010" s="103"/>
      <c r="F1010" s="103"/>
      <c r="G1010" s="103"/>
      <c r="H1010" s="107"/>
      <c r="I1010" s="107"/>
      <c r="J1010" s="107"/>
      <c r="K1010" s="109"/>
    </row>
    <row r="1011" spans="1:11">
      <c r="A1011" s="107"/>
      <c r="B1011" s="103"/>
      <c r="C1011" s="109"/>
      <c r="D1011" s="103"/>
      <c r="E1011" s="103"/>
      <c r="F1011" s="103"/>
      <c r="G1011" s="103"/>
      <c r="H1011" s="107"/>
      <c r="I1011" s="107"/>
      <c r="J1011" s="107"/>
      <c r="K1011" s="109"/>
    </row>
    <row r="1012" spans="1:11">
      <c r="A1012" s="107"/>
      <c r="B1012" s="103"/>
      <c r="C1012" s="109"/>
      <c r="D1012" s="103"/>
      <c r="E1012" s="103"/>
      <c r="F1012" s="103"/>
      <c r="G1012" s="103"/>
      <c r="H1012" s="107"/>
      <c r="I1012" s="107"/>
      <c r="J1012" s="107"/>
      <c r="K1012" s="109"/>
    </row>
    <row r="1013" spans="1:11">
      <c r="A1013" s="107"/>
      <c r="B1013" s="103"/>
      <c r="C1013" s="109"/>
      <c r="D1013" s="103"/>
      <c r="E1013" s="103"/>
      <c r="F1013" s="103"/>
      <c r="G1013" s="103"/>
      <c r="H1013" s="107"/>
      <c r="I1013" s="107"/>
      <c r="J1013" s="107"/>
      <c r="K1013" s="109"/>
    </row>
    <row r="1014" spans="1:11">
      <c r="A1014" s="107"/>
      <c r="B1014" s="103"/>
      <c r="C1014" s="109"/>
      <c r="D1014" s="103"/>
      <c r="E1014" s="103"/>
      <c r="F1014" s="103"/>
      <c r="G1014" s="103"/>
      <c r="H1014" s="107"/>
      <c r="I1014" s="107"/>
      <c r="J1014" s="107"/>
      <c r="K1014" s="109"/>
    </row>
    <row r="1015" spans="1:11">
      <c r="A1015" s="107"/>
      <c r="B1015" s="103"/>
      <c r="C1015" s="109"/>
      <c r="D1015" s="103"/>
      <c r="E1015" s="103"/>
      <c r="F1015" s="103"/>
      <c r="G1015" s="103"/>
      <c r="H1015" s="107"/>
      <c r="I1015" s="107"/>
      <c r="J1015" s="107"/>
      <c r="K1015" s="109"/>
    </row>
    <row r="1016" spans="1:11">
      <c r="A1016" s="107"/>
      <c r="B1016" s="103"/>
      <c r="C1016" s="109"/>
      <c r="D1016" s="103"/>
      <c r="E1016" s="103"/>
      <c r="F1016" s="103"/>
      <c r="G1016" s="103"/>
      <c r="H1016" s="107"/>
      <c r="I1016" s="107"/>
      <c r="J1016" s="107"/>
      <c r="K1016" s="109"/>
    </row>
    <row r="1017" spans="1:11">
      <c r="A1017" s="107"/>
      <c r="B1017" s="103"/>
      <c r="C1017" s="109"/>
      <c r="D1017" s="103"/>
      <c r="E1017" s="103"/>
      <c r="F1017" s="103"/>
      <c r="G1017" s="103"/>
      <c r="H1017" s="107"/>
      <c r="I1017" s="107"/>
      <c r="J1017" s="107"/>
      <c r="K1017" s="109"/>
    </row>
    <row r="1018" spans="1:11">
      <c r="A1018" s="107"/>
      <c r="B1018" s="103"/>
      <c r="C1018" s="109"/>
      <c r="D1018" s="103"/>
      <c r="E1018" s="103"/>
      <c r="F1018" s="103"/>
      <c r="G1018" s="103"/>
      <c r="H1018" s="107"/>
      <c r="I1018" s="107"/>
      <c r="J1018" s="107"/>
      <c r="K1018" s="109"/>
    </row>
    <row r="1019" spans="1:11">
      <c r="A1019" s="107"/>
      <c r="B1019" s="103"/>
      <c r="C1019" s="109"/>
      <c r="D1019" s="103"/>
      <c r="E1019" s="103"/>
      <c r="F1019" s="103"/>
      <c r="G1019" s="103"/>
      <c r="H1019" s="107"/>
      <c r="I1019" s="107"/>
      <c r="J1019" s="107"/>
      <c r="K1019" s="109"/>
    </row>
    <row r="1020" spans="1:11">
      <c r="A1020" s="107"/>
      <c r="B1020" s="103"/>
      <c r="C1020" s="109"/>
      <c r="D1020" s="103"/>
      <c r="E1020" s="103"/>
      <c r="F1020" s="103"/>
      <c r="G1020" s="103"/>
      <c r="H1020" s="107"/>
      <c r="I1020" s="107"/>
      <c r="J1020" s="107"/>
      <c r="K1020" s="109"/>
    </row>
    <row r="1021" spans="1:11">
      <c r="A1021" s="107"/>
      <c r="B1021" s="103"/>
      <c r="C1021" s="109"/>
      <c r="D1021" s="103"/>
      <c r="E1021" s="103"/>
      <c r="F1021" s="103"/>
      <c r="G1021" s="103"/>
      <c r="H1021" s="107"/>
      <c r="I1021" s="107"/>
      <c r="J1021" s="107"/>
      <c r="K1021" s="109"/>
    </row>
    <row r="1022" spans="1:11">
      <c r="A1022" s="107"/>
      <c r="B1022" s="103"/>
      <c r="C1022" s="109"/>
      <c r="D1022" s="103"/>
      <c r="E1022" s="103"/>
      <c r="F1022" s="103"/>
      <c r="G1022" s="103"/>
      <c r="H1022" s="107"/>
      <c r="I1022" s="107"/>
      <c r="J1022" s="107"/>
      <c r="K1022" s="109"/>
    </row>
    <row r="1023" spans="1:11">
      <c r="A1023" s="107"/>
      <c r="B1023" s="103"/>
      <c r="C1023" s="109"/>
      <c r="D1023" s="103"/>
      <c r="E1023" s="103"/>
      <c r="F1023" s="103"/>
      <c r="G1023" s="103"/>
      <c r="H1023" s="107"/>
      <c r="I1023" s="107"/>
      <c r="J1023" s="107"/>
      <c r="K1023" s="109"/>
    </row>
    <row r="1024" spans="1:11">
      <c r="A1024" s="107"/>
      <c r="B1024" s="103"/>
      <c r="C1024" s="109"/>
      <c r="D1024" s="103"/>
      <c r="E1024" s="103"/>
      <c r="F1024" s="103"/>
      <c r="G1024" s="103"/>
      <c r="H1024" s="107"/>
      <c r="I1024" s="107"/>
      <c r="J1024" s="107"/>
      <c r="K1024" s="109"/>
    </row>
    <row r="1025" spans="1:11">
      <c r="A1025" s="107"/>
      <c r="B1025" s="103"/>
      <c r="C1025" s="109"/>
      <c r="D1025" s="103"/>
      <c r="E1025" s="103"/>
      <c r="F1025" s="103"/>
      <c r="G1025" s="103"/>
      <c r="H1025" s="107"/>
      <c r="I1025" s="107"/>
      <c r="J1025" s="107"/>
      <c r="K1025" s="109"/>
    </row>
    <row r="1026" spans="1:11">
      <c r="A1026" s="107"/>
      <c r="B1026" s="103"/>
      <c r="C1026" s="109"/>
      <c r="D1026" s="103"/>
      <c r="E1026" s="103"/>
      <c r="F1026" s="103"/>
      <c r="G1026" s="103"/>
      <c r="H1026" s="107"/>
      <c r="I1026" s="107"/>
      <c r="J1026" s="107"/>
      <c r="K1026" s="109"/>
    </row>
    <row r="1027" spans="1:11">
      <c r="A1027" s="107"/>
      <c r="B1027" s="103"/>
      <c r="C1027" s="109"/>
      <c r="D1027" s="103"/>
      <c r="E1027" s="103"/>
      <c r="F1027" s="103"/>
      <c r="G1027" s="103"/>
      <c r="H1027" s="107"/>
      <c r="I1027" s="107"/>
      <c r="J1027" s="107"/>
      <c r="K1027" s="109"/>
    </row>
    <row r="1028" spans="1:11">
      <c r="A1028" s="107"/>
      <c r="B1028" s="103"/>
      <c r="C1028" s="109"/>
      <c r="D1028" s="103"/>
      <c r="E1028" s="103"/>
      <c r="F1028" s="103"/>
      <c r="G1028" s="103"/>
      <c r="H1028" s="107"/>
      <c r="I1028" s="107"/>
      <c r="J1028" s="107"/>
      <c r="K1028" s="109"/>
    </row>
    <row r="1029" spans="1:11">
      <c r="A1029" s="107"/>
      <c r="B1029" s="103"/>
      <c r="C1029" s="109"/>
      <c r="D1029" s="103"/>
      <c r="E1029" s="103"/>
      <c r="F1029" s="103"/>
      <c r="G1029" s="103"/>
      <c r="H1029" s="107"/>
      <c r="I1029" s="107"/>
      <c r="J1029" s="107"/>
      <c r="K1029" s="109"/>
    </row>
    <row r="1030" spans="1:11">
      <c r="A1030" s="107"/>
      <c r="B1030" s="103"/>
      <c r="C1030" s="109"/>
      <c r="D1030" s="103"/>
      <c r="E1030" s="103"/>
      <c r="F1030" s="103"/>
      <c r="G1030" s="103"/>
      <c r="H1030" s="107"/>
      <c r="I1030" s="107"/>
      <c r="J1030" s="107"/>
      <c r="K1030" s="109"/>
    </row>
    <row r="1031" spans="1:11">
      <c r="A1031" s="107"/>
      <c r="B1031" s="103"/>
      <c r="C1031" s="109"/>
      <c r="D1031" s="103"/>
      <c r="E1031" s="103"/>
      <c r="F1031" s="103"/>
      <c r="G1031" s="103"/>
      <c r="H1031" s="107"/>
      <c r="I1031" s="107"/>
      <c r="J1031" s="107"/>
      <c r="K1031" s="109"/>
    </row>
    <row r="1032" spans="1:11">
      <c r="A1032" s="107"/>
      <c r="B1032" s="103"/>
      <c r="C1032" s="109"/>
      <c r="D1032" s="103"/>
      <c r="E1032" s="103"/>
      <c r="F1032" s="103"/>
      <c r="G1032" s="103"/>
      <c r="H1032" s="107"/>
      <c r="I1032" s="107"/>
      <c r="J1032" s="107"/>
      <c r="K1032" s="109"/>
    </row>
    <row r="1033" spans="1:11">
      <c r="A1033" s="107"/>
      <c r="B1033" s="103"/>
      <c r="C1033" s="109"/>
      <c r="D1033" s="103"/>
      <c r="E1033" s="103"/>
      <c r="F1033" s="103"/>
      <c r="G1033" s="103"/>
      <c r="H1033" s="107"/>
      <c r="I1033" s="107"/>
      <c r="J1033" s="107"/>
      <c r="K1033" s="109"/>
    </row>
    <row r="1034" spans="1:11">
      <c r="A1034" s="107"/>
      <c r="B1034" s="103"/>
      <c r="C1034" s="109"/>
      <c r="D1034" s="103"/>
      <c r="E1034" s="103"/>
      <c r="F1034" s="103"/>
      <c r="G1034" s="103"/>
      <c r="H1034" s="107"/>
      <c r="I1034" s="107"/>
      <c r="J1034" s="107"/>
      <c r="K1034" s="109"/>
    </row>
    <row r="1035" spans="1:11">
      <c r="A1035" s="107"/>
      <c r="B1035" s="103"/>
      <c r="C1035" s="109"/>
      <c r="D1035" s="103"/>
      <c r="E1035" s="103"/>
      <c r="F1035" s="103"/>
      <c r="G1035" s="103"/>
      <c r="H1035" s="107"/>
      <c r="I1035" s="107"/>
      <c r="J1035" s="107"/>
      <c r="K1035" s="109"/>
    </row>
    <row r="1036" spans="1:11">
      <c r="A1036" s="107"/>
      <c r="B1036" s="103"/>
      <c r="C1036" s="109"/>
      <c r="D1036" s="103"/>
      <c r="E1036" s="103"/>
      <c r="F1036" s="103"/>
      <c r="G1036" s="103"/>
      <c r="H1036" s="107"/>
      <c r="I1036" s="107"/>
      <c r="J1036" s="107"/>
      <c r="K1036" s="109"/>
    </row>
    <row r="1037" spans="1:11">
      <c r="A1037" s="107"/>
      <c r="B1037" s="103"/>
      <c r="C1037" s="109"/>
      <c r="D1037" s="103"/>
      <c r="E1037" s="103"/>
      <c r="F1037" s="103"/>
      <c r="G1037" s="103"/>
      <c r="H1037" s="107"/>
      <c r="I1037" s="107"/>
      <c r="J1037" s="107"/>
      <c r="K1037" s="109"/>
    </row>
    <row r="1038" spans="1:11">
      <c r="A1038" s="107"/>
      <c r="B1038" s="103"/>
      <c r="C1038" s="109"/>
      <c r="D1038" s="103"/>
      <c r="E1038" s="103"/>
      <c r="F1038" s="103"/>
      <c r="G1038" s="103"/>
      <c r="H1038" s="107"/>
      <c r="I1038" s="107"/>
      <c r="J1038" s="107"/>
      <c r="K1038" s="109"/>
    </row>
    <row r="1039" spans="1:11">
      <c r="A1039" s="107"/>
      <c r="B1039" s="103"/>
      <c r="C1039" s="109"/>
      <c r="D1039" s="103"/>
      <c r="E1039" s="103"/>
      <c r="F1039" s="103"/>
      <c r="G1039" s="103"/>
      <c r="H1039" s="107"/>
      <c r="I1039" s="107"/>
      <c r="J1039" s="107"/>
      <c r="K1039" s="109"/>
    </row>
    <row r="1040" spans="1:11">
      <c r="A1040" s="107"/>
      <c r="B1040" s="103"/>
      <c r="C1040" s="109"/>
      <c r="D1040" s="103"/>
      <c r="E1040" s="103"/>
      <c r="F1040" s="103"/>
      <c r="G1040" s="103"/>
      <c r="H1040" s="107"/>
      <c r="I1040" s="107"/>
      <c r="J1040" s="107"/>
      <c r="K1040" s="109"/>
    </row>
    <row r="1041" spans="1:11">
      <c r="A1041" s="107"/>
      <c r="B1041" s="103"/>
      <c r="C1041" s="109"/>
      <c r="D1041" s="103"/>
      <c r="E1041" s="103"/>
      <c r="F1041" s="103"/>
      <c r="G1041" s="103"/>
      <c r="H1041" s="107"/>
      <c r="I1041" s="107"/>
      <c r="J1041" s="107"/>
      <c r="K1041" s="109"/>
    </row>
    <row r="1042" spans="1:11">
      <c r="A1042" s="107"/>
      <c r="B1042" s="103"/>
      <c r="C1042" s="109"/>
      <c r="D1042" s="103"/>
      <c r="E1042" s="103"/>
      <c r="F1042" s="103"/>
      <c r="G1042" s="103"/>
      <c r="H1042" s="107"/>
      <c r="I1042" s="107"/>
      <c r="J1042" s="107"/>
      <c r="K1042" s="109"/>
    </row>
    <row r="1043" spans="1:11">
      <c r="A1043" s="107"/>
      <c r="B1043" s="103"/>
      <c r="C1043" s="109"/>
      <c r="D1043" s="103"/>
      <c r="E1043" s="103"/>
      <c r="F1043" s="103"/>
      <c r="G1043" s="103"/>
      <c r="H1043" s="107"/>
      <c r="I1043" s="107"/>
      <c r="J1043" s="107"/>
      <c r="K1043" s="109"/>
    </row>
    <row r="1044" spans="1:11">
      <c r="A1044" s="107"/>
      <c r="B1044" s="103"/>
      <c r="C1044" s="109"/>
      <c r="D1044" s="103"/>
      <c r="E1044" s="103"/>
      <c r="F1044" s="103"/>
      <c r="G1044" s="103"/>
      <c r="H1044" s="107"/>
      <c r="I1044" s="107"/>
      <c r="J1044" s="107"/>
      <c r="K1044" s="109"/>
    </row>
    <row r="1045" spans="1:11">
      <c r="A1045" s="107"/>
      <c r="B1045" s="103"/>
      <c r="C1045" s="109"/>
      <c r="D1045" s="103"/>
      <c r="E1045" s="103"/>
      <c r="F1045" s="103"/>
      <c r="G1045" s="103"/>
      <c r="H1045" s="107"/>
      <c r="I1045" s="107"/>
      <c r="J1045" s="107"/>
      <c r="K1045" s="109"/>
    </row>
    <row r="1046" spans="1:11">
      <c r="A1046" s="107"/>
      <c r="B1046" s="103"/>
      <c r="C1046" s="109"/>
      <c r="D1046" s="103"/>
      <c r="E1046" s="103"/>
      <c r="F1046" s="103"/>
      <c r="G1046" s="103"/>
      <c r="H1046" s="107"/>
      <c r="I1046" s="107"/>
      <c r="J1046" s="107"/>
      <c r="K1046" s="109"/>
    </row>
    <row r="1047" spans="1:11">
      <c r="A1047" s="107"/>
      <c r="B1047" s="103"/>
      <c r="C1047" s="109"/>
      <c r="D1047" s="103"/>
      <c r="E1047" s="103"/>
      <c r="F1047" s="103"/>
      <c r="G1047" s="103"/>
      <c r="H1047" s="107"/>
      <c r="I1047" s="107"/>
      <c r="J1047" s="107"/>
      <c r="K1047" s="109"/>
    </row>
    <row r="1048" spans="1:11">
      <c r="A1048" s="107"/>
      <c r="B1048" s="103"/>
      <c r="C1048" s="109"/>
      <c r="D1048" s="103"/>
      <c r="E1048" s="103"/>
      <c r="F1048" s="103"/>
      <c r="G1048" s="103"/>
      <c r="H1048" s="107"/>
      <c r="I1048" s="107"/>
      <c r="J1048" s="107"/>
      <c r="K1048" s="109"/>
    </row>
    <row r="1049" spans="1:11">
      <c r="A1049" s="107"/>
      <c r="B1049" s="103"/>
      <c r="C1049" s="109"/>
      <c r="D1049" s="103"/>
      <c r="E1049" s="103"/>
      <c r="F1049" s="103"/>
      <c r="G1049" s="103"/>
      <c r="H1049" s="107"/>
      <c r="I1049" s="107"/>
      <c r="J1049" s="107"/>
      <c r="K1049" s="109"/>
    </row>
    <row r="1050" spans="1:11">
      <c r="A1050" s="107"/>
      <c r="B1050" s="103"/>
      <c r="C1050" s="109"/>
      <c r="D1050" s="103"/>
      <c r="E1050" s="103"/>
      <c r="F1050" s="103"/>
      <c r="G1050" s="103"/>
      <c r="H1050" s="107"/>
      <c r="I1050" s="107"/>
      <c r="J1050" s="107"/>
      <c r="K1050" s="109"/>
    </row>
    <row r="1051" spans="1:11">
      <c r="A1051" s="107"/>
      <c r="B1051" s="103"/>
      <c r="C1051" s="109"/>
      <c r="D1051" s="103"/>
      <c r="E1051" s="103"/>
      <c r="F1051" s="103"/>
      <c r="G1051" s="103"/>
      <c r="H1051" s="107"/>
      <c r="I1051" s="107"/>
      <c r="J1051" s="107"/>
      <c r="K1051" s="109"/>
    </row>
    <row r="1052" spans="1:11">
      <c r="A1052" s="107"/>
      <c r="B1052" s="103"/>
      <c r="C1052" s="109"/>
      <c r="D1052" s="103"/>
      <c r="E1052" s="103"/>
      <c r="F1052" s="103"/>
      <c r="G1052" s="103"/>
      <c r="H1052" s="107"/>
      <c r="I1052" s="107"/>
      <c r="J1052" s="107"/>
      <c r="K1052" s="109"/>
    </row>
    <row r="1053" spans="1:11">
      <c r="A1053" s="107"/>
      <c r="B1053" s="103"/>
      <c r="C1053" s="109"/>
      <c r="D1053" s="103"/>
      <c r="E1053" s="103"/>
      <c r="F1053" s="103"/>
      <c r="G1053" s="103"/>
      <c r="H1053" s="107"/>
      <c r="I1053" s="107"/>
      <c r="J1053" s="107"/>
      <c r="K1053" s="109"/>
    </row>
    <row r="1054" spans="1:11">
      <c r="A1054" s="107"/>
      <c r="B1054" s="103"/>
      <c r="C1054" s="109"/>
      <c r="D1054" s="103"/>
      <c r="E1054" s="103"/>
      <c r="F1054" s="103"/>
      <c r="G1054" s="103"/>
      <c r="H1054" s="107"/>
      <c r="I1054" s="107"/>
      <c r="J1054" s="107"/>
      <c r="K1054" s="109"/>
    </row>
    <row r="1055" spans="1:11">
      <c r="A1055" s="107"/>
      <c r="B1055" s="103"/>
      <c r="C1055" s="109"/>
      <c r="D1055" s="103"/>
      <c r="E1055" s="103"/>
      <c r="F1055" s="103"/>
      <c r="G1055" s="103"/>
      <c r="H1055" s="107"/>
      <c r="I1055" s="107"/>
      <c r="J1055" s="107"/>
      <c r="K1055" s="109"/>
    </row>
    <row r="1056" spans="1:11">
      <c r="A1056" s="107"/>
      <c r="B1056" s="103"/>
      <c r="C1056" s="109"/>
      <c r="D1056" s="103"/>
      <c r="E1056" s="103"/>
      <c r="F1056" s="103"/>
      <c r="G1056" s="103"/>
      <c r="H1056" s="107"/>
      <c r="I1056" s="107"/>
      <c r="J1056" s="107"/>
      <c r="K1056" s="109"/>
    </row>
    <row r="1057" spans="1:11">
      <c r="A1057" s="107"/>
      <c r="B1057" s="103"/>
      <c r="C1057" s="109"/>
      <c r="D1057" s="103"/>
      <c r="E1057" s="103"/>
      <c r="F1057" s="103"/>
      <c r="G1057" s="103"/>
      <c r="H1057" s="107"/>
      <c r="I1057" s="107"/>
      <c r="J1057" s="107"/>
      <c r="K1057" s="109"/>
    </row>
    <row r="1058" spans="1:11">
      <c r="A1058" s="107"/>
      <c r="B1058" s="103"/>
      <c r="C1058" s="109"/>
      <c r="D1058" s="103"/>
      <c r="E1058" s="103"/>
      <c r="F1058" s="103"/>
      <c r="G1058" s="103"/>
      <c r="H1058" s="107"/>
      <c r="I1058" s="107"/>
      <c r="J1058" s="107"/>
      <c r="K1058" s="109"/>
    </row>
    <row r="1059" spans="1:11">
      <c r="A1059" s="107"/>
      <c r="B1059" s="103"/>
      <c r="C1059" s="109"/>
      <c r="D1059" s="103"/>
      <c r="E1059" s="103"/>
      <c r="F1059" s="103"/>
      <c r="G1059" s="103"/>
      <c r="H1059" s="107"/>
      <c r="I1059" s="107"/>
      <c r="J1059" s="107"/>
      <c r="K1059" s="109"/>
    </row>
    <row r="1060" spans="1:11">
      <c r="A1060" s="107"/>
      <c r="B1060" s="103"/>
      <c r="C1060" s="109"/>
      <c r="D1060" s="103"/>
      <c r="E1060" s="103"/>
      <c r="F1060" s="103"/>
      <c r="G1060" s="103"/>
      <c r="H1060" s="107"/>
      <c r="I1060" s="107"/>
      <c r="J1060" s="107"/>
      <c r="K1060" s="109"/>
    </row>
    <row r="1061" spans="1:11">
      <c r="A1061" s="107"/>
      <c r="B1061" s="103"/>
      <c r="C1061" s="109"/>
      <c r="D1061" s="103"/>
      <c r="E1061" s="103"/>
      <c r="F1061" s="103"/>
      <c r="G1061" s="103"/>
      <c r="H1061" s="107"/>
      <c r="I1061" s="107"/>
      <c r="J1061" s="107"/>
      <c r="K1061" s="109"/>
    </row>
    <row r="1062" spans="1:11">
      <c r="A1062" s="107"/>
      <c r="B1062" s="103"/>
      <c r="C1062" s="109"/>
      <c r="D1062" s="103"/>
      <c r="E1062" s="103"/>
      <c r="F1062" s="103"/>
      <c r="G1062" s="103"/>
      <c r="H1062" s="107"/>
      <c r="I1062" s="107"/>
      <c r="J1062" s="107"/>
      <c r="K1062" s="109"/>
    </row>
    <row r="1063" spans="1:11">
      <c r="A1063" s="107"/>
      <c r="B1063" s="103"/>
      <c r="C1063" s="109"/>
      <c r="D1063" s="103"/>
      <c r="E1063" s="103"/>
      <c r="F1063" s="103"/>
      <c r="G1063" s="103"/>
      <c r="H1063" s="107"/>
      <c r="I1063" s="107"/>
      <c r="J1063" s="107"/>
      <c r="K1063" s="109"/>
    </row>
    <row r="1064" spans="1:11">
      <c r="A1064" s="107"/>
      <c r="B1064" s="103"/>
      <c r="C1064" s="109"/>
      <c r="D1064" s="103"/>
      <c r="E1064" s="103"/>
      <c r="F1064" s="103"/>
      <c r="G1064" s="103"/>
      <c r="H1064" s="107"/>
      <c r="I1064" s="107"/>
      <c r="J1064" s="107"/>
      <c r="K1064" s="109"/>
    </row>
    <row r="1065" spans="1:11">
      <c r="A1065" s="107"/>
      <c r="B1065" s="103"/>
      <c r="C1065" s="109"/>
      <c r="D1065" s="103"/>
      <c r="E1065" s="103"/>
      <c r="F1065" s="103"/>
      <c r="G1065" s="103"/>
      <c r="H1065" s="107"/>
      <c r="I1065" s="107"/>
      <c r="J1065" s="107"/>
      <c r="K1065" s="109"/>
    </row>
    <row r="1066" spans="1:11">
      <c r="A1066" s="107"/>
      <c r="B1066" s="103"/>
      <c r="C1066" s="109"/>
      <c r="D1066" s="103"/>
      <c r="E1066" s="103"/>
      <c r="F1066" s="103"/>
      <c r="G1066" s="103"/>
      <c r="H1066" s="107"/>
      <c r="I1066" s="107"/>
      <c r="J1066" s="107"/>
      <c r="K1066" s="109"/>
    </row>
    <row r="1067" spans="1:11">
      <c r="A1067" s="107"/>
      <c r="B1067" s="103"/>
      <c r="C1067" s="109"/>
      <c r="D1067" s="103"/>
      <c r="E1067" s="103"/>
      <c r="F1067" s="103"/>
      <c r="G1067" s="103"/>
      <c r="H1067" s="107"/>
      <c r="I1067" s="107"/>
      <c r="J1067" s="107"/>
      <c r="K1067" s="109"/>
    </row>
    <row r="1068" spans="1:11">
      <c r="A1068" s="107"/>
      <c r="B1068" s="103"/>
      <c r="C1068" s="109"/>
      <c r="D1068" s="103"/>
      <c r="E1068" s="103"/>
      <c r="F1068" s="103"/>
      <c r="G1068" s="103"/>
      <c r="H1068" s="107"/>
      <c r="I1068" s="107"/>
      <c r="J1068" s="107"/>
      <c r="K1068" s="109"/>
    </row>
    <row r="1069" spans="1:11">
      <c r="A1069" s="107"/>
      <c r="B1069" s="103"/>
      <c r="C1069" s="109"/>
      <c r="D1069" s="103"/>
      <c r="E1069" s="103"/>
      <c r="F1069" s="103"/>
      <c r="G1069" s="103"/>
      <c r="H1069" s="107"/>
      <c r="I1069" s="107"/>
      <c r="J1069" s="107"/>
      <c r="K1069" s="109"/>
    </row>
    <row r="1070" spans="1:11">
      <c r="A1070" s="107"/>
      <c r="B1070" s="103"/>
      <c r="C1070" s="109"/>
      <c r="D1070" s="103"/>
      <c r="E1070" s="103"/>
      <c r="F1070" s="103"/>
      <c r="G1070" s="103"/>
      <c r="H1070" s="107"/>
      <c r="I1070" s="107"/>
      <c r="J1070" s="107"/>
      <c r="K1070" s="109"/>
    </row>
    <row r="1071" spans="1:11">
      <c r="A1071" s="107"/>
      <c r="B1071" s="103"/>
      <c r="C1071" s="109"/>
      <c r="D1071" s="103"/>
      <c r="E1071" s="103"/>
      <c r="F1071" s="103"/>
      <c r="G1071" s="103"/>
      <c r="H1071" s="107"/>
      <c r="I1071" s="107"/>
      <c r="J1071" s="107"/>
      <c r="K1071" s="109"/>
    </row>
    <row r="1072" spans="1:11">
      <c r="A1072" s="107"/>
      <c r="B1072" s="103"/>
      <c r="C1072" s="109"/>
      <c r="D1072" s="103"/>
      <c r="E1072" s="103"/>
      <c r="F1072" s="103"/>
      <c r="G1072" s="103"/>
      <c r="H1072" s="107"/>
      <c r="I1072" s="107"/>
      <c r="J1072" s="107"/>
      <c r="K1072" s="109"/>
    </row>
    <row r="1073" spans="1:11">
      <c r="A1073" s="107"/>
      <c r="B1073" s="103"/>
      <c r="C1073" s="109"/>
      <c r="D1073" s="103"/>
      <c r="E1073" s="103"/>
      <c r="F1073" s="103"/>
      <c r="G1073" s="103"/>
      <c r="H1073" s="107"/>
      <c r="I1073" s="107"/>
      <c r="J1073" s="107"/>
      <c r="K1073" s="109"/>
    </row>
    <row r="1074" spans="1:11">
      <c r="A1074" s="107"/>
      <c r="B1074" s="103"/>
      <c r="C1074" s="109"/>
      <c r="D1074" s="103"/>
      <c r="E1074" s="103"/>
      <c r="F1074" s="103"/>
      <c r="G1074" s="103"/>
      <c r="H1074" s="107"/>
      <c r="I1074" s="107"/>
      <c r="J1074" s="107"/>
      <c r="K1074" s="109"/>
    </row>
    <row r="1075" spans="1:11">
      <c r="A1075" s="107"/>
      <c r="B1075" s="103"/>
      <c r="C1075" s="109"/>
      <c r="D1075" s="103"/>
      <c r="E1075" s="103"/>
      <c r="F1075" s="103"/>
      <c r="G1075" s="103"/>
      <c r="H1075" s="107"/>
      <c r="I1075" s="107"/>
      <c r="J1075" s="107"/>
      <c r="K1075" s="109"/>
    </row>
    <row r="1076" spans="1:11">
      <c r="A1076" s="107"/>
      <c r="B1076" s="103"/>
      <c r="C1076" s="109"/>
      <c r="D1076" s="103"/>
      <c r="E1076" s="103"/>
      <c r="F1076" s="103"/>
      <c r="G1076" s="103"/>
      <c r="H1076" s="107"/>
      <c r="I1076" s="107"/>
      <c r="J1076" s="107"/>
      <c r="K1076" s="109"/>
    </row>
    <row r="1077" spans="1:11">
      <c r="A1077" s="107"/>
      <c r="B1077" s="103"/>
      <c r="C1077" s="109"/>
      <c r="D1077" s="103"/>
      <c r="E1077" s="103"/>
      <c r="F1077" s="103"/>
      <c r="G1077" s="103"/>
      <c r="H1077" s="107"/>
      <c r="I1077" s="107"/>
      <c r="J1077" s="107"/>
      <c r="K1077" s="109"/>
    </row>
    <row r="1078" spans="1:11">
      <c r="A1078" s="107"/>
      <c r="B1078" s="103"/>
      <c r="C1078" s="109"/>
      <c r="D1078" s="103"/>
      <c r="E1078" s="103"/>
      <c r="F1078" s="103"/>
      <c r="G1078" s="103"/>
      <c r="H1078" s="107"/>
      <c r="I1078" s="107"/>
      <c r="J1078" s="107"/>
      <c r="K1078" s="109"/>
    </row>
    <row r="1079" spans="1:11">
      <c r="A1079" s="107"/>
      <c r="B1079" s="103"/>
      <c r="C1079" s="109"/>
      <c r="D1079" s="103"/>
      <c r="E1079" s="103"/>
      <c r="F1079" s="103"/>
      <c r="G1079" s="103"/>
      <c r="H1079" s="107"/>
      <c r="I1079" s="107"/>
      <c r="J1079" s="107"/>
      <c r="K1079" s="109"/>
    </row>
    <row r="1080" spans="1:11">
      <c r="A1080" s="107"/>
      <c r="B1080" s="103"/>
      <c r="C1080" s="109"/>
      <c r="D1080" s="103"/>
      <c r="E1080" s="103"/>
      <c r="F1080" s="103"/>
      <c r="G1080" s="103"/>
      <c r="H1080" s="107"/>
      <c r="I1080" s="107"/>
      <c r="J1080" s="107"/>
      <c r="K1080" s="109"/>
    </row>
    <row r="1081" spans="1:11">
      <c r="A1081" s="107"/>
      <c r="B1081" s="103"/>
      <c r="C1081" s="109"/>
      <c r="D1081" s="103"/>
      <c r="E1081" s="103"/>
      <c r="F1081" s="103"/>
      <c r="G1081" s="103"/>
      <c r="H1081" s="107"/>
      <c r="I1081" s="107"/>
      <c r="J1081" s="107"/>
      <c r="K1081" s="109"/>
    </row>
    <row r="1082" spans="1:11">
      <c r="A1082" s="107"/>
      <c r="B1082" s="103"/>
      <c r="C1082" s="109"/>
      <c r="D1082" s="103"/>
      <c r="E1082" s="103"/>
      <c r="F1082" s="103"/>
      <c r="G1082" s="103"/>
      <c r="H1082" s="107"/>
      <c r="I1082" s="107"/>
      <c r="J1082" s="107"/>
      <c r="K1082" s="109"/>
    </row>
    <row r="1083" spans="1:11">
      <c r="A1083" s="107"/>
      <c r="B1083" s="103"/>
      <c r="C1083" s="109"/>
      <c r="D1083" s="103"/>
      <c r="E1083" s="103"/>
      <c r="F1083" s="103"/>
      <c r="G1083" s="103"/>
      <c r="H1083" s="107"/>
      <c r="I1083" s="107"/>
      <c r="J1083" s="107"/>
      <c r="K1083" s="109"/>
    </row>
    <row r="1084" spans="1:11">
      <c r="A1084" s="107"/>
      <c r="B1084" s="103"/>
      <c r="C1084" s="109"/>
      <c r="D1084" s="103"/>
      <c r="E1084" s="103"/>
      <c r="F1084" s="103"/>
      <c r="G1084" s="103"/>
      <c r="H1084" s="107"/>
      <c r="I1084" s="107"/>
      <c r="J1084" s="107"/>
      <c r="K1084" s="109"/>
    </row>
    <row r="1085" spans="1:11">
      <c r="A1085" s="107"/>
      <c r="B1085" s="103"/>
      <c r="C1085" s="109"/>
      <c r="D1085" s="103"/>
      <c r="E1085" s="103"/>
      <c r="F1085" s="103"/>
      <c r="G1085" s="103"/>
      <c r="H1085" s="107"/>
      <c r="I1085" s="107"/>
      <c r="J1085" s="107"/>
      <c r="K1085" s="109"/>
    </row>
    <row r="1086" spans="1:11">
      <c r="A1086" s="107"/>
      <c r="B1086" s="103"/>
      <c r="C1086" s="109"/>
      <c r="D1086" s="103"/>
      <c r="E1086" s="103"/>
      <c r="F1086" s="103"/>
      <c r="G1086" s="103"/>
      <c r="H1086" s="107"/>
      <c r="I1086" s="107"/>
      <c r="J1086" s="107"/>
      <c r="K1086" s="109"/>
    </row>
    <row r="1087" spans="1:11">
      <c r="A1087" s="107"/>
      <c r="B1087" s="103"/>
      <c r="C1087" s="109"/>
      <c r="D1087" s="103"/>
      <c r="E1087" s="103"/>
      <c r="F1087" s="103"/>
      <c r="G1087" s="103"/>
      <c r="H1087" s="107"/>
      <c r="I1087" s="107"/>
      <c r="J1087" s="107"/>
      <c r="K1087" s="109"/>
    </row>
    <row r="1088" spans="1:11">
      <c r="A1088" s="107"/>
      <c r="B1088" s="103"/>
      <c r="C1088" s="109"/>
      <c r="D1088" s="103"/>
      <c r="E1088" s="103"/>
      <c r="F1088" s="103"/>
      <c r="G1088" s="103"/>
      <c r="H1088" s="107"/>
      <c r="I1088" s="107"/>
      <c r="J1088" s="107"/>
      <c r="K1088" s="109"/>
    </row>
    <row r="1089" spans="1:11">
      <c r="A1089" s="107"/>
      <c r="B1089" s="103"/>
      <c r="C1089" s="109"/>
      <c r="D1089" s="103"/>
      <c r="E1089" s="103"/>
      <c r="F1089" s="103"/>
      <c r="G1089" s="103"/>
      <c r="H1089" s="107"/>
      <c r="I1089" s="107"/>
      <c r="J1089" s="107"/>
      <c r="K1089" s="109"/>
    </row>
    <row r="1090" spans="1:11">
      <c r="A1090" s="107"/>
      <c r="B1090" s="103"/>
      <c r="C1090" s="109"/>
      <c r="D1090" s="103"/>
      <c r="E1090" s="103"/>
      <c r="F1090" s="103"/>
      <c r="G1090" s="103"/>
      <c r="H1090" s="107"/>
      <c r="I1090" s="107"/>
      <c r="J1090" s="107"/>
      <c r="K1090" s="109"/>
    </row>
    <row r="1091" spans="1:11">
      <c r="A1091" s="107"/>
      <c r="B1091" s="103"/>
      <c r="C1091" s="109"/>
      <c r="D1091" s="103"/>
      <c r="E1091" s="103"/>
      <c r="F1091" s="103"/>
      <c r="G1091" s="103"/>
      <c r="H1091" s="107"/>
      <c r="I1091" s="107"/>
      <c r="J1091" s="107"/>
      <c r="K1091" s="109"/>
    </row>
    <row r="1092" spans="1:11">
      <c r="A1092" s="107"/>
      <c r="B1092" s="103"/>
      <c r="C1092" s="109"/>
      <c r="D1092" s="103"/>
      <c r="E1092" s="103"/>
      <c r="F1092" s="103"/>
      <c r="G1092" s="103"/>
      <c r="H1092" s="107"/>
      <c r="I1092" s="107"/>
      <c r="J1092" s="107"/>
      <c r="K1092" s="109"/>
    </row>
    <row r="1093" spans="1:11">
      <c r="A1093" s="107"/>
      <c r="B1093" s="103"/>
      <c r="C1093" s="109"/>
      <c r="D1093" s="103"/>
      <c r="E1093" s="103"/>
      <c r="F1093" s="103"/>
      <c r="G1093" s="103"/>
      <c r="H1093" s="107"/>
      <c r="I1093" s="107"/>
      <c r="J1093" s="107"/>
      <c r="K1093" s="109"/>
    </row>
    <row r="1094" spans="1:11">
      <c r="A1094" s="107"/>
      <c r="B1094" s="103"/>
      <c r="C1094" s="109"/>
      <c r="D1094" s="103"/>
      <c r="E1094" s="103"/>
      <c r="F1094" s="103"/>
      <c r="G1094" s="103"/>
      <c r="H1094" s="107"/>
      <c r="I1094" s="107"/>
      <c r="J1094" s="107"/>
      <c r="K1094" s="109"/>
    </row>
    <row r="1095" spans="1:11">
      <c r="A1095" s="107"/>
      <c r="B1095" s="103"/>
      <c r="C1095" s="109"/>
      <c r="D1095" s="103"/>
      <c r="E1095" s="103"/>
      <c r="F1095" s="103"/>
      <c r="G1095" s="103"/>
      <c r="H1095" s="107"/>
      <c r="I1095" s="107"/>
      <c r="J1095" s="107"/>
      <c r="K1095" s="109"/>
    </row>
    <row r="1096" spans="1:11">
      <c r="A1096" s="107"/>
      <c r="B1096" s="103"/>
      <c r="C1096" s="109"/>
      <c r="D1096" s="103"/>
      <c r="E1096" s="103"/>
      <c r="F1096" s="103"/>
      <c r="G1096" s="103"/>
      <c r="H1096" s="107"/>
      <c r="I1096" s="107"/>
      <c r="J1096" s="107"/>
      <c r="K1096" s="109"/>
    </row>
    <row r="1097" spans="1:11">
      <c r="A1097" s="107"/>
      <c r="B1097" s="103"/>
      <c r="C1097" s="109"/>
      <c r="D1097" s="103"/>
      <c r="E1097" s="103"/>
      <c r="F1097" s="103"/>
      <c r="G1097" s="103"/>
      <c r="H1097" s="107"/>
      <c r="I1097" s="107"/>
      <c r="J1097" s="107"/>
      <c r="K1097" s="109"/>
    </row>
    <row r="1098" spans="1:11">
      <c r="A1098" s="107"/>
      <c r="B1098" s="103"/>
      <c r="C1098" s="109"/>
      <c r="D1098" s="103"/>
      <c r="E1098" s="103"/>
      <c r="F1098" s="103"/>
      <c r="G1098" s="103"/>
      <c r="H1098" s="107"/>
      <c r="I1098" s="107"/>
      <c r="J1098" s="107"/>
      <c r="K1098" s="109"/>
    </row>
    <row r="1099" spans="1:11">
      <c r="A1099" s="107"/>
      <c r="B1099" s="103"/>
      <c r="C1099" s="109"/>
      <c r="D1099" s="103"/>
      <c r="E1099" s="103"/>
      <c r="F1099" s="103"/>
      <c r="G1099" s="103"/>
      <c r="H1099" s="107"/>
      <c r="I1099" s="107"/>
      <c r="J1099" s="107"/>
      <c r="K1099" s="109"/>
    </row>
    <row r="1100" spans="1:11">
      <c r="A1100" s="107"/>
      <c r="B1100" s="103"/>
      <c r="C1100" s="109"/>
      <c r="D1100" s="103"/>
      <c r="E1100" s="103"/>
      <c r="F1100" s="103"/>
      <c r="G1100" s="103"/>
      <c r="H1100" s="107"/>
      <c r="I1100" s="107"/>
      <c r="J1100" s="107"/>
      <c r="K1100" s="109"/>
    </row>
    <row r="1101" spans="1:11">
      <c r="A1101" s="107"/>
      <c r="B1101" s="103"/>
      <c r="C1101" s="109"/>
      <c r="D1101" s="103"/>
      <c r="E1101" s="103"/>
      <c r="F1101" s="103"/>
      <c r="G1101" s="103"/>
      <c r="H1101" s="107"/>
      <c r="I1101" s="107"/>
      <c r="J1101" s="107"/>
      <c r="K1101" s="109"/>
    </row>
    <row r="1102" spans="1:11">
      <c r="A1102" s="107"/>
      <c r="B1102" s="103"/>
      <c r="C1102" s="109"/>
      <c r="D1102" s="103"/>
      <c r="E1102" s="103"/>
      <c r="F1102" s="103"/>
      <c r="G1102" s="103"/>
      <c r="H1102" s="107"/>
      <c r="I1102" s="107"/>
      <c r="J1102" s="107"/>
      <c r="K1102" s="109"/>
    </row>
    <row r="1103" spans="1:11">
      <c r="A1103" s="107"/>
      <c r="B1103" s="103"/>
      <c r="C1103" s="109"/>
      <c r="D1103" s="103"/>
      <c r="E1103" s="103"/>
      <c r="F1103" s="103"/>
      <c r="G1103" s="103"/>
      <c r="H1103" s="107"/>
      <c r="I1103" s="107"/>
      <c r="J1103" s="107"/>
      <c r="K1103" s="109"/>
    </row>
    <row r="1104" spans="1:11">
      <c r="A1104" s="107"/>
      <c r="B1104" s="103"/>
      <c r="C1104" s="109"/>
      <c r="D1104" s="103"/>
      <c r="E1104" s="103"/>
      <c r="F1104" s="103"/>
      <c r="G1104" s="103"/>
      <c r="H1104" s="107"/>
      <c r="I1104" s="107"/>
      <c r="J1104" s="107"/>
      <c r="K1104" s="109"/>
    </row>
    <row r="1105" spans="1:11">
      <c r="A1105" s="107"/>
      <c r="B1105" s="103"/>
      <c r="C1105" s="109"/>
      <c r="D1105" s="103"/>
      <c r="E1105" s="103"/>
      <c r="F1105" s="103"/>
      <c r="G1105" s="103"/>
      <c r="H1105" s="107"/>
      <c r="I1105" s="107"/>
      <c r="J1105" s="107"/>
      <c r="K1105" s="109"/>
    </row>
    <row r="1106" spans="1:11">
      <c r="A1106" s="107"/>
      <c r="B1106" s="103"/>
      <c r="C1106" s="109"/>
      <c r="D1106" s="103"/>
      <c r="E1106" s="103"/>
      <c r="F1106" s="103"/>
      <c r="G1106" s="103"/>
      <c r="H1106" s="107"/>
      <c r="I1106" s="107"/>
      <c r="J1106" s="107"/>
      <c r="K1106" s="109"/>
    </row>
    <row r="1107" spans="1:11">
      <c r="A1107" s="107"/>
      <c r="B1107" s="103"/>
      <c r="C1107" s="109"/>
      <c r="D1107" s="103"/>
      <c r="E1107" s="103"/>
      <c r="F1107" s="103"/>
      <c r="G1107" s="103"/>
      <c r="H1107" s="107"/>
      <c r="I1107" s="107"/>
      <c r="J1107" s="107"/>
      <c r="K1107" s="109"/>
    </row>
    <row r="1108" spans="1:11">
      <c r="A1108" s="107"/>
      <c r="B1108" s="103"/>
      <c r="C1108" s="109"/>
      <c r="D1108" s="103"/>
      <c r="E1108" s="103"/>
      <c r="F1108" s="103"/>
      <c r="G1108" s="103"/>
      <c r="H1108" s="107"/>
      <c r="I1108" s="107"/>
      <c r="J1108" s="107"/>
      <c r="K1108" s="109"/>
    </row>
    <row r="1109" spans="1:11">
      <c r="A1109" s="107"/>
      <c r="B1109" s="103"/>
      <c r="C1109" s="109"/>
      <c r="D1109" s="103"/>
      <c r="E1109" s="103"/>
      <c r="F1109" s="103"/>
      <c r="G1109" s="103"/>
      <c r="H1109" s="107"/>
      <c r="I1109" s="107"/>
      <c r="J1109" s="107"/>
      <c r="K1109" s="109"/>
    </row>
    <row r="1110" spans="1:11">
      <c r="A1110" s="107"/>
      <c r="B1110" s="103"/>
      <c r="C1110" s="109"/>
      <c r="D1110" s="103"/>
      <c r="E1110" s="103"/>
      <c r="F1110" s="103"/>
      <c r="G1110" s="103"/>
      <c r="H1110" s="107"/>
      <c r="I1110" s="107"/>
      <c r="J1110" s="107"/>
      <c r="K1110" s="109"/>
    </row>
    <row r="1111" spans="1:11">
      <c r="A1111" s="107"/>
      <c r="B1111" s="103"/>
      <c r="C1111" s="109"/>
      <c r="D1111" s="103"/>
      <c r="E1111" s="103"/>
      <c r="F1111" s="103"/>
      <c r="G1111" s="103"/>
      <c r="H1111" s="107"/>
      <c r="I1111" s="107"/>
      <c r="J1111" s="107"/>
      <c r="K1111" s="109"/>
    </row>
    <row r="1112" spans="1:11">
      <c r="A1112" s="107"/>
      <c r="B1112" s="103"/>
      <c r="C1112" s="109"/>
      <c r="D1112" s="103"/>
      <c r="E1112" s="103"/>
      <c r="F1112" s="103"/>
      <c r="G1112" s="103"/>
      <c r="H1112" s="107"/>
      <c r="I1112" s="107"/>
      <c r="J1112" s="107"/>
      <c r="K1112" s="109"/>
    </row>
    <row r="1113" spans="1:11">
      <c r="A1113" s="107"/>
      <c r="B1113" s="103"/>
      <c r="C1113" s="109"/>
      <c r="D1113" s="103"/>
      <c r="E1113" s="103"/>
      <c r="F1113" s="103"/>
      <c r="G1113" s="103"/>
      <c r="H1113" s="107"/>
      <c r="I1113" s="107"/>
      <c r="J1113" s="107"/>
      <c r="K1113" s="109"/>
    </row>
    <row r="1114" spans="1:11">
      <c r="A1114" s="107"/>
      <c r="B1114" s="103"/>
      <c r="C1114" s="109"/>
      <c r="D1114" s="103"/>
      <c r="E1114" s="103"/>
      <c r="F1114" s="103"/>
      <c r="G1114" s="103"/>
      <c r="H1114" s="107"/>
      <c r="I1114" s="107"/>
      <c r="J1114" s="107"/>
      <c r="K1114" s="109"/>
    </row>
    <row r="1115" spans="1:11">
      <c r="A1115" s="107"/>
      <c r="B1115" s="103"/>
      <c r="C1115" s="109"/>
      <c r="D1115" s="103"/>
      <c r="E1115" s="103"/>
      <c r="F1115" s="103"/>
      <c r="G1115" s="103"/>
      <c r="H1115" s="107"/>
      <c r="I1115" s="107"/>
      <c r="J1115" s="107"/>
      <c r="K1115" s="109"/>
    </row>
    <row r="1116" spans="1:11">
      <c r="A1116" s="107"/>
      <c r="B1116" s="103"/>
      <c r="C1116" s="109"/>
      <c r="D1116" s="103"/>
      <c r="E1116" s="103"/>
      <c r="F1116" s="103"/>
      <c r="G1116" s="103"/>
      <c r="H1116" s="107"/>
      <c r="I1116" s="107"/>
      <c r="J1116" s="107"/>
      <c r="K1116" s="109"/>
    </row>
    <row r="1117" spans="1:11">
      <c r="A1117" s="107"/>
      <c r="B1117" s="103"/>
      <c r="C1117" s="109"/>
      <c r="D1117" s="103"/>
      <c r="E1117" s="103"/>
      <c r="F1117" s="103"/>
      <c r="G1117" s="103"/>
      <c r="H1117" s="107"/>
      <c r="I1117" s="107"/>
      <c r="J1117" s="107"/>
      <c r="K1117" s="109"/>
    </row>
    <row r="1118" spans="1:11">
      <c r="A1118" s="107"/>
      <c r="B1118" s="103"/>
      <c r="C1118" s="109"/>
      <c r="D1118" s="103"/>
      <c r="E1118" s="103"/>
      <c r="F1118" s="103"/>
      <c r="G1118" s="103"/>
      <c r="H1118" s="107"/>
      <c r="I1118" s="107"/>
      <c r="J1118" s="107"/>
      <c r="K1118" s="109"/>
    </row>
    <row r="1119" spans="1:11">
      <c r="A1119" s="107"/>
      <c r="B1119" s="103"/>
      <c r="C1119" s="109"/>
      <c r="D1119" s="103"/>
      <c r="E1119" s="103"/>
      <c r="F1119" s="103"/>
      <c r="G1119" s="103"/>
      <c r="H1119" s="107"/>
      <c r="I1119" s="107"/>
      <c r="J1119" s="107"/>
      <c r="K1119" s="109"/>
    </row>
    <row r="1120" spans="1:11">
      <c r="A1120" s="107"/>
      <c r="B1120" s="103"/>
      <c r="C1120" s="109"/>
      <c r="D1120" s="103"/>
      <c r="E1120" s="103"/>
      <c r="F1120" s="103"/>
      <c r="G1120" s="103"/>
      <c r="H1120" s="107"/>
      <c r="I1120" s="107"/>
      <c r="J1120" s="107"/>
      <c r="K1120" s="109"/>
    </row>
    <row r="1121" spans="1:11">
      <c r="A1121" s="107"/>
      <c r="B1121" s="103"/>
      <c r="C1121" s="109"/>
      <c r="D1121" s="103"/>
      <c r="E1121" s="103"/>
      <c r="F1121" s="103"/>
      <c r="G1121" s="103"/>
      <c r="H1121" s="107"/>
      <c r="I1121" s="107"/>
      <c r="J1121" s="107"/>
      <c r="K1121" s="109"/>
    </row>
    <row r="1122" spans="1:11">
      <c r="A1122" s="107"/>
      <c r="B1122" s="103"/>
      <c r="C1122" s="109"/>
      <c r="D1122" s="103"/>
      <c r="E1122" s="103"/>
      <c r="F1122" s="103"/>
      <c r="G1122" s="103"/>
      <c r="H1122" s="107"/>
      <c r="I1122" s="107"/>
      <c r="J1122" s="107"/>
      <c r="K1122" s="109"/>
    </row>
    <row r="1123" spans="1:11">
      <c r="A1123" s="107"/>
      <c r="B1123" s="103"/>
      <c r="C1123" s="109"/>
      <c r="D1123" s="103"/>
      <c r="E1123" s="103"/>
      <c r="F1123" s="103"/>
      <c r="G1123" s="103"/>
      <c r="H1123" s="107"/>
      <c r="I1123" s="107"/>
      <c r="J1123" s="107"/>
      <c r="K1123" s="109"/>
    </row>
    <row r="1124" spans="1:11">
      <c r="A1124" s="107"/>
      <c r="B1124" s="103"/>
      <c r="C1124" s="109"/>
      <c r="D1124" s="103"/>
      <c r="E1124" s="103"/>
      <c r="F1124" s="103"/>
      <c r="G1124" s="103"/>
      <c r="H1124" s="107"/>
      <c r="I1124" s="107"/>
      <c r="J1124" s="107"/>
      <c r="K1124" s="109"/>
    </row>
    <row r="1125" spans="1:11">
      <c r="A1125" s="107"/>
      <c r="B1125" s="103"/>
      <c r="C1125" s="109"/>
      <c r="D1125" s="103"/>
      <c r="E1125" s="103"/>
      <c r="F1125" s="103"/>
      <c r="G1125" s="103"/>
      <c r="H1125" s="107"/>
      <c r="I1125" s="107"/>
      <c r="J1125" s="107"/>
      <c r="K1125" s="109"/>
    </row>
    <row r="1126" spans="1:11">
      <c r="A1126" s="107"/>
      <c r="B1126" s="103"/>
      <c r="C1126" s="109"/>
      <c r="D1126" s="103"/>
      <c r="E1126" s="103"/>
      <c r="F1126" s="103"/>
      <c r="G1126" s="103"/>
      <c r="H1126" s="107"/>
      <c r="I1126" s="107"/>
      <c r="J1126" s="107"/>
      <c r="K1126" s="109"/>
    </row>
    <row r="1127" spans="1:11">
      <c r="A1127" s="107"/>
      <c r="B1127" s="103"/>
      <c r="C1127" s="109"/>
      <c r="D1127" s="103"/>
      <c r="E1127" s="103"/>
      <c r="F1127" s="103"/>
      <c r="G1127" s="103"/>
      <c r="H1127" s="107"/>
      <c r="I1127" s="107"/>
      <c r="J1127" s="107"/>
      <c r="K1127" s="109"/>
    </row>
    <row r="1128" spans="1:11">
      <c r="A1128" s="107"/>
      <c r="B1128" s="103"/>
      <c r="C1128" s="109"/>
      <c r="D1128" s="103"/>
      <c r="E1128" s="103"/>
      <c r="F1128" s="103"/>
      <c r="G1128" s="103"/>
      <c r="H1128" s="107"/>
      <c r="I1128" s="107"/>
      <c r="J1128" s="107"/>
      <c r="K1128" s="109"/>
    </row>
    <row r="1129" spans="1:11">
      <c r="A1129" s="107"/>
      <c r="B1129" s="103"/>
      <c r="C1129" s="109"/>
      <c r="D1129" s="103"/>
      <c r="E1129" s="103"/>
      <c r="F1129" s="103"/>
      <c r="G1129" s="103"/>
      <c r="H1129" s="107"/>
      <c r="I1129" s="107"/>
      <c r="J1129" s="107"/>
      <c r="K1129" s="109"/>
    </row>
    <row r="1130" spans="1:11">
      <c r="A1130" s="107"/>
      <c r="B1130" s="103"/>
      <c r="C1130" s="109"/>
      <c r="D1130" s="103"/>
      <c r="E1130" s="103"/>
      <c r="F1130" s="103"/>
      <c r="G1130" s="103"/>
      <c r="H1130" s="107"/>
      <c r="I1130" s="107"/>
      <c r="J1130" s="107"/>
      <c r="K1130" s="109"/>
    </row>
    <row r="1131" spans="1:11">
      <c r="A1131" s="107"/>
      <c r="B1131" s="103"/>
      <c r="C1131" s="109"/>
      <c r="D1131" s="103"/>
      <c r="E1131" s="103"/>
      <c r="F1131" s="103"/>
      <c r="G1131" s="103"/>
      <c r="H1131" s="107"/>
      <c r="I1131" s="107"/>
      <c r="J1131" s="107"/>
      <c r="K1131" s="109"/>
    </row>
    <row r="1132" spans="1:11">
      <c r="A1132" s="107"/>
      <c r="B1132" s="103"/>
      <c r="C1132" s="109"/>
      <c r="D1132" s="103"/>
      <c r="E1132" s="103"/>
      <c r="F1132" s="103"/>
      <c r="G1132" s="103"/>
      <c r="H1132" s="107"/>
      <c r="I1132" s="107"/>
      <c r="J1132" s="107"/>
      <c r="K1132" s="109"/>
    </row>
    <row r="1133" spans="1:11">
      <c r="A1133" s="107"/>
      <c r="B1133" s="103"/>
      <c r="C1133" s="109"/>
      <c r="D1133" s="103"/>
      <c r="E1133" s="103"/>
      <c r="F1133" s="103"/>
      <c r="G1133" s="103"/>
      <c r="H1133" s="107"/>
      <c r="I1133" s="107"/>
      <c r="J1133" s="107"/>
      <c r="K1133" s="109"/>
    </row>
    <row r="1134" spans="1:11">
      <c r="A1134" s="107"/>
      <c r="B1134" s="103"/>
      <c r="C1134" s="109"/>
      <c r="D1134" s="103"/>
      <c r="E1134" s="103"/>
      <c r="F1134" s="103"/>
      <c r="G1134" s="103"/>
      <c r="H1134" s="107"/>
      <c r="I1134" s="107"/>
      <c r="J1134" s="107"/>
      <c r="K1134" s="109"/>
    </row>
    <row r="1135" spans="1:11">
      <c r="A1135" s="107"/>
      <c r="B1135" s="103"/>
      <c r="C1135" s="109"/>
      <c r="D1135" s="103"/>
      <c r="E1135" s="103"/>
      <c r="F1135" s="103"/>
      <c r="G1135" s="103"/>
      <c r="H1135" s="107"/>
      <c r="I1135" s="107"/>
      <c r="J1135" s="107"/>
      <c r="K1135" s="109"/>
    </row>
    <row r="1136" spans="1:11">
      <c r="A1136" s="107"/>
      <c r="B1136" s="103"/>
      <c r="C1136" s="109"/>
      <c r="D1136" s="103"/>
      <c r="E1136" s="103"/>
      <c r="F1136" s="103"/>
      <c r="G1136" s="103"/>
      <c r="H1136" s="107"/>
      <c r="I1136" s="107"/>
      <c r="J1136" s="107"/>
      <c r="K1136" s="109"/>
    </row>
    <row r="1137" spans="1:11">
      <c r="A1137" s="107"/>
      <c r="B1137" s="103"/>
      <c r="C1137" s="109"/>
      <c r="D1137" s="103"/>
      <c r="E1137" s="103"/>
      <c r="F1137" s="103"/>
      <c r="G1137" s="103"/>
      <c r="H1137" s="107"/>
      <c r="I1137" s="107"/>
      <c r="J1137" s="107"/>
      <c r="K1137" s="109"/>
    </row>
    <row r="1138" spans="1:11">
      <c r="A1138" s="107"/>
      <c r="B1138" s="103"/>
      <c r="C1138" s="109"/>
      <c r="D1138" s="103"/>
      <c r="E1138" s="103"/>
      <c r="F1138" s="103"/>
      <c r="G1138" s="103"/>
      <c r="H1138" s="107"/>
      <c r="I1138" s="107"/>
      <c r="J1138" s="107"/>
      <c r="K1138" s="109"/>
    </row>
    <row r="1139" spans="1:11">
      <c r="A1139" s="107"/>
      <c r="B1139" s="103"/>
      <c r="C1139" s="109"/>
      <c r="D1139" s="103"/>
      <c r="E1139" s="103"/>
      <c r="F1139" s="103"/>
      <c r="G1139" s="103"/>
      <c r="H1139" s="107"/>
      <c r="I1139" s="107"/>
      <c r="J1139" s="107"/>
      <c r="K1139" s="109"/>
    </row>
    <row r="1140" spans="1:11">
      <c r="A1140" s="107"/>
      <c r="B1140" s="103"/>
      <c r="C1140" s="109"/>
      <c r="D1140" s="103"/>
      <c r="E1140" s="103"/>
      <c r="F1140" s="103"/>
      <c r="G1140" s="103"/>
      <c r="H1140" s="107"/>
      <c r="I1140" s="107"/>
      <c r="J1140" s="107"/>
      <c r="K1140" s="109"/>
    </row>
    <row r="1141" spans="1:11">
      <c r="A1141" s="107"/>
      <c r="B1141" s="103"/>
      <c r="C1141" s="109"/>
      <c r="D1141" s="103"/>
      <c r="E1141" s="103"/>
      <c r="F1141" s="103"/>
      <c r="G1141" s="103"/>
      <c r="H1141" s="107"/>
      <c r="I1141" s="107"/>
      <c r="J1141" s="107"/>
      <c r="K1141" s="109"/>
    </row>
    <row r="1142" spans="1:11">
      <c r="A1142" s="107"/>
      <c r="B1142" s="103"/>
      <c r="C1142" s="109"/>
      <c r="D1142" s="103"/>
      <c r="E1142" s="103"/>
      <c r="F1142" s="103"/>
      <c r="G1142" s="103"/>
      <c r="H1142" s="107"/>
      <c r="I1142" s="107"/>
      <c r="J1142" s="107"/>
      <c r="K1142" s="109"/>
    </row>
    <row r="1143" spans="1:11">
      <c r="A1143" s="107"/>
      <c r="B1143" s="103"/>
      <c r="C1143" s="109"/>
      <c r="D1143" s="103"/>
      <c r="E1143" s="103"/>
      <c r="F1143" s="103"/>
      <c r="G1143" s="103"/>
      <c r="H1143" s="107"/>
      <c r="I1143" s="107"/>
      <c r="J1143" s="107"/>
      <c r="K1143" s="109"/>
    </row>
    <row r="1144" spans="1:11">
      <c r="A1144" s="107"/>
      <c r="B1144" s="103"/>
      <c r="C1144" s="109"/>
      <c r="D1144" s="103"/>
      <c r="E1144" s="103"/>
      <c r="F1144" s="103"/>
      <c r="G1144" s="103"/>
      <c r="H1144" s="107"/>
      <c r="I1144" s="107"/>
      <c r="J1144" s="107"/>
      <c r="K1144" s="109"/>
    </row>
    <row r="1145" spans="1:11">
      <c r="A1145" s="107"/>
      <c r="B1145" s="103"/>
      <c r="C1145" s="109"/>
      <c r="D1145" s="103"/>
      <c r="E1145" s="103"/>
      <c r="F1145" s="103"/>
      <c r="G1145" s="103"/>
      <c r="H1145" s="107"/>
      <c r="I1145" s="107"/>
      <c r="J1145" s="107"/>
      <c r="K1145" s="109"/>
    </row>
    <row r="1146" spans="1:11">
      <c r="A1146" s="107"/>
      <c r="B1146" s="103"/>
      <c r="C1146" s="109"/>
      <c r="D1146" s="103"/>
      <c r="E1146" s="103"/>
      <c r="F1146" s="103"/>
      <c r="G1146" s="103"/>
      <c r="H1146" s="107"/>
      <c r="I1146" s="107"/>
      <c r="J1146" s="107"/>
      <c r="K1146" s="109"/>
    </row>
    <row r="1147" spans="1:11">
      <c r="A1147" s="107"/>
      <c r="B1147" s="103"/>
      <c r="C1147" s="109"/>
      <c r="D1147" s="103"/>
      <c r="E1147" s="103"/>
      <c r="F1147" s="103"/>
      <c r="G1147" s="103"/>
      <c r="H1147" s="107"/>
      <c r="I1147" s="107"/>
      <c r="J1147" s="107"/>
      <c r="K1147" s="109"/>
    </row>
    <row r="1148" spans="1:11">
      <c r="A1148" s="107"/>
      <c r="B1148" s="103"/>
      <c r="C1148" s="109"/>
      <c r="D1148" s="103"/>
      <c r="E1148" s="103"/>
      <c r="F1148" s="103"/>
      <c r="G1148" s="103"/>
      <c r="H1148" s="107"/>
      <c r="I1148" s="107"/>
      <c r="J1148" s="107"/>
      <c r="K1148" s="109"/>
    </row>
    <row r="1149" spans="1:11">
      <c r="A1149" s="107"/>
      <c r="B1149" s="103"/>
      <c r="C1149" s="109"/>
      <c r="D1149" s="103"/>
      <c r="E1149" s="103"/>
      <c r="F1149" s="103"/>
      <c r="G1149" s="103"/>
      <c r="H1149" s="107"/>
      <c r="I1149" s="107"/>
      <c r="J1149" s="107"/>
      <c r="K1149" s="109"/>
    </row>
    <row r="1150" spans="1:11">
      <c r="A1150" s="107"/>
      <c r="B1150" s="103"/>
      <c r="C1150" s="109"/>
      <c r="D1150" s="103"/>
      <c r="E1150" s="103"/>
      <c r="F1150" s="103"/>
      <c r="G1150" s="103"/>
      <c r="H1150" s="107"/>
      <c r="I1150" s="107"/>
      <c r="J1150" s="107"/>
      <c r="K1150" s="109"/>
    </row>
    <row r="1151" spans="1:11">
      <c r="A1151" s="107"/>
      <c r="B1151" s="103"/>
      <c r="C1151" s="109"/>
      <c r="D1151" s="103"/>
      <c r="E1151" s="103"/>
      <c r="F1151" s="103"/>
      <c r="G1151" s="103"/>
      <c r="H1151" s="107"/>
      <c r="I1151" s="107"/>
      <c r="J1151" s="107"/>
      <c r="K1151" s="109"/>
    </row>
    <row r="1152" spans="1:11">
      <c r="A1152" s="107"/>
      <c r="B1152" s="103"/>
      <c r="C1152" s="109"/>
      <c r="D1152" s="103"/>
      <c r="E1152" s="103"/>
      <c r="F1152" s="103"/>
      <c r="G1152" s="103"/>
      <c r="H1152" s="107"/>
      <c r="I1152" s="107"/>
      <c r="J1152" s="107"/>
      <c r="K1152" s="109"/>
    </row>
    <row r="1153" spans="1:11">
      <c r="A1153" s="107"/>
      <c r="B1153" s="103"/>
      <c r="C1153" s="109"/>
      <c r="D1153" s="103"/>
      <c r="E1153" s="103"/>
      <c r="F1153" s="103"/>
      <c r="G1153" s="103"/>
      <c r="H1153" s="107"/>
      <c r="I1153" s="107"/>
      <c r="J1153" s="107"/>
      <c r="K1153" s="109"/>
    </row>
    <row r="1154" spans="1:11">
      <c r="A1154" s="107"/>
      <c r="B1154" s="103"/>
      <c r="C1154" s="109"/>
      <c r="D1154" s="103"/>
      <c r="E1154" s="103"/>
      <c r="F1154" s="103"/>
      <c r="G1154" s="103"/>
      <c r="H1154" s="107"/>
      <c r="I1154" s="107"/>
      <c r="J1154" s="107"/>
      <c r="K1154" s="109"/>
    </row>
    <row r="1155" spans="1:11">
      <c r="A1155" s="107"/>
      <c r="B1155" s="103"/>
      <c r="C1155" s="109"/>
      <c r="D1155" s="103"/>
      <c r="E1155" s="103"/>
      <c r="F1155" s="103"/>
      <c r="G1155" s="103"/>
      <c r="H1155" s="107"/>
      <c r="I1155" s="107"/>
      <c r="J1155" s="107"/>
      <c r="K1155" s="109"/>
    </row>
    <row r="1156" spans="1:11">
      <c r="A1156" s="107"/>
      <c r="B1156" s="103"/>
      <c r="C1156" s="109"/>
      <c r="D1156" s="103"/>
      <c r="E1156" s="103"/>
      <c r="F1156" s="103"/>
      <c r="G1156" s="103"/>
      <c r="H1156" s="107"/>
      <c r="I1156" s="107"/>
      <c r="J1156" s="107"/>
      <c r="K1156" s="109"/>
    </row>
    <row r="1157" spans="1:11">
      <c r="A1157" s="107"/>
      <c r="B1157" s="103"/>
      <c r="C1157" s="109"/>
      <c r="D1157" s="103"/>
      <c r="E1157" s="103"/>
      <c r="F1157" s="103"/>
      <c r="G1157" s="103"/>
      <c r="H1157" s="107"/>
      <c r="I1157" s="107"/>
      <c r="J1157" s="107"/>
      <c r="K1157" s="109"/>
    </row>
    <row r="1158" spans="1:11">
      <c r="A1158" s="107"/>
      <c r="B1158" s="103"/>
      <c r="C1158" s="109"/>
      <c r="D1158" s="103"/>
      <c r="E1158" s="103"/>
      <c r="F1158" s="103"/>
      <c r="G1158" s="103"/>
      <c r="H1158" s="107"/>
      <c r="I1158" s="107"/>
      <c r="J1158" s="107"/>
      <c r="K1158" s="109"/>
    </row>
    <row r="1159" spans="1:11">
      <c r="A1159" s="107"/>
      <c r="B1159" s="103"/>
      <c r="C1159" s="109"/>
      <c r="D1159" s="103"/>
      <c r="E1159" s="103"/>
      <c r="F1159" s="103"/>
      <c r="G1159" s="103"/>
      <c r="H1159" s="107"/>
      <c r="I1159" s="107"/>
      <c r="J1159" s="107"/>
      <c r="K1159" s="109"/>
    </row>
    <row r="1160" spans="1:11">
      <c r="A1160" s="107"/>
      <c r="B1160" s="103"/>
      <c r="C1160" s="109"/>
      <c r="D1160" s="103"/>
      <c r="E1160" s="103"/>
      <c r="F1160" s="103"/>
      <c r="G1160" s="103"/>
      <c r="H1160" s="107"/>
      <c r="I1160" s="107"/>
      <c r="J1160" s="107"/>
      <c r="K1160" s="109"/>
    </row>
    <row r="1161" spans="1:11">
      <c r="A1161" s="107"/>
      <c r="B1161" s="103"/>
      <c r="C1161" s="109"/>
      <c r="D1161" s="103"/>
      <c r="E1161" s="103"/>
      <c r="F1161" s="103"/>
      <c r="G1161" s="103"/>
      <c r="H1161" s="107"/>
      <c r="I1161" s="107"/>
      <c r="J1161" s="107"/>
      <c r="K1161" s="109"/>
    </row>
    <row r="1162" spans="1:11">
      <c r="A1162" s="107"/>
      <c r="B1162" s="103"/>
      <c r="C1162" s="109"/>
      <c r="D1162" s="103"/>
      <c r="E1162" s="103"/>
      <c r="F1162" s="103"/>
      <c r="G1162" s="103"/>
      <c r="H1162" s="107"/>
      <c r="I1162" s="107"/>
      <c r="J1162" s="107"/>
      <c r="K1162" s="109"/>
    </row>
    <row r="1163" spans="1:11">
      <c r="A1163" s="107"/>
      <c r="B1163" s="103"/>
      <c r="C1163" s="109"/>
      <c r="D1163" s="103"/>
      <c r="E1163" s="103"/>
      <c r="F1163" s="103"/>
      <c r="G1163" s="103"/>
      <c r="H1163" s="107"/>
      <c r="I1163" s="107"/>
      <c r="J1163" s="107"/>
      <c r="K1163" s="109"/>
    </row>
    <row r="1164" spans="1:11">
      <c r="A1164" s="107"/>
      <c r="B1164" s="103"/>
      <c r="C1164" s="109"/>
      <c r="D1164" s="103"/>
      <c r="E1164" s="103"/>
      <c r="F1164" s="103"/>
      <c r="G1164" s="103"/>
      <c r="H1164" s="107"/>
      <c r="I1164" s="107"/>
      <c r="J1164" s="107"/>
      <c r="K1164" s="109"/>
    </row>
    <row r="1165" spans="1:11">
      <c r="A1165" s="107"/>
      <c r="B1165" s="103"/>
      <c r="C1165" s="109"/>
      <c r="D1165" s="103"/>
      <c r="E1165" s="103"/>
      <c r="F1165" s="103"/>
      <c r="G1165" s="103"/>
      <c r="H1165" s="107"/>
      <c r="I1165" s="107"/>
      <c r="J1165" s="107"/>
      <c r="K1165" s="109"/>
    </row>
    <row r="1166" spans="1:11">
      <c r="A1166" s="107"/>
      <c r="B1166" s="103"/>
      <c r="C1166" s="109"/>
      <c r="D1166" s="103"/>
      <c r="E1166" s="103"/>
      <c r="F1166" s="103"/>
      <c r="G1166" s="103"/>
      <c r="H1166" s="107"/>
      <c r="I1166" s="107"/>
      <c r="J1166" s="107"/>
      <c r="K1166" s="109"/>
    </row>
    <row r="1167" spans="1:11">
      <c r="A1167" s="107"/>
      <c r="B1167" s="103"/>
      <c r="C1167" s="109"/>
      <c r="D1167" s="103"/>
      <c r="E1167" s="103"/>
      <c r="F1167" s="103"/>
      <c r="G1167" s="103"/>
      <c r="H1167" s="107"/>
      <c r="I1167" s="107"/>
      <c r="J1167" s="107"/>
      <c r="K1167" s="109"/>
    </row>
    <row r="1168" spans="1:11">
      <c r="A1168" s="107"/>
      <c r="B1168" s="103"/>
      <c r="C1168" s="109"/>
      <c r="D1168" s="103"/>
      <c r="E1168" s="103"/>
      <c r="F1168" s="103"/>
      <c r="G1168" s="103"/>
      <c r="H1168" s="107"/>
      <c r="I1168" s="107"/>
      <c r="J1168" s="107"/>
      <c r="K1168" s="109"/>
    </row>
    <row r="1169" spans="1:11">
      <c r="A1169" s="107"/>
      <c r="B1169" s="103"/>
      <c r="C1169" s="109"/>
      <c r="D1169" s="103"/>
      <c r="E1169" s="103"/>
      <c r="F1169" s="103"/>
      <c r="G1169" s="103"/>
      <c r="H1169" s="107"/>
      <c r="I1169" s="107"/>
      <c r="J1169" s="107"/>
      <c r="K1169" s="109"/>
    </row>
    <row r="1170" spans="1:11">
      <c r="A1170" s="107"/>
      <c r="B1170" s="103"/>
      <c r="C1170" s="109"/>
      <c r="D1170" s="103"/>
      <c r="E1170" s="103"/>
      <c r="F1170" s="103"/>
      <c r="G1170" s="103"/>
      <c r="H1170" s="107"/>
      <c r="I1170" s="107"/>
      <c r="J1170" s="107"/>
      <c r="K1170" s="109"/>
    </row>
    <row r="1171" spans="1:11">
      <c r="A1171" s="107"/>
      <c r="B1171" s="103"/>
      <c r="C1171" s="109"/>
      <c r="D1171" s="103"/>
      <c r="E1171" s="103"/>
      <c r="F1171" s="103"/>
      <c r="G1171" s="103"/>
      <c r="H1171" s="107"/>
      <c r="I1171" s="107"/>
      <c r="J1171" s="107"/>
      <c r="K1171" s="109"/>
    </row>
    <row r="1172" spans="1:11">
      <c r="A1172" s="107"/>
      <c r="B1172" s="103"/>
      <c r="C1172" s="109"/>
      <c r="D1172" s="103"/>
      <c r="E1172" s="103"/>
      <c r="F1172" s="103"/>
      <c r="G1172" s="103"/>
      <c r="H1172" s="107"/>
      <c r="I1172" s="107"/>
      <c r="J1172" s="107"/>
      <c r="K1172" s="109"/>
    </row>
    <row r="1173" spans="1:11">
      <c r="A1173" s="107"/>
      <c r="B1173" s="103"/>
      <c r="C1173" s="109"/>
      <c r="D1173" s="103"/>
      <c r="E1173" s="103"/>
      <c r="F1173" s="103"/>
      <c r="G1173" s="103"/>
      <c r="H1173" s="107"/>
      <c r="I1173" s="107"/>
      <c r="J1173" s="107"/>
      <c r="K1173" s="109"/>
    </row>
    <row r="1174" spans="1:11">
      <c r="A1174" s="107"/>
      <c r="B1174" s="103"/>
      <c r="C1174" s="109"/>
      <c r="D1174" s="103"/>
      <c r="E1174" s="103"/>
      <c r="F1174" s="103"/>
      <c r="G1174" s="103"/>
      <c r="H1174" s="107"/>
      <c r="I1174" s="107"/>
      <c r="J1174" s="107"/>
      <c r="K1174" s="109"/>
    </row>
    <row r="1175" spans="1:11">
      <c r="A1175" s="107"/>
      <c r="B1175" s="103"/>
      <c r="C1175" s="109"/>
      <c r="D1175" s="103"/>
      <c r="E1175" s="103"/>
      <c r="F1175" s="103"/>
      <c r="G1175" s="103"/>
      <c r="H1175" s="107"/>
      <c r="I1175" s="107"/>
      <c r="J1175" s="107"/>
      <c r="K1175" s="109"/>
    </row>
    <row r="1176" spans="1:11">
      <c r="A1176" s="107"/>
      <c r="B1176" s="103"/>
      <c r="C1176" s="109"/>
      <c r="D1176" s="103"/>
      <c r="E1176" s="103"/>
      <c r="F1176" s="103"/>
      <c r="G1176" s="103"/>
      <c r="H1176" s="107"/>
      <c r="I1176" s="107"/>
      <c r="J1176" s="107"/>
      <c r="K1176" s="109"/>
    </row>
    <row r="1177" spans="1:11">
      <c r="A1177" s="107"/>
      <c r="B1177" s="103"/>
      <c r="C1177" s="109"/>
      <c r="D1177" s="103"/>
      <c r="E1177" s="103"/>
      <c r="F1177" s="103"/>
      <c r="G1177" s="103"/>
      <c r="H1177" s="107"/>
      <c r="I1177" s="107"/>
      <c r="J1177" s="107"/>
      <c r="K1177" s="109"/>
    </row>
    <row r="1178" spans="1:11">
      <c r="A1178" s="107"/>
      <c r="B1178" s="103"/>
      <c r="C1178" s="109"/>
      <c r="D1178" s="103"/>
      <c r="E1178" s="103"/>
      <c r="F1178" s="103"/>
      <c r="G1178" s="103"/>
      <c r="H1178" s="107"/>
      <c r="I1178" s="107"/>
      <c r="J1178" s="107"/>
      <c r="K1178" s="109"/>
    </row>
    <row r="1179" spans="1:11">
      <c r="A1179" s="107"/>
      <c r="B1179" s="103"/>
      <c r="C1179" s="109"/>
      <c r="D1179" s="103"/>
      <c r="E1179" s="103"/>
      <c r="F1179" s="103"/>
      <c r="G1179" s="103"/>
      <c r="H1179" s="107"/>
      <c r="I1179" s="107"/>
      <c r="J1179" s="107"/>
      <c r="K1179" s="109"/>
    </row>
    <row r="1180" spans="1:11">
      <c r="A1180" s="107"/>
      <c r="B1180" s="103"/>
      <c r="C1180" s="109"/>
      <c r="D1180" s="103"/>
      <c r="E1180" s="103"/>
      <c r="F1180" s="103"/>
      <c r="G1180" s="103"/>
      <c r="H1180" s="107"/>
      <c r="I1180" s="107"/>
      <c r="J1180" s="107"/>
      <c r="K1180" s="109"/>
    </row>
    <row r="1181" spans="1:11">
      <c r="A1181" s="107"/>
      <c r="B1181" s="103"/>
      <c r="C1181" s="109"/>
      <c r="D1181" s="103"/>
      <c r="E1181" s="103"/>
      <c r="F1181" s="103"/>
      <c r="G1181" s="103"/>
      <c r="H1181" s="107"/>
      <c r="I1181" s="107"/>
      <c r="J1181" s="107"/>
      <c r="K1181" s="109"/>
    </row>
    <row r="1182" spans="1:11">
      <c r="A1182" s="107"/>
      <c r="B1182" s="103"/>
      <c r="C1182" s="109"/>
      <c r="D1182" s="103"/>
      <c r="E1182" s="103"/>
      <c r="F1182" s="103"/>
      <c r="G1182" s="103"/>
      <c r="H1182" s="107"/>
      <c r="I1182" s="107"/>
      <c r="J1182" s="107"/>
      <c r="K1182" s="109"/>
    </row>
    <row r="1183" spans="1:11">
      <c r="A1183" s="107"/>
      <c r="B1183" s="103"/>
      <c r="C1183" s="109"/>
      <c r="D1183" s="103"/>
      <c r="E1183" s="103"/>
      <c r="F1183" s="103"/>
      <c r="G1183" s="103"/>
      <c r="H1183" s="107"/>
      <c r="I1183" s="107"/>
      <c r="J1183" s="107"/>
      <c r="K1183" s="109"/>
    </row>
    <row r="1184" spans="1:11">
      <c r="A1184" s="107"/>
      <c r="B1184" s="103"/>
      <c r="C1184" s="109"/>
      <c r="D1184" s="103"/>
      <c r="E1184" s="103"/>
      <c r="F1184" s="103"/>
      <c r="G1184" s="103"/>
      <c r="H1184" s="107"/>
      <c r="I1184" s="107"/>
      <c r="J1184" s="107"/>
      <c r="K1184" s="109"/>
    </row>
    <row r="1185" spans="1:11">
      <c r="A1185" s="107"/>
      <c r="B1185" s="103"/>
      <c r="C1185" s="109"/>
      <c r="D1185" s="103"/>
      <c r="E1185" s="103"/>
      <c r="F1185" s="103"/>
      <c r="G1185" s="103"/>
      <c r="H1185" s="107"/>
      <c r="I1185" s="107"/>
      <c r="J1185" s="107"/>
      <c r="K1185" s="109"/>
    </row>
    <row r="1186" spans="1:11">
      <c r="A1186" s="107"/>
      <c r="B1186" s="103"/>
      <c r="C1186" s="109"/>
      <c r="D1186" s="103"/>
      <c r="E1186" s="103"/>
      <c r="F1186" s="103"/>
      <c r="G1186" s="103"/>
      <c r="H1186" s="107"/>
      <c r="I1186" s="107"/>
      <c r="J1186" s="107"/>
      <c r="K1186" s="109"/>
    </row>
    <row r="1187" spans="1:11">
      <c r="A1187" s="107"/>
      <c r="B1187" s="103"/>
      <c r="C1187" s="109"/>
      <c r="D1187" s="103"/>
      <c r="E1187" s="103"/>
      <c r="F1187" s="103"/>
      <c r="G1187" s="103"/>
      <c r="H1187" s="107"/>
      <c r="I1187" s="107"/>
      <c r="J1187" s="107"/>
      <c r="K1187" s="109"/>
    </row>
    <row r="1188" spans="1:11">
      <c r="A1188" s="107"/>
      <c r="B1188" s="103"/>
      <c r="C1188" s="109"/>
      <c r="D1188" s="103"/>
      <c r="E1188" s="103"/>
      <c r="F1188" s="103"/>
      <c r="G1188" s="103"/>
      <c r="H1188" s="107"/>
      <c r="I1188" s="107"/>
      <c r="J1188" s="107"/>
      <c r="K1188" s="109"/>
    </row>
    <row r="1189" spans="1:11">
      <c r="A1189" s="107"/>
      <c r="B1189" s="103"/>
      <c r="C1189" s="109"/>
      <c r="D1189" s="103"/>
      <c r="E1189" s="103"/>
      <c r="F1189" s="103"/>
      <c r="G1189" s="103"/>
      <c r="H1189" s="107"/>
      <c r="I1189" s="107"/>
      <c r="J1189" s="107"/>
      <c r="K1189" s="109"/>
    </row>
    <row r="1190" spans="1:11">
      <c r="A1190" s="107"/>
      <c r="B1190" s="103"/>
      <c r="C1190" s="109"/>
      <c r="D1190" s="103"/>
      <c r="E1190" s="103"/>
      <c r="F1190" s="103"/>
      <c r="G1190" s="103"/>
      <c r="H1190" s="107"/>
      <c r="I1190" s="107"/>
      <c r="J1190" s="107"/>
      <c r="K1190" s="109"/>
    </row>
    <row r="1191" spans="1:11">
      <c r="A1191" s="107"/>
      <c r="B1191" s="103"/>
      <c r="C1191" s="109"/>
      <c r="D1191" s="103"/>
      <c r="E1191" s="103"/>
      <c r="F1191" s="103"/>
      <c r="G1191" s="103"/>
      <c r="H1191" s="107"/>
      <c r="I1191" s="107"/>
      <c r="J1191" s="107"/>
      <c r="K1191" s="109"/>
    </row>
    <row r="1192" spans="1:11">
      <c r="A1192" s="107"/>
      <c r="B1192" s="103"/>
      <c r="C1192" s="109"/>
      <c r="D1192" s="103"/>
      <c r="E1192" s="103"/>
      <c r="F1192" s="103"/>
      <c r="G1192" s="103"/>
      <c r="H1192" s="107"/>
      <c r="I1192" s="107"/>
      <c r="J1192" s="107"/>
      <c r="K1192" s="109"/>
    </row>
    <row r="1193" spans="1:11">
      <c r="A1193" s="107"/>
      <c r="B1193" s="103"/>
      <c r="C1193" s="109"/>
      <c r="D1193" s="103"/>
      <c r="E1193" s="103"/>
      <c r="F1193" s="103"/>
      <c r="G1193" s="103"/>
      <c r="H1193" s="107"/>
      <c r="I1193" s="107"/>
      <c r="J1193" s="107"/>
      <c r="K1193" s="109"/>
    </row>
    <row r="1194" spans="1:11">
      <c r="A1194" s="107"/>
      <c r="B1194" s="103"/>
      <c r="C1194" s="109"/>
      <c r="D1194" s="103"/>
      <c r="E1194" s="103"/>
      <c r="F1194" s="103"/>
      <c r="G1194" s="103"/>
      <c r="H1194" s="107"/>
      <c r="I1194" s="107"/>
      <c r="J1194" s="107"/>
      <c r="K1194" s="109"/>
    </row>
    <row r="1195" spans="1:11">
      <c r="A1195" s="107"/>
      <c r="B1195" s="103"/>
      <c r="C1195" s="109"/>
      <c r="D1195" s="103"/>
      <c r="E1195" s="103"/>
      <c r="F1195" s="103"/>
      <c r="G1195" s="103"/>
      <c r="H1195" s="107"/>
      <c r="I1195" s="107"/>
      <c r="J1195" s="107"/>
      <c r="K1195" s="109"/>
    </row>
    <row r="1196" spans="1:11">
      <c r="A1196" s="107"/>
      <c r="B1196" s="103"/>
      <c r="C1196" s="109"/>
      <c r="D1196" s="103"/>
      <c r="E1196" s="103"/>
      <c r="F1196" s="103"/>
      <c r="G1196" s="103"/>
      <c r="H1196" s="107"/>
      <c r="I1196" s="107"/>
      <c r="J1196" s="107"/>
      <c r="K1196" s="109"/>
    </row>
    <row r="1197" spans="1:11">
      <c r="A1197" s="107"/>
      <c r="B1197" s="103"/>
      <c r="C1197" s="109"/>
      <c r="D1197" s="103"/>
      <c r="E1197" s="103"/>
      <c r="F1197" s="103"/>
      <c r="G1197" s="103"/>
      <c r="H1197" s="107"/>
      <c r="I1197" s="107"/>
      <c r="J1197" s="107"/>
      <c r="K1197" s="109"/>
    </row>
    <row r="1198" spans="1:11">
      <c r="A1198" s="107"/>
      <c r="B1198" s="103"/>
      <c r="C1198" s="109"/>
      <c r="D1198" s="103"/>
      <c r="E1198" s="103"/>
      <c r="F1198" s="103"/>
      <c r="G1198" s="103"/>
      <c r="H1198" s="107"/>
      <c r="I1198" s="107"/>
      <c r="J1198" s="107"/>
      <c r="K1198" s="109"/>
    </row>
    <row r="1199" spans="1:11">
      <c r="A1199" s="107"/>
      <c r="B1199" s="103"/>
      <c r="C1199" s="109"/>
      <c r="D1199" s="103"/>
      <c r="E1199" s="103"/>
      <c r="F1199" s="103"/>
      <c r="G1199" s="103"/>
      <c r="H1199" s="107"/>
      <c r="I1199" s="107"/>
      <c r="J1199" s="107"/>
      <c r="K1199" s="109"/>
    </row>
    <row r="1200" spans="1:11">
      <c r="A1200" s="107"/>
      <c r="B1200" s="103"/>
      <c r="C1200" s="109"/>
      <c r="D1200" s="103"/>
      <c r="E1200" s="103"/>
      <c r="F1200" s="103"/>
      <c r="G1200" s="103"/>
      <c r="H1200" s="107"/>
      <c r="I1200" s="107"/>
      <c r="J1200" s="107"/>
      <c r="K1200" s="109"/>
    </row>
    <row r="1201" spans="1:11">
      <c r="A1201" s="107"/>
      <c r="B1201" s="103"/>
      <c r="C1201" s="109"/>
      <c r="D1201" s="103"/>
      <c r="E1201" s="103"/>
      <c r="F1201" s="103"/>
      <c r="G1201" s="103"/>
      <c r="H1201" s="107"/>
      <c r="I1201" s="107"/>
      <c r="J1201" s="107"/>
      <c r="K1201" s="109"/>
    </row>
    <row r="1202" spans="1:11">
      <c r="A1202" s="107"/>
      <c r="B1202" s="103"/>
      <c r="C1202" s="109"/>
      <c r="D1202" s="103"/>
      <c r="E1202" s="103"/>
      <c r="F1202" s="103"/>
      <c r="G1202" s="103"/>
      <c r="H1202" s="107"/>
      <c r="I1202" s="107"/>
      <c r="J1202" s="107"/>
      <c r="K1202" s="109"/>
    </row>
    <row r="1203" spans="1:11">
      <c r="A1203" s="107"/>
      <c r="B1203" s="103"/>
      <c r="C1203" s="109"/>
      <c r="D1203" s="103"/>
      <c r="E1203" s="103"/>
      <c r="F1203" s="103"/>
      <c r="G1203" s="103"/>
      <c r="H1203" s="107"/>
      <c r="I1203" s="107"/>
      <c r="J1203" s="107"/>
      <c r="K1203" s="109"/>
    </row>
    <row r="1204" spans="1:11">
      <c r="A1204" s="107"/>
      <c r="B1204" s="103"/>
      <c r="C1204" s="109"/>
      <c r="D1204" s="103"/>
      <c r="E1204" s="103"/>
      <c r="F1204" s="103"/>
      <c r="G1204" s="103"/>
      <c r="H1204" s="107"/>
      <c r="I1204" s="107"/>
      <c r="J1204" s="107"/>
      <c r="K1204" s="109"/>
    </row>
    <row r="1205" spans="1:11">
      <c r="A1205" s="107"/>
      <c r="B1205" s="103"/>
      <c r="C1205" s="109"/>
      <c r="D1205" s="103"/>
      <c r="E1205" s="103"/>
      <c r="F1205" s="103"/>
      <c r="G1205" s="103"/>
      <c r="H1205" s="107"/>
      <c r="I1205" s="107"/>
      <c r="J1205" s="107"/>
      <c r="K1205" s="109"/>
    </row>
    <row r="1206" spans="1:11">
      <c r="A1206" s="107"/>
      <c r="B1206" s="103"/>
      <c r="C1206" s="109"/>
      <c r="D1206" s="103"/>
      <c r="E1206" s="103"/>
      <c r="F1206" s="103"/>
      <c r="G1206" s="103"/>
      <c r="H1206" s="107"/>
      <c r="I1206" s="107"/>
      <c r="J1206" s="107"/>
      <c r="K1206" s="109"/>
    </row>
    <row r="1207" spans="1:11">
      <c r="A1207" s="107"/>
      <c r="B1207" s="103"/>
      <c r="C1207" s="109"/>
      <c r="D1207" s="103"/>
      <c r="E1207" s="103"/>
      <c r="F1207" s="103"/>
      <c r="G1207" s="103"/>
      <c r="H1207" s="107"/>
      <c r="I1207" s="107"/>
      <c r="J1207" s="107"/>
      <c r="K1207" s="109"/>
    </row>
    <row r="1208" spans="1:11">
      <c r="A1208" s="107"/>
      <c r="B1208" s="103"/>
      <c r="C1208" s="109"/>
      <c r="D1208" s="103"/>
      <c r="E1208" s="103"/>
      <c r="F1208" s="103"/>
      <c r="G1208" s="103"/>
      <c r="H1208" s="107"/>
      <c r="I1208" s="107"/>
      <c r="J1208" s="107"/>
      <c r="K1208" s="109"/>
    </row>
    <row r="1209" spans="1:11">
      <c r="A1209" s="107"/>
      <c r="B1209" s="103"/>
      <c r="C1209" s="109"/>
      <c r="D1209" s="103"/>
      <c r="E1209" s="103"/>
      <c r="F1209" s="103"/>
      <c r="G1209" s="103"/>
      <c r="H1209" s="107"/>
      <c r="I1209" s="107"/>
      <c r="J1209" s="107"/>
      <c r="K1209" s="109"/>
    </row>
    <row r="1210" spans="1:11">
      <c r="A1210" s="107"/>
      <c r="B1210" s="103"/>
      <c r="C1210" s="109"/>
      <c r="D1210" s="103"/>
      <c r="E1210" s="103"/>
      <c r="F1210" s="103"/>
      <c r="G1210" s="103"/>
      <c r="H1210" s="107"/>
      <c r="I1210" s="107"/>
      <c r="J1210" s="107"/>
      <c r="K1210" s="109"/>
    </row>
    <row r="1211" spans="1:11">
      <c r="A1211" s="107"/>
      <c r="B1211" s="103"/>
      <c r="C1211" s="109"/>
      <c r="D1211" s="103"/>
      <c r="E1211" s="103"/>
      <c r="F1211" s="103"/>
      <c r="G1211" s="103"/>
      <c r="H1211" s="107"/>
      <c r="I1211" s="107"/>
      <c r="J1211" s="107"/>
      <c r="K1211" s="109"/>
    </row>
    <row r="1212" spans="1:11">
      <c r="A1212" s="107"/>
      <c r="B1212" s="103"/>
      <c r="C1212" s="109"/>
      <c r="D1212" s="103"/>
      <c r="E1212" s="103"/>
      <c r="F1212" s="103"/>
      <c r="G1212" s="103"/>
      <c r="H1212" s="107"/>
      <c r="I1212" s="107"/>
      <c r="J1212" s="107"/>
      <c r="K1212" s="109"/>
    </row>
    <row r="1213" spans="1:11">
      <c r="A1213" s="107"/>
      <c r="B1213" s="103"/>
      <c r="C1213" s="109"/>
      <c r="D1213" s="103"/>
      <c r="E1213" s="103"/>
      <c r="F1213" s="103"/>
      <c r="G1213" s="103"/>
      <c r="H1213" s="107"/>
      <c r="I1213" s="107"/>
      <c r="J1213" s="107"/>
      <c r="K1213" s="109"/>
    </row>
    <row r="1214" spans="1:11">
      <c r="A1214" s="107"/>
      <c r="B1214" s="103"/>
      <c r="C1214" s="109"/>
      <c r="D1214" s="103"/>
      <c r="E1214" s="103"/>
      <c r="F1214" s="103"/>
      <c r="G1214" s="103"/>
      <c r="H1214" s="107"/>
      <c r="I1214" s="107"/>
      <c r="J1214" s="107"/>
      <c r="K1214" s="109"/>
    </row>
    <row r="1215" spans="1:11">
      <c r="A1215" s="107"/>
      <c r="B1215" s="103"/>
      <c r="C1215" s="109"/>
      <c r="D1215" s="103"/>
      <c r="E1215" s="103"/>
      <c r="F1215" s="103"/>
      <c r="G1215" s="103"/>
      <c r="H1215" s="107"/>
      <c r="I1215" s="107"/>
      <c r="J1215" s="107"/>
      <c r="K1215" s="109"/>
    </row>
    <row r="1216" spans="1:11">
      <c r="A1216" s="107"/>
      <c r="B1216" s="103"/>
      <c r="C1216" s="109"/>
      <c r="D1216" s="103"/>
      <c r="E1216" s="103"/>
      <c r="F1216" s="103"/>
      <c r="G1216" s="103"/>
      <c r="H1216" s="107"/>
      <c r="I1216" s="107"/>
      <c r="J1216" s="107"/>
      <c r="K1216" s="109"/>
    </row>
    <row r="1217" spans="1:11">
      <c r="A1217" s="107"/>
      <c r="B1217" s="103"/>
      <c r="C1217" s="109"/>
      <c r="D1217" s="103"/>
      <c r="E1217" s="103"/>
      <c r="F1217" s="103"/>
      <c r="G1217" s="103"/>
      <c r="H1217" s="107"/>
      <c r="I1217" s="107"/>
      <c r="J1217" s="107"/>
      <c r="K1217" s="109"/>
    </row>
    <row r="1218" spans="1:11">
      <c r="A1218" s="107"/>
      <c r="B1218" s="103"/>
      <c r="C1218" s="109"/>
      <c r="D1218" s="103"/>
      <c r="E1218" s="103"/>
      <c r="F1218" s="103"/>
      <c r="G1218" s="103"/>
      <c r="H1218" s="107"/>
      <c r="I1218" s="107"/>
      <c r="J1218" s="107"/>
      <c r="K1218" s="109"/>
    </row>
    <row r="1219" spans="1:11">
      <c r="A1219" s="107"/>
      <c r="B1219" s="103"/>
      <c r="C1219" s="109"/>
      <c r="D1219" s="103"/>
      <c r="E1219" s="103"/>
      <c r="F1219" s="103"/>
      <c r="G1219" s="103"/>
      <c r="H1219" s="107"/>
      <c r="I1219" s="107"/>
      <c r="J1219" s="107"/>
      <c r="K1219" s="109"/>
    </row>
    <row r="1220" spans="1:11">
      <c r="A1220" s="107"/>
      <c r="B1220" s="103"/>
      <c r="C1220" s="109"/>
      <c r="D1220" s="103"/>
      <c r="E1220" s="103"/>
      <c r="F1220" s="103"/>
      <c r="G1220" s="103"/>
      <c r="H1220" s="107"/>
      <c r="I1220" s="107"/>
      <c r="J1220" s="107"/>
      <c r="K1220" s="109"/>
    </row>
    <row r="1221" spans="1:11">
      <c r="A1221" s="107"/>
      <c r="B1221" s="103"/>
      <c r="C1221" s="109"/>
      <c r="D1221" s="103"/>
      <c r="E1221" s="103"/>
      <c r="F1221" s="103"/>
      <c r="G1221" s="103"/>
      <c r="H1221" s="107"/>
      <c r="I1221" s="107"/>
      <c r="J1221" s="107"/>
      <c r="K1221" s="109"/>
    </row>
    <row r="1222" spans="1:11">
      <c r="A1222" s="107"/>
      <c r="B1222" s="103"/>
      <c r="C1222" s="109"/>
      <c r="D1222" s="103"/>
      <c r="E1222" s="103"/>
      <c r="F1222" s="103"/>
      <c r="G1222" s="103"/>
      <c r="H1222" s="107"/>
      <c r="I1222" s="107"/>
      <c r="J1222" s="107"/>
      <c r="K1222" s="109"/>
    </row>
    <row r="1223" spans="1:11">
      <c r="A1223" s="107"/>
      <c r="B1223" s="103"/>
      <c r="C1223" s="109"/>
      <c r="D1223" s="103"/>
      <c r="E1223" s="103"/>
      <c r="F1223" s="103"/>
      <c r="G1223" s="103"/>
      <c r="H1223" s="107"/>
      <c r="I1223" s="107"/>
      <c r="J1223" s="107"/>
      <c r="K1223" s="109"/>
    </row>
    <row r="1224" spans="1:11">
      <c r="A1224" s="107"/>
      <c r="B1224" s="103"/>
      <c r="C1224" s="109"/>
      <c r="D1224" s="103"/>
      <c r="E1224" s="103"/>
      <c r="F1224" s="103"/>
      <c r="G1224" s="103"/>
      <c r="H1224" s="107"/>
      <c r="I1224" s="107"/>
      <c r="J1224" s="107"/>
      <c r="K1224" s="109"/>
    </row>
    <row r="1225" spans="1:11">
      <c r="A1225" s="107"/>
      <c r="B1225" s="103"/>
      <c r="C1225" s="109"/>
      <c r="D1225" s="103"/>
      <c r="E1225" s="103"/>
      <c r="F1225" s="103"/>
      <c r="G1225" s="103"/>
      <c r="H1225" s="107"/>
      <c r="I1225" s="107"/>
      <c r="J1225" s="107"/>
      <c r="K1225" s="109"/>
    </row>
    <row r="1226" spans="1:11">
      <c r="A1226" s="107"/>
      <c r="B1226" s="103"/>
      <c r="C1226" s="109"/>
      <c r="D1226" s="103"/>
      <c r="E1226" s="103"/>
      <c r="F1226" s="103"/>
      <c r="G1226" s="103"/>
      <c r="H1226" s="107"/>
      <c r="I1226" s="107"/>
      <c r="J1226" s="107"/>
      <c r="K1226" s="109"/>
    </row>
    <row r="1227" spans="1:11">
      <c r="A1227" s="107"/>
      <c r="B1227" s="103"/>
      <c r="C1227" s="109"/>
      <c r="D1227" s="103"/>
      <c r="E1227" s="103"/>
      <c r="F1227" s="103"/>
      <c r="G1227" s="103"/>
      <c r="H1227" s="107"/>
      <c r="I1227" s="107"/>
      <c r="J1227" s="107"/>
      <c r="K1227" s="109"/>
    </row>
    <row r="1228" spans="1:11">
      <c r="A1228" s="107"/>
      <c r="B1228" s="103"/>
      <c r="C1228" s="109"/>
      <c r="D1228" s="103"/>
      <c r="E1228" s="103"/>
      <c r="F1228" s="103"/>
      <c r="G1228" s="103"/>
      <c r="H1228" s="107"/>
      <c r="I1228" s="107"/>
      <c r="J1228" s="107"/>
      <c r="K1228" s="109"/>
    </row>
    <row r="1229" spans="1:11">
      <c r="A1229" s="107"/>
      <c r="B1229" s="103"/>
      <c r="C1229" s="109"/>
      <c r="D1229" s="103"/>
      <c r="E1229" s="103"/>
      <c r="F1229" s="103"/>
      <c r="G1229" s="103"/>
      <c r="H1229" s="107"/>
      <c r="I1229" s="107"/>
      <c r="J1229" s="107"/>
      <c r="K1229" s="109"/>
    </row>
    <row r="1230" spans="1:11">
      <c r="A1230" s="107"/>
      <c r="B1230" s="103"/>
      <c r="C1230" s="109"/>
      <c r="D1230" s="103"/>
      <c r="E1230" s="103"/>
      <c r="F1230" s="103"/>
      <c r="G1230" s="103"/>
      <c r="H1230" s="107"/>
      <c r="I1230" s="107"/>
      <c r="J1230" s="107"/>
      <c r="K1230" s="109"/>
    </row>
    <row r="1231" spans="1:11">
      <c r="A1231" s="107"/>
      <c r="B1231" s="103"/>
      <c r="C1231" s="109"/>
      <c r="D1231" s="103"/>
      <c r="E1231" s="103"/>
      <c r="F1231" s="103"/>
      <c r="G1231" s="103"/>
      <c r="H1231" s="107"/>
      <c r="I1231" s="107"/>
      <c r="J1231" s="107"/>
      <c r="K1231" s="109"/>
    </row>
    <row r="1232" spans="1:11">
      <c r="A1232" s="107"/>
      <c r="B1232" s="103"/>
      <c r="C1232" s="109"/>
      <c r="D1232" s="103"/>
      <c r="E1232" s="103"/>
      <c r="F1232" s="103"/>
      <c r="G1232" s="103"/>
      <c r="H1232" s="107"/>
      <c r="I1232" s="107"/>
      <c r="J1232" s="107"/>
      <c r="K1232" s="109"/>
    </row>
    <row r="1233" spans="1:11">
      <c r="A1233" s="107"/>
      <c r="B1233" s="103"/>
      <c r="C1233" s="109"/>
      <c r="D1233" s="103"/>
      <c r="E1233" s="103"/>
      <c r="F1233" s="103"/>
      <c r="G1233" s="103"/>
      <c r="H1233" s="107"/>
      <c r="I1233" s="107"/>
      <c r="J1233" s="107"/>
      <c r="K1233" s="109"/>
    </row>
    <row r="1234" spans="1:11">
      <c r="A1234" s="107"/>
      <c r="B1234" s="103"/>
      <c r="C1234" s="109"/>
      <c r="D1234" s="103"/>
      <c r="E1234" s="103"/>
      <c r="F1234" s="103"/>
      <c r="G1234" s="103"/>
      <c r="H1234" s="107"/>
      <c r="I1234" s="107"/>
      <c r="J1234" s="107"/>
      <c r="K1234" s="109"/>
    </row>
    <row r="1235" spans="1:11">
      <c r="A1235" s="107"/>
      <c r="B1235" s="103"/>
      <c r="C1235" s="109"/>
      <c r="D1235" s="103"/>
      <c r="E1235" s="103"/>
      <c r="F1235" s="103"/>
      <c r="G1235" s="103"/>
      <c r="H1235" s="107"/>
      <c r="I1235" s="107"/>
      <c r="J1235" s="107"/>
      <c r="K1235" s="109"/>
    </row>
    <row r="1236" spans="1:11">
      <c r="A1236" s="107"/>
      <c r="B1236" s="103"/>
      <c r="C1236" s="109"/>
      <c r="D1236" s="103"/>
      <c r="E1236" s="103"/>
      <c r="F1236" s="103"/>
      <c r="G1236" s="103"/>
      <c r="H1236" s="107"/>
      <c r="I1236" s="107"/>
      <c r="J1236" s="107"/>
      <c r="K1236" s="109"/>
    </row>
    <row r="1237" spans="1:11">
      <c r="A1237" s="107"/>
      <c r="B1237" s="103"/>
      <c r="C1237" s="109"/>
      <c r="D1237" s="103"/>
      <c r="E1237" s="103"/>
      <c r="F1237" s="103"/>
      <c r="G1237" s="103"/>
      <c r="H1237" s="107"/>
      <c r="I1237" s="107"/>
      <c r="J1237" s="107"/>
      <c r="K1237" s="109"/>
    </row>
    <row r="1238" spans="1:11">
      <c r="A1238" s="107"/>
      <c r="B1238" s="103"/>
      <c r="C1238" s="109"/>
      <c r="D1238" s="103"/>
      <c r="E1238" s="103"/>
      <c r="F1238" s="103"/>
      <c r="G1238" s="103"/>
      <c r="H1238" s="107"/>
      <c r="I1238" s="107"/>
      <c r="J1238" s="107"/>
      <c r="K1238" s="109"/>
    </row>
    <row r="1239" spans="1:11">
      <c r="A1239" s="107"/>
      <c r="B1239" s="103"/>
      <c r="C1239" s="109"/>
      <c r="D1239" s="103"/>
      <c r="E1239" s="103"/>
      <c r="F1239" s="103"/>
      <c r="G1239" s="103"/>
      <c r="H1239" s="107"/>
      <c r="I1239" s="107"/>
      <c r="J1239" s="107"/>
      <c r="K1239" s="109"/>
    </row>
    <row r="1240" spans="1:11">
      <c r="A1240" s="107"/>
      <c r="B1240" s="103"/>
      <c r="C1240" s="109"/>
      <c r="D1240" s="103"/>
      <c r="E1240" s="103"/>
      <c r="F1240" s="103"/>
      <c r="G1240" s="103"/>
      <c r="H1240" s="107"/>
      <c r="I1240" s="107"/>
      <c r="J1240" s="107"/>
      <c r="K1240" s="109"/>
    </row>
    <row r="1241" spans="1:11">
      <c r="A1241" s="107"/>
      <c r="B1241" s="103"/>
      <c r="C1241" s="109"/>
      <c r="D1241" s="103"/>
      <c r="E1241" s="103"/>
      <c r="F1241" s="103"/>
      <c r="G1241" s="103"/>
      <c r="H1241" s="107"/>
      <c r="I1241" s="107"/>
      <c r="J1241" s="107"/>
      <c r="K1241" s="109"/>
    </row>
    <row r="1242" spans="1:11">
      <c r="A1242" s="107"/>
      <c r="B1242" s="103"/>
      <c r="C1242" s="109"/>
      <c r="D1242" s="103"/>
      <c r="E1242" s="103"/>
      <c r="F1242" s="103"/>
      <c r="G1242" s="103"/>
      <c r="H1242" s="107"/>
      <c r="I1242" s="107"/>
      <c r="J1242" s="107"/>
      <c r="K1242" s="109"/>
    </row>
    <row r="1243" spans="1:11">
      <c r="A1243" s="107"/>
      <c r="B1243" s="103"/>
      <c r="C1243" s="109"/>
      <c r="D1243" s="103"/>
      <c r="E1243" s="103"/>
      <c r="F1243" s="103"/>
      <c r="G1243" s="103"/>
      <c r="H1243" s="107"/>
      <c r="I1243" s="107"/>
      <c r="J1243" s="107"/>
      <c r="K1243" s="109"/>
    </row>
    <row r="1244" spans="1:11">
      <c r="A1244" s="107"/>
      <c r="B1244" s="103"/>
      <c r="C1244" s="109"/>
      <c r="D1244" s="103"/>
      <c r="E1244" s="103"/>
      <c r="F1244" s="103"/>
      <c r="G1244" s="103"/>
      <c r="H1244" s="107"/>
      <c r="I1244" s="107"/>
      <c r="J1244" s="107"/>
      <c r="K1244" s="109"/>
    </row>
    <row r="1245" spans="1:11">
      <c r="A1245" s="107"/>
      <c r="B1245" s="103"/>
      <c r="C1245" s="109"/>
      <c r="D1245" s="103"/>
      <c r="E1245" s="103"/>
      <c r="F1245" s="103"/>
      <c r="G1245" s="103"/>
      <c r="H1245" s="107"/>
      <c r="I1245" s="107"/>
      <c r="J1245" s="107"/>
      <c r="K1245" s="109"/>
    </row>
    <row r="1246" spans="1:11">
      <c r="A1246" s="107"/>
      <c r="B1246" s="103"/>
      <c r="C1246" s="109"/>
      <c r="D1246" s="103"/>
      <c r="E1246" s="103"/>
      <c r="F1246" s="103"/>
      <c r="G1246" s="103"/>
      <c r="H1246" s="107"/>
      <c r="I1246" s="107"/>
      <c r="J1246" s="107"/>
      <c r="K1246" s="109"/>
    </row>
    <row r="1247" spans="1:11">
      <c r="A1247" s="107"/>
      <c r="B1247" s="103"/>
      <c r="C1247" s="109"/>
      <c r="D1247" s="103"/>
      <c r="E1247" s="103"/>
      <c r="F1247" s="103"/>
      <c r="G1247" s="103"/>
      <c r="H1247" s="107"/>
      <c r="I1247" s="107"/>
      <c r="J1247" s="107"/>
      <c r="K1247" s="109"/>
    </row>
    <row r="1248" spans="1:11">
      <c r="A1248" s="107"/>
      <c r="B1248" s="103"/>
      <c r="C1248" s="109"/>
      <c r="D1248" s="103"/>
      <c r="E1248" s="103"/>
      <c r="F1248" s="103"/>
      <c r="G1248" s="103"/>
      <c r="H1248" s="107"/>
      <c r="I1248" s="107"/>
      <c r="J1248" s="107"/>
      <c r="K1248" s="109"/>
    </row>
    <row r="1249" spans="1:11">
      <c r="A1249" s="107"/>
      <c r="B1249" s="103"/>
      <c r="C1249" s="109"/>
      <c r="D1249" s="103"/>
      <c r="E1249" s="103"/>
      <c r="F1249" s="103"/>
      <c r="G1249" s="103"/>
      <c r="H1249" s="107"/>
      <c r="I1249" s="107"/>
      <c r="J1249" s="107"/>
      <c r="K1249" s="109"/>
    </row>
    <row r="1250" spans="1:11">
      <c r="A1250" s="107"/>
      <c r="B1250" s="103"/>
      <c r="C1250" s="109"/>
      <c r="D1250" s="103"/>
      <c r="E1250" s="103"/>
      <c r="F1250" s="103"/>
      <c r="G1250" s="103"/>
      <c r="H1250" s="107"/>
      <c r="I1250" s="107"/>
      <c r="J1250" s="107"/>
      <c r="K1250" s="109"/>
    </row>
    <row r="1251" spans="1:11">
      <c r="A1251" s="107"/>
      <c r="B1251" s="103"/>
      <c r="C1251" s="109"/>
      <c r="D1251" s="103"/>
      <c r="E1251" s="103"/>
      <c r="F1251" s="103"/>
      <c r="G1251" s="103"/>
      <c r="H1251" s="107"/>
      <c r="I1251" s="107"/>
      <c r="J1251" s="107"/>
      <c r="K1251" s="109"/>
    </row>
    <row r="1252" spans="1:11">
      <c r="A1252" s="107"/>
      <c r="B1252" s="103"/>
      <c r="C1252" s="109"/>
      <c r="D1252" s="103"/>
      <c r="E1252" s="103"/>
      <c r="F1252" s="103"/>
      <c r="G1252" s="103"/>
      <c r="H1252" s="107"/>
      <c r="I1252" s="107"/>
      <c r="J1252" s="107"/>
      <c r="K1252" s="109"/>
    </row>
    <row r="1253" spans="1:11">
      <c r="A1253" s="107"/>
      <c r="B1253" s="103"/>
      <c r="C1253" s="109"/>
      <c r="D1253" s="103"/>
      <c r="E1253" s="103"/>
      <c r="F1253" s="103"/>
      <c r="G1253" s="103"/>
      <c r="H1253" s="107"/>
      <c r="I1253" s="107"/>
      <c r="J1253" s="107"/>
      <c r="K1253" s="109"/>
    </row>
    <row r="1254" spans="1:11">
      <c r="A1254" s="107"/>
      <c r="B1254" s="103"/>
      <c r="C1254" s="109"/>
      <c r="D1254" s="103"/>
      <c r="E1254" s="103"/>
      <c r="F1254" s="103"/>
      <c r="G1254" s="103"/>
      <c r="H1254" s="107"/>
      <c r="I1254" s="107"/>
      <c r="J1254" s="107"/>
      <c r="K1254" s="109"/>
    </row>
    <row r="1255" spans="1:11">
      <c r="A1255" s="107"/>
      <c r="B1255" s="103"/>
      <c r="C1255" s="109"/>
      <c r="D1255" s="103"/>
      <c r="E1255" s="103"/>
      <c r="F1255" s="103"/>
      <c r="G1255" s="103"/>
      <c r="H1255" s="107"/>
      <c r="I1255" s="107"/>
      <c r="J1255" s="107"/>
      <c r="K1255" s="109"/>
    </row>
    <row r="1256" spans="1:11">
      <c r="A1256" s="107"/>
      <c r="B1256" s="103"/>
      <c r="C1256" s="109"/>
      <c r="D1256" s="103"/>
      <c r="E1256" s="103"/>
      <c r="F1256" s="103"/>
      <c r="G1256" s="103"/>
      <c r="H1256" s="107"/>
      <c r="I1256" s="107"/>
      <c r="J1256" s="107"/>
      <c r="K1256" s="109"/>
    </row>
    <row r="1257" spans="1:11">
      <c r="A1257" s="107"/>
      <c r="B1257" s="103"/>
      <c r="C1257" s="109"/>
      <c r="D1257" s="103"/>
      <c r="E1257" s="103"/>
      <c r="F1257" s="103"/>
      <c r="G1257" s="103"/>
      <c r="H1257" s="107"/>
      <c r="I1257" s="107"/>
      <c r="J1257" s="107"/>
      <c r="K1257" s="109"/>
    </row>
    <row r="1258" spans="1:11">
      <c r="A1258" s="107"/>
      <c r="B1258" s="103"/>
      <c r="C1258" s="109"/>
      <c r="D1258" s="103"/>
      <c r="E1258" s="103"/>
      <c r="F1258" s="103"/>
      <c r="G1258" s="103"/>
      <c r="H1258" s="107"/>
      <c r="I1258" s="107"/>
      <c r="J1258" s="107"/>
      <c r="K1258" s="109"/>
    </row>
    <row r="1259" spans="1:11">
      <c r="A1259" s="107"/>
      <c r="B1259" s="103"/>
      <c r="C1259" s="109"/>
      <c r="D1259" s="103"/>
      <c r="E1259" s="103"/>
      <c r="F1259" s="103"/>
      <c r="G1259" s="103"/>
      <c r="H1259" s="107"/>
      <c r="I1259" s="107"/>
      <c r="J1259" s="107"/>
      <c r="K1259" s="109"/>
    </row>
    <row r="1260" spans="1:11">
      <c r="A1260" s="107"/>
      <c r="B1260" s="103"/>
      <c r="C1260" s="109"/>
      <c r="D1260" s="103"/>
      <c r="E1260" s="103"/>
      <c r="F1260" s="103"/>
      <c r="G1260" s="103"/>
      <c r="H1260" s="107"/>
      <c r="I1260" s="107"/>
      <c r="J1260" s="107"/>
      <c r="K1260" s="109"/>
    </row>
    <row r="1261" spans="1:11">
      <c r="A1261" s="107"/>
      <c r="B1261" s="103"/>
      <c r="C1261" s="109"/>
      <c r="D1261" s="103"/>
      <c r="E1261" s="103"/>
      <c r="F1261" s="103"/>
      <c r="G1261" s="103"/>
      <c r="H1261" s="107"/>
      <c r="I1261" s="107"/>
      <c r="J1261" s="107"/>
      <c r="K1261" s="109"/>
    </row>
    <row r="1262" spans="1:11">
      <c r="A1262" s="107"/>
      <c r="B1262" s="103"/>
      <c r="C1262" s="109"/>
      <c r="D1262" s="103"/>
      <c r="E1262" s="103"/>
      <c r="F1262" s="103"/>
      <c r="G1262" s="103"/>
      <c r="H1262" s="107"/>
      <c r="I1262" s="107"/>
      <c r="J1262" s="107"/>
      <c r="K1262" s="109"/>
    </row>
    <row r="1263" spans="1:11">
      <c r="A1263" s="107"/>
      <c r="B1263" s="103"/>
      <c r="C1263" s="109"/>
      <c r="D1263" s="103"/>
      <c r="E1263" s="103"/>
      <c r="F1263" s="103"/>
      <c r="G1263" s="103"/>
      <c r="H1263" s="107"/>
      <c r="I1263" s="107"/>
      <c r="J1263" s="107"/>
      <c r="K1263" s="109"/>
    </row>
    <row r="1264" spans="1:11">
      <c r="A1264" s="107"/>
      <c r="B1264" s="103"/>
      <c r="C1264" s="109"/>
      <c r="D1264" s="103"/>
      <c r="E1264" s="103"/>
      <c r="F1264" s="103"/>
      <c r="G1264" s="103"/>
      <c r="H1264" s="107"/>
      <c r="I1264" s="107"/>
      <c r="J1264" s="107"/>
      <c r="K1264" s="109"/>
    </row>
    <row r="1265" spans="1:11">
      <c r="A1265" s="107"/>
      <c r="B1265" s="103"/>
      <c r="C1265" s="109"/>
      <c r="D1265" s="103"/>
      <c r="E1265" s="103"/>
      <c r="F1265" s="103"/>
      <c r="G1265" s="103"/>
      <c r="H1265" s="107"/>
      <c r="I1265" s="107"/>
      <c r="J1265" s="107"/>
      <c r="K1265" s="109"/>
    </row>
    <row r="1266" spans="1:11">
      <c r="A1266" s="107"/>
      <c r="B1266" s="103"/>
      <c r="C1266" s="109"/>
      <c r="D1266" s="103"/>
      <c r="E1266" s="103"/>
      <c r="F1266" s="103"/>
      <c r="G1266" s="103"/>
      <c r="H1266" s="107"/>
      <c r="I1266" s="107"/>
      <c r="J1266" s="107"/>
      <c r="K1266" s="109"/>
    </row>
    <row r="1267" spans="1:11">
      <c r="A1267" s="107"/>
      <c r="B1267" s="103"/>
      <c r="C1267" s="109"/>
      <c r="D1267" s="103"/>
      <c r="E1267" s="103"/>
      <c r="F1267" s="103"/>
      <c r="G1267" s="103"/>
      <c r="H1267" s="107"/>
      <c r="I1267" s="107"/>
      <c r="J1267" s="107"/>
      <c r="K1267" s="109"/>
    </row>
    <row r="1268" spans="1:11">
      <c r="A1268" s="107"/>
      <c r="B1268" s="103"/>
      <c r="C1268" s="109"/>
      <c r="D1268" s="103"/>
      <c r="E1268" s="103"/>
      <c r="F1268" s="103"/>
      <c r="G1268" s="103"/>
      <c r="H1268" s="107"/>
      <c r="I1268" s="107"/>
      <c r="J1268" s="107"/>
      <c r="K1268" s="109"/>
    </row>
    <row r="1269" spans="1:11">
      <c r="A1269" s="107"/>
      <c r="B1269" s="103"/>
      <c r="C1269" s="109"/>
      <c r="D1269" s="103"/>
      <c r="E1269" s="103"/>
      <c r="F1269" s="103"/>
      <c r="G1269" s="103"/>
      <c r="H1269" s="107"/>
      <c r="I1269" s="107"/>
      <c r="J1269" s="107"/>
      <c r="K1269" s="109"/>
    </row>
    <row r="1270" spans="1:11">
      <c r="A1270" s="107"/>
      <c r="B1270" s="103"/>
      <c r="C1270" s="109"/>
      <c r="D1270" s="103"/>
      <c r="E1270" s="103"/>
      <c r="F1270" s="103"/>
      <c r="G1270" s="103"/>
      <c r="H1270" s="107"/>
      <c r="I1270" s="107"/>
      <c r="J1270" s="107"/>
      <c r="K1270" s="109"/>
    </row>
    <row r="1271" spans="1:11">
      <c r="A1271" s="107"/>
      <c r="B1271" s="103"/>
      <c r="C1271" s="109"/>
      <c r="D1271" s="103"/>
      <c r="E1271" s="103"/>
      <c r="F1271" s="103"/>
      <c r="G1271" s="103"/>
      <c r="H1271" s="107"/>
      <c r="I1271" s="107"/>
      <c r="J1271" s="107"/>
      <c r="K1271" s="109"/>
    </row>
    <row r="1272" spans="1:11">
      <c r="A1272" s="107"/>
      <c r="B1272" s="103"/>
      <c r="C1272" s="109"/>
      <c r="D1272" s="103"/>
      <c r="E1272" s="103"/>
      <c r="F1272" s="103"/>
      <c r="G1272" s="103"/>
      <c r="H1272" s="107"/>
      <c r="I1272" s="107"/>
      <c r="J1272" s="107"/>
      <c r="K1272" s="109"/>
    </row>
    <row r="1273" spans="1:11">
      <c r="A1273" s="107"/>
      <c r="B1273" s="103"/>
      <c r="C1273" s="109"/>
      <c r="D1273" s="103"/>
      <c r="E1273" s="103"/>
      <c r="F1273" s="103"/>
      <c r="G1273" s="103"/>
      <c r="H1273" s="107"/>
      <c r="I1273" s="107"/>
      <c r="J1273" s="107"/>
      <c r="K1273" s="109"/>
    </row>
    <row r="1274" spans="1:11">
      <c r="A1274" s="107"/>
      <c r="B1274" s="103"/>
      <c r="C1274" s="109"/>
      <c r="D1274" s="103"/>
      <c r="E1274" s="103"/>
      <c r="F1274" s="103"/>
      <c r="G1274" s="103"/>
      <c r="H1274" s="107"/>
      <c r="I1274" s="107"/>
      <c r="J1274" s="107"/>
      <c r="K1274" s="109"/>
    </row>
    <row r="1275" spans="1:11">
      <c r="A1275" s="107"/>
      <c r="B1275" s="103"/>
      <c r="C1275" s="109"/>
      <c r="D1275" s="103"/>
      <c r="E1275" s="103"/>
      <c r="F1275" s="103"/>
      <c r="G1275" s="103"/>
      <c r="H1275" s="107"/>
      <c r="I1275" s="107"/>
      <c r="J1275" s="107"/>
      <c r="K1275" s="109"/>
    </row>
    <row r="1276" spans="1:11">
      <c r="A1276" s="107"/>
      <c r="B1276" s="103"/>
      <c r="C1276" s="109"/>
      <c r="D1276" s="103"/>
      <c r="E1276" s="103"/>
      <c r="F1276" s="103"/>
      <c r="G1276" s="103"/>
      <c r="H1276" s="107"/>
      <c r="I1276" s="107"/>
      <c r="J1276" s="107"/>
      <c r="K1276" s="109"/>
    </row>
    <row r="1277" spans="1:11">
      <c r="A1277" s="107"/>
      <c r="B1277" s="103"/>
      <c r="C1277" s="109"/>
      <c r="D1277" s="103"/>
      <c r="E1277" s="103"/>
      <c r="F1277" s="103"/>
      <c r="G1277" s="103"/>
      <c r="H1277" s="107"/>
      <c r="I1277" s="107"/>
      <c r="J1277" s="107"/>
      <c r="K1277" s="109"/>
    </row>
    <row r="1278" spans="1:11">
      <c r="A1278" s="107"/>
      <c r="B1278" s="103"/>
      <c r="C1278" s="109"/>
      <c r="D1278" s="103"/>
      <c r="E1278" s="103"/>
      <c r="F1278" s="103"/>
      <c r="G1278" s="103"/>
      <c r="H1278" s="107"/>
      <c r="I1278" s="107"/>
      <c r="J1278" s="107"/>
      <c r="K1278" s="109"/>
    </row>
    <row r="1279" spans="1:11">
      <c r="A1279" s="107"/>
      <c r="B1279" s="103"/>
      <c r="C1279" s="109"/>
      <c r="D1279" s="103"/>
      <c r="E1279" s="103"/>
      <c r="F1279" s="103"/>
      <c r="G1279" s="103"/>
      <c r="H1279" s="107"/>
      <c r="I1279" s="107"/>
      <c r="J1279" s="107"/>
      <c r="K1279" s="109"/>
    </row>
    <row r="1280" spans="1:11">
      <c r="A1280" s="107"/>
      <c r="B1280" s="103"/>
      <c r="C1280" s="109"/>
      <c r="D1280" s="103"/>
      <c r="E1280" s="103"/>
      <c r="F1280" s="103"/>
      <c r="G1280" s="103"/>
      <c r="H1280" s="107"/>
      <c r="I1280" s="107"/>
      <c r="J1280" s="107"/>
      <c r="K1280" s="109"/>
    </row>
    <row r="1281" spans="1:11">
      <c r="A1281" s="107"/>
      <c r="B1281" s="103"/>
      <c r="C1281" s="109"/>
      <c r="D1281" s="103"/>
      <c r="E1281" s="103"/>
      <c r="F1281" s="103"/>
      <c r="G1281" s="103"/>
      <c r="H1281" s="107"/>
      <c r="I1281" s="107"/>
      <c r="J1281" s="107"/>
      <c r="K1281" s="109"/>
    </row>
    <row r="1282" spans="1:11">
      <c r="A1282" s="107"/>
      <c r="B1282" s="103"/>
      <c r="C1282" s="109"/>
      <c r="D1282" s="103"/>
      <c r="E1282" s="103"/>
      <c r="F1282" s="103"/>
      <c r="G1282" s="103"/>
      <c r="H1282" s="107"/>
      <c r="I1282" s="107"/>
      <c r="J1282" s="107"/>
      <c r="K1282" s="109"/>
    </row>
    <row r="1283" spans="1:11">
      <c r="A1283" s="107"/>
      <c r="B1283" s="103"/>
      <c r="C1283" s="109"/>
      <c r="D1283" s="103"/>
      <c r="E1283" s="103"/>
      <c r="F1283" s="103"/>
      <c r="G1283" s="103"/>
      <c r="H1283" s="107"/>
      <c r="I1283" s="107"/>
      <c r="J1283" s="107"/>
      <c r="K1283" s="109"/>
    </row>
    <row r="1284" spans="1:11">
      <c r="A1284" s="107"/>
      <c r="B1284" s="103"/>
      <c r="C1284" s="109"/>
      <c r="D1284" s="103"/>
      <c r="E1284" s="103"/>
      <c r="F1284" s="103"/>
      <c r="G1284" s="103"/>
      <c r="H1284" s="107"/>
      <c r="I1284" s="107"/>
      <c r="J1284" s="107"/>
      <c r="K1284" s="109"/>
    </row>
    <row r="1285" spans="1:11">
      <c r="A1285" s="107"/>
      <c r="B1285" s="103"/>
      <c r="C1285" s="109"/>
      <c r="D1285" s="103"/>
      <c r="E1285" s="103"/>
      <c r="F1285" s="103"/>
      <c r="G1285" s="103"/>
      <c r="H1285" s="107"/>
      <c r="I1285" s="107"/>
      <c r="J1285" s="107"/>
      <c r="K1285" s="109"/>
    </row>
    <row r="1286" spans="1:11">
      <c r="A1286" s="107"/>
      <c r="B1286" s="103"/>
      <c r="C1286" s="109"/>
      <c r="D1286" s="103"/>
      <c r="E1286" s="103"/>
      <c r="F1286" s="103"/>
      <c r="G1286" s="103"/>
      <c r="H1286" s="107"/>
      <c r="I1286" s="107"/>
      <c r="J1286" s="107"/>
      <c r="K1286" s="109"/>
    </row>
    <row r="1287" spans="1:11">
      <c r="A1287" s="107"/>
      <c r="B1287" s="103"/>
      <c r="C1287" s="109"/>
      <c r="D1287" s="103"/>
      <c r="E1287" s="103"/>
      <c r="F1287" s="103"/>
      <c r="G1287" s="103"/>
      <c r="H1287" s="107"/>
      <c r="I1287" s="107"/>
      <c r="J1287" s="107"/>
      <c r="K1287" s="109"/>
    </row>
    <row r="1288" spans="1:11">
      <c r="A1288" s="107"/>
      <c r="B1288" s="103"/>
      <c r="C1288" s="109"/>
      <c r="D1288" s="103"/>
      <c r="E1288" s="103"/>
      <c r="F1288" s="103"/>
      <c r="G1288" s="103"/>
      <c r="H1288" s="107"/>
      <c r="I1288" s="107"/>
      <c r="J1288" s="107"/>
      <c r="K1288" s="109"/>
    </row>
    <row r="1289" spans="1:11">
      <c r="A1289" s="107"/>
      <c r="B1289" s="103"/>
      <c r="C1289" s="109"/>
      <c r="D1289" s="103"/>
      <c r="E1289" s="103"/>
      <c r="F1289" s="103"/>
      <c r="G1289" s="103"/>
      <c r="H1289" s="107"/>
      <c r="I1289" s="107"/>
      <c r="J1289" s="107"/>
      <c r="K1289" s="109"/>
    </row>
    <row r="1290" spans="1:11">
      <c r="A1290" s="107"/>
      <c r="B1290" s="103"/>
      <c r="C1290" s="109"/>
      <c r="D1290" s="103"/>
      <c r="E1290" s="103"/>
      <c r="F1290" s="103"/>
      <c r="G1290" s="103"/>
      <c r="H1290" s="107"/>
      <c r="I1290" s="107"/>
      <c r="J1290" s="107"/>
      <c r="K1290" s="109"/>
    </row>
    <row r="1291" spans="1:11">
      <c r="A1291" s="107"/>
      <c r="B1291" s="103"/>
      <c r="C1291" s="109"/>
      <c r="D1291" s="103"/>
      <c r="E1291" s="103"/>
      <c r="F1291" s="103"/>
      <c r="G1291" s="103"/>
      <c r="H1291" s="107"/>
      <c r="I1291" s="107"/>
      <c r="J1291" s="107"/>
      <c r="K1291" s="109"/>
    </row>
    <row r="1292" spans="1:11">
      <c r="A1292" s="107"/>
      <c r="B1292" s="103"/>
      <c r="C1292" s="109"/>
      <c r="D1292" s="103"/>
      <c r="E1292" s="103"/>
      <c r="F1292" s="103"/>
      <c r="G1292" s="103"/>
      <c r="H1292" s="107"/>
      <c r="I1292" s="107"/>
      <c r="J1292" s="107"/>
      <c r="K1292" s="109"/>
    </row>
    <row r="1293" spans="1:11">
      <c r="A1293" s="107"/>
      <c r="B1293" s="103"/>
      <c r="C1293" s="109"/>
      <c r="D1293" s="103"/>
      <c r="E1293" s="103"/>
      <c r="F1293" s="103"/>
      <c r="G1293" s="103"/>
      <c r="H1293" s="107"/>
      <c r="I1293" s="107"/>
      <c r="J1293" s="107"/>
      <c r="K1293" s="109"/>
    </row>
    <row r="1294" spans="1:11">
      <c r="A1294" s="107"/>
      <c r="B1294" s="103"/>
      <c r="C1294" s="109"/>
      <c r="D1294" s="103"/>
      <c r="E1294" s="103"/>
      <c r="F1294" s="103"/>
      <c r="G1294" s="103"/>
      <c r="H1294" s="107"/>
      <c r="I1294" s="107"/>
      <c r="J1294" s="107"/>
      <c r="K1294" s="109"/>
    </row>
    <row r="1295" spans="1:11">
      <c r="A1295" s="107"/>
      <c r="B1295" s="103"/>
      <c r="C1295" s="109"/>
      <c r="D1295" s="103"/>
      <c r="E1295" s="103"/>
      <c r="F1295" s="103"/>
      <c r="G1295" s="103"/>
      <c r="H1295" s="107"/>
      <c r="I1295" s="107"/>
      <c r="J1295" s="107"/>
      <c r="K1295" s="109"/>
    </row>
    <row r="1296" spans="1:11">
      <c r="A1296" s="107"/>
      <c r="B1296" s="103"/>
      <c r="C1296" s="109"/>
      <c r="D1296" s="103"/>
      <c r="E1296" s="103"/>
      <c r="F1296" s="103"/>
      <c r="G1296" s="103"/>
      <c r="H1296" s="107"/>
      <c r="I1296" s="107"/>
      <c r="J1296" s="107"/>
      <c r="K1296" s="109"/>
    </row>
    <row r="1297" spans="1:11">
      <c r="A1297" s="107"/>
      <c r="B1297" s="103"/>
      <c r="C1297" s="109"/>
      <c r="D1297" s="103"/>
      <c r="E1297" s="103"/>
      <c r="F1297" s="103"/>
      <c r="G1297" s="103"/>
      <c r="H1297" s="107"/>
      <c r="I1297" s="107"/>
      <c r="J1297" s="107"/>
      <c r="K1297" s="109"/>
    </row>
    <row r="1298" spans="1:11">
      <c r="A1298" s="107"/>
      <c r="B1298" s="103"/>
      <c r="C1298" s="109"/>
      <c r="D1298" s="103"/>
      <c r="E1298" s="103"/>
      <c r="F1298" s="103"/>
      <c r="G1298" s="103"/>
      <c r="H1298" s="107"/>
      <c r="I1298" s="107"/>
      <c r="J1298" s="107"/>
      <c r="K1298" s="109"/>
    </row>
    <row r="1299" spans="1:11">
      <c r="A1299" s="107"/>
      <c r="B1299" s="103"/>
      <c r="C1299" s="109"/>
      <c r="D1299" s="103"/>
      <c r="E1299" s="103"/>
      <c r="F1299" s="103"/>
      <c r="G1299" s="103"/>
      <c r="H1299" s="107"/>
      <c r="I1299" s="107"/>
      <c r="J1299" s="107"/>
      <c r="K1299" s="109"/>
    </row>
    <row r="1300" spans="1:11">
      <c r="A1300" s="107"/>
      <c r="B1300" s="103"/>
      <c r="C1300" s="109"/>
      <c r="D1300" s="103"/>
      <c r="E1300" s="103"/>
      <c r="F1300" s="103"/>
      <c r="G1300" s="103"/>
      <c r="H1300" s="107"/>
      <c r="I1300" s="107"/>
      <c r="J1300" s="107"/>
      <c r="K1300" s="109"/>
    </row>
    <row r="1301" spans="1:11">
      <c r="A1301" s="107"/>
      <c r="B1301" s="103"/>
      <c r="C1301" s="109"/>
      <c r="D1301" s="103"/>
      <c r="E1301" s="103"/>
      <c r="F1301" s="103"/>
      <c r="G1301" s="103"/>
      <c r="H1301" s="107"/>
      <c r="I1301" s="107"/>
      <c r="J1301" s="107"/>
      <c r="K1301" s="109"/>
    </row>
    <row r="1302" spans="1:11">
      <c r="A1302" s="107"/>
      <c r="B1302" s="103"/>
      <c r="C1302" s="109"/>
      <c r="D1302" s="103"/>
      <c r="E1302" s="103"/>
      <c r="F1302" s="103"/>
      <c r="G1302" s="103"/>
      <c r="H1302" s="107"/>
      <c r="I1302" s="107"/>
      <c r="J1302" s="107"/>
      <c r="K1302" s="109"/>
    </row>
    <row r="1303" spans="1:11">
      <c r="A1303" s="107"/>
      <c r="B1303" s="103"/>
      <c r="C1303" s="109"/>
      <c r="D1303" s="103"/>
      <c r="E1303" s="103"/>
      <c r="F1303" s="103"/>
      <c r="G1303" s="103"/>
      <c r="H1303" s="107"/>
      <c r="I1303" s="107"/>
      <c r="J1303" s="107"/>
      <c r="K1303" s="109"/>
    </row>
    <row r="1304" spans="1:11">
      <c r="A1304" s="107"/>
      <c r="B1304" s="103"/>
      <c r="C1304" s="109"/>
      <c r="D1304" s="103"/>
      <c r="E1304" s="103"/>
      <c r="F1304" s="103"/>
      <c r="G1304" s="103"/>
      <c r="H1304" s="107"/>
      <c r="I1304" s="107"/>
      <c r="J1304" s="107"/>
      <c r="K1304" s="109"/>
    </row>
    <row r="1305" spans="1:11">
      <c r="A1305" s="107"/>
      <c r="B1305" s="103"/>
      <c r="C1305" s="109"/>
      <c r="D1305" s="103"/>
      <c r="E1305" s="103"/>
      <c r="F1305" s="103"/>
      <c r="G1305" s="103"/>
      <c r="H1305" s="107"/>
      <c r="I1305" s="107"/>
      <c r="J1305" s="107"/>
      <c r="K1305" s="109"/>
    </row>
    <row r="1306" spans="1:11">
      <c r="A1306" s="107"/>
      <c r="B1306" s="103"/>
      <c r="C1306" s="109"/>
      <c r="D1306" s="103"/>
      <c r="E1306" s="103"/>
      <c r="F1306" s="103"/>
      <c r="G1306" s="103"/>
      <c r="H1306" s="107"/>
      <c r="I1306" s="107"/>
      <c r="J1306" s="107"/>
      <c r="K1306" s="109"/>
    </row>
    <row r="1307" spans="1:11">
      <c r="A1307" s="107"/>
      <c r="B1307" s="103"/>
      <c r="C1307" s="109"/>
      <c r="D1307" s="103"/>
      <c r="E1307" s="103"/>
      <c r="F1307" s="103"/>
      <c r="G1307" s="103"/>
      <c r="H1307" s="107"/>
      <c r="I1307" s="107"/>
      <c r="J1307" s="107"/>
      <c r="K1307" s="109"/>
    </row>
    <row r="1308" spans="1:11">
      <c r="A1308" s="107"/>
      <c r="B1308" s="103"/>
      <c r="C1308" s="109"/>
      <c r="D1308" s="103"/>
      <c r="E1308" s="103"/>
      <c r="F1308" s="103"/>
      <c r="G1308" s="103"/>
      <c r="H1308" s="107"/>
      <c r="I1308" s="107"/>
      <c r="J1308" s="107"/>
      <c r="K1308" s="109"/>
    </row>
    <row r="1309" spans="1:11">
      <c r="A1309" s="107"/>
      <c r="B1309" s="103"/>
      <c r="C1309" s="109"/>
      <c r="D1309" s="103"/>
      <c r="E1309" s="103"/>
      <c r="F1309" s="103"/>
      <c r="G1309" s="103"/>
      <c r="H1309" s="107"/>
      <c r="I1309" s="107"/>
      <c r="J1309" s="107"/>
      <c r="K1309" s="109"/>
    </row>
    <row r="1310" spans="1:11">
      <c r="A1310" s="107"/>
      <c r="B1310" s="103"/>
      <c r="C1310" s="109"/>
      <c r="D1310" s="103"/>
      <c r="E1310" s="103"/>
      <c r="F1310" s="103"/>
      <c r="G1310" s="103"/>
      <c r="H1310" s="107"/>
      <c r="I1310" s="107"/>
      <c r="J1310" s="107"/>
      <c r="K1310" s="109"/>
    </row>
    <row r="1311" spans="1:11">
      <c r="A1311" s="107"/>
      <c r="B1311" s="103"/>
      <c r="C1311" s="109"/>
      <c r="D1311" s="103"/>
      <c r="E1311" s="103"/>
      <c r="F1311" s="103"/>
      <c r="G1311" s="103"/>
      <c r="H1311" s="107"/>
      <c r="I1311" s="107"/>
      <c r="J1311" s="107"/>
      <c r="K1311" s="109"/>
    </row>
    <row r="1312" spans="1:11">
      <c r="A1312" s="107"/>
      <c r="B1312" s="103"/>
      <c r="C1312" s="109"/>
      <c r="D1312" s="103"/>
      <c r="E1312" s="103"/>
      <c r="F1312" s="103"/>
      <c r="G1312" s="103"/>
      <c r="H1312" s="107"/>
      <c r="I1312" s="107"/>
      <c r="J1312" s="107"/>
      <c r="K1312" s="109"/>
    </row>
    <row r="1313" spans="1:11">
      <c r="A1313" s="107"/>
      <c r="B1313" s="103"/>
      <c r="C1313" s="109"/>
      <c r="D1313" s="103"/>
      <c r="E1313" s="103"/>
      <c r="F1313" s="103"/>
      <c r="G1313" s="103"/>
      <c r="H1313" s="107"/>
      <c r="I1313" s="107"/>
      <c r="J1313" s="107"/>
      <c r="K1313" s="109"/>
    </row>
    <row r="1314" spans="1:11">
      <c r="A1314" s="107"/>
      <c r="B1314" s="103"/>
      <c r="C1314" s="109"/>
      <c r="D1314" s="103"/>
      <c r="E1314" s="103"/>
      <c r="F1314" s="103"/>
      <c r="G1314" s="103"/>
      <c r="H1314" s="107"/>
      <c r="I1314" s="107"/>
      <c r="J1314" s="107"/>
      <c r="K1314" s="109"/>
    </row>
    <row r="1315" spans="1:11">
      <c r="A1315" s="107"/>
      <c r="B1315" s="103"/>
      <c r="C1315" s="109"/>
      <c r="D1315" s="103"/>
      <c r="E1315" s="103"/>
      <c r="F1315" s="103"/>
      <c r="G1315" s="103"/>
      <c r="H1315" s="107"/>
      <c r="I1315" s="107"/>
      <c r="J1315" s="107"/>
      <c r="K1315" s="109"/>
    </row>
    <row r="1316" spans="1:11">
      <c r="A1316" s="107"/>
      <c r="B1316" s="103"/>
      <c r="C1316" s="109"/>
      <c r="D1316" s="103"/>
      <c r="E1316" s="103"/>
      <c r="F1316" s="103"/>
      <c r="G1316" s="103"/>
      <c r="H1316" s="107"/>
      <c r="I1316" s="107"/>
      <c r="J1316" s="107"/>
      <c r="K1316" s="109"/>
    </row>
    <row r="1317" spans="1:11">
      <c r="A1317" s="107"/>
      <c r="B1317" s="103"/>
      <c r="C1317" s="109"/>
      <c r="D1317" s="103"/>
      <c r="E1317" s="103"/>
      <c r="F1317" s="103"/>
      <c r="G1317" s="103"/>
      <c r="H1317" s="107"/>
      <c r="I1317" s="107"/>
      <c r="J1317" s="107"/>
      <c r="K1317" s="109"/>
    </row>
    <row r="1318" spans="1:11">
      <c r="A1318" s="107"/>
      <c r="B1318" s="103"/>
      <c r="C1318" s="109"/>
      <c r="D1318" s="103"/>
      <c r="E1318" s="103"/>
      <c r="F1318" s="103"/>
      <c r="G1318" s="103"/>
      <c r="H1318" s="107"/>
      <c r="I1318" s="107"/>
      <c r="J1318" s="107"/>
      <c r="K1318" s="109"/>
    </row>
    <row r="1319" spans="1:11">
      <c r="A1319" s="107"/>
      <c r="B1319" s="103"/>
      <c r="C1319" s="109"/>
      <c r="D1319" s="103"/>
      <c r="E1319" s="103"/>
      <c r="F1319" s="103"/>
      <c r="G1319" s="103"/>
      <c r="H1319" s="107"/>
      <c r="I1319" s="107"/>
      <c r="J1319" s="107"/>
      <c r="K1319" s="109"/>
    </row>
    <row r="1320" spans="1:11">
      <c r="A1320" s="107"/>
      <c r="B1320" s="103"/>
      <c r="C1320" s="109"/>
      <c r="D1320" s="103"/>
      <c r="E1320" s="103"/>
      <c r="F1320" s="103"/>
      <c r="G1320" s="103"/>
      <c r="H1320" s="107"/>
      <c r="I1320" s="107"/>
      <c r="J1320" s="107"/>
      <c r="K1320" s="109"/>
    </row>
    <row r="1321" spans="1:11">
      <c r="A1321" s="107"/>
      <c r="B1321" s="103"/>
      <c r="C1321" s="109"/>
      <c r="D1321" s="103"/>
      <c r="E1321" s="103"/>
      <c r="F1321" s="103"/>
      <c r="G1321" s="103"/>
      <c r="H1321" s="107"/>
      <c r="I1321" s="107"/>
      <c r="J1321" s="107"/>
      <c r="K1321" s="109"/>
    </row>
    <row r="1322" spans="1:11">
      <c r="A1322" s="107"/>
      <c r="B1322" s="103"/>
      <c r="C1322" s="109"/>
      <c r="D1322" s="103"/>
      <c r="E1322" s="103"/>
      <c r="F1322" s="103"/>
      <c r="G1322" s="103"/>
      <c r="H1322" s="107"/>
      <c r="I1322" s="107"/>
      <c r="J1322" s="107"/>
      <c r="K1322" s="109"/>
    </row>
    <row r="1323" spans="1:11">
      <c r="A1323" s="107"/>
      <c r="B1323" s="103"/>
      <c r="C1323" s="109"/>
      <c r="D1323" s="103"/>
      <c r="E1323" s="103"/>
      <c r="F1323" s="103"/>
      <c r="G1323" s="103"/>
      <c r="H1323" s="107"/>
      <c r="I1323" s="107"/>
      <c r="J1323" s="107"/>
      <c r="K1323" s="109"/>
    </row>
    <row r="1324" spans="1:11">
      <c r="A1324" s="107"/>
      <c r="B1324" s="103"/>
      <c r="C1324" s="109"/>
      <c r="D1324" s="103"/>
      <c r="E1324" s="103"/>
      <c r="F1324" s="103"/>
      <c r="G1324" s="103"/>
      <c r="H1324" s="107"/>
      <c r="I1324" s="107"/>
      <c r="J1324" s="107"/>
      <c r="K1324" s="109"/>
    </row>
    <row r="1325" spans="1:11">
      <c r="A1325" s="107"/>
      <c r="B1325" s="103"/>
      <c r="C1325" s="109"/>
      <c r="D1325" s="103"/>
      <c r="E1325" s="103"/>
      <c r="F1325" s="103"/>
      <c r="G1325" s="103"/>
      <c r="H1325" s="107"/>
      <c r="I1325" s="107"/>
      <c r="J1325" s="107"/>
      <c r="K1325" s="109"/>
    </row>
    <row r="1326" spans="1:11">
      <c r="A1326" s="107"/>
      <c r="B1326" s="103"/>
      <c r="C1326" s="109"/>
      <c r="D1326" s="103"/>
      <c r="E1326" s="103"/>
      <c r="F1326" s="103"/>
      <c r="G1326" s="103"/>
      <c r="H1326" s="107"/>
      <c r="I1326" s="107"/>
      <c r="J1326" s="107"/>
      <c r="K1326" s="109"/>
    </row>
    <row r="1327" spans="1:11">
      <c r="A1327" s="107"/>
      <c r="B1327" s="103"/>
      <c r="C1327" s="109"/>
      <c r="D1327" s="103"/>
      <c r="E1327" s="103"/>
      <c r="F1327" s="103"/>
      <c r="G1327" s="103"/>
      <c r="H1327" s="107"/>
      <c r="I1327" s="107"/>
      <c r="J1327" s="107"/>
      <c r="K1327" s="109"/>
    </row>
    <row r="1328" spans="1:11">
      <c r="A1328" s="107"/>
      <c r="B1328" s="103"/>
      <c r="C1328" s="109"/>
      <c r="D1328" s="103"/>
      <c r="E1328" s="103"/>
      <c r="F1328" s="103"/>
      <c r="G1328" s="103"/>
      <c r="H1328" s="107"/>
      <c r="I1328" s="107"/>
      <c r="J1328" s="107"/>
      <c r="K1328" s="109"/>
    </row>
    <row r="1329" spans="1:11">
      <c r="A1329" s="107"/>
      <c r="B1329" s="103"/>
      <c r="C1329" s="109"/>
      <c r="D1329" s="103"/>
      <c r="E1329" s="103"/>
      <c r="F1329" s="103"/>
      <c r="G1329" s="103"/>
      <c r="H1329" s="107"/>
      <c r="I1329" s="107"/>
      <c r="J1329" s="107"/>
      <c r="K1329" s="109"/>
    </row>
    <row r="1330" spans="1:11">
      <c r="A1330" s="107"/>
      <c r="B1330" s="103"/>
      <c r="C1330" s="109"/>
      <c r="D1330" s="103"/>
      <c r="E1330" s="103"/>
      <c r="F1330" s="103"/>
      <c r="G1330" s="103"/>
      <c r="H1330" s="107"/>
      <c r="I1330" s="107"/>
      <c r="J1330" s="107"/>
      <c r="K1330" s="109"/>
    </row>
    <row r="1331" spans="1:11">
      <c r="A1331" s="107"/>
      <c r="B1331" s="103"/>
      <c r="C1331" s="109"/>
      <c r="D1331" s="103"/>
      <c r="E1331" s="103"/>
      <c r="F1331" s="103"/>
      <c r="G1331" s="103"/>
      <c r="H1331" s="107"/>
      <c r="I1331" s="107"/>
      <c r="J1331" s="107"/>
      <c r="K1331" s="109"/>
    </row>
    <row r="1332" spans="1:11">
      <c r="A1332" s="107"/>
      <c r="B1332" s="103"/>
      <c r="C1332" s="109"/>
      <c r="D1332" s="103"/>
      <c r="E1332" s="103"/>
      <c r="F1332" s="103"/>
      <c r="G1332" s="103"/>
      <c r="H1332" s="107"/>
      <c r="I1332" s="107"/>
      <c r="J1332" s="107"/>
      <c r="K1332" s="109"/>
    </row>
    <row r="1333" spans="1:11">
      <c r="A1333" s="107"/>
      <c r="B1333" s="103"/>
      <c r="C1333" s="109"/>
      <c r="D1333" s="103"/>
      <c r="E1333" s="103"/>
      <c r="F1333" s="103"/>
      <c r="G1333" s="103"/>
      <c r="H1333" s="107"/>
      <c r="I1333" s="107"/>
      <c r="J1333" s="107"/>
      <c r="K1333" s="109"/>
    </row>
    <row r="1334" spans="1:11">
      <c r="A1334" s="107"/>
      <c r="B1334" s="103"/>
      <c r="C1334" s="109"/>
      <c r="D1334" s="103"/>
      <c r="E1334" s="103"/>
      <c r="F1334" s="103"/>
      <c r="G1334" s="103"/>
      <c r="H1334" s="107"/>
      <c r="I1334" s="107"/>
      <c r="J1334" s="107"/>
      <c r="K1334" s="109"/>
    </row>
    <row r="1335" spans="1:11">
      <c r="A1335" s="107"/>
      <c r="B1335" s="103"/>
      <c r="C1335" s="109"/>
      <c r="D1335" s="103"/>
      <c r="E1335" s="103"/>
      <c r="F1335" s="103"/>
      <c r="G1335" s="103"/>
      <c r="H1335" s="107"/>
      <c r="I1335" s="107"/>
      <c r="J1335" s="107"/>
      <c r="K1335" s="109"/>
    </row>
    <row r="1336" spans="1:11">
      <c r="A1336" s="107"/>
      <c r="B1336" s="103"/>
      <c r="C1336" s="109"/>
      <c r="D1336" s="103"/>
      <c r="E1336" s="103"/>
      <c r="F1336" s="103"/>
      <c r="G1336" s="103"/>
      <c r="H1336" s="107"/>
      <c r="I1336" s="107"/>
      <c r="J1336" s="107"/>
      <c r="K1336" s="109"/>
    </row>
    <row r="1337" spans="1:11">
      <c r="A1337" s="107"/>
      <c r="B1337" s="103"/>
      <c r="C1337" s="109"/>
      <c r="D1337" s="103"/>
      <c r="E1337" s="103"/>
      <c r="F1337" s="103"/>
      <c r="G1337" s="103"/>
      <c r="H1337" s="107"/>
      <c r="I1337" s="107"/>
      <c r="J1337" s="107"/>
      <c r="K1337" s="109"/>
    </row>
    <row r="1338" spans="1:11">
      <c r="A1338" s="107"/>
      <c r="B1338" s="103"/>
      <c r="C1338" s="109"/>
      <c r="D1338" s="103"/>
      <c r="E1338" s="103"/>
      <c r="F1338" s="103"/>
      <c r="G1338" s="103"/>
      <c r="H1338" s="107"/>
      <c r="I1338" s="107"/>
      <c r="J1338" s="107"/>
      <c r="K1338" s="109"/>
    </row>
    <row r="1339" spans="1:11">
      <c r="A1339" s="107"/>
      <c r="B1339" s="103"/>
      <c r="C1339" s="109"/>
      <c r="D1339" s="103"/>
      <c r="E1339" s="103"/>
      <c r="F1339" s="103"/>
      <c r="G1339" s="103"/>
      <c r="H1339" s="107"/>
      <c r="I1339" s="107"/>
      <c r="J1339" s="107"/>
      <c r="K1339" s="109"/>
    </row>
    <row r="1340" spans="1:11">
      <c r="A1340" s="107"/>
      <c r="B1340" s="103"/>
      <c r="C1340" s="109"/>
      <c r="D1340" s="103"/>
      <c r="E1340" s="103"/>
      <c r="F1340" s="103"/>
      <c r="G1340" s="103"/>
      <c r="H1340" s="107"/>
      <c r="I1340" s="107"/>
      <c r="J1340" s="107"/>
      <c r="K1340" s="109"/>
    </row>
    <row r="1341" spans="1:11">
      <c r="A1341" s="107"/>
      <c r="B1341" s="103"/>
      <c r="C1341" s="109"/>
      <c r="D1341" s="103"/>
      <c r="E1341" s="103"/>
      <c r="F1341" s="103"/>
      <c r="G1341" s="103"/>
      <c r="H1341" s="107"/>
      <c r="I1341" s="107"/>
      <c r="J1341" s="107"/>
      <c r="K1341" s="109"/>
    </row>
    <row r="1342" spans="1:11">
      <c r="A1342" s="107"/>
      <c r="B1342" s="103"/>
      <c r="C1342" s="109"/>
      <c r="D1342" s="103"/>
      <c r="E1342" s="103"/>
      <c r="F1342" s="103"/>
      <c r="G1342" s="103"/>
      <c r="H1342" s="107"/>
      <c r="I1342" s="107"/>
      <c r="J1342" s="107"/>
      <c r="K1342" s="109"/>
    </row>
    <row r="1343" spans="1:11">
      <c r="A1343" s="107"/>
      <c r="B1343" s="103"/>
      <c r="C1343" s="109"/>
      <c r="D1343" s="103"/>
      <c r="E1343" s="103"/>
      <c r="F1343" s="103"/>
      <c r="G1343" s="103"/>
      <c r="H1343" s="107"/>
      <c r="I1343" s="107"/>
      <c r="J1343" s="107"/>
      <c r="K1343" s="109"/>
    </row>
    <row r="1344" spans="1:11">
      <c r="A1344" s="107"/>
      <c r="B1344" s="103"/>
      <c r="C1344" s="109"/>
      <c r="D1344" s="103"/>
      <c r="E1344" s="103"/>
      <c r="F1344" s="103"/>
      <c r="G1344" s="103"/>
      <c r="H1344" s="107"/>
      <c r="I1344" s="107"/>
      <c r="J1344" s="107"/>
      <c r="K1344" s="109"/>
    </row>
    <row r="1345" spans="1:11">
      <c r="A1345" s="107"/>
      <c r="B1345" s="103"/>
      <c r="C1345" s="109"/>
      <c r="D1345" s="103"/>
      <c r="E1345" s="103"/>
      <c r="F1345" s="103"/>
      <c r="G1345" s="103"/>
      <c r="H1345" s="107"/>
      <c r="I1345" s="107"/>
      <c r="J1345" s="107"/>
      <c r="K1345" s="109"/>
    </row>
    <row r="1346" spans="1:11">
      <c r="A1346" s="107"/>
      <c r="B1346" s="103"/>
      <c r="C1346" s="109"/>
      <c r="D1346" s="103"/>
      <c r="E1346" s="103"/>
      <c r="F1346" s="103"/>
      <c r="G1346" s="103"/>
      <c r="H1346" s="107"/>
      <c r="I1346" s="107"/>
      <c r="J1346" s="107"/>
      <c r="K1346" s="109"/>
    </row>
    <row r="1347" spans="1:11">
      <c r="A1347" s="107"/>
      <c r="B1347" s="103"/>
      <c r="C1347" s="109"/>
      <c r="D1347" s="103"/>
      <c r="E1347" s="103"/>
      <c r="F1347" s="103"/>
      <c r="G1347" s="103"/>
      <c r="H1347" s="107"/>
      <c r="I1347" s="107"/>
      <c r="J1347" s="107"/>
      <c r="K1347" s="109"/>
    </row>
    <row r="1348" spans="1:11">
      <c r="A1348" s="107"/>
      <c r="B1348" s="103"/>
      <c r="C1348" s="109"/>
      <c r="D1348" s="103"/>
      <c r="E1348" s="103"/>
      <c r="F1348" s="103"/>
      <c r="G1348" s="103"/>
      <c r="H1348" s="107"/>
      <c r="I1348" s="107"/>
      <c r="J1348" s="107"/>
      <c r="K1348" s="109"/>
    </row>
    <row r="1349" spans="1:11">
      <c r="A1349" s="107"/>
      <c r="B1349" s="103"/>
      <c r="C1349" s="109"/>
      <c r="D1349" s="103"/>
      <c r="E1349" s="103"/>
      <c r="F1349" s="103"/>
      <c r="G1349" s="103"/>
      <c r="H1349" s="107"/>
      <c r="I1349" s="107"/>
      <c r="J1349" s="107"/>
      <c r="K1349" s="109"/>
    </row>
    <row r="1350" spans="1:11">
      <c r="A1350" s="107"/>
      <c r="B1350" s="103"/>
      <c r="C1350" s="109"/>
      <c r="D1350" s="103"/>
      <c r="E1350" s="103"/>
      <c r="F1350" s="103"/>
      <c r="G1350" s="103"/>
      <c r="H1350" s="107"/>
      <c r="I1350" s="107"/>
      <c r="J1350" s="107"/>
      <c r="K1350" s="109"/>
    </row>
    <row r="1351" spans="1:11">
      <c r="A1351" s="107"/>
      <c r="B1351" s="103"/>
      <c r="C1351" s="109"/>
      <c r="D1351" s="103"/>
      <c r="E1351" s="103"/>
      <c r="F1351" s="103"/>
      <c r="G1351" s="103"/>
      <c r="H1351" s="107"/>
      <c r="I1351" s="107"/>
      <c r="J1351" s="107"/>
      <c r="K1351" s="109"/>
    </row>
    <row r="1352" spans="1:11">
      <c r="A1352" s="107"/>
      <c r="B1352" s="103"/>
      <c r="C1352" s="109"/>
      <c r="D1352" s="103"/>
      <c r="E1352" s="103"/>
      <c r="F1352" s="103"/>
      <c r="G1352" s="103"/>
      <c r="H1352" s="107"/>
      <c r="I1352" s="107"/>
      <c r="J1352" s="107"/>
      <c r="K1352" s="109"/>
    </row>
    <row r="1353" spans="1:11">
      <c r="A1353" s="107"/>
      <c r="B1353" s="103"/>
      <c r="C1353" s="109"/>
      <c r="D1353" s="103"/>
      <c r="E1353" s="103"/>
      <c r="F1353" s="103"/>
      <c r="G1353" s="103"/>
      <c r="H1353" s="107"/>
      <c r="I1353" s="107"/>
      <c r="J1353" s="107"/>
      <c r="K1353" s="109"/>
    </row>
    <row r="1354" spans="1:11">
      <c r="A1354" s="107"/>
      <c r="B1354" s="103"/>
      <c r="C1354" s="109"/>
      <c r="D1354" s="103"/>
      <c r="E1354" s="103"/>
      <c r="F1354" s="103"/>
      <c r="G1354" s="103"/>
      <c r="H1354" s="107"/>
      <c r="I1354" s="107"/>
      <c r="J1354" s="107"/>
      <c r="K1354" s="109"/>
    </row>
    <row r="1355" spans="1:11">
      <c r="A1355" s="107"/>
      <c r="B1355" s="103"/>
      <c r="C1355" s="109"/>
      <c r="D1355" s="103"/>
      <c r="E1355" s="103"/>
      <c r="F1355" s="103"/>
      <c r="G1355" s="103"/>
      <c r="H1355" s="107"/>
      <c r="I1355" s="107"/>
      <c r="J1355" s="107"/>
      <c r="K1355" s="109"/>
    </row>
    <row r="1356" spans="1:11">
      <c r="A1356" s="107"/>
      <c r="B1356" s="103"/>
      <c r="C1356" s="109"/>
      <c r="D1356" s="103"/>
      <c r="E1356" s="103"/>
      <c r="F1356" s="103"/>
      <c r="G1356" s="103"/>
      <c r="H1356" s="107"/>
      <c r="I1356" s="107"/>
      <c r="J1356" s="107"/>
      <c r="K1356" s="109"/>
    </row>
    <row r="1357" spans="1:11">
      <c r="A1357" s="107"/>
      <c r="B1357" s="103"/>
      <c r="C1357" s="109"/>
      <c r="D1357" s="103"/>
      <c r="E1357" s="103"/>
      <c r="F1357" s="103"/>
      <c r="G1357" s="103"/>
      <c r="H1357" s="107"/>
      <c r="I1357" s="107"/>
      <c r="J1357" s="107"/>
      <c r="K1357" s="109"/>
    </row>
    <row r="1358" spans="1:11">
      <c r="A1358" s="107"/>
      <c r="B1358" s="103"/>
      <c r="C1358" s="109"/>
      <c r="D1358" s="103"/>
      <c r="E1358" s="103"/>
      <c r="F1358" s="103"/>
      <c r="G1358" s="103"/>
      <c r="H1358" s="107"/>
      <c r="I1358" s="107"/>
      <c r="J1358" s="107"/>
      <c r="K1358" s="109"/>
    </row>
    <row r="1359" spans="1:11">
      <c r="A1359" s="107"/>
      <c r="B1359" s="103"/>
      <c r="C1359" s="109"/>
      <c r="D1359" s="103"/>
      <c r="E1359" s="103"/>
      <c r="F1359" s="103"/>
      <c r="G1359" s="103"/>
      <c r="H1359" s="107"/>
      <c r="I1359" s="107"/>
      <c r="J1359" s="107"/>
      <c r="K1359" s="109"/>
    </row>
    <row r="1360" spans="1:11">
      <c r="A1360" s="107"/>
      <c r="B1360" s="103"/>
      <c r="C1360" s="109"/>
      <c r="D1360" s="103"/>
      <c r="E1360" s="103"/>
      <c r="F1360" s="103"/>
      <c r="G1360" s="103"/>
      <c r="H1360" s="107"/>
      <c r="I1360" s="107"/>
      <c r="J1360" s="107"/>
      <c r="K1360" s="109"/>
    </row>
    <row r="1361" spans="1:11">
      <c r="A1361" s="107"/>
      <c r="B1361" s="103"/>
      <c r="C1361" s="109"/>
      <c r="D1361" s="103"/>
      <c r="E1361" s="103"/>
      <c r="F1361" s="103"/>
      <c r="G1361" s="103"/>
      <c r="H1361" s="107"/>
      <c r="I1361" s="107"/>
      <c r="J1361" s="107"/>
      <c r="K1361" s="109"/>
    </row>
    <row r="1362" spans="1:11">
      <c r="A1362" s="107"/>
      <c r="B1362" s="103"/>
      <c r="C1362" s="109"/>
      <c r="D1362" s="103"/>
      <c r="E1362" s="103"/>
      <c r="F1362" s="103"/>
      <c r="G1362" s="103"/>
      <c r="H1362" s="107"/>
      <c r="I1362" s="107"/>
      <c r="J1362" s="107"/>
      <c r="K1362" s="109"/>
    </row>
    <row r="1363" spans="1:11">
      <c r="A1363" s="107"/>
      <c r="B1363" s="103"/>
      <c r="C1363" s="109"/>
      <c r="D1363" s="103"/>
      <c r="E1363" s="103"/>
      <c r="F1363" s="103"/>
      <c r="G1363" s="103"/>
      <c r="H1363" s="107"/>
      <c r="I1363" s="107"/>
      <c r="J1363" s="107"/>
      <c r="K1363" s="109"/>
    </row>
    <row r="1364" spans="1:11">
      <c r="A1364" s="107"/>
      <c r="B1364" s="103"/>
      <c r="C1364" s="109"/>
      <c r="D1364" s="103"/>
      <c r="E1364" s="103"/>
      <c r="F1364" s="103"/>
      <c r="G1364" s="103"/>
      <c r="H1364" s="107"/>
      <c r="I1364" s="107"/>
      <c r="J1364" s="107"/>
      <c r="K1364" s="109"/>
    </row>
    <row r="1365" spans="1:11">
      <c r="A1365" s="107"/>
      <c r="B1365" s="103"/>
      <c r="C1365" s="109"/>
      <c r="D1365" s="103"/>
      <c r="E1365" s="103"/>
      <c r="F1365" s="103"/>
      <c r="G1365" s="103"/>
      <c r="H1365" s="107"/>
      <c r="I1365" s="107"/>
      <c r="J1365" s="107"/>
      <c r="K1365" s="109"/>
    </row>
    <row r="1366" spans="1:11">
      <c r="A1366" s="107"/>
      <c r="B1366" s="103"/>
      <c r="C1366" s="109"/>
      <c r="D1366" s="103"/>
      <c r="E1366" s="103"/>
      <c r="F1366" s="103"/>
      <c r="G1366" s="103"/>
      <c r="H1366" s="107"/>
      <c r="I1366" s="107"/>
      <c r="J1366" s="107"/>
      <c r="K1366" s="109"/>
    </row>
    <row r="1367" spans="1:11">
      <c r="A1367" s="107"/>
      <c r="B1367" s="103"/>
      <c r="C1367" s="109"/>
      <c r="D1367" s="103"/>
      <c r="E1367" s="103"/>
      <c r="F1367" s="103"/>
      <c r="G1367" s="103"/>
      <c r="H1367" s="107"/>
      <c r="I1367" s="107"/>
      <c r="J1367" s="107"/>
      <c r="K1367" s="109"/>
    </row>
    <row r="1368" spans="1:11">
      <c r="A1368" s="107"/>
      <c r="B1368" s="103"/>
      <c r="C1368" s="109"/>
      <c r="D1368" s="103"/>
      <c r="E1368" s="103"/>
      <c r="F1368" s="103"/>
      <c r="G1368" s="103"/>
      <c r="H1368" s="107"/>
      <c r="I1368" s="107"/>
      <c r="J1368" s="107"/>
      <c r="K1368" s="109"/>
    </row>
    <row r="1369" spans="1:11">
      <c r="A1369" s="107"/>
      <c r="B1369" s="103"/>
      <c r="C1369" s="109"/>
      <c r="D1369" s="103"/>
      <c r="E1369" s="103"/>
      <c r="F1369" s="103"/>
      <c r="G1369" s="103"/>
      <c r="H1369" s="107"/>
      <c r="I1369" s="107"/>
      <c r="J1369" s="107"/>
      <c r="K1369" s="109"/>
    </row>
    <row r="1370" spans="1:11">
      <c r="A1370" s="107"/>
      <c r="B1370" s="103"/>
      <c r="C1370" s="109"/>
      <c r="D1370" s="103"/>
      <c r="E1370" s="103"/>
      <c r="F1370" s="103"/>
      <c r="G1370" s="103"/>
      <c r="H1370" s="107"/>
      <c r="I1370" s="107"/>
      <c r="J1370" s="107"/>
      <c r="K1370" s="109"/>
    </row>
    <row r="1371" spans="1:11">
      <c r="A1371" s="107"/>
      <c r="B1371" s="103"/>
      <c r="C1371" s="109"/>
      <c r="D1371" s="103"/>
      <c r="E1371" s="103"/>
      <c r="F1371" s="103"/>
      <c r="G1371" s="103"/>
      <c r="H1371" s="107"/>
      <c r="I1371" s="107"/>
      <c r="J1371" s="107"/>
      <c r="K1371" s="109"/>
    </row>
    <row r="1372" spans="1:11">
      <c r="A1372" s="107"/>
      <c r="B1372" s="103"/>
      <c r="C1372" s="109"/>
      <c r="D1372" s="103"/>
      <c r="E1372" s="103"/>
      <c r="F1372" s="103"/>
      <c r="G1372" s="103"/>
      <c r="H1372" s="107"/>
      <c r="I1372" s="107"/>
      <c r="J1372" s="107"/>
      <c r="K1372" s="109"/>
    </row>
    <row r="1373" spans="1:11">
      <c r="A1373" s="107"/>
      <c r="B1373" s="103"/>
      <c r="C1373" s="109"/>
      <c r="D1373" s="103"/>
      <c r="E1373" s="103"/>
      <c r="F1373" s="103"/>
      <c r="G1373" s="103"/>
      <c r="H1373" s="107"/>
      <c r="I1373" s="107"/>
      <c r="J1373" s="107"/>
      <c r="K1373" s="109"/>
    </row>
    <row r="1374" spans="1:11">
      <c r="A1374" s="107"/>
      <c r="B1374" s="103"/>
      <c r="C1374" s="109"/>
      <c r="D1374" s="103"/>
      <c r="E1374" s="103"/>
      <c r="F1374" s="103"/>
      <c r="G1374" s="103"/>
      <c r="H1374" s="107"/>
      <c r="I1374" s="107"/>
      <c r="J1374" s="107"/>
      <c r="K1374" s="109"/>
    </row>
    <row r="1375" spans="1:11">
      <c r="A1375" s="107"/>
      <c r="B1375" s="103"/>
      <c r="C1375" s="109"/>
      <c r="D1375" s="103"/>
      <c r="E1375" s="103"/>
      <c r="F1375" s="103"/>
      <c r="G1375" s="103"/>
      <c r="H1375" s="107"/>
      <c r="I1375" s="107"/>
      <c r="J1375" s="107"/>
      <c r="K1375" s="109"/>
    </row>
    <row r="1376" spans="1:11">
      <c r="A1376" s="107"/>
      <c r="B1376" s="103"/>
      <c r="C1376" s="109"/>
      <c r="D1376" s="103"/>
      <c r="E1376" s="103"/>
      <c r="F1376" s="103"/>
      <c r="G1376" s="103"/>
      <c r="H1376" s="107"/>
      <c r="I1376" s="107"/>
      <c r="J1376" s="107"/>
      <c r="K1376" s="109"/>
    </row>
    <row r="1377" spans="1:11">
      <c r="A1377" s="107"/>
      <c r="B1377" s="103"/>
      <c r="C1377" s="109"/>
      <c r="D1377" s="103"/>
      <c r="E1377" s="103"/>
      <c r="F1377" s="103"/>
      <c r="G1377" s="103"/>
      <c r="H1377" s="107"/>
      <c r="I1377" s="107"/>
      <c r="J1377" s="107"/>
      <c r="K1377" s="109"/>
    </row>
    <row r="1378" spans="1:11">
      <c r="A1378" s="107"/>
      <c r="B1378" s="103"/>
      <c r="C1378" s="109"/>
      <c r="D1378" s="103"/>
      <c r="E1378" s="103"/>
      <c r="F1378" s="103"/>
      <c r="G1378" s="103"/>
      <c r="H1378" s="107"/>
      <c r="I1378" s="107"/>
      <c r="J1378" s="107"/>
      <c r="K1378" s="109"/>
    </row>
    <row r="1379" spans="1:11">
      <c r="A1379" s="107"/>
      <c r="B1379" s="103"/>
      <c r="C1379" s="109"/>
      <c r="D1379" s="103"/>
      <c r="E1379" s="103"/>
      <c r="F1379" s="103"/>
      <c r="G1379" s="103"/>
      <c r="H1379" s="107"/>
      <c r="I1379" s="107"/>
      <c r="J1379" s="107"/>
      <c r="K1379" s="109"/>
    </row>
    <row r="1380" spans="1:11">
      <c r="A1380" s="107"/>
      <c r="B1380" s="103"/>
      <c r="C1380" s="109"/>
      <c r="D1380" s="103"/>
      <c r="E1380" s="103"/>
      <c r="F1380" s="103"/>
      <c r="G1380" s="103"/>
      <c r="H1380" s="107"/>
      <c r="I1380" s="107"/>
      <c r="J1380" s="107"/>
      <c r="K1380" s="109"/>
    </row>
    <row r="1381" spans="1:11">
      <c r="A1381" s="107"/>
      <c r="B1381" s="103"/>
      <c r="C1381" s="109"/>
      <c r="D1381" s="103"/>
      <c r="E1381" s="103"/>
      <c r="F1381" s="103"/>
      <c r="G1381" s="103"/>
      <c r="H1381" s="107"/>
      <c r="I1381" s="107"/>
      <c r="J1381" s="107"/>
      <c r="K1381" s="109"/>
    </row>
    <row r="1382" spans="1:11">
      <c r="A1382" s="107"/>
      <c r="B1382" s="103"/>
      <c r="C1382" s="109"/>
      <c r="D1382" s="103"/>
      <c r="E1382" s="103"/>
      <c r="F1382" s="103"/>
      <c r="G1382" s="103"/>
      <c r="H1382" s="107"/>
      <c r="I1382" s="107"/>
      <c r="J1382" s="107"/>
      <c r="K1382" s="109"/>
    </row>
    <row r="1383" spans="1:11">
      <c r="A1383" s="107"/>
      <c r="B1383" s="103"/>
      <c r="C1383" s="109"/>
      <c r="D1383" s="103"/>
      <c r="E1383" s="103"/>
      <c r="F1383" s="103"/>
      <c r="G1383" s="103"/>
      <c r="H1383" s="107"/>
      <c r="I1383" s="107"/>
      <c r="J1383" s="107"/>
      <c r="K1383" s="109"/>
    </row>
    <row r="1384" spans="1:11">
      <c r="A1384" s="107"/>
      <c r="B1384" s="103"/>
      <c r="C1384" s="109"/>
      <c r="D1384" s="103"/>
      <c r="E1384" s="103"/>
      <c r="F1384" s="103"/>
      <c r="G1384" s="103"/>
      <c r="H1384" s="107"/>
      <c r="I1384" s="107"/>
      <c r="J1384" s="107"/>
      <c r="K1384" s="109"/>
    </row>
    <row r="1385" spans="1:11">
      <c r="A1385" s="107"/>
      <c r="B1385" s="103"/>
      <c r="C1385" s="109"/>
      <c r="D1385" s="103"/>
      <c r="E1385" s="103"/>
      <c r="F1385" s="103"/>
      <c r="G1385" s="103"/>
      <c r="H1385" s="107"/>
      <c r="I1385" s="107"/>
      <c r="J1385" s="107"/>
      <c r="K1385" s="109"/>
    </row>
    <row r="1386" spans="1:11">
      <c r="A1386" s="107"/>
      <c r="B1386" s="103"/>
      <c r="C1386" s="109"/>
      <c r="D1386" s="103"/>
      <c r="E1386" s="103"/>
      <c r="F1386" s="103"/>
      <c r="G1386" s="103"/>
      <c r="H1386" s="107"/>
      <c r="I1386" s="107"/>
      <c r="J1386" s="107"/>
      <c r="K1386" s="109"/>
    </row>
    <row r="1387" spans="1:11">
      <c r="A1387" s="107"/>
      <c r="B1387" s="103"/>
      <c r="C1387" s="109"/>
      <c r="D1387" s="103"/>
      <c r="E1387" s="103"/>
      <c r="F1387" s="103"/>
      <c r="G1387" s="103"/>
      <c r="H1387" s="107"/>
      <c r="I1387" s="107"/>
      <c r="J1387" s="107"/>
      <c r="K1387" s="109"/>
    </row>
    <row r="1388" spans="1:11">
      <c r="A1388" s="107"/>
      <c r="B1388" s="103"/>
      <c r="C1388" s="109"/>
      <c r="D1388" s="103"/>
      <c r="E1388" s="103"/>
      <c r="F1388" s="103"/>
      <c r="G1388" s="103"/>
      <c r="H1388" s="107"/>
      <c r="I1388" s="107"/>
      <c r="J1388" s="107"/>
      <c r="K1388" s="109"/>
    </row>
    <row r="1389" spans="1:11">
      <c r="A1389" s="107"/>
      <c r="B1389" s="103"/>
      <c r="C1389" s="109"/>
      <c r="D1389" s="103"/>
      <c r="E1389" s="103"/>
      <c r="F1389" s="103"/>
      <c r="G1389" s="103"/>
      <c r="H1389" s="107"/>
      <c r="I1389" s="107"/>
      <c r="J1389" s="107"/>
      <c r="K1389" s="109"/>
    </row>
    <row r="1390" spans="1:11">
      <c r="A1390" s="107"/>
      <c r="B1390" s="103"/>
      <c r="C1390" s="109"/>
      <c r="D1390" s="103"/>
      <c r="E1390" s="103"/>
      <c r="F1390" s="103"/>
      <c r="G1390" s="103"/>
      <c r="H1390" s="107"/>
      <c r="I1390" s="107"/>
      <c r="J1390" s="107"/>
      <c r="K1390" s="109"/>
    </row>
    <row r="1391" spans="1:11">
      <c r="A1391" s="107"/>
      <c r="B1391" s="103"/>
      <c r="C1391" s="109"/>
      <c r="D1391" s="103"/>
      <c r="E1391" s="103"/>
      <c r="F1391" s="103"/>
      <c r="G1391" s="103"/>
      <c r="H1391" s="107"/>
      <c r="I1391" s="107"/>
      <c r="J1391" s="107"/>
      <c r="K1391" s="109"/>
    </row>
    <row r="1392" spans="1:11">
      <c r="A1392" s="107"/>
      <c r="B1392" s="103"/>
      <c r="C1392" s="109"/>
      <c r="D1392" s="103"/>
      <c r="E1392" s="103"/>
      <c r="F1392" s="103"/>
      <c r="G1392" s="103"/>
      <c r="H1392" s="107"/>
      <c r="I1392" s="107"/>
      <c r="J1392" s="107"/>
      <c r="K1392" s="109"/>
    </row>
    <row r="1393" spans="1:11">
      <c r="A1393" s="107"/>
      <c r="B1393" s="103"/>
      <c r="C1393" s="109"/>
      <c r="D1393" s="103"/>
      <c r="E1393" s="103"/>
      <c r="F1393" s="103"/>
      <c r="G1393" s="103"/>
      <c r="H1393" s="107"/>
      <c r="I1393" s="107"/>
      <c r="J1393" s="107"/>
      <c r="K1393" s="109"/>
    </row>
    <row r="1394" spans="1:11">
      <c r="A1394" s="107"/>
      <c r="B1394" s="103"/>
      <c r="C1394" s="109"/>
      <c r="D1394" s="103"/>
      <c r="E1394" s="103"/>
      <c r="F1394" s="103"/>
      <c r="G1394" s="103"/>
      <c r="H1394" s="107"/>
      <c r="I1394" s="107"/>
      <c r="J1394" s="107"/>
      <c r="K1394" s="109"/>
    </row>
    <row r="1395" spans="1:11">
      <c r="A1395" s="107"/>
      <c r="B1395" s="103"/>
      <c r="C1395" s="109"/>
      <c r="D1395" s="103"/>
      <c r="E1395" s="103"/>
      <c r="F1395" s="103"/>
      <c r="G1395" s="103"/>
      <c r="H1395" s="107"/>
      <c r="I1395" s="107"/>
      <c r="J1395" s="107"/>
      <c r="K1395" s="109"/>
    </row>
    <row r="1396" spans="1:11">
      <c r="A1396" s="107"/>
      <c r="B1396" s="103"/>
      <c r="C1396" s="109"/>
      <c r="D1396" s="103"/>
      <c r="E1396" s="103"/>
      <c r="F1396" s="103"/>
      <c r="G1396" s="103"/>
      <c r="H1396" s="107"/>
      <c r="I1396" s="107"/>
      <c r="J1396" s="107"/>
      <c r="K1396" s="109"/>
    </row>
    <row r="1397" spans="1:11">
      <c r="A1397" s="107"/>
      <c r="B1397" s="103"/>
      <c r="C1397" s="109"/>
      <c r="D1397" s="103"/>
      <c r="E1397" s="103"/>
      <c r="F1397" s="103"/>
      <c r="G1397" s="103"/>
      <c r="H1397" s="107"/>
      <c r="I1397" s="107"/>
      <c r="J1397" s="107"/>
      <c r="K1397" s="109"/>
    </row>
    <row r="1398" spans="1:11">
      <c r="A1398" s="107"/>
      <c r="B1398" s="103"/>
      <c r="C1398" s="109"/>
      <c r="D1398" s="103"/>
      <c r="E1398" s="103"/>
      <c r="F1398" s="103"/>
      <c r="G1398" s="103"/>
      <c r="H1398" s="107"/>
      <c r="I1398" s="107"/>
      <c r="J1398" s="107"/>
      <c r="K1398" s="109"/>
    </row>
    <row r="1399" spans="1:11">
      <c r="A1399" s="107"/>
      <c r="B1399" s="103"/>
      <c r="C1399" s="109"/>
      <c r="D1399" s="103"/>
      <c r="E1399" s="103"/>
      <c r="F1399" s="103"/>
      <c r="G1399" s="103"/>
      <c r="H1399" s="107"/>
      <c r="I1399" s="107"/>
      <c r="J1399" s="107"/>
      <c r="K1399" s="109"/>
    </row>
    <row r="1400" spans="1:11">
      <c r="A1400" s="107"/>
      <c r="B1400" s="103"/>
      <c r="C1400" s="109"/>
      <c r="D1400" s="103"/>
      <c r="E1400" s="103"/>
      <c r="F1400" s="103"/>
      <c r="G1400" s="103"/>
      <c r="H1400" s="107"/>
      <c r="I1400" s="107"/>
      <c r="J1400" s="107"/>
      <c r="K1400" s="109"/>
    </row>
    <row r="1401" spans="1:11">
      <c r="A1401" s="107"/>
      <c r="B1401" s="103"/>
      <c r="C1401" s="109"/>
      <c r="D1401" s="103"/>
      <c r="E1401" s="103"/>
      <c r="F1401" s="103"/>
      <c r="G1401" s="103"/>
      <c r="H1401" s="107"/>
      <c r="I1401" s="107"/>
      <c r="J1401" s="107"/>
      <c r="K1401" s="109"/>
    </row>
    <row r="1402" spans="1:11">
      <c r="A1402" s="107"/>
      <c r="B1402" s="103"/>
      <c r="C1402" s="109"/>
      <c r="D1402" s="103"/>
      <c r="E1402" s="103"/>
      <c r="F1402" s="103"/>
      <c r="G1402" s="103"/>
      <c r="H1402" s="107"/>
      <c r="I1402" s="107"/>
      <c r="J1402" s="107"/>
      <c r="K1402" s="109"/>
    </row>
    <row r="1403" spans="1:11">
      <c r="A1403" s="107"/>
      <c r="B1403" s="103"/>
      <c r="C1403" s="109"/>
      <c r="D1403" s="103"/>
      <c r="E1403" s="103"/>
      <c r="F1403" s="103"/>
      <c r="G1403" s="103"/>
      <c r="H1403" s="107"/>
      <c r="I1403" s="107"/>
      <c r="J1403" s="107"/>
      <c r="K1403" s="109"/>
    </row>
    <row r="1404" spans="1:11">
      <c r="A1404" s="107"/>
      <c r="B1404" s="103"/>
      <c r="C1404" s="109"/>
      <c r="D1404" s="103"/>
      <c r="E1404" s="103"/>
      <c r="F1404" s="103"/>
      <c r="G1404" s="103"/>
      <c r="H1404" s="107"/>
      <c r="I1404" s="107"/>
      <c r="J1404" s="107"/>
      <c r="K1404" s="109"/>
    </row>
    <row r="1405" spans="1:11">
      <c r="A1405" s="107"/>
      <c r="B1405" s="103"/>
      <c r="C1405" s="109"/>
      <c r="D1405" s="103"/>
      <c r="E1405" s="103"/>
      <c r="F1405" s="103"/>
      <c r="G1405" s="103"/>
      <c r="H1405" s="107"/>
      <c r="I1405" s="107"/>
      <c r="J1405" s="107"/>
      <c r="K1405" s="109"/>
    </row>
    <row r="1406" spans="1:11">
      <c r="A1406" s="107"/>
      <c r="B1406" s="103"/>
      <c r="C1406" s="109"/>
      <c r="D1406" s="103"/>
      <c r="E1406" s="103"/>
      <c r="F1406" s="103"/>
      <c r="G1406" s="103"/>
      <c r="H1406" s="107"/>
      <c r="I1406" s="107"/>
      <c r="J1406" s="107"/>
      <c r="K1406" s="109"/>
    </row>
    <row r="1407" spans="1:11">
      <c r="A1407" s="107"/>
      <c r="B1407" s="103"/>
      <c r="C1407" s="109"/>
      <c r="D1407" s="103"/>
      <c r="E1407" s="103"/>
      <c r="F1407" s="103"/>
      <c r="G1407" s="103"/>
      <c r="H1407" s="107"/>
      <c r="I1407" s="107"/>
      <c r="J1407" s="107"/>
      <c r="K1407" s="109"/>
    </row>
    <row r="1408" spans="1:11">
      <c r="A1408" s="107"/>
      <c r="B1408" s="103"/>
      <c r="C1408" s="109"/>
      <c r="D1408" s="103"/>
      <c r="E1408" s="103"/>
      <c r="F1408" s="103"/>
      <c r="G1408" s="103"/>
      <c r="H1408" s="107"/>
      <c r="I1408" s="107"/>
      <c r="J1408" s="107"/>
      <c r="K1408" s="109"/>
    </row>
    <row r="1409" spans="1:11">
      <c r="A1409" s="107"/>
      <c r="B1409" s="103"/>
      <c r="C1409" s="109"/>
      <c r="D1409" s="103"/>
      <c r="E1409" s="103"/>
      <c r="F1409" s="103"/>
      <c r="G1409" s="103"/>
      <c r="H1409" s="107"/>
      <c r="I1409" s="107"/>
      <c r="J1409" s="107"/>
      <c r="K1409" s="109"/>
    </row>
    <row r="1410" spans="1:11">
      <c r="A1410" s="107"/>
      <c r="B1410" s="103"/>
      <c r="C1410" s="109"/>
      <c r="D1410" s="103"/>
      <c r="E1410" s="103"/>
      <c r="F1410" s="103"/>
      <c r="G1410" s="103"/>
      <c r="H1410" s="107"/>
      <c r="I1410" s="107"/>
      <c r="J1410" s="107"/>
      <c r="K1410" s="109"/>
    </row>
    <row r="1411" spans="1:11">
      <c r="A1411" s="107"/>
      <c r="B1411" s="103"/>
      <c r="C1411" s="109"/>
      <c r="D1411" s="103"/>
      <c r="E1411" s="103"/>
      <c r="F1411" s="103"/>
      <c r="G1411" s="103"/>
      <c r="H1411" s="107"/>
      <c r="I1411" s="107"/>
      <c r="J1411" s="107"/>
      <c r="K1411" s="109"/>
    </row>
    <row r="1412" spans="1:11">
      <c r="A1412" s="107"/>
      <c r="B1412" s="103"/>
      <c r="C1412" s="109"/>
      <c r="D1412" s="103"/>
      <c r="E1412" s="103"/>
      <c r="F1412" s="103"/>
      <c r="G1412" s="103"/>
      <c r="H1412" s="107"/>
      <c r="I1412" s="107"/>
      <c r="J1412" s="107"/>
      <c r="K1412" s="109"/>
    </row>
    <row r="1413" spans="1:11">
      <c r="A1413" s="107"/>
      <c r="B1413" s="103"/>
      <c r="C1413" s="109"/>
      <c r="D1413" s="103"/>
      <c r="E1413" s="103"/>
      <c r="F1413" s="103"/>
      <c r="G1413" s="103"/>
      <c r="H1413" s="107"/>
      <c r="I1413" s="107"/>
      <c r="J1413" s="107"/>
      <c r="K1413" s="109"/>
    </row>
    <row r="1414" spans="1:11">
      <c r="A1414" s="107"/>
      <c r="B1414" s="103"/>
      <c r="C1414" s="109"/>
      <c r="D1414" s="103"/>
      <c r="E1414" s="103"/>
      <c r="F1414" s="103"/>
      <c r="G1414" s="103"/>
      <c r="H1414" s="107"/>
      <c r="I1414" s="107"/>
      <c r="J1414" s="107"/>
      <c r="K1414" s="109"/>
    </row>
    <row r="1415" spans="1:11">
      <c r="A1415" s="107"/>
      <c r="B1415" s="103"/>
      <c r="C1415" s="109"/>
      <c r="D1415" s="103"/>
      <c r="E1415" s="103"/>
      <c r="F1415" s="103"/>
      <c r="G1415" s="103"/>
      <c r="H1415" s="107"/>
      <c r="I1415" s="107"/>
      <c r="J1415" s="107"/>
      <c r="K1415" s="109"/>
    </row>
    <row r="1416" spans="1:11">
      <c r="A1416" s="107"/>
      <c r="B1416" s="103"/>
      <c r="C1416" s="109"/>
      <c r="D1416" s="103"/>
      <c r="E1416" s="103"/>
      <c r="F1416" s="103"/>
      <c r="G1416" s="103"/>
      <c r="H1416" s="107"/>
      <c r="I1416" s="107"/>
      <c r="J1416" s="107"/>
      <c r="K1416" s="109"/>
    </row>
    <row r="1417" spans="1:11">
      <c r="A1417" s="107"/>
      <c r="B1417" s="103"/>
      <c r="C1417" s="109"/>
      <c r="D1417" s="103"/>
      <c r="E1417" s="103"/>
      <c r="F1417" s="103"/>
      <c r="G1417" s="103"/>
      <c r="H1417" s="107"/>
      <c r="I1417" s="107"/>
      <c r="J1417" s="107"/>
      <c r="K1417" s="109"/>
    </row>
    <row r="1418" spans="1:11">
      <c r="A1418" s="107"/>
      <c r="B1418" s="103"/>
      <c r="C1418" s="109"/>
      <c r="D1418" s="103"/>
      <c r="E1418" s="103"/>
      <c r="F1418" s="103"/>
      <c r="G1418" s="103"/>
      <c r="H1418" s="107"/>
      <c r="I1418" s="107"/>
      <c r="J1418" s="107"/>
      <c r="K1418" s="109"/>
    </row>
    <row r="1419" spans="1:11">
      <c r="A1419" s="107"/>
      <c r="B1419" s="103"/>
      <c r="C1419" s="109"/>
      <c r="D1419" s="103"/>
      <c r="E1419" s="103"/>
      <c r="F1419" s="103"/>
      <c r="G1419" s="103"/>
      <c r="H1419" s="107"/>
      <c r="I1419" s="107"/>
      <c r="J1419" s="107"/>
      <c r="K1419" s="109"/>
    </row>
    <row r="1420" spans="1:11">
      <c r="A1420" s="107"/>
      <c r="B1420" s="103"/>
      <c r="C1420" s="109"/>
      <c r="D1420" s="103"/>
      <c r="E1420" s="103"/>
      <c r="F1420" s="103"/>
      <c r="G1420" s="103"/>
      <c r="H1420" s="107"/>
      <c r="I1420" s="107"/>
      <c r="J1420" s="107"/>
      <c r="K1420" s="109"/>
    </row>
    <row r="1421" spans="1:11">
      <c r="A1421" s="107"/>
      <c r="B1421" s="103"/>
      <c r="C1421" s="109"/>
      <c r="D1421" s="103"/>
      <c r="E1421" s="103"/>
      <c r="F1421" s="103"/>
      <c r="G1421" s="103"/>
      <c r="H1421" s="107"/>
      <c r="I1421" s="107"/>
      <c r="J1421" s="107"/>
      <c r="K1421" s="109"/>
    </row>
    <row r="1422" spans="1:11">
      <c r="A1422" s="107"/>
      <c r="B1422" s="103"/>
      <c r="C1422" s="109"/>
      <c r="D1422" s="103"/>
      <c r="E1422" s="103"/>
      <c r="F1422" s="103"/>
      <c r="G1422" s="103"/>
      <c r="H1422" s="107"/>
      <c r="I1422" s="107"/>
      <c r="J1422" s="107"/>
      <c r="K1422" s="109"/>
    </row>
    <row r="1423" spans="1:11">
      <c r="A1423" s="107"/>
      <c r="B1423" s="103"/>
      <c r="C1423" s="109"/>
      <c r="D1423" s="103"/>
      <c r="E1423" s="103"/>
      <c r="F1423" s="103"/>
      <c r="G1423" s="103"/>
      <c r="H1423" s="107"/>
      <c r="I1423" s="107"/>
      <c r="J1423" s="107"/>
      <c r="K1423" s="109"/>
    </row>
    <row r="1424" spans="1:11">
      <c r="A1424" s="107"/>
      <c r="B1424" s="103"/>
      <c r="C1424" s="109"/>
      <c r="D1424" s="103"/>
      <c r="E1424" s="103"/>
      <c r="F1424" s="103"/>
      <c r="G1424" s="103"/>
      <c r="H1424" s="107"/>
      <c r="I1424" s="107"/>
      <c r="J1424" s="107"/>
      <c r="K1424" s="109"/>
    </row>
    <row r="1425" spans="1:11">
      <c r="A1425" s="107"/>
      <c r="B1425" s="103"/>
      <c r="C1425" s="109"/>
      <c r="D1425" s="103"/>
      <c r="E1425" s="103"/>
      <c r="F1425" s="103"/>
      <c r="G1425" s="103"/>
      <c r="H1425" s="107"/>
      <c r="I1425" s="107"/>
      <c r="J1425" s="107"/>
      <c r="K1425" s="109"/>
    </row>
    <row r="1426" spans="1:11">
      <c r="A1426" s="107"/>
      <c r="B1426" s="103"/>
      <c r="C1426" s="109"/>
      <c r="D1426" s="103"/>
      <c r="E1426" s="103"/>
      <c r="F1426" s="103"/>
      <c r="G1426" s="103"/>
      <c r="H1426" s="107"/>
      <c r="I1426" s="107"/>
      <c r="J1426" s="107"/>
      <c r="K1426" s="109"/>
    </row>
    <row r="1427" spans="1:11">
      <c r="A1427" s="107"/>
      <c r="B1427" s="103"/>
      <c r="C1427" s="109"/>
      <c r="D1427" s="103"/>
      <c r="E1427" s="103"/>
      <c r="F1427" s="103"/>
      <c r="G1427" s="103"/>
      <c r="H1427" s="107"/>
      <c r="I1427" s="107"/>
      <c r="J1427" s="107"/>
      <c r="K1427" s="109"/>
    </row>
    <row r="1428" spans="1:11">
      <c r="A1428" s="107"/>
      <c r="B1428" s="103"/>
      <c r="C1428" s="109"/>
      <c r="D1428" s="103"/>
      <c r="E1428" s="103"/>
      <c r="F1428" s="103"/>
      <c r="G1428" s="103"/>
      <c r="H1428" s="107"/>
      <c r="I1428" s="107"/>
      <c r="J1428" s="107"/>
      <c r="K1428" s="109"/>
    </row>
    <row r="1429" spans="1:11">
      <c r="A1429" s="107"/>
      <c r="B1429" s="103"/>
      <c r="C1429" s="109"/>
      <c r="D1429" s="103"/>
      <c r="E1429" s="103"/>
      <c r="F1429" s="103"/>
      <c r="G1429" s="103"/>
      <c r="H1429" s="107"/>
      <c r="I1429" s="107"/>
      <c r="J1429" s="107"/>
      <c r="K1429" s="109"/>
    </row>
    <row r="1430" spans="1:11">
      <c r="A1430" s="107"/>
      <c r="B1430" s="103"/>
      <c r="C1430" s="109"/>
      <c r="D1430" s="103"/>
      <c r="E1430" s="103"/>
      <c r="F1430" s="103"/>
      <c r="G1430" s="103"/>
      <c r="H1430" s="107"/>
      <c r="I1430" s="107"/>
      <c r="J1430" s="107"/>
      <c r="K1430" s="109"/>
    </row>
    <row r="1431" spans="1:11">
      <c r="A1431" s="107"/>
      <c r="B1431" s="103"/>
      <c r="C1431" s="109"/>
      <c r="D1431" s="103"/>
      <c r="E1431" s="103"/>
      <c r="F1431" s="103"/>
      <c r="G1431" s="103"/>
      <c r="H1431" s="107"/>
      <c r="I1431" s="107"/>
      <c r="J1431" s="107"/>
      <c r="K1431" s="109"/>
    </row>
    <row r="1432" spans="1:11">
      <c r="A1432" s="107"/>
      <c r="B1432" s="103"/>
      <c r="C1432" s="109"/>
      <c r="D1432" s="103"/>
      <c r="E1432" s="103"/>
      <c r="F1432" s="103"/>
      <c r="G1432" s="103"/>
      <c r="H1432" s="107"/>
      <c r="I1432" s="107"/>
      <c r="J1432" s="107"/>
      <c r="K1432" s="109"/>
    </row>
    <row r="1433" spans="1:11">
      <c r="A1433" s="107"/>
      <c r="B1433" s="103"/>
      <c r="C1433" s="109"/>
      <c r="D1433" s="103"/>
      <c r="E1433" s="103"/>
      <c r="F1433" s="103"/>
      <c r="G1433" s="103"/>
      <c r="H1433" s="107"/>
      <c r="I1433" s="107"/>
      <c r="J1433" s="107"/>
      <c r="K1433" s="109"/>
    </row>
    <row r="1434" spans="1:11">
      <c r="A1434" s="107"/>
      <c r="B1434" s="103"/>
      <c r="C1434" s="109"/>
      <c r="D1434" s="103"/>
      <c r="E1434" s="103"/>
      <c r="F1434" s="103"/>
      <c r="G1434" s="103"/>
      <c r="H1434" s="107"/>
      <c r="I1434" s="107"/>
      <c r="J1434" s="107"/>
      <c r="K1434" s="109"/>
    </row>
    <row r="1435" spans="1:11">
      <c r="A1435" s="107"/>
      <c r="B1435" s="103"/>
      <c r="C1435" s="109"/>
      <c r="D1435" s="103"/>
      <c r="E1435" s="103"/>
      <c r="F1435" s="103"/>
      <c r="G1435" s="103"/>
      <c r="H1435" s="107"/>
      <c r="I1435" s="107"/>
      <c r="J1435" s="107"/>
      <c r="K1435" s="109"/>
    </row>
    <row r="1436" spans="1:11">
      <c r="A1436" s="107"/>
      <c r="B1436" s="103"/>
      <c r="C1436" s="109"/>
      <c r="D1436" s="103"/>
      <c r="E1436" s="103"/>
      <c r="F1436" s="103"/>
      <c r="G1436" s="103"/>
      <c r="H1436" s="107"/>
      <c r="I1436" s="107"/>
      <c r="J1436" s="107"/>
      <c r="K1436" s="109"/>
    </row>
    <row r="1437" spans="1:11">
      <c r="A1437" s="107"/>
      <c r="B1437" s="103"/>
      <c r="C1437" s="109"/>
      <c r="D1437" s="103"/>
      <c r="E1437" s="103"/>
      <c r="F1437" s="103"/>
      <c r="G1437" s="103"/>
      <c r="H1437" s="107"/>
      <c r="I1437" s="107"/>
      <c r="J1437" s="107"/>
      <c r="K1437" s="109"/>
    </row>
    <row r="1438" spans="1:11">
      <c r="A1438" s="107"/>
      <c r="B1438" s="103"/>
      <c r="C1438" s="109"/>
      <c r="D1438" s="103"/>
      <c r="E1438" s="103"/>
      <c r="F1438" s="103"/>
      <c r="G1438" s="103"/>
      <c r="H1438" s="107"/>
      <c r="I1438" s="107"/>
      <c r="J1438" s="107"/>
      <c r="K1438" s="109"/>
    </row>
    <row r="1439" spans="1:11">
      <c r="A1439" s="107"/>
      <c r="B1439" s="103"/>
      <c r="C1439" s="109"/>
      <c r="D1439" s="103"/>
      <c r="E1439" s="103"/>
      <c r="F1439" s="103"/>
      <c r="G1439" s="103"/>
      <c r="H1439" s="107"/>
      <c r="I1439" s="107"/>
      <c r="J1439" s="107"/>
      <c r="K1439" s="109"/>
    </row>
    <row r="1440" spans="1:11">
      <c r="A1440" s="107"/>
      <c r="B1440" s="103"/>
      <c r="C1440" s="109"/>
      <c r="D1440" s="103"/>
      <c r="E1440" s="103"/>
      <c r="F1440" s="103"/>
      <c r="G1440" s="103"/>
      <c r="H1440" s="107"/>
      <c r="I1440" s="107"/>
      <c r="J1440" s="107"/>
      <c r="K1440" s="109"/>
    </row>
    <row r="1441" spans="1:11">
      <c r="A1441" s="107"/>
      <c r="B1441" s="103"/>
      <c r="C1441" s="109"/>
      <c r="D1441" s="103"/>
      <c r="E1441" s="103"/>
      <c r="F1441" s="103"/>
      <c r="G1441" s="103"/>
      <c r="H1441" s="107"/>
      <c r="I1441" s="107"/>
      <c r="J1441" s="107"/>
      <c r="K1441" s="109"/>
    </row>
    <row r="1442" spans="1:11">
      <c r="A1442" s="107"/>
      <c r="B1442" s="103"/>
      <c r="C1442" s="109"/>
      <c r="D1442" s="103"/>
      <c r="E1442" s="103"/>
      <c r="F1442" s="103"/>
      <c r="G1442" s="103"/>
      <c r="H1442" s="107"/>
      <c r="I1442" s="107"/>
      <c r="J1442" s="107"/>
      <c r="K1442" s="109"/>
    </row>
    <row r="1443" spans="1:11">
      <c r="A1443" s="107"/>
      <c r="B1443" s="103"/>
      <c r="C1443" s="109"/>
      <c r="D1443" s="103"/>
      <c r="E1443" s="103"/>
      <c r="F1443" s="103"/>
      <c r="G1443" s="103"/>
      <c r="H1443" s="107"/>
      <c r="I1443" s="107"/>
      <c r="J1443" s="107"/>
      <c r="K1443" s="109"/>
    </row>
    <row r="1444" spans="1:11">
      <c r="A1444" s="107"/>
      <c r="B1444" s="103"/>
      <c r="C1444" s="109"/>
      <c r="D1444" s="103"/>
      <c r="E1444" s="103"/>
      <c r="F1444" s="103"/>
      <c r="G1444" s="103"/>
      <c r="H1444" s="107"/>
      <c r="I1444" s="107"/>
      <c r="J1444" s="107"/>
      <c r="K1444" s="109"/>
    </row>
    <row r="1445" spans="1:11">
      <c r="A1445" s="107"/>
      <c r="B1445" s="103"/>
      <c r="C1445" s="109"/>
      <c r="D1445" s="103"/>
      <c r="E1445" s="103"/>
      <c r="F1445" s="103"/>
      <c r="G1445" s="103"/>
      <c r="H1445" s="107"/>
      <c r="I1445" s="107"/>
      <c r="J1445" s="107"/>
      <c r="K1445" s="109"/>
    </row>
    <row r="1446" spans="1:11">
      <c r="A1446" s="107"/>
      <c r="B1446" s="103"/>
      <c r="C1446" s="109"/>
      <c r="D1446" s="103"/>
      <c r="E1446" s="103"/>
      <c r="F1446" s="103"/>
      <c r="G1446" s="103"/>
      <c r="H1446" s="107"/>
      <c r="I1446" s="107"/>
      <c r="J1446" s="107"/>
      <c r="K1446" s="109"/>
    </row>
    <row r="1447" spans="1:11">
      <c r="A1447" s="107"/>
      <c r="B1447" s="103"/>
      <c r="C1447" s="109"/>
      <c r="D1447" s="103"/>
      <c r="E1447" s="103"/>
      <c r="F1447" s="103"/>
      <c r="G1447" s="103"/>
      <c r="H1447" s="107"/>
      <c r="I1447" s="107"/>
      <c r="J1447" s="107"/>
      <c r="K1447" s="109"/>
    </row>
    <row r="1448" spans="1:11">
      <c r="A1448" s="107"/>
      <c r="B1448" s="103"/>
      <c r="C1448" s="109"/>
      <c r="D1448" s="103"/>
      <c r="E1448" s="103"/>
      <c r="F1448" s="103"/>
      <c r="G1448" s="103"/>
      <c r="H1448" s="107"/>
      <c r="I1448" s="107"/>
      <c r="J1448" s="107"/>
      <c r="K1448" s="109"/>
    </row>
    <row r="1449" spans="1:11">
      <c r="A1449" s="107"/>
      <c r="B1449" s="103"/>
      <c r="C1449" s="109"/>
      <c r="D1449" s="103"/>
      <c r="E1449" s="103"/>
      <c r="F1449" s="103"/>
      <c r="G1449" s="103"/>
      <c r="H1449" s="107"/>
      <c r="I1449" s="107"/>
      <c r="J1449" s="107"/>
      <c r="K1449" s="109"/>
    </row>
    <row r="1450" spans="1:11">
      <c r="A1450" s="107"/>
      <c r="B1450" s="103"/>
      <c r="C1450" s="109"/>
      <c r="D1450" s="103"/>
      <c r="E1450" s="103"/>
      <c r="F1450" s="103"/>
      <c r="G1450" s="103"/>
      <c r="H1450" s="107"/>
      <c r="I1450" s="107"/>
      <c r="J1450" s="107"/>
      <c r="K1450" s="109"/>
    </row>
    <row r="1451" spans="1:11">
      <c r="A1451" s="107"/>
      <c r="B1451" s="103"/>
      <c r="C1451" s="109"/>
      <c r="D1451" s="103"/>
      <c r="E1451" s="103"/>
      <c r="F1451" s="103"/>
      <c r="G1451" s="103"/>
      <c r="H1451" s="107"/>
      <c r="I1451" s="107"/>
      <c r="J1451" s="107"/>
      <c r="K1451" s="109"/>
    </row>
    <row r="1452" spans="1:11">
      <c r="A1452" s="107"/>
      <c r="B1452" s="103"/>
      <c r="C1452" s="109"/>
      <c r="D1452" s="103"/>
      <c r="E1452" s="103"/>
      <c r="F1452" s="103"/>
      <c r="G1452" s="103"/>
      <c r="H1452" s="107"/>
      <c r="I1452" s="107"/>
      <c r="J1452" s="107"/>
      <c r="K1452" s="109"/>
    </row>
    <row r="1453" spans="1:11">
      <c r="A1453" s="107"/>
      <c r="B1453" s="103"/>
      <c r="C1453" s="109"/>
      <c r="D1453" s="103"/>
      <c r="E1453" s="103"/>
      <c r="F1453" s="103"/>
      <c r="G1453" s="103"/>
      <c r="H1453" s="107"/>
      <c r="I1453" s="107"/>
      <c r="J1453" s="107"/>
      <c r="K1453" s="109"/>
    </row>
    <row r="1454" spans="1:11">
      <c r="A1454" s="107"/>
      <c r="B1454" s="103"/>
      <c r="C1454" s="109"/>
      <c r="D1454" s="103"/>
      <c r="E1454" s="103"/>
      <c r="F1454" s="103"/>
      <c r="G1454" s="103"/>
      <c r="H1454" s="107"/>
      <c r="I1454" s="107"/>
      <c r="J1454" s="107"/>
      <c r="K1454" s="109"/>
    </row>
    <row r="1455" spans="1:11">
      <c r="A1455" s="107"/>
      <c r="B1455" s="103"/>
      <c r="C1455" s="109"/>
      <c r="D1455" s="103"/>
      <c r="E1455" s="103"/>
      <c r="F1455" s="103"/>
      <c r="G1455" s="103"/>
      <c r="H1455" s="107"/>
      <c r="I1455" s="107"/>
      <c r="J1455" s="107"/>
      <c r="K1455" s="109"/>
    </row>
    <row r="1456" spans="1:11">
      <c r="A1456" s="107"/>
      <c r="B1456" s="103"/>
      <c r="C1456" s="109"/>
      <c r="D1456" s="103"/>
      <c r="E1456" s="103"/>
      <c r="F1456" s="103"/>
      <c r="G1456" s="103"/>
      <c r="H1456" s="107"/>
      <c r="I1456" s="107"/>
      <c r="J1456" s="107"/>
      <c r="K1456" s="109"/>
    </row>
    <row r="1457" spans="1:11">
      <c r="A1457" s="107"/>
      <c r="B1457" s="103"/>
      <c r="C1457" s="109"/>
      <c r="D1457" s="103"/>
      <c r="E1457" s="103"/>
      <c r="F1457" s="103"/>
      <c r="G1457" s="103"/>
      <c r="H1457" s="107"/>
      <c r="I1457" s="107"/>
      <c r="J1457" s="107"/>
      <c r="K1457" s="109"/>
    </row>
    <row r="1458" spans="1:11">
      <c r="A1458" s="107"/>
      <c r="B1458" s="103"/>
      <c r="C1458" s="109"/>
      <c r="D1458" s="103"/>
      <c r="E1458" s="103"/>
      <c r="F1458" s="103"/>
      <c r="G1458" s="103"/>
      <c r="H1458" s="107"/>
      <c r="I1458" s="107"/>
      <c r="J1458" s="107"/>
      <c r="K1458" s="109"/>
    </row>
    <row r="1459" spans="1:11">
      <c r="A1459" s="107"/>
      <c r="B1459" s="103"/>
      <c r="C1459" s="109"/>
      <c r="D1459" s="103"/>
      <c r="E1459" s="103"/>
      <c r="F1459" s="103"/>
      <c r="G1459" s="103"/>
      <c r="H1459" s="107"/>
      <c r="I1459" s="107"/>
      <c r="J1459" s="107"/>
      <c r="K1459" s="109"/>
    </row>
    <row r="1460" spans="1:11">
      <c r="A1460" s="107"/>
      <c r="B1460" s="103"/>
      <c r="C1460" s="109"/>
      <c r="D1460" s="103"/>
      <c r="E1460" s="103"/>
      <c r="F1460" s="103"/>
      <c r="G1460" s="103"/>
      <c r="H1460" s="107"/>
      <c r="I1460" s="107"/>
      <c r="J1460" s="107"/>
      <c r="K1460" s="109"/>
    </row>
    <row r="1461" spans="1:11">
      <c r="A1461" s="107"/>
      <c r="B1461" s="103"/>
      <c r="C1461" s="109"/>
      <c r="D1461" s="103"/>
      <c r="E1461" s="103"/>
      <c r="F1461" s="103"/>
      <c r="G1461" s="103"/>
      <c r="H1461" s="107"/>
      <c r="I1461" s="107"/>
      <c r="J1461" s="107"/>
      <c r="K1461" s="109"/>
    </row>
    <row r="1462" spans="1:11">
      <c r="A1462" s="107"/>
      <c r="B1462" s="103"/>
      <c r="C1462" s="109"/>
      <c r="D1462" s="103"/>
      <c r="E1462" s="103"/>
      <c r="F1462" s="103"/>
      <c r="G1462" s="103"/>
      <c r="H1462" s="107"/>
      <c r="I1462" s="107"/>
      <c r="J1462" s="107"/>
      <c r="K1462" s="109"/>
    </row>
    <row r="1463" spans="1:11">
      <c r="A1463" s="107"/>
      <c r="B1463" s="103"/>
      <c r="C1463" s="109"/>
      <c r="D1463" s="103"/>
      <c r="E1463" s="103"/>
      <c r="F1463" s="103"/>
      <c r="G1463" s="103"/>
      <c r="H1463" s="107"/>
      <c r="I1463" s="107"/>
      <c r="J1463" s="107"/>
      <c r="K1463" s="109"/>
    </row>
    <row r="1464" spans="1:11">
      <c r="A1464" s="107"/>
      <c r="B1464" s="103"/>
      <c r="C1464" s="109"/>
      <c r="D1464" s="103"/>
      <c r="E1464" s="103"/>
      <c r="F1464" s="103"/>
      <c r="G1464" s="103"/>
      <c r="H1464" s="107"/>
      <c r="I1464" s="107"/>
      <c r="J1464" s="107"/>
      <c r="K1464" s="109"/>
    </row>
    <row r="1465" spans="1:11">
      <c r="A1465" s="107"/>
      <c r="B1465" s="103"/>
      <c r="C1465" s="109"/>
      <c r="D1465" s="103"/>
      <c r="E1465" s="103"/>
      <c r="F1465" s="103"/>
      <c r="G1465" s="103"/>
      <c r="H1465" s="107"/>
      <c r="I1465" s="107"/>
      <c r="J1465" s="107"/>
      <c r="K1465" s="109"/>
    </row>
    <row r="1466" spans="1:11">
      <c r="A1466" s="107"/>
      <c r="B1466" s="103"/>
      <c r="C1466" s="109"/>
      <c r="D1466" s="103"/>
      <c r="E1466" s="103"/>
      <c r="F1466" s="103"/>
      <c r="G1466" s="103"/>
      <c r="H1466" s="107"/>
      <c r="I1466" s="107"/>
      <c r="J1466" s="107"/>
      <c r="K1466" s="109"/>
    </row>
    <row r="1467" spans="1:11">
      <c r="A1467" s="107"/>
      <c r="B1467" s="103"/>
      <c r="C1467" s="109"/>
      <c r="D1467" s="103"/>
      <c r="E1467" s="103"/>
      <c r="F1467" s="103"/>
      <c r="G1467" s="103"/>
      <c r="H1467" s="107"/>
      <c r="I1467" s="107"/>
      <c r="J1467" s="107"/>
      <c r="K1467" s="109"/>
    </row>
    <row r="1468" spans="1:11">
      <c r="A1468" s="107"/>
      <c r="B1468" s="103"/>
      <c r="C1468" s="109"/>
      <c r="D1468" s="103"/>
      <c r="E1468" s="103"/>
      <c r="F1468" s="103"/>
      <c r="G1468" s="103"/>
      <c r="H1468" s="107"/>
      <c r="I1468" s="107"/>
      <c r="J1468" s="107"/>
      <c r="K1468" s="109"/>
    </row>
    <row r="1469" spans="1:11">
      <c r="A1469" s="107"/>
      <c r="B1469" s="103"/>
      <c r="C1469" s="109"/>
      <c r="D1469" s="103"/>
      <c r="E1469" s="103"/>
      <c r="F1469" s="103"/>
      <c r="G1469" s="103"/>
      <c r="H1469" s="107"/>
      <c r="I1469" s="107"/>
      <c r="J1469" s="107"/>
      <c r="K1469" s="109"/>
    </row>
    <row r="1470" spans="1:11">
      <c r="A1470" s="107"/>
      <c r="B1470" s="103"/>
      <c r="C1470" s="109"/>
      <c r="D1470" s="103"/>
      <c r="E1470" s="103"/>
      <c r="F1470" s="103"/>
      <c r="G1470" s="103"/>
      <c r="H1470" s="107"/>
      <c r="I1470" s="107"/>
      <c r="J1470" s="107"/>
      <c r="K1470" s="109"/>
    </row>
    <row r="1471" spans="1:11">
      <c r="A1471" s="107"/>
      <c r="B1471" s="103"/>
      <c r="C1471" s="109"/>
      <c r="D1471" s="103"/>
      <c r="E1471" s="103"/>
      <c r="F1471" s="103"/>
      <c r="G1471" s="103"/>
      <c r="H1471" s="107"/>
      <c r="I1471" s="107"/>
      <c r="J1471" s="107"/>
      <c r="K1471" s="109"/>
    </row>
    <row r="1472" spans="1:11">
      <c r="A1472" s="107"/>
      <c r="B1472" s="103"/>
      <c r="C1472" s="109"/>
      <c r="D1472" s="103"/>
      <c r="E1472" s="103"/>
      <c r="F1472" s="103"/>
      <c r="G1472" s="103"/>
      <c r="H1472" s="107"/>
      <c r="I1472" s="107"/>
      <c r="J1472" s="107"/>
      <c r="K1472" s="109"/>
    </row>
    <row r="1473" spans="1:11">
      <c r="A1473" s="107"/>
      <c r="B1473" s="103"/>
      <c r="C1473" s="109"/>
      <c r="D1473" s="103"/>
      <c r="E1473" s="103"/>
      <c r="F1473" s="103"/>
      <c r="G1473" s="103"/>
      <c r="H1473" s="107"/>
      <c r="I1473" s="107"/>
      <c r="J1473" s="107"/>
      <c r="K1473" s="109"/>
    </row>
    <row r="1474" spans="1:11">
      <c r="A1474" s="107"/>
      <c r="B1474" s="103"/>
      <c r="C1474" s="109"/>
      <c r="D1474" s="103"/>
      <c r="E1474" s="103"/>
      <c r="F1474" s="103"/>
      <c r="G1474" s="103"/>
      <c r="H1474" s="107"/>
      <c r="I1474" s="107"/>
      <c r="J1474" s="107"/>
      <c r="K1474" s="109"/>
    </row>
    <row r="1475" spans="1:11">
      <c r="A1475" s="107"/>
      <c r="B1475" s="103"/>
      <c r="C1475" s="109"/>
      <c r="D1475" s="103"/>
      <c r="E1475" s="103"/>
      <c r="F1475" s="103"/>
      <c r="G1475" s="103"/>
      <c r="H1475" s="107"/>
      <c r="I1475" s="107"/>
      <c r="J1475" s="107"/>
      <c r="K1475" s="109"/>
    </row>
    <row r="1476" spans="1:11">
      <c r="A1476" s="107"/>
      <c r="B1476" s="103"/>
      <c r="C1476" s="109"/>
      <c r="D1476" s="103"/>
      <c r="E1476" s="103"/>
      <c r="F1476" s="103"/>
      <c r="G1476" s="103"/>
      <c r="H1476" s="107"/>
      <c r="I1476" s="107"/>
      <c r="J1476" s="107"/>
      <c r="K1476" s="109"/>
    </row>
    <row r="1477" spans="1:11">
      <c r="A1477" s="107"/>
      <c r="B1477" s="103"/>
      <c r="C1477" s="109"/>
      <c r="D1477" s="103"/>
      <c r="E1477" s="103"/>
      <c r="F1477" s="103"/>
      <c r="G1477" s="103"/>
      <c r="H1477" s="107"/>
      <c r="I1477" s="107"/>
      <c r="J1477" s="107"/>
      <c r="K1477" s="109"/>
    </row>
    <row r="1478" spans="1:11">
      <c r="A1478" s="107"/>
      <c r="B1478" s="103"/>
      <c r="C1478" s="109"/>
      <c r="D1478" s="103"/>
      <c r="E1478" s="103"/>
      <c r="F1478" s="103"/>
      <c r="G1478" s="103"/>
      <c r="H1478" s="107"/>
      <c r="I1478" s="107"/>
      <c r="J1478" s="107"/>
      <c r="K1478" s="109"/>
    </row>
    <row r="1479" spans="1:11">
      <c r="A1479" s="107"/>
      <c r="B1479" s="103"/>
      <c r="C1479" s="109"/>
      <c r="D1479" s="103"/>
      <c r="E1479" s="103"/>
      <c r="F1479" s="103"/>
      <c r="G1479" s="103"/>
      <c r="H1479" s="107"/>
      <c r="I1479" s="107"/>
      <c r="J1479" s="107"/>
      <c r="K1479" s="109"/>
    </row>
    <row r="1480" spans="1:11">
      <c r="A1480" s="107"/>
      <c r="B1480" s="103"/>
      <c r="C1480" s="109"/>
      <c r="D1480" s="103"/>
      <c r="E1480" s="103"/>
      <c r="F1480" s="103"/>
      <c r="G1480" s="103"/>
      <c r="H1480" s="107"/>
      <c r="I1480" s="107"/>
      <c r="J1480" s="107"/>
      <c r="K1480" s="109"/>
    </row>
    <row r="1481" spans="1:11">
      <c r="A1481" s="107"/>
      <c r="B1481" s="103"/>
      <c r="C1481" s="109"/>
      <c r="D1481" s="103"/>
      <c r="E1481" s="103"/>
      <c r="F1481" s="103"/>
      <c r="G1481" s="103"/>
      <c r="H1481" s="107"/>
      <c r="I1481" s="107"/>
      <c r="J1481" s="107"/>
      <c r="K1481" s="109"/>
    </row>
    <row r="1482" spans="1:11">
      <c r="A1482" s="107"/>
      <c r="B1482" s="103"/>
      <c r="C1482" s="109"/>
      <c r="D1482" s="103"/>
      <c r="E1482" s="103"/>
      <c r="F1482" s="103"/>
      <c r="G1482" s="103"/>
      <c r="H1482" s="107"/>
      <c r="I1482" s="107"/>
      <c r="J1482" s="107"/>
      <c r="K1482" s="109"/>
    </row>
    <row r="1483" spans="1:11">
      <c r="A1483" s="107"/>
      <c r="B1483" s="103"/>
      <c r="C1483" s="109"/>
      <c r="D1483" s="103"/>
      <c r="E1483" s="103"/>
      <c r="F1483" s="103"/>
      <c r="G1483" s="103"/>
      <c r="H1483" s="107"/>
      <c r="I1483" s="107"/>
      <c r="J1483" s="107"/>
      <c r="K1483" s="109"/>
    </row>
    <row r="1484" spans="1:11">
      <c r="A1484" s="107"/>
      <c r="B1484" s="103"/>
      <c r="C1484" s="109"/>
      <c r="D1484" s="103"/>
      <c r="E1484" s="103"/>
      <c r="F1484" s="103"/>
      <c r="G1484" s="103"/>
      <c r="H1484" s="107"/>
      <c r="I1484" s="107"/>
      <c r="J1484" s="107"/>
      <c r="K1484" s="109"/>
    </row>
    <row r="1485" spans="1:11">
      <c r="A1485" s="107"/>
      <c r="B1485" s="103"/>
      <c r="C1485" s="109"/>
      <c r="D1485" s="103"/>
      <c r="E1485" s="103"/>
      <c r="F1485" s="103"/>
      <c r="G1485" s="103"/>
      <c r="H1485" s="107"/>
      <c r="I1485" s="107"/>
      <c r="J1485" s="107"/>
      <c r="K1485" s="109"/>
    </row>
    <row r="1486" spans="1:11">
      <c r="A1486" s="107"/>
      <c r="B1486" s="103"/>
      <c r="C1486" s="109"/>
      <c r="D1486" s="103"/>
      <c r="E1486" s="103"/>
      <c r="F1486" s="103"/>
      <c r="G1486" s="103"/>
      <c r="H1486" s="107"/>
      <c r="I1486" s="107"/>
      <c r="J1486" s="107"/>
      <c r="K1486" s="109"/>
    </row>
    <row r="1487" spans="1:11">
      <c r="A1487" s="107"/>
      <c r="B1487" s="103"/>
      <c r="C1487" s="109"/>
      <c r="D1487" s="103"/>
      <c r="E1487" s="103"/>
      <c r="F1487" s="103"/>
      <c r="G1487" s="103"/>
      <c r="H1487" s="107"/>
      <c r="I1487" s="107"/>
      <c r="J1487" s="107"/>
      <c r="K1487" s="109"/>
    </row>
    <row r="1488" spans="1:11">
      <c r="A1488" s="107"/>
      <c r="B1488" s="103"/>
      <c r="C1488" s="109"/>
      <c r="D1488" s="103"/>
      <c r="E1488" s="103"/>
      <c r="F1488" s="103"/>
      <c r="G1488" s="103"/>
      <c r="H1488" s="107"/>
      <c r="I1488" s="107"/>
      <c r="J1488" s="107"/>
      <c r="K1488" s="109"/>
    </row>
    <row r="1489" spans="1:11">
      <c r="A1489" s="107"/>
      <c r="B1489" s="103"/>
      <c r="C1489" s="109"/>
      <c r="D1489" s="103"/>
      <c r="E1489" s="103"/>
      <c r="F1489" s="103"/>
      <c r="G1489" s="103"/>
      <c r="H1489" s="107"/>
      <c r="I1489" s="107"/>
      <c r="J1489" s="107"/>
      <c r="K1489" s="109"/>
    </row>
    <row r="1490" spans="1:11">
      <c r="A1490" s="107"/>
      <c r="B1490" s="103"/>
      <c r="C1490" s="109"/>
      <c r="D1490" s="103"/>
      <c r="E1490" s="103"/>
      <c r="F1490" s="103"/>
      <c r="G1490" s="103"/>
      <c r="H1490" s="107"/>
      <c r="I1490" s="107"/>
      <c r="J1490" s="107"/>
      <c r="K1490" s="109"/>
    </row>
    <row r="1491" spans="1:11">
      <c r="A1491" s="107"/>
      <c r="B1491" s="103"/>
      <c r="C1491" s="109"/>
      <c r="D1491" s="103"/>
      <c r="E1491" s="103"/>
      <c r="F1491" s="103"/>
      <c r="G1491" s="103"/>
      <c r="H1491" s="107"/>
      <c r="I1491" s="107"/>
      <c r="J1491" s="107"/>
      <c r="K1491" s="109"/>
    </row>
    <row r="1492" spans="1:11">
      <c r="A1492" s="107"/>
      <c r="B1492" s="103"/>
      <c r="C1492" s="109"/>
      <c r="D1492" s="103"/>
      <c r="E1492" s="103"/>
      <c r="F1492" s="103"/>
      <c r="G1492" s="103"/>
      <c r="H1492" s="107"/>
      <c r="I1492" s="107"/>
      <c r="J1492" s="107"/>
      <c r="K1492" s="109"/>
    </row>
    <row r="1493" spans="1:11">
      <c r="A1493" s="107"/>
      <c r="B1493" s="103"/>
      <c r="C1493" s="109"/>
      <c r="D1493" s="103"/>
      <c r="E1493" s="103"/>
      <c r="F1493" s="103"/>
      <c r="G1493" s="103"/>
      <c r="H1493" s="107"/>
      <c r="I1493" s="107"/>
      <c r="J1493" s="107"/>
      <c r="K1493" s="109"/>
    </row>
    <row r="1494" spans="1:11">
      <c r="A1494" s="107"/>
      <c r="B1494" s="103"/>
      <c r="C1494" s="109"/>
      <c r="D1494" s="103"/>
      <c r="E1494" s="103"/>
      <c r="F1494" s="103"/>
      <c r="G1494" s="103"/>
      <c r="H1494" s="107"/>
      <c r="I1494" s="107"/>
      <c r="J1494" s="107"/>
      <c r="K1494" s="109"/>
    </row>
    <row r="1495" spans="1:11">
      <c r="A1495" s="107"/>
      <c r="B1495" s="103"/>
      <c r="C1495" s="109"/>
      <c r="D1495" s="103"/>
      <c r="E1495" s="103"/>
      <c r="F1495" s="103"/>
      <c r="G1495" s="103"/>
      <c r="H1495" s="107"/>
      <c r="I1495" s="107"/>
      <c r="J1495" s="107"/>
      <c r="K1495" s="109"/>
    </row>
    <row r="1496" spans="1:11">
      <c r="A1496" s="107"/>
      <c r="B1496" s="103"/>
      <c r="C1496" s="109"/>
      <c r="D1496" s="103"/>
      <c r="E1496" s="103"/>
      <c r="F1496" s="103"/>
      <c r="G1496" s="103"/>
      <c r="H1496" s="107"/>
      <c r="I1496" s="107"/>
      <c r="J1496" s="107"/>
      <c r="K1496" s="109"/>
    </row>
    <row r="1497" spans="1:11">
      <c r="A1497" s="107"/>
      <c r="B1497" s="103"/>
      <c r="C1497" s="109"/>
      <c r="D1497" s="103"/>
      <c r="E1497" s="103"/>
      <c r="F1497" s="103"/>
      <c r="G1497" s="103"/>
      <c r="H1497" s="107"/>
      <c r="I1497" s="107"/>
      <c r="J1497" s="107"/>
      <c r="K1497" s="109"/>
    </row>
    <row r="1498" spans="1:11">
      <c r="A1498" s="107"/>
      <c r="B1498" s="103"/>
      <c r="C1498" s="109"/>
      <c r="D1498" s="103"/>
      <c r="E1498" s="103"/>
      <c r="F1498" s="103"/>
      <c r="G1498" s="103"/>
      <c r="H1498" s="107"/>
      <c r="I1498" s="107"/>
      <c r="J1498" s="107"/>
      <c r="K1498" s="109"/>
    </row>
    <row r="1499" spans="1:11">
      <c r="A1499" s="107"/>
      <c r="B1499" s="103"/>
      <c r="C1499" s="109"/>
      <c r="D1499" s="103"/>
      <c r="E1499" s="103"/>
      <c r="F1499" s="103"/>
      <c r="G1499" s="103"/>
      <c r="H1499" s="107"/>
      <c r="I1499" s="107"/>
      <c r="J1499" s="107"/>
      <c r="K1499" s="109"/>
    </row>
    <row r="1500" spans="1:11">
      <c r="A1500" s="107"/>
      <c r="B1500" s="103"/>
      <c r="C1500" s="109"/>
      <c r="D1500" s="103"/>
      <c r="E1500" s="103"/>
      <c r="F1500" s="103"/>
      <c r="G1500" s="103"/>
      <c r="H1500" s="107"/>
      <c r="I1500" s="107"/>
      <c r="J1500" s="107"/>
      <c r="K1500" s="109"/>
    </row>
    <row r="1501" spans="1:11">
      <c r="A1501" s="107"/>
      <c r="B1501" s="103"/>
      <c r="C1501" s="109"/>
      <c r="D1501" s="103"/>
      <c r="E1501" s="103"/>
      <c r="F1501" s="103"/>
      <c r="G1501" s="103"/>
      <c r="H1501" s="107"/>
      <c r="I1501" s="107"/>
      <c r="J1501" s="107"/>
      <c r="K1501" s="109"/>
    </row>
    <row r="1502" spans="1:11">
      <c r="A1502" s="107"/>
      <c r="B1502" s="103"/>
      <c r="C1502" s="109"/>
      <c r="D1502" s="103"/>
      <c r="E1502" s="103"/>
      <c r="F1502" s="103"/>
      <c r="G1502" s="103"/>
      <c r="H1502" s="107"/>
      <c r="I1502" s="107"/>
      <c r="J1502" s="107"/>
      <c r="K1502" s="109"/>
    </row>
    <row r="1503" spans="1:11">
      <c r="A1503" s="107"/>
      <c r="B1503" s="103"/>
      <c r="C1503" s="109"/>
      <c r="D1503" s="103"/>
      <c r="E1503" s="103"/>
      <c r="F1503" s="103"/>
      <c r="G1503" s="103"/>
      <c r="H1503" s="107"/>
      <c r="I1503" s="107"/>
      <c r="J1503" s="107"/>
      <c r="K1503" s="109"/>
    </row>
    <row r="1504" spans="1:11">
      <c r="A1504" s="107"/>
      <c r="B1504" s="103"/>
      <c r="C1504" s="109"/>
      <c r="D1504" s="103"/>
      <c r="E1504" s="103"/>
      <c r="F1504" s="103"/>
      <c r="G1504" s="103"/>
      <c r="H1504" s="107"/>
      <c r="I1504" s="107"/>
      <c r="J1504" s="107"/>
      <c r="K1504" s="109"/>
    </row>
    <row r="1505" spans="1:11">
      <c r="A1505" s="107"/>
      <c r="B1505" s="103"/>
      <c r="C1505" s="109"/>
      <c r="D1505" s="103"/>
      <c r="E1505" s="103"/>
      <c r="F1505" s="103"/>
      <c r="G1505" s="103"/>
      <c r="H1505" s="107"/>
      <c r="I1505" s="107"/>
      <c r="J1505" s="107"/>
      <c r="K1505" s="109"/>
    </row>
    <row r="1506" spans="1:11">
      <c r="A1506" s="107"/>
      <c r="B1506" s="103"/>
      <c r="C1506" s="109"/>
      <c r="D1506" s="103"/>
      <c r="E1506" s="103"/>
      <c r="F1506" s="103"/>
      <c r="G1506" s="103"/>
      <c r="H1506" s="107"/>
      <c r="I1506" s="107"/>
      <c r="J1506" s="107"/>
      <c r="K1506" s="109"/>
    </row>
    <row r="1507" spans="1:11">
      <c r="A1507" s="107"/>
      <c r="B1507" s="103"/>
      <c r="C1507" s="109"/>
      <c r="D1507" s="103"/>
      <c r="E1507" s="103"/>
      <c r="F1507" s="103"/>
      <c r="G1507" s="103"/>
      <c r="H1507" s="107"/>
      <c r="I1507" s="107"/>
      <c r="J1507" s="107"/>
      <c r="K1507" s="109"/>
    </row>
    <row r="1508" spans="1:11">
      <c r="A1508" s="107"/>
      <c r="B1508" s="103"/>
      <c r="C1508" s="109"/>
      <c r="D1508" s="103"/>
      <c r="E1508" s="103"/>
      <c r="F1508" s="103"/>
      <c r="G1508" s="103"/>
      <c r="H1508" s="107"/>
      <c r="I1508" s="107"/>
      <c r="J1508" s="107"/>
      <c r="K1508" s="109"/>
    </row>
    <row r="1509" spans="1:11">
      <c r="A1509" s="107"/>
      <c r="B1509" s="103"/>
      <c r="C1509" s="109"/>
      <c r="D1509" s="103"/>
      <c r="E1509" s="103"/>
      <c r="F1509" s="103"/>
      <c r="G1509" s="103"/>
      <c r="H1509" s="107"/>
      <c r="I1509" s="107"/>
      <c r="J1509" s="107"/>
      <c r="K1509" s="109"/>
    </row>
    <row r="1510" spans="1:11">
      <c r="A1510" s="107"/>
      <c r="B1510" s="103"/>
      <c r="C1510" s="109"/>
      <c r="D1510" s="103"/>
      <c r="E1510" s="103"/>
      <c r="F1510" s="103"/>
      <c r="G1510" s="103"/>
      <c r="H1510" s="107"/>
      <c r="I1510" s="107"/>
      <c r="J1510" s="107"/>
      <c r="K1510" s="109"/>
    </row>
    <row r="1511" spans="1:11">
      <c r="A1511" s="107"/>
      <c r="B1511" s="103"/>
      <c r="C1511" s="109"/>
      <c r="D1511" s="103"/>
      <c r="E1511" s="103"/>
      <c r="F1511" s="103"/>
      <c r="G1511" s="103"/>
      <c r="H1511" s="107"/>
      <c r="I1511" s="107"/>
      <c r="J1511" s="107"/>
      <c r="K1511" s="109"/>
    </row>
    <row r="1512" spans="1:11">
      <c r="A1512" s="107"/>
      <c r="B1512" s="103"/>
      <c r="C1512" s="109"/>
      <c r="D1512" s="103"/>
      <c r="E1512" s="103"/>
      <c r="F1512" s="103"/>
      <c r="G1512" s="103"/>
      <c r="H1512" s="107"/>
      <c r="I1512" s="107"/>
      <c r="J1512" s="107"/>
      <c r="K1512" s="109"/>
    </row>
    <row r="1513" spans="1:11">
      <c r="A1513" s="107"/>
      <c r="B1513" s="103"/>
      <c r="C1513" s="109"/>
      <c r="D1513" s="103"/>
      <c r="E1513" s="103"/>
      <c r="F1513" s="103"/>
      <c r="G1513" s="103"/>
      <c r="H1513" s="107"/>
      <c r="I1513" s="107"/>
      <c r="J1513" s="107"/>
      <c r="K1513" s="109"/>
    </row>
    <row r="1514" spans="1:11">
      <c r="A1514" s="107"/>
      <c r="B1514" s="103"/>
      <c r="C1514" s="109"/>
      <c r="D1514" s="103"/>
      <c r="E1514" s="103"/>
      <c r="F1514" s="103"/>
      <c r="G1514" s="103"/>
      <c r="H1514" s="107"/>
      <c r="I1514" s="107"/>
      <c r="J1514" s="107"/>
      <c r="K1514" s="109"/>
    </row>
    <row r="1515" spans="1:11">
      <c r="A1515" s="107"/>
      <c r="B1515" s="103"/>
      <c r="C1515" s="109"/>
      <c r="D1515" s="103"/>
      <c r="E1515" s="103"/>
      <c r="F1515" s="103"/>
      <c r="G1515" s="103"/>
      <c r="H1515" s="107"/>
      <c r="I1515" s="107"/>
      <c r="J1515" s="107"/>
      <c r="K1515" s="109"/>
    </row>
    <row r="1516" spans="1:11">
      <c r="A1516" s="107"/>
      <c r="B1516" s="103"/>
      <c r="C1516" s="109"/>
      <c r="D1516" s="103"/>
      <c r="E1516" s="103"/>
      <c r="F1516" s="103"/>
      <c r="G1516" s="103"/>
      <c r="H1516" s="107"/>
      <c r="I1516" s="107"/>
      <c r="J1516" s="107"/>
      <c r="K1516" s="109"/>
    </row>
    <row r="1517" spans="1:11">
      <c r="A1517" s="107"/>
      <c r="B1517" s="103"/>
      <c r="C1517" s="109"/>
      <c r="D1517" s="103"/>
      <c r="E1517" s="103"/>
      <c r="F1517" s="103"/>
      <c r="G1517" s="103"/>
      <c r="H1517" s="107"/>
      <c r="I1517" s="107"/>
      <c r="J1517" s="107"/>
      <c r="K1517" s="109"/>
    </row>
    <row r="1518" spans="1:11">
      <c r="A1518" s="107"/>
      <c r="B1518" s="103"/>
      <c r="C1518" s="109"/>
      <c r="D1518" s="103"/>
      <c r="E1518" s="103"/>
      <c r="F1518" s="103"/>
      <c r="G1518" s="103"/>
      <c r="H1518" s="107"/>
      <c r="I1518" s="107"/>
      <c r="J1518" s="107"/>
      <c r="K1518" s="109"/>
    </row>
    <row r="1519" spans="1:11">
      <c r="A1519" s="107"/>
      <c r="B1519" s="103"/>
      <c r="C1519" s="109"/>
      <c r="D1519" s="103"/>
      <c r="E1519" s="103"/>
      <c r="F1519" s="103"/>
      <c r="G1519" s="103"/>
      <c r="H1519" s="107"/>
      <c r="I1519" s="107"/>
      <c r="J1519" s="107"/>
      <c r="K1519" s="109"/>
    </row>
    <row r="1520" spans="1:11">
      <c r="A1520" s="107"/>
      <c r="B1520" s="103"/>
      <c r="C1520" s="109"/>
      <c r="D1520" s="103"/>
      <c r="E1520" s="103"/>
      <c r="F1520" s="103"/>
      <c r="G1520" s="103"/>
      <c r="H1520" s="107"/>
      <c r="I1520" s="107"/>
      <c r="J1520" s="107"/>
      <c r="K1520" s="109"/>
    </row>
    <row r="1521" spans="1:11">
      <c r="A1521" s="107"/>
      <c r="B1521" s="103"/>
      <c r="C1521" s="109"/>
      <c r="D1521" s="103"/>
      <c r="E1521" s="103"/>
      <c r="F1521" s="103"/>
      <c r="G1521" s="103"/>
      <c r="H1521" s="107"/>
      <c r="I1521" s="107"/>
      <c r="J1521" s="107"/>
      <c r="K1521" s="109"/>
    </row>
    <row r="1522" spans="1:11">
      <c r="A1522" s="107"/>
      <c r="B1522" s="103"/>
      <c r="C1522" s="109"/>
      <c r="D1522" s="103"/>
      <c r="E1522" s="103"/>
      <c r="F1522" s="103"/>
      <c r="G1522" s="103"/>
      <c r="H1522" s="107"/>
      <c r="I1522" s="107"/>
      <c r="J1522" s="107"/>
      <c r="K1522" s="109"/>
    </row>
    <row r="1523" spans="1:11">
      <c r="A1523" s="107"/>
      <c r="B1523" s="103"/>
      <c r="C1523" s="109"/>
      <c r="D1523" s="103"/>
      <c r="E1523" s="103"/>
      <c r="F1523" s="103"/>
      <c r="G1523" s="103"/>
      <c r="H1523" s="107"/>
      <c r="I1523" s="107"/>
      <c r="J1523" s="107"/>
      <c r="K1523" s="109"/>
    </row>
    <row r="1524" spans="1:11">
      <c r="A1524" s="107"/>
      <c r="B1524" s="103"/>
      <c r="C1524" s="109"/>
      <c r="D1524" s="103"/>
      <c r="E1524" s="103"/>
      <c r="F1524" s="103"/>
      <c r="G1524" s="103"/>
      <c r="H1524" s="107"/>
      <c r="I1524" s="107"/>
      <c r="J1524" s="107"/>
      <c r="K1524" s="109"/>
    </row>
    <row r="1525" spans="1:11">
      <c r="A1525" s="107"/>
      <c r="B1525" s="103"/>
      <c r="C1525" s="109"/>
      <c r="D1525" s="103"/>
      <c r="E1525" s="103"/>
      <c r="F1525" s="103"/>
      <c r="G1525" s="103"/>
      <c r="H1525" s="107"/>
      <c r="I1525" s="107"/>
      <c r="J1525" s="107"/>
      <c r="K1525" s="109"/>
    </row>
    <row r="1526" spans="1:11">
      <c r="A1526" s="107"/>
      <c r="B1526" s="103"/>
      <c r="C1526" s="109"/>
      <c r="D1526" s="103"/>
      <c r="E1526" s="103"/>
      <c r="F1526" s="103"/>
      <c r="G1526" s="103"/>
      <c r="H1526" s="107"/>
      <c r="I1526" s="107"/>
      <c r="J1526" s="107"/>
      <c r="K1526" s="109"/>
    </row>
    <row r="1527" spans="1:11">
      <c r="A1527" s="107"/>
      <c r="B1527" s="103"/>
      <c r="C1527" s="109"/>
      <c r="D1527" s="103"/>
      <c r="E1527" s="103"/>
      <c r="F1527" s="103"/>
      <c r="G1527" s="103"/>
      <c r="H1527" s="107"/>
      <c r="I1527" s="107"/>
      <c r="J1527" s="107"/>
      <c r="K1527" s="109"/>
    </row>
    <row r="1528" spans="1:11">
      <c r="A1528" s="107"/>
      <c r="B1528" s="103"/>
      <c r="C1528" s="109"/>
      <c r="D1528" s="103"/>
      <c r="E1528" s="103"/>
      <c r="F1528" s="103"/>
      <c r="G1528" s="103"/>
      <c r="H1528" s="107"/>
      <c r="I1528" s="107"/>
      <c r="J1528" s="107"/>
      <c r="K1528" s="109"/>
    </row>
    <row r="1529" spans="1:11">
      <c r="A1529" s="107"/>
      <c r="B1529" s="103"/>
      <c r="C1529" s="109"/>
      <c r="D1529" s="103"/>
      <c r="E1529" s="103"/>
      <c r="F1529" s="103"/>
      <c r="G1529" s="103"/>
      <c r="H1529" s="107"/>
      <c r="I1529" s="107"/>
      <c r="J1529" s="107"/>
      <c r="K1529" s="109"/>
    </row>
    <row r="1530" spans="1:11">
      <c r="A1530" s="107"/>
      <c r="B1530" s="103"/>
      <c r="C1530" s="109"/>
      <c r="D1530" s="103"/>
      <c r="E1530" s="103"/>
      <c r="F1530" s="103"/>
      <c r="G1530" s="103"/>
      <c r="H1530" s="107"/>
      <c r="I1530" s="107"/>
      <c r="J1530" s="107"/>
      <c r="K1530" s="109"/>
    </row>
    <row r="1531" spans="1:11">
      <c r="A1531" s="107"/>
      <c r="B1531" s="103"/>
      <c r="C1531" s="109"/>
      <c r="D1531" s="103"/>
      <c r="E1531" s="103"/>
      <c r="F1531" s="103"/>
      <c r="G1531" s="103"/>
      <c r="H1531" s="107"/>
      <c r="I1531" s="107"/>
      <c r="J1531" s="107"/>
      <c r="K1531" s="109"/>
    </row>
    <row r="1532" spans="1:11">
      <c r="A1532" s="107"/>
      <c r="B1532" s="103"/>
      <c r="C1532" s="109"/>
      <c r="D1532" s="103"/>
      <c r="E1532" s="103"/>
      <c r="F1532" s="103"/>
      <c r="G1532" s="103"/>
      <c r="H1532" s="107"/>
      <c r="I1532" s="107"/>
      <c r="J1532" s="107"/>
      <c r="K1532" s="109"/>
    </row>
    <row r="1533" spans="1:11">
      <c r="A1533" s="107"/>
      <c r="B1533" s="103"/>
      <c r="C1533" s="109"/>
      <c r="D1533" s="103"/>
      <c r="E1533" s="103"/>
      <c r="F1533" s="103"/>
      <c r="G1533" s="103"/>
      <c r="H1533" s="107"/>
      <c r="I1533" s="107"/>
      <c r="J1533" s="107"/>
      <c r="K1533" s="109"/>
    </row>
    <row r="1534" spans="1:11">
      <c r="A1534" s="107"/>
      <c r="B1534" s="103"/>
      <c r="C1534" s="109"/>
      <c r="D1534" s="103"/>
      <c r="E1534" s="103"/>
      <c r="F1534" s="103"/>
      <c r="G1534" s="103"/>
      <c r="H1534" s="107"/>
      <c r="I1534" s="107"/>
      <c r="J1534" s="107"/>
      <c r="K1534" s="109"/>
    </row>
    <row r="1535" spans="1:11">
      <c r="A1535" s="107"/>
      <c r="B1535" s="103"/>
      <c r="C1535" s="109"/>
      <c r="D1535" s="103"/>
      <c r="E1535" s="103"/>
      <c r="F1535" s="103"/>
      <c r="G1535" s="103"/>
      <c r="H1535" s="107"/>
      <c r="I1535" s="107"/>
      <c r="J1535" s="107"/>
      <c r="K1535" s="109"/>
    </row>
    <row r="1536" spans="1:11">
      <c r="A1536" s="107"/>
      <c r="B1536" s="103"/>
      <c r="C1536" s="109"/>
      <c r="D1536" s="103"/>
      <c r="E1536" s="103"/>
      <c r="F1536" s="103"/>
      <c r="G1536" s="103"/>
      <c r="H1536" s="107"/>
      <c r="I1536" s="107"/>
      <c r="J1536" s="107"/>
      <c r="K1536" s="109"/>
    </row>
    <row r="1537" spans="1:11">
      <c r="A1537" s="107"/>
      <c r="B1537" s="103"/>
      <c r="C1537" s="109"/>
      <c r="D1537" s="103"/>
      <c r="E1537" s="103"/>
      <c r="F1537" s="103"/>
      <c r="G1537" s="103"/>
      <c r="H1537" s="107"/>
      <c r="I1537" s="107"/>
      <c r="J1537" s="107"/>
      <c r="K1537" s="109"/>
    </row>
    <row r="1538" spans="1:11">
      <c r="A1538" s="107"/>
      <c r="B1538" s="103"/>
      <c r="C1538" s="109"/>
      <c r="D1538" s="103"/>
      <c r="E1538" s="103"/>
      <c r="F1538" s="103"/>
      <c r="G1538" s="103"/>
      <c r="H1538" s="107"/>
      <c r="I1538" s="107"/>
      <c r="J1538" s="107"/>
      <c r="K1538" s="109"/>
    </row>
    <row r="1539" spans="1:11">
      <c r="A1539" s="107"/>
      <c r="B1539" s="103"/>
      <c r="C1539" s="109"/>
      <c r="D1539" s="103"/>
      <c r="E1539" s="103"/>
      <c r="F1539" s="103"/>
      <c r="G1539" s="103"/>
      <c r="H1539" s="107"/>
      <c r="I1539" s="107"/>
      <c r="J1539" s="107"/>
      <c r="K1539" s="109"/>
    </row>
    <row r="1540" spans="1:11">
      <c r="A1540" s="107"/>
      <c r="B1540" s="103"/>
      <c r="C1540" s="109"/>
      <c r="D1540" s="103"/>
      <c r="E1540" s="103"/>
      <c r="F1540" s="103"/>
      <c r="G1540" s="103"/>
      <c r="H1540" s="107"/>
      <c r="I1540" s="107"/>
      <c r="J1540" s="107"/>
      <c r="K1540" s="109"/>
    </row>
    <row r="1541" spans="1:11">
      <c r="A1541" s="107"/>
      <c r="B1541" s="103"/>
      <c r="C1541" s="109"/>
      <c r="D1541" s="103"/>
      <c r="E1541" s="103"/>
      <c r="F1541" s="103"/>
      <c r="G1541" s="103"/>
      <c r="H1541" s="107"/>
      <c r="I1541" s="107"/>
      <c r="J1541" s="107"/>
      <c r="K1541" s="109"/>
    </row>
    <row r="1542" spans="1:11">
      <c r="A1542" s="107"/>
      <c r="B1542" s="103"/>
      <c r="C1542" s="109"/>
      <c r="D1542" s="103"/>
      <c r="E1542" s="103"/>
      <c r="F1542" s="103"/>
      <c r="G1542" s="103"/>
      <c r="H1542" s="107"/>
      <c r="I1542" s="107"/>
      <c r="J1542" s="107"/>
      <c r="K1542" s="109"/>
    </row>
    <row r="1543" spans="1:11">
      <c r="A1543" s="107"/>
      <c r="B1543" s="103"/>
      <c r="C1543" s="109"/>
      <c r="D1543" s="103"/>
      <c r="E1543" s="103"/>
      <c r="F1543" s="103"/>
      <c r="G1543" s="103"/>
      <c r="H1543" s="107"/>
      <c r="I1543" s="107"/>
      <c r="J1543" s="107"/>
      <c r="K1543" s="109"/>
    </row>
    <row r="1544" spans="1:11">
      <c r="A1544" s="107"/>
      <c r="B1544" s="103"/>
      <c r="C1544" s="109"/>
      <c r="D1544" s="103"/>
      <c r="E1544" s="103"/>
      <c r="F1544" s="103"/>
      <c r="G1544" s="103"/>
      <c r="H1544" s="107"/>
      <c r="I1544" s="107"/>
      <c r="J1544" s="107"/>
      <c r="K1544" s="109"/>
    </row>
    <row r="1545" spans="1:11">
      <c r="A1545" s="107"/>
      <c r="B1545" s="103"/>
      <c r="C1545" s="109"/>
      <c r="D1545" s="103"/>
      <c r="E1545" s="103"/>
      <c r="F1545" s="103"/>
      <c r="G1545" s="103"/>
      <c r="H1545" s="107"/>
      <c r="I1545" s="107"/>
      <c r="J1545" s="107"/>
      <c r="K1545" s="109"/>
    </row>
    <row r="1546" spans="1:11">
      <c r="A1546" s="107"/>
      <c r="B1546" s="103"/>
      <c r="C1546" s="109"/>
      <c r="D1546" s="103"/>
      <c r="E1546" s="103"/>
      <c r="F1546" s="103"/>
      <c r="G1546" s="103"/>
      <c r="H1546" s="107"/>
      <c r="I1546" s="107"/>
      <c r="J1546" s="107"/>
      <c r="K1546" s="109"/>
    </row>
    <row r="1547" spans="1:11">
      <c r="A1547" s="107"/>
      <c r="B1547" s="103"/>
      <c r="C1547" s="109"/>
      <c r="D1547" s="103"/>
      <c r="E1547" s="103"/>
      <c r="F1547" s="103"/>
      <c r="G1547" s="103"/>
      <c r="H1547" s="107"/>
      <c r="I1547" s="107"/>
      <c r="J1547" s="107"/>
      <c r="K1547" s="109"/>
    </row>
    <row r="1548" spans="1:11">
      <c r="A1548" s="107"/>
      <c r="B1548" s="103"/>
      <c r="C1548" s="109"/>
      <c r="D1548" s="103"/>
      <c r="E1548" s="103"/>
      <c r="F1548" s="103"/>
      <c r="G1548" s="103"/>
      <c r="H1548" s="107"/>
      <c r="I1548" s="107"/>
      <c r="J1548" s="107"/>
      <c r="K1548" s="109"/>
    </row>
    <row r="1549" spans="1:11">
      <c r="A1549" s="107"/>
      <c r="B1549" s="103"/>
      <c r="C1549" s="109"/>
      <c r="D1549" s="103"/>
      <c r="E1549" s="103"/>
      <c r="F1549" s="103"/>
      <c r="G1549" s="103"/>
      <c r="H1549" s="107"/>
      <c r="I1549" s="107"/>
      <c r="J1549" s="107"/>
      <c r="K1549" s="109"/>
    </row>
    <row r="1550" spans="1:11">
      <c r="A1550" s="107"/>
      <c r="B1550" s="103"/>
      <c r="C1550" s="109"/>
      <c r="D1550" s="103"/>
      <c r="E1550" s="103"/>
      <c r="F1550" s="103"/>
      <c r="G1550" s="103"/>
      <c r="H1550" s="107"/>
      <c r="I1550" s="107"/>
      <c r="J1550" s="107"/>
      <c r="K1550" s="109"/>
    </row>
    <row r="1551" spans="1:11">
      <c r="A1551" s="107"/>
      <c r="B1551" s="103"/>
      <c r="C1551" s="109"/>
      <c r="D1551" s="103"/>
      <c r="E1551" s="103"/>
      <c r="F1551" s="103"/>
      <c r="G1551" s="103"/>
      <c r="H1551" s="107"/>
      <c r="I1551" s="107"/>
      <c r="J1551" s="107"/>
      <c r="K1551" s="109"/>
    </row>
    <row r="1552" spans="1:11">
      <c r="A1552" s="107"/>
      <c r="B1552" s="103"/>
      <c r="C1552" s="109"/>
      <c r="D1552" s="103"/>
      <c r="E1552" s="103"/>
      <c r="F1552" s="103"/>
      <c r="G1552" s="103"/>
      <c r="H1552" s="107"/>
      <c r="I1552" s="107"/>
      <c r="J1552" s="107"/>
      <c r="K1552" s="109"/>
    </row>
    <row r="1553" spans="1:11">
      <c r="A1553" s="107"/>
      <c r="B1553" s="103"/>
      <c r="C1553" s="109"/>
      <c r="D1553" s="103"/>
      <c r="E1553" s="103"/>
      <c r="F1553" s="103"/>
      <c r="G1553" s="103"/>
      <c r="H1553" s="107"/>
      <c r="I1553" s="107"/>
      <c r="J1553" s="107"/>
      <c r="K1553" s="109"/>
    </row>
    <row r="1554" spans="1:11">
      <c r="A1554" s="107"/>
      <c r="B1554" s="103"/>
      <c r="C1554" s="109"/>
      <c r="D1554" s="103"/>
      <c r="E1554" s="103"/>
      <c r="F1554" s="103"/>
      <c r="G1554" s="103"/>
      <c r="H1554" s="107"/>
      <c r="I1554" s="107"/>
      <c r="J1554" s="107"/>
      <c r="K1554" s="109"/>
    </row>
    <row r="1555" spans="1:11">
      <c r="A1555" s="107"/>
      <c r="B1555" s="103"/>
      <c r="C1555" s="109"/>
      <c r="D1555" s="103"/>
      <c r="E1555" s="103"/>
      <c r="F1555" s="103"/>
      <c r="G1555" s="103"/>
      <c r="H1555" s="107"/>
      <c r="I1555" s="107"/>
      <c r="J1555" s="107"/>
      <c r="K1555" s="109"/>
    </row>
    <row r="1556" spans="1:11">
      <c r="A1556" s="107"/>
      <c r="B1556" s="103"/>
      <c r="C1556" s="109"/>
      <c r="D1556" s="103"/>
      <c r="E1556" s="103"/>
      <c r="F1556" s="103"/>
      <c r="G1556" s="103"/>
      <c r="H1556" s="107"/>
      <c r="I1556" s="107"/>
      <c r="J1556" s="107"/>
      <c r="K1556" s="109"/>
    </row>
    <row r="1557" spans="1:11">
      <c r="A1557" s="107"/>
      <c r="B1557" s="103"/>
      <c r="C1557" s="109"/>
      <c r="D1557" s="103"/>
      <c r="E1557" s="103"/>
      <c r="F1557" s="103"/>
      <c r="G1557" s="103"/>
      <c r="H1557" s="107"/>
      <c r="I1557" s="107"/>
      <c r="J1557" s="107"/>
      <c r="K1557" s="109"/>
    </row>
    <row r="1558" spans="1:11">
      <c r="A1558" s="107"/>
      <c r="B1558" s="103"/>
      <c r="C1558" s="109"/>
      <c r="D1558" s="103"/>
      <c r="E1558" s="103"/>
      <c r="F1558" s="103"/>
      <c r="G1558" s="103"/>
      <c r="H1558" s="107"/>
      <c r="I1558" s="107"/>
      <c r="J1558" s="107"/>
      <c r="K1558" s="109"/>
    </row>
    <row r="1559" spans="1:11">
      <c r="A1559" s="107"/>
      <c r="B1559" s="103"/>
      <c r="C1559" s="109"/>
      <c r="D1559" s="103"/>
      <c r="E1559" s="103"/>
      <c r="F1559" s="103"/>
      <c r="G1559" s="103"/>
      <c r="H1559" s="107"/>
      <c r="I1559" s="107"/>
      <c r="J1559" s="107"/>
      <c r="K1559" s="109"/>
    </row>
    <row r="1560" spans="1:11">
      <c r="A1560" s="107"/>
      <c r="B1560" s="103"/>
      <c r="C1560" s="109"/>
      <c r="D1560" s="103"/>
      <c r="E1560" s="103"/>
      <c r="F1560" s="103"/>
      <c r="G1560" s="103"/>
      <c r="H1560" s="107"/>
      <c r="I1560" s="107"/>
      <c r="J1560" s="107"/>
      <c r="K1560" s="109"/>
    </row>
    <row r="1561" spans="1:11">
      <c r="A1561" s="107"/>
      <c r="B1561" s="103"/>
      <c r="C1561" s="109"/>
      <c r="D1561" s="103"/>
      <c r="E1561" s="103"/>
      <c r="F1561" s="103"/>
      <c r="G1561" s="103"/>
      <c r="H1561" s="107"/>
      <c r="I1561" s="107"/>
      <c r="J1561" s="107"/>
      <c r="K1561" s="109"/>
    </row>
    <row r="1562" spans="1:11">
      <c r="A1562" s="107"/>
      <c r="B1562" s="103"/>
      <c r="C1562" s="109"/>
      <c r="D1562" s="103"/>
      <c r="E1562" s="103"/>
      <c r="F1562" s="103"/>
      <c r="G1562" s="103"/>
      <c r="H1562" s="107"/>
      <c r="I1562" s="107"/>
      <c r="J1562" s="107"/>
      <c r="K1562" s="109"/>
    </row>
    <row r="1563" spans="1:11">
      <c r="A1563" s="107"/>
      <c r="B1563" s="103"/>
      <c r="C1563" s="109"/>
      <c r="D1563" s="103"/>
      <c r="E1563" s="103"/>
      <c r="F1563" s="103"/>
      <c r="G1563" s="103"/>
      <c r="H1563" s="107"/>
      <c r="I1563" s="107"/>
      <c r="J1563" s="107"/>
      <c r="K1563" s="109"/>
    </row>
    <row r="1564" spans="1:11">
      <c r="A1564" s="107"/>
      <c r="B1564" s="103"/>
      <c r="C1564" s="109"/>
      <c r="D1564" s="103"/>
      <c r="E1564" s="103"/>
      <c r="F1564" s="103"/>
      <c r="G1564" s="103"/>
      <c r="H1564" s="107"/>
      <c r="I1564" s="107"/>
      <c r="J1564" s="107"/>
      <c r="K1564" s="109"/>
    </row>
    <row r="1565" spans="1:11">
      <c r="A1565" s="107"/>
      <c r="B1565" s="103"/>
      <c r="C1565" s="109"/>
      <c r="D1565" s="103"/>
      <c r="E1565" s="103"/>
      <c r="F1565" s="103"/>
      <c r="G1565" s="103"/>
      <c r="H1565" s="107"/>
      <c r="I1565" s="107"/>
      <c r="J1565" s="107"/>
      <c r="K1565" s="109"/>
    </row>
    <row r="1566" spans="1:11">
      <c r="A1566" s="107"/>
      <c r="B1566" s="103"/>
      <c r="C1566" s="109"/>
      <c r="D1566" s="103"/>
      <c r="E1566" s="103"/>
      <c r="F1566" s="103"/>
      <c r="G1566" s="103"/>
      <c r="H1566" s="107"/>
      <c r="I1566" s="107"/>
      <c r="J1566" s="107"/>
      <c r="K1566" s="109"/>
    </row>
    <row r="1567" spans="1:11">
      <c r="A1567" s="107"/>
      <c r="B1567" s="103"/>
      <c r="C1567" s="109"/>
      <c r="D1567" s="103"/>
      <c r="E1567" s="103"/>
      <c r="F1567" s="103"/>
      <c r="G1567" s="103"/>
      <c r="H1567" s="107"/>
      <c r="I1567" s="107"/>
      <c r="J1567" s="107"/>
      <c r="K1567" s="109"/>
    </row>
    <row r="1568" spans="1:11">
      <c r="A1568" s="107"/>
      <c r="B1568" s="103"/>
      <c r="C1568" s="109"/>
      <c r="D1568" s="103"/>
      <c r="E1568" s="103"/>
      <c r="F1568" s="103"/>
      <c r="G1568" s="103"/>
      <c r="H1568" s="107"/>
      <c r="I1568" s="107"/>
      <c r="J1568" s="107"/>
      <c r="K1568" s="109"/>
    </row>
    <row r="1569" spans="1:11">
      <c r="A1569" s="107"/>
      <c r="B1569" s="103"/>
      <c r="C1569" s="109"/>
      <c r="D1569" s="103"/>
      <c r="E1569" s="103"/>
      <c r="F1569" s="103"/>
      <c r="G1569" s="103"/>
      <c r="H1569" s="107"/>
      <c r="I1569" s="107"/>
      <c r="J1569" s="107"/>
      <c r="K1569" s="109"/>
    </row>
    <row r="1570" spans="1:11">
      <c r="A1570" s="107"/>
      <c r="B1570" s="103"/>
      <c r="C1570" s="109"/>
      <c r="D1570" s="103"/>
      <c r="E1570" s="103"/>
      <c r="F1570" s="103"/>
      <c r="G1570" s="103"/>
      <c r="H1570" s="107"/>
      <c r="I1570" s="107"/>
      <c r="J1570" s="107"/>
      <c r="K1570" s="109"/>
    </row>
    <row r="1571" spans="1:11">
      <c r="A1571" s="107"/>
      <c r="B1571" s="103"/>
      <c r="C1571" s="109"/>
      <c r="D1571" s="103"/>
      <c r="E1571" s="103"/>
      <c r="F1571" s="103"/>
      <c r="G1571" s="103"/>
      <c r="H1571" s="107"/>
      <c r="I1571" s="107"/>
      <c r="J1571" s="107"/>
      <c r="K1571" s="109"/>
    </row>
    <row r="1572" spans="1:11">
      <c r="A1572" s="107"/>
      <c r="B1572" s="103"/>
      <c r="C1572" s="109"/>
      <c r="D1572" s="103"/>
      <c r="E1572" s="103"/>
      <c r="F1572" s="103"/>
      <c r="G1572" s="103"/>
      <c r="H1572" s="107"/>
      <c r="I1572" s="107"/>
      <c r="J1572" s="107"/>
      <c r="K1572" s="109"/>
    </row>
    <row r="1573" spans="1:11">
      <c r="A1573" s="107"/>
      <c r="B1573" s="103"/>
      <c r="C1573" s="109"/>
      <c r="D1573" s="103"/>
      <c r="E1573" s="103"/>
      <c r="F1573" s="103"/>
      <c r="G1573" s="103"/>
      <c r="H1573" s="107"/>
      <c r="I1573" s="107"/>
      <c r="J1573" s="107"/>
      <c r="K1573" s="109"/>
    </row>
    <row r="1574" spans="1:11">
      <c r="A1574" s="107"/>
      <c r="B1574" s="103"/>
      <c r="C1574" s="109"/>
      <c r="D1574" s="103"/>
      <c r="E1574" s="103"/>
      <c r="F1574" s="103"/>
      <c r="G1574" s="103"/>
      <c r="H1574" s="107"/>
      <c r="I1574" s="107"/>
      <c r="J1574" s="107"/>
      <c r="K1574" s="109"/>
    </row>
    <row r="1575" spans="1:11">
      <c r="A1575" s="107"/>
      <c r="B1575" s="103"/>
      <c r="C1575" s="109"/>
      <c r="D1575" s="103"/>
      <c r="E1575" s="103"/>
      <c r="F1575" s="103"/>
      <c r="G1575" s="103"/>
      <c r="H1575" s="107"/>
      <c r="I1575" s="107"/>
      <c r="J1575" s="107"/>
      <c r="K1575" s="109"/>
    </row>
    <row r="1576" spans="1:11">
      <c r="A1576" s="107"/>
      <c r="B1576" s="103"/>
      <c r="C1576" s="109"/>
      <c r="D1576" s="103"/>
      <c r="E1576" s="103"/>
      <c r="F1576" s="103"/>
      <c r="G1576" s="103"/>
      <c r="H1576" s="107"/>
      <c r="I1576" s="107"/>
      <c r="J1576" s="107"/>
      <c r="K1576" s="109"/>
    </row>
    <row r="1577" spans="1:11">
      <c r="A1577" s="107"/>
      <c r="B1577" s="103"/>
      <c r="C1577" s="109"/>
      <c r="D1577" s="103"/>
      <c r="E1577" s="103"/>
      <c r="F1577" s="103"/>
      <c r="G1577" s="103"/>
      <c r="H1577" s="107"/>
      <c r="I1577" s="107"/>
      <c r="J1577" s="107"/>
      <c r="K1577" s="1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57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23.21875" customWidth="1"/>
    <col min="2" max="2" width="14.6640625" customWidth="1"/>
    <col min="11" max="11" width="14.6640625" customWidth="1"/>
  </cols>
  <sheetData>
    <row r="1" spans="1:11">
      <c r="A1" s="126" t="s">
        <v>0</v>
      </c>
      <c r="B1" s="127" t="s">
        <v>1</v>
      </c>
      <c r="C1" s="127" t="s">
        <v>2</v>
      </c>
      <c r="D1" s="127" t="s">
        <v>3</v>
      </c>
      <c r="E1" s="127" t="s">
        <v>4</v>
      </c>
      <c r="F1" s="127" t="s">
        <v>5</v>
      </c>
      <c r="G1" s="128" t="s">
        <v>6</v>
      </c>
      <c r="H1" s="129" t="s">
        <v>7</v>
      </c>
      <c r="I1" s="129" t="s">
        <v>8</v>
      </c>
      <c r="J1" s="129" t="s">
        <v>9</v>
      </c>
      <c r="K1" s="130" t="s">
        <v>10</v>
      </c>
    </row>
    <row r="2" spans="1:11">
      <c r="A2" s="32" t="s">
        <v>18</v>
      </c>
      <c r="B2" s="32">
        <v>33.81</v>
      </c>
      <c r="C2" s="33">
        <v>2</v>
      </c>
      <c r="D2" s="32">
        <v>7.2999999999999995E-2</v>
      </c>
      <c r="E2" s="32">
        <v>1E-3</v>
      </c>
      <c r="F2" s="32">
        <v>1000</v>
      </c>
      <c r="G2" s="34"/>
      <c r="H2" s="32">
        <v>22</v>
      </c>
      <c r="I2" s="32" t="s">
        <v>12</v>
      </c>
      <c r="J2" s="34"/>
      <c r="K2" s="35">
        <v>4.7699999999999996</v>
      </c>
    </row>
    <row r="3" spans="1:11">
      <c r="A3" s="32" t="s">
        <v>18</v>
      </c>
      <c r="B3" s="32">
        <v>57.56</v>
      </c>
      <c r="C3" s="33">
        <v>2</v>
      </c>
      <c r="D3" s="32">
        <v>7.2999999999999995E-2</v>
      </c>
      <c r="E3" s="32">
        <v>1E-3</v>
      </c>
      <c r="F3" s="32">
        <v>1000</v>
      </c>
      <c r="G3" s="34"/>
      <c r="H3" s="32">
        <v>22</v>
      </c>
      <c r="I3" s="32" t="s">
        <v>12</v>
      </c>
      <c r="J3" s="34"/>
      <c r="K3" s="35">
        <v>4.9800000000000004</v>
      </c>
    </row>
    <row r="4" spans="1:11">
      <c r="A4" s="32" t="s">
        <v>18</v>
      </c>
      <c r="B4" s="32">
        <v>74.010000000000005</v>
      </c>
      <c r="C4" s="33">
        <v>2</v>
      </c>
      <c r="D4" s="32">
        <v>7.2999999999999995E-2</v>
      </c>
      <c r="E4" s="32">
        <v>1E-3</v>
      </c>
      <c r="F4" s="32">
        <v>1000</v>
      </c>
      <c r="G4" s="34"/>
      <c r="H4" s="32">
        <v>22</v>
      </c>
      <c r="I4" s="32" t="s">
        <v>12</v>
      </c>
      <c r="J4" s="34"/>
      <c r="K4" s="35">
        <v>5.2</v>
      </c>
    </row>
    <row r="5" spans="1:11">
      <c r="A5" s="32" t="s">
        <v>18</v>
      </c>
      <c r="B5" s="32">
        <v>108.73</v>
      </c>
      <c r="C5" s="33">
        <v>2</v>
      </c>
      <c r="D5" s="32">
        <v>7.2999999999999995E-2</v>
      </c>
      <c r="E5" s="32">
        <v>1E-3</v>
      </c>
      <c r="F5" s="32">
        <v>1000</v>
      </c>
      <c r="G5" s="34"/>
      <c r="H5" s="32">
        <v>22</v>
      </c>
      <c r="I5" s="32" t="s">
        <v>12</v>
      </c>
      <c r="J5" s="34"/>
      <c r="K5" s="35">
        <v>5.4</v>
      </c>
    </row>
    <row r="6" spans="1:11">
      <c r="A6" s="32" t="s">
        <v>18</v>
      </c>
      <c r="B6" s="32">
        <v>144.37</v>
      </c>
      <c r="C6" s="33">
        <v>2</v>
      </c>
      <c r="D6" s="32">
        <v>7.2999999999999995E-2</v>
      </c>
      <c r="E6" s="32">
        <v>1E-3</v>
      </c>
      <c r="F6" s="32">
        <v>1000</v>
      </c>
      <c r="G6" s="34"/>
      <c r="H6" s="32">
        <v>22</v>
      </c>
      <c r="I6" s="32" t="s">
        <v>12</v>
      </c>
      <c r="J6" s="34"/>
      <c r="K6" s="35">
        <v>5.71</v>
      </c>
    </row>
    <row r="7" spans="1:11">
      <c r="A7" s="32" t="s">
        <v>18</v>
      </c>
      <c r="B7" s="32">
        <v>168.12</v>
      </c>
      <c r="C7" s="33">
        <v>2</v>
      </c>
      <c r="D7" s="32">
        <v>7.2999999999999995E-2</v>
      </c>
      <c r="E7" s="32">
        <v>1E-3</v>
      </c>
      <c r="F7" s="32">
        <v>1000</v>
      </c>
      <c r="G7" s="34"/>
      <c r="H7" s="32">
        <v>22</v>
      </c>
      <c r="I7" s="32" t="s">
        <v>12</v>
      </c>
      <c r="J7" s="34"/>
      <c r="K7" s="35">
        <v>6</v>
      </c>
    </row>
    <row r="8" spans="1:11">
      <c r="A8" s="32" t="s">
        <v>18</v>
      </c>
      <c r="B8" s="32">
        <v>205.58</v>
      </c>
      <c r="C8" s="33">
        <v>2</v>
      </c>
      <c r="D8" s="32">
        <v>7.2999999999999995E-2</v>
      </c>
      <c r="E8" s="32">
        <v>1E-3</v>
      </c>
      <c r="F8" s="32">
        <v>1000</v>
      </c>
      <c r="G8" s="34"/>
      <c r="H8" s="32">
        <v>22</v>
      </c>
      <c r="I8" s="32" t="s">
        <v>12</v>
      </c>
      <c r="J8" s="34"/>
      <c r="K8" s="35">
        <v>6.21</v>
      </c>
    </row>
    <row r="9" spans="1:11">
      <c r="A9" s="32" t="s">
        <v>18</v>
      </c>
      <c r="B9" s="32">
        <v>231.17</v>
      </c>
      <c r="C9" s="33">
        <v>2</v>
      </c>
      <c r="D9" s="32">
        <v>7.2999999999999995E-2</v>
      </c>
      <c r="E9" s="32">
        <v>1E-3</v>
      </c>
      <c r="F9" s="32">
        <v>1000</v>
      </c>
      <c r="G9" s="34"/>
      <c r="H9" s="32">
        <v>22</v>
      </c>
      <c r="I9" s="32" t="s">
        <v>12</v>
      </c>
      <c r="J9" s="34"/>
      <c r="K9" s="35">
        <v>6.47</v>
      </c>
    </row>
    <row r="10" spans="1:11">
      <c r="A10" s="32" t="s">
        <v>18</v>
      </c>
      <c r="B10" s="32">
        <v>269.54000000000002</v>
      </c>
      <c r="C10" s="33">
        <v>2</v>
      </c>
      <c r="D10" s="32">
        <v>7.2999999999999995E-2</v>
      </c>
      <c r="E10" s="32">
        <v>1E-3</v>
      </c>
      <c r="F10" s="32">
        <v>1000</v>
      </c>
      <c r="G10" s="34"/>
      <c r="H10" s="32">
        <v>22</v>
      </c>
      <c r="I10" s="32" t="s">
        <v>12</v>
      </c>
      <c r="J10" s="34"/>
      <c r="K10" s="35">
        <v>6.72</v>
      </c>
    </row>
    <row r="11" spans="1:11">
      <c r="A11" s="32" t="s">
        <v>18</v>
      </c>
      <c r="B11" s="32">
        <v>300.61</v>
      </c>
      <c r="C11" s="33">
        <v>2</v>
      </c>
      <c r="D11" s="32">
        <v>7.2999999999999995E-2</v>
      </c>
      <c r="E11" s="32">
        <v>1E-3</v>
      </c>
      <c r="F11" s="32">
        <v>1000</v>
      </c>
      <c r="G11" s="34"/>
      <c r="H11" s="32">
        <v>22</v>
      </c>
      <c r="I11" s="32" t="s">
        <v>12</v>
      </c>
      <c r="J11" s="34"/>
      <c r="K11" s="35">
        <v>7</v>
      </c>
    </row>
    <row r="12" spans="1:11">
      <c r="A12" s="32" t="s">
        <v>18</v>
      </c>
      <c r="B12" s="32">
        <v>345.38</v>
      </c>
      <c r="C12" s="33">
        <v>2</v>
      </c>
      <c r="D12" s="32">
        <v>7.2999999999999995E-2</v>
      </c>
      <c r="E12" s="32">
        <v>1E-3</v>
      </c>
      <c r="F12" s="32">
        <v>1000</v>
      </c>
      <c r="G12" s="34"/>
      <c r="H12" s="32">
        <v>22</v>
      </c>
      <c r="I12" s="32" t="s">
        <v>12</v>
      </c>
      <c r="J12" s="34"/>
      <c r="K12" s="35">
        <v>7.1</v>
      </c>
    </row>
    <row r="13" spans="1:11">
      <c r="A13" s="32" t="s">
        <v>18</v>
      </c>
      <c r="B13" s="32">
        <v>379.19</v>
      </c>
      <c r="C13" s="33">
        <v>2</v>
      </c>
      <c r="D13" s="32">
        <v>7.2999999999999995E-2</v>
      </c>
      <c r="E13" s="32">
        <v>1E-3</v>
      </c>
      <c r="F13" s="32">
        <v>1000</v>
      </c>
      <c r="G13" s="34"/>
      <c r="H13" s="32">
        <v>22</v>
      </c>
      <c r="I13" s="32" t="s">
        <v>12</v>
      </c>
      <c r="J13" s="34"/>
      <c r="K13" s="35">
        <v>7.31</v>
      </c>
    </row>
    <row r="14" spans="1:11">
      <c r="A14" s="32" t="s">
        <v>18</v>
      </c>
      <c r="B14" s="32">
        <v>415.74</v>
      </c>
      <c r="C14" s="33">
        <v>2</v>
      </c>
      <c r="D14" s="32">
        <v>7.2999999999999995E-2</v>
      </c>
      <c r="E14" s="32">
        <v>1E-3</v>
      </c>
      <c r="F14" s="32">
        <v>1000</v>
      </c>
      <c r="G14" s="34"/>
      <c r="H14" s="32">
        <v>22</v>
      </c>
      <c r="I14" s="32" t="s">
        <v>12</v>
      </c>
      <c r="J14" s="34"/>
      <c r="K14" s="35">
        <v>7.55</v>
      </c>
    </row>
    <row r="15" spans="1:11">
      <c r="A15" s="32" t="s">
        <v>18</v>
      </c>
      <c r="B15" s="32">
        <v>458.68</v>
      </c>
      <c r="C15" s="33">
        <v>2</v>
      </c>
      <c r="D15" s="32">
        <v>7.2999999999999995E-2</v>
      </c>
      <c r="E15" s="32">
        <v>1E-3</v>
      </c>
      <c r="F15" s="32">
        <v>1000</v>
      </c>
      <c r="G15" s="34"/>
      <c r="H15" s="32">
        <v>22</v>
      </c>
      <c r="I15" s="32" t="s">
        <v>12</v>
      </c>
      <c r="J15" s="34"/>
      <c r="K15" s="35">
        <v>7.69</v>
      </c>
    </row>
    <row r="16" spans="1:11">
      <c r="A16" s="32" t="s">
        <v>18</v>
      </c>
      <c r="B16" s="32">
        <v>488.83</v>
      </c>
      <c r="C16" s="33">
        <v>2</v>
      </c>
      <c r="D16" s="32">
        <v>7.2999999999999995E-2</v>
      </c>
      <c r="E16" s="32">
        <v>1E-3</v>
      </c>
      <c r="F16" s="32">
        <v>1000</v>
      </c>
      <c r="G16" s="34"/>
      <c r="H16" s="32">
        <v>22</v>
      </c>
      <c r="I16" s="32" t="s">
        <v>12</v>
      </c>
      <c r="J16" s="34"/>
      <c r="K16" s="35">
        <v>7.82</v>
      </c>
    </row>
    <row r="17" spans="1:11">
      <c r="A17" s="32" t="s">
        <v>18</v>
      </c>
      <c r="B17" s="32">
        <v>534.52</v>
      </c>
      <c r="C17" s="33">
        <v>2</v>
      </c>
      <c r="D17" s="32">
        <v>7.2999999999999995E-2</v>
      </c>
      <c r="E17" s="32">
        <v>1E-3</v>
      </c>
      <c r="F17" s="32">
        <v>1000</v>
      </c>
      <c r="G17" s="34"/>
      <c r="H17" s="32">
        <v>22</v>
      </c>
      <c r="I17" s="32" t="s">
        <v>12</v>
      </c>
      <c r="J17" s="34"/>
      <c r="K17" s="35">
        <v>8.06</v>
      </c>
    </row>
    <row r="18" spans="1:11">
      <c r="A18" s="32" t="s">
        <v>18</v>
      </c>
      <c r="B18" s="32">
        <v>571.97</v>
      </c>
      <c r="C18" s="33">
        <v>2</v>
      </c>
      <c r="D18" s="32">
        <v>7.2999999999999995E-2</v>
      </c>
      <c r="E18" s="32">
        <v>1E-3</v>
      </c>
      <c r="F18" s="32">
        <v>1000</v>
      </c>
      <c r="G18" s="34"/>
      <c r="H18" s="32">
        <v>22</v>
      </c>
      <c r="I18" s="32" t="s">
        <v>12</v>
      </c>
      <c r="J18" s="34"/>
      <c r="K18" s="35">
        <v>8.2799999999999994</v>
      </c>
    </row>
    <row r="19" spans="1:11">
      <c r="A19" s="32" t="s">
        <v>18</v>
      </c>
      <c r="B19" s="32">
        <v>578.88</v>
      </c>
      <c r="C19" s="33">
        <v>2</v>
      </c>
      <c r="D19" s="32">
        <v>7.2999999999999995E-2</v>
      </c>
      <c r="E19" s="32">
        <v>1E-3</v>
      </c>
      <c r="F19" s="32">
        <v>1000</v>
      </c>
      <c r="G19" s="34"/>
      <c r="H19" s="32">
        <v>22</v>
      </c>
      <c r="I19" s="32" t="s">
        <v>12</v>
      </c>
      <c r="J19" s="34"/>
      <c r="K19" s="35">
        <v>8.64</v>
      </c>
    </row>
    <row r="20" spans="1:11">
      <c r="A20" s="32" t="s">
        <v>18</v>
      </c>
      <c r="B20" s="32">
        <v>595.67999999999995</v>
      </c>
      <c r="C20" s="33">
        <v>2</v>
      </c>
      <c r="D20" s="32">
        <v>7.2999999999999995E-2</v>
      </c>
      <c r="E20" s="32">
        <v>1E-3</v>
      </c>
      <c r="F20" s="32">
        <v>1000</v>
      </c>
      <c r="G20" s="34"/>
      <c r="H20" s="32">
        <v>22</v>
      </c>
      <c r="I20" s="32" t="s">
        <v>12</v>
      </c>
      <c r="J20" s="34"/>
      <c r="K20" s="35">
        <v>8.4499999999999993</v>
      </c>
    </row>
    <row r="21" spans="1:11">
      <c r="A21" s="32" t="s">
        <v>18</v>
      </c>
      <c r="B21" s="32">
        <v>60.17</v>
      </c>
      <c r="C21" s="33">
        <v>3</v>
      </c>
      <c r="D21" s="32">
        <v>7.2999999999999995E-2</v>
      </c>
      <c r="E21" s="32">
        <v>1E-3</v>
      </c>
      <c r="F21" s="32">
        <v>1000</v>
      </c>
      <c r="G21" s="34"/>
      <c r="H21" s="32">
        <v>22</v>
      </c>
      <c r="I21" s="32" t="s">
        <v>12</v>
      </c>
      <c r="J21" s="34"/>
      <c r="K21" s="35">
        <v>5.36</v>
      </c>
    </row>
    <row r="22" spans="1:11">
      <c r="A22" s="32" t="s">
        <v>18</v>
      </c>
      <c r="B22" s="32">
        <v>116.32</v>
      </c>
      <c r="C22" s="33">
        <v>3</v>
      </c>
      <c r="D22" s="32">
        <v>7.2999999999999995E-2</v>
      </c>
      <c r="E22" s="32">
        <v>1E-3</v>
      </c>
      <c r="F22" s="32">
        <v>1000</v>
      </c>
      <c r="G22" s="34"/>
      <c r="H22" s="32">
        <v>22</v>
      </c>
      <c r="I22" s="32" t="s">
        <v>12</v>
      </c>
      <c r="J22" s="34"/>
      <c r="K22" s="35">
        <v>5.79</v>
      </c>
    </row>
    <row r="23" spans="1:11">
      <c r="A23" s="32" t="s">
        <v>18</v>
      </c>
      <c r="B23" s="32">
        <v>177.83</v>
      </c>
      <c r="C23" s="33">
        <v>3</v>
      </c>
      <c r="D23" s="32">
        <v>7.2999999999999995E-2</v>
      </c>
      <c r="E23" s="32">
        <v>1E-3</v>
      </c>
      <c r="F23" s="32">
        <v>1000</v>
      </c>
      <c r="G23" s="34"/>
      <c r="H23" s="32">
        <v>22</v>
      </c>
      <c r="I23" s="32" t="s">
        <v>12</v>
      </c>
      <c r="J23" s="34"/>
      <c r="K23" s="35">
        <v>6.27</v>
      </c>
    </row>
    <row r="24" spans="1:11">
      <c r="A24" s="32" t="s">
        <v>18</v>
      </c>
      <c r="B24" s="32">
        <v>240.67</v>
      </c>
      <c r="C24" s="33">
        <v>3</v>
      </c>
      <c r="D24" s="32">
        <v>7.2999999999999995E-2</v>
      </c>
      <c r="E24" s="32">
        <v>1E-3</v>
      </c>
      <c r="F24" s="32">
        <v>1000</v>
      </c>
      <c r="G24" s="34"/>
      <c r="H24" s="32">
        <v>22</v>
      </c>
      <c r="I24" s="32" t="s">
        <v>12</v>
      </c>
      <c r="J24" s="34"/>
      <c r="K24" s="35">
        <v>6.7</v>
      </c>
    </row>
    <row r="25" spans="1:11">
      <c r="A25" s="32" t="s">
        <v>18</v>
      </c>
      <c r="B25" s="32">
        <v>300.83999999999997</v>
      </c>
      <c r="C25" s="33">
        <v>3</v>
      </c>
      <c r="D25" s="32">
        <v>7.2999999999999995E-2</v>
      </c>
      <c r="E25" s="32">
        <v>1E-3</v>
      </c>
      <c r="F25" s="32">
        <v>1000</v>
      </c>
      <c r="G25" s="34"/>
      <c r="H25" s="32">
        <v>22</v>
      </c>
      <c r="I25" s="32" t="s">
        <v>12</v>
      </c>
      <c r="J25" s="34"/>
      <c r="K25" s="35">
        <v>6.99</v>
      </c>
    </row>
    <row r="26" spans="1:11">
      <c r="A26" s="32" t="s">
        <v>18</v>
      </c>
      <c r="B26" s="32">
        <v>361</v>
      </c>
      <c r="C26" s="33">
        <v>3</v>
      </c>
      <c r="D26" s="32">
        <v>7.2999999999999995E-2</v>
      </c>
      <c r="E26" s="32">
        <v>1E-3</v>
      </c>
      <c r="F26" s="32">
        <v>1000</v>
      </c>
      <c r="G26" s="34"/>
      <c r="H26" s="32">
        <v>22</v>
      </c>
      <c r="I26" s="32" t="s">
        <v>12</v>
      </c>
      <c r="J26" s="34"/>
      <c r="K26" s="35">
        <v>7.44</v>
      </c>
    </row>
    <row r="27" spans="1:11">
      <c r="A27" s="32" t="s">
        <v>18</v>
      </c>
      <c r="B27" s="32">
        <v>419.83</v>
      </c>
      <c r="C27" s="33">
        <v>3</v>
      </c>
      <c r="D27" s="32">
        <v>7.2999999999999995E-2</v>
      </c>
      <c r="E27" s="32">
        <v>1E-3</v>
      </c>
      <c r="F27" s="32">
        <v>1000</v>
      </c>
      <c r="G27" s="34"/>
      <c r="H27" s="32">
        <v>22</v>
      </c>
      <c r="I27" s="32" t="s">
        <v>12</v>
      </c>
      <c r="J27" s="34"/>
      <c r="K27" s="35">
        <v>7.76</v>
      </c>
    </row>
    <row r="28" spans="1:11">
      <c r="A28" s="32" t="s">
        <v>18</v>
      </c>
      <c r="B28" s="32">
        <v>480</v>
      </c>
      <c r="C28" s="33">
        <v>3</v>
      </c>
      <c r="D28" s="32">
        <v>7.2999999999999995E-2</v>
      </c>
      <c r="E28" s="32">
        <v>1E-3</v>
      </c>
      <c r="F28" s="32">
        <v>1000</v>
      </c>
      <c r="G28" s="34"/>
      <c r="H28" s="32">
        <v>22</v>
      </c>
      <c r="I28" s="32" t="s">
        <v>12</v>
      </c>
      <c r="J28" s="34"/>
      <c r="K28" s="35">
        <v>8.0299999999999994</v>
      </c>
    </row>
    <row r="29" spans="1:11">
      <c r="A29" s="32" t="s">
        <v>18</v>
      </c>
      <c r="B29" s="32">
        <v>538.83000000000004</v>
      </c>
      <c r="C29" s="33">
        <v>3</v>
      </c>
      <c r="D29" s="32">
        <v>7.2999999999999995E-2</v>
      </c>
      <c r="E29" s="32">
        <v>1E-3</v>
      </c>
      <c r="F29" s="32">
        <v>1000</v>
      </c>
      <c r="G29" s="34"/>
      <c r="H29" s="32">
        <v>22</v>
      </c>
      <c r="I29" s="32" t="s">
        <v>12</v>
      </c>
      <c r="J29" s="34"/>
      <c r="K29" s="35">
        <v>8.2899999999999991</v>
      </c>
    </row>
    <row r="30" spans="1:11">
      <c r="A30" s="32" t="s">
        <v>18</v>
      </c>
      <c r="B30" s="32">
        <v>600</v>
      </c>
      <c r="C30" s="33">
        <v>3</v>
      </c>
      <c r="D30" s="32">
        <v>7.2999999999999995E-2</v>
      </c>
      <c r="E30" s="32">
        <v>1E-3</v>
      </c>
      <c r="F30" s="32">
        <v>1000</v>
      </c>
      <c r="G30" s="34"/>
      <c r="H30" s="32">
        <v>22</v>
      </c>
      <c r="I30" s="32" t="s">
        <v>12</v>
      </c>
      <c r="J30" s="34"/>
      <c r="K30" s="35">
        <v>8.5399999999999991</v>
      </c>
    </row>
    <row r="31" spans="1:11">
      <c r="A31" s="32" t="s">
        <v>18</v>
      </c>
      <c r="B31" s="32">
        <v>661</v>
      </c>
      <c r="C31" s="33">
        <v>3</v>
      </c>
      <c r="D31" s="32">
        <v>7.2999999999999995E-2</v>
      </c>
      <c r="E31" s="32">
        <v>1E-3</v>
      </c>
      <c r="F31" s="32">
        <v>1000</v>
      </c>
      <c r="G31" s="34"/>
      <c r="H31" s="32">
        <v>22</v>
      </c>
      <c r="I31" s="32" t="s">
        <v>12</v>
      </c>
      <c r="J31" s="34"/>
      <c r="K31" s="35">
        <v>8.8000000000000007</v>
      </c>
    </row>
    <row r="32" spans="1:11">
      <c r="A32" s="32" t="s">
        <v>18</v>
      </c>
      <c r="B32" s="32">
        <v>720</v>
      </c>
      <c r="C32" s="33">
        <v>3</v>
      </c>
      <c r="D32" s="32">
        <v>7.2999999999999995E-2</v>
      </c>
      <c r="E32" s="32">
        <v>1E-3</v>
      </c>
      <c r="F32" s="32">
        <v>1000</v>
      </c>
      <c r="G32" s="34"/>
      <c r="H32" s="32">
        <v>22</v>
      </c>
      <c r="I32" s="32" t="s">
        <v>12</v>
      </c>
      <c r="J32" s="34"/>
      <c r="K32" s="35">
        <v>8.9600000000000009</v>
      </c>
    </row>
    <row r="33" spans="1:11">
      <c r="A33" s="32" t="s">
        <v>18</v>
      </c>
      <c r="B33" s="32">
        <v>779.83</v>
      </c>
      <c r="C33" s="33">
        <v>3</v>
      </c>
      <c r="D33" s="32">
        <v>7.2999999999999995E-2</v>
      </c>
      <c r="E33" s="32">
        <v>1E-3</v>
      </c>
      <c r="F33" s="32">
        <v>1000</v>
      </c>
      <c r="G33" s="34"/>
      <c r="H33" s="32">
        <v>22</v>
      </c>
      <c r="I33" s="32" t="s">
        <v>12</v>
      </c>
      <c r="J33" s="34"/>
      <c r="K33" s="35">
        <v>9.1300000000000008</v>
      </c>
    </row>
    <row r="34" spans="1:11">
      <c r="A34" s="32" t="s">
        <v>18</v>
      </c>
      <c r="B34" s="32">
        <v>840</v>
      </c>
      <c r="C34" s="33">
        <v>3</v>
      </c>
      <c r="D34" s="32">
        <v>7.2999999999999995E-2</v>
      </c>
      <c r="E34" s="32">
        <v>1E-3</v>
      </c>
      <c r="F34" s="32">
        <v>1000</v>
      </c>
      <c r="G34" s="34"/>
      <c r="H34" s="32">
        <v>22</v>
      </c>
      <c r="I34" s="32" t="s">
        <v>12</v>
      </c>
      <c r="J34" s="34"/>
      <c r="K34" s="35">
        <v>9.2200000000000006</v>
      </c>
    </row>
    <row r="35" spans="1:11">
      <c r="A35" s="32" t="s">
        <v>18</v>
      </c>
      <c r="B35" s="32">
        <v>901.17</v>
      </c>
      <c r="C35" s="33">
        <v>3</v>
      </c>
      <c r="D35" s="32">
        <v>7.2999999999999995E-2</v>
      </c>
      <c r="E35" s="32">
        <v>1E-3</v>
      </c>
      <c r="F35" s="32">
        <v>1000</v>
      </c>
      <c r="G35" s="34"/>
      <c r="H35" s="32">
        <v>22</v>
      </c>
      <c r="I35" s="32" t="s">
        <v>12</v>
      </c>
      <c r="J35" s="34"/>
      <c r="K35" s="35">
        <v>9.42</v>
      </c>
    </row>
    <row r="36" spans="1:11">
      <c r="A36" s="32" t="s">
        <v>18</v>
      </c>
      <c r="B36" s="32">
        <v>61.5</v>
      </c>
      <c r="C36" s="33">
        <v>2.5</v>
      </c>
      <c r="D36" s="32">
        <v>7.2999999999999995E-2</v>
      </c>
      <c r="E36" s="32">
        <v>1E-3</v>
      </c>
      <c r="F36" s="32">
        <v>1000</v>
      </c>
      <c r="G36" s="34"/>
      <c r="H36" s="32">
        <v>22</v>
      </c>
      <c r="I36" s="32" t="s">
        <v>12</v>
      </c>
      <c r="J36" s="34"/>
      <c r="K36" s="35">
        <v>5.13</v>
      </c>
    </row>
    <row r="37" spans="1:11">
      <c r="A37" s="32" t="s">
        <v>18</v>
      </c>
      <c r="B37" s="32">
        <v>120.33</v>
      </c>
      <c r="C37" s="33">
        <v>2.5</v>
      </c>
      <c r="D37" s="32">
        <v>7.2999999999999995E-2</v>
      </c>
      <c r="E37" s="32">
        <v>1E-3</v>
      </c>
      <c r="F37" s="32">
        <v>1000</v>
      </c>
      <c r="G37" s="34"/>
      <c r="H37" s="32">
        <v>22</v>
      </c>
      <c r="I37" s="32" t="s">
        <v>12</v>
      </c>
      <c r="J37" s="34"/>
      <c r="K37" s="35">
        <v>5.59</v>
      </c>
    </row>
    <row r="38" spans="1:11">
      <c r="A38" s="32" t="s">
        <v>18</v>
      </c>
      <c r="B38" s="32">
        <v>181.84</v>
      </c>
      <c r="C38" s="33">
        <v>2.5</v>
      </c>
      <c r="D38" s="32">
        <v>7.2999999999999995E-2</v>
      </c>
      <c r="E38" s="32">
        <v>1E-3</v>
      </c>
      <c r="F38" s="32">
        <v>1000</v>
      </c>
      <c r="G38" s="34"/>
      <c r="H38" s="32">
        <v>22</v>
      </c>
      <c r="I38" s="32" t="s">
        <v>12</v>
      </c>
      <c r="J38" s="34"/>
      <c r="K38" s="35">
        <v>6.49</v>
      </c>
    </row>
    <row r="39" spans="1:11">
      <c r="A39" s="32" t="s">
        <v>18</v>
      </c>
      <c r="B39" s="32">
        <v>242.01</v>
      </c>
      <c r="C39" s="33">
        <v>2.5</v>
      </c>
      <c r="D39" s="32">
        <v>7.2999999999999995E-2</v>
      </c>
      <c r="E39" s="32">
        <v>1E-3</v>
      </c>
      <c r="F39" s="32">
        <v>1000</v>
      </c>
      <c r="G39" s="34"/>
      <c r="H39" s="32">
        <v>22</v>
      </c>
      <c r="I39" s="32" t="s">
        <v>12</v>
      </c>
      <c r="J39" s="34"/>
      <c r="K39" s="35">
        <v>6.78</v>
      </c>
    </row>
    <row r="40" spans="1:11">
      <c r="A40" s="32" t="s">
        <v>18</v>
      </c>
      <c r="B40" s="32">
        <v>300.83999999999997</v>
      </c>
      <c r="C40" s="33">
        <v>2.5</v>
      </c>
      <c r="D40" s="32">
        <v>7.2999999999999995E-2</v>
      </c>
      <c r="E40" s="32">
        <v>1E-3</v>
      </c>
      <c r="F40" s="32">
        <v>1000</v>
      </c>
      <c r="G40" s="34"/>
      <c r="H40" s="32">
        <v>22</v>
      </c>
      <c r="I40" s="32" t="s">
        <v>12</v>
      </c>
      <c r="J40" s="34"/>
      <c r="K40" s="35">
        <v>6.82</v>
      </c>
    </row>
    <row r="41" spans="1:11">
      <c r="A41" s="32" t="s">
        <v>18</v>
      </c>
      <c r="B41" s="32">
        <v>361</v>
      </c>
      <c r="C41" s="33">
        <v>2.5</v>
      </c>
      <c r="D41" s="32">
        <v>7.2999999999999995E-2</v>
      </c>
      <c r="E41" s="32">
        <v>1E-3</v>
      </c>
      <c r="F41" s="32">
        <v>1000</v>
      </c>
      <c r="G41" s="34"/>
      <c r="H41" s="32">
        <v>22</v>
      </c>
      <c r="I41" s="32" t="s">
        <v>12</v>
      </c>
      <c r="J41" s="34"/>
      <c r="K41" s="35">
        <v>7.22</v>
      </c>
    </row>
    <row r="42" spans="1:11">
      <c r="A42" s="32" t="s">
        <v>18</v>
      </c>
      <c r="B42" s="32">
        <v>421</v>
      </c>
      <c r="C42" s="33">
        <v>2.5</v>
      </c>
      <c r="D42" s="32">
        <v>7.2999999999999995E-2</v>
      </c>
      <c r="E42" s="32">
        <v>1E-3</v>
      </c>
      <c r="F42" s="32">
        <v>1000</v>
      </c>
      <c r="G42" s="34"/>
      <c r="H42" s="32">
        <v>22</v>
      </c>
      <c r="I42" s="32" t="s">
        <v>12</v>
      </c>
      <c r="J42" s="34"/>
      <c r="K42" s="35">
        <v>7.79</v>
      </c>
    </row>
    <row r="43" spans="1:11">
      <c r="A43" s="32" t="s">
        <v>18</v>
      </c>
      <c r="B43" s="32">
        <v>481</v>
      </c>
      <c r="C43" s="33">
        <v>2.5</v>
      </c>
      <c r="D43" s="32">
        <v>7.2999999999999995E-2</v>
      </c>
      <c r="E43" s="32">
        <v>1E-3</v>
      </c>
      <c r="F43" s="32">
        <v>1000</v>
      </c>
      <c r="G43" s="34"/>
      <c r="H43" s="32">
        <v>22</v>
      </c>
      <c r="I43" s="32" t="s">
        <v>12</v>
      </c>
      <c r="J43" s="34"/>
      <c r="K43" s="35">
        <v>8.06</v>
      </c>
    </row>
    <row r="44" spans="1:11">
      <c r="A44" s="32" t="s">
        <v>18</v>
      </c>
      <c r="B44" s="32">
        <v>540</v>
      </c>
      <c r="C44" s="33">
        <v>2.5</v>
      </c>
      <c r="D44" s="32">
        <v>7.2999999999999995E-2</v>
      </c>
      <c r="E44" s="32">
        <v>1E-3</v>
      </c>
      <c r="F44" s="32">
        <v>1000</v>
      </c>
      <c r="G44" s="34"/>
      <c r="H44" s="32">
        <v>22</v>
      </c>
      <c r="I44" s="32" t="s">
        <v>12</v>
      </c>
      <c r="J44" s="34"/>
      <c r="K44" s="35">
        <v>8.2899999999999991</v>
      </c>
    </row>
    <row r="45" spans="1:11">
      <c r="A45" s="32" t="s">
        <v>18</v>
      </c>
      <c r="B45" s="32">
        <v>600</v>
      </c>
      <c r="C45" s="33">
        <v>2.5</v>
      </c>
      <c r="D45" s="32">
        <v>7.2999999999999995E-2</v>
      </c>
      <c r="E45" s="32">
        <v>1E-3</v>
      </c>
      <c r="F45" s="32">
        <v>1000</v>
      </c>
      <c r="G45" s="34"/>
      <c r="H45" s="32">
        <v>22</v>
      </c>
      <c r="I45" s="32" t="s">
        <v>12</v>
      </c>
      <c r="J45" s="34"/>
      <c r="K45" s="35">
        <v>8.52</v>
      </c>
    </row>
    <row r="46" spans="1:11">
      <c r="A46" s="32" t="s">
        <v>18</v>
      </c>
      <c r="B46" s="32">
        <v>660</v>
      </c>
      <c r="C46" s="33">
        <v>2.5</v>
      </c>
      <c r="D46" s="32">
        <v>7.2999999999999995E-2</v>
      </c>
      <c r="E46" s="32">
        <v>1E-3</v>
      </c>
      <c r="F46" s="32">
        <v>1000</v>
      </c>
      <c r="G46" s="34"/>
      <c r="H46" s="32">
        <v>22</v>
      </c>
      <c r="I46" s="32" t="s">
        <v>12</v>
      </c>
      <c r="J46" s="34"/>
      <c r="K46" s="35">
        <v>8.99</v>
      </c>
    </row>
    <row r="47" spans="1:11">
      <c r="A47" s="32" t="s">
        <v>18</v>
      </c>
      <c r="B47" s="32">
        <v>720</v>
      </c>
      <c r="C47" s="33">
        <v>2.5</v>
      </c>
      <c r="D47" s="32">
        <v>7.2999999999999995E-2</v>
      </c>
      <c r="E47" s="32">
        <v>1E-3</v>
      </c>
      <c r="F47" s="32">
        <v>1000</v>
      </c>
      <c r="G47" s="34"/>
      <c r="H47" s="32">
        <v>22</v>
      </c>
      <c r="I47" s="32" t="s">
        <v>12</v>
      </c>
      <c r="J47" s="34"/>
      <c r="K47" s="35">
        <v>9.24</v>
      </c>
    </row>
    <row r="48" spans="1:11">
      <c r="A48" s="32" t="s">
        <v>18</v>
      </c>
      <c r="B48" s="32">
        <v>780</v>
      </c>
      <c r="C48" s="33">
        <v>2.5</v>
      </c>
      <c r="D48" s="32">
        <v>7.2999999999999995E-2</v>
      </c>
      <c r="E48" s="32">
        <v>1E-3</v>
      </c>
      <c r="F48" s="32">
        <v>1000</v>
      </c>
      <c r="G48" s="34"/>
      <c r="H48" s="32">
        <v>22</v>
      </c>
      <c r="I48" s="32" t="s">
        <v>12</v>
      </c>
      <c r="J48" s="34"/>
      <c r="K48" s="35">
        <v>9.44</v>
      </c>
    </row>
    <row r="49" spans="1:11">
      <c r="A49" s="32" t="s">
        <v>18</v>
      </c>
      <c r="B49" s="32">
        <v>840</v>
      </c>
      <c r="C49" s="33">
        <v>2.5</v>
      </c>
      <c r="D49" s="32">
        <v>7.2999999999999995E-2</v>
      </c>
      <c r="E49" s="32">
        <v>1E-3</v>
      </c>
      <c r="F49" s="32">
        <v>1000</v>
      </c>
      <c r="G49" s="34"/>
      <c r="H49" s="32">
        <v>22</v>
      </c>
      <c r="I49" s="32" t="s">
        <v>12</v>
      </c>
      <c r="J49" s="34"/>
      <c r="K49" s="35">
        <v>9.6300000000000008</v>
      </c>
    </row>
    <row r="50" spans="1:11">
      <c r="A50" s="32" t="s">
        <v>18</v>
      </c>
      <c r="B50" s="32">
        <v>902.51</v>
      </c>
      <c r="C50" s="33">
        <v>2.5</v>
      </c>
      <c r="D50" s="32">
        <v>7.2999999999999995E-2</v>
      </c>
      <c r="E50" s="32">
        <v>1E-3</v>
      </c>
      <c r="F50" s="32">
        <v>1000</v>
      </c>
      <c r="G50" s="36"/>
      <c r="H50" s="32">
        <v>22</v>
      </c>
      <c r="I50" s="32" t="s">
        <v>12</v>
      </c>
      <c r="J50" s="34"/>
      <c r="K50" s="35">
        <v>9.44</v>
      </c>
    </row>
    <row r="51" spans="1:11">
      <c r="A51" s="32" t="s">
        <v>18</v>
      </c>
      <c r="B51" s="32">
        <v>62.84</v>
      </c>
      <c r="C51" s="33">
        <v>2</v>
      </c>
      <c r="D51" s="32">
        <v>7.2999999999999995E-2</v>
      </c>
      <c r="E51" s="32">
        <v>1E-3</v>
      </c>
      <c r="F51" s="32">
        <v>1000</v>
      </c>
      <c r="G51" s="34"/>
      <c r="H51" s="32">
        <v>22</v>
      </c>
      <c r="I51" s="32" t="s">
        <v>12</v>
      </c>
      <c r="J51" s="34"/>
      <c r="K51" s="35">
        <v>4.8499999999999996</v>
      </c>
    </row>
    <row r="52" spans="1:11">
      <c r="A52" s="32" t="s">
        <v>18</v>
      </c>
      <c r="B52" s="32">
        <v>120.33</v>
      </c>
      <c r="C52" s="33">
        <v>2</v>
      </c>
      <c r="D52" s="32">
        <v>7.2999999999999995E-2</v>
      </c>
      <c r="E52" s="32">
        <v>1E-3</v>
      </c>
      <c r="F52" s="32">
        <v>1000</v>
      </c>
      <c r="G52" s="34"/>
      <c r="H52" s="32">
        <v>22</v>
      </c>
      <c r="I52" s="32" t="s">
        <v>12</v>
      </c>
      <c r="J52" s="34"/>
      <c r="K52" s="35">
        <v>5.3</v>
      </c>
    </row>
    <row r="53" spans="1:11">
      <c r="A53" s="32" t="s">
        <v>18</v>
      </c>
      <c r="B53" s="32">
        <v>183.18</v>
      </c>
      <c r="C53" s="33">
        <v>2</v>
      </c>
      <c r="D53" s="32">
        <v>7.2999999999999995E-2</v>
      </c>
      <c r="E53" s="32">
        <v>1E-3</v>
      </c>
      <c r="F53" s="32">
        <v>1000</v>
      </c>
      <c r="G53" s="34"/>
      <c r="H53" s="32">
        <v>22</v>
      </c>
      <c r="I53" s="32" t="s">
        <v>12</v>
      </c>
      <c r="J53" s="34"/>
      <c r="K53" s="35">
        <v>5.8</v>
      </c>
    </row>
    <row r="54" spans="1:11">
      <c r="A54" s="32" t="s">
        <v>18</v>
      </c>
      <c r="B54" s="32">
        <v>242.01</v>
      </c>
      <c r="C54" s="33">
        <v>2</v>
      </c>
      <c r="D54" s="32">
        <v>7.2999999999999995E-2</v>
      </c>
      <c r="E54" s="32">
        <v>1E-3</v>
      </c>
      <c r="F54" s="32">
        <v>1000</v>
      </c>
      <c r="G54" s="34"/>
      <c r="H54" s="32">
        <v>22</v>
      </c>
      <c r="I54" s="32" t="s">
        <v>12</v>
      </c>
      <c r="J54" s="34"/>
      <c r="K54" s="35">
        <v>6.23</v>
      </c>
    </row>
    <row r="55" spans="1:11">
      <c r="A55" s="32" t="s">
        <v>18</v>
      </c>
      <c r="B55" s="32">
        <v>299.5</v>
      </c>
      <c r="C55" s="33">
        <v>2</v>
      </c>
      <c r="D55" s="32">
        <v>7.2999999999999995E-2</v>
      </c>
      <c r="E55" s="32">
        <v>1E-3</v>
      </c>
      <c r="F55" s="32">
        <v>1000</v>
      </c>
      <c r="G55" s="34"/>
      <c r="H55" s="32">
        <v>22</v>
      </c>
      <c r="I55" s="32" t="s">
        <v>12</v>
      </c>
      <c r="J55" s="34"/>
      <c r="K55" s="35">
        <v>6.58</v>
      </c>
    </row>
    <row r="56" spans="1:11">
      <c r="A56" s="32" t="s">
        <v>18</v>
      </c>
      <c r="B56" s="32">
        <v>362.34</v>
      </c>
      <c r="C56" s="33">
        <v>2</v>
      </c>
      <c r="D56" s="32">
        <v>7.2999999999999995E-2</v>
      </c>
      <c r="E56" s="32">
        <v>1E-3</v>
      </c>
      <c r="F56" s="32">
        <v>1000</v>
      </c>
      <c r="G56" s="34"/>
      <c r="H56" s="32">
        <v>22</v>
      </c>
      <c r="I56" s="32" t="s">
        <v>12</v>
      </c>
      <c r="J56" s="34"/>
      <c r="K56" s="35">
        <v>6.92</v>
      </c>
    </row>
    <row r="57" spans="1:11">
      <c r="A57" s="32" t="s">
        <v>18</v>
      </c>
      <c r="B57" s="32">
        <v>421.17</v>
      </c>
      <c r="C57" s="33">
        <v>2</v>
      </c>
      <c r="D57" s="32">
        <v>7.2999999999999995E-2</v>
      </c>
      <c r="E57" s="32">
        <v>1E-3</v>
      </c>
      <c r="F57" s="32">
        <v>1000</v>
      </c>
      <c r="G57" s="34"/>
      <c r="H57" s="32">
        <v>22</v>
      </c>
      <c r="I57" s="32" t="s">
        <v>12</v>
      </c>
      <c r="J57" s="34"/>
      <c r="K57" s="35">
        <v>7.25</v>
      </c>
    </row>
    <row r="58" spans="1:11">
      <c r="A58" s="32" t="s">
        <v>18</v>
      </c>
      <c r="B58" s="32">
        <v>478.66</v>
      </c>
      <c r="C58" s="33">
        <v>2</v>
      </c>
      <c r="D58" s="32">
        <v>7.2999999999999995E-2</v>
      </c>
      <c r="E58" s="32">
        <v>1E-3</v>
      </c>
      <c r="F58" s="32">
        <v>1000</v>
      </c>
      <c r="G58" s="34"/>
      <c r="H58" s="32">
        <v>22</v>
      </c>
      <c r="I58" s="32" t="s">
        <v>12</v>
      </c>
      <c r="J58" s="34"/>
      <c r="K58" s="35">
        <v>7.53</v>
      </c>
    </row>
    <row r="59" spans="1:11">
      <c r="A59" s="32" t="s">
        <v>18</v>
      </c>
      <c r="B59" s="32">
        <v>537.49</v>
      </c>
      <c r="C59" s="33">
        <v>2</v>
      </c>
      <c r="D59" s="32">
        <v>7.2999999999999995E-2</v>
      </c>
      <c r="E59" s="32">
        <v>1E-3</v>
      </c>
      <c r="F59" s="32">
        <v>1000</v>
      </c>
      <c r="G59" s="34"/>
      <c r="H59" s="32">
        <v>22</v>
      </c>
      <c r="I59" s="32" t="s">
        <v>12</v>
      </c>
      <c r="J59" s="34"/>
      <c r="K59" s="35">
        <v>7.8</v>
      </c>
    </row>
    <row r="60" spans="1:11">
      <c r="A60" s="32" t="s">
        <v>18</v>
      </c>
      <c r="B60" s="32">
        <v>599</v>
      </c>
      <c r="C60" s="33">
        <v>2</v>
      </c>
      <c r="D60" s="32">
        <v>7.2999999999999995E-2</v>
      </c>
      <c r="E60" s="32">
        <v>1E-3</v>
      </c>
      <c r="F60" s="32">
        <v>1000</v>
      </c>
      <c r="G60" s="34"/>
      <c r="H60" s="32">
        <v>22</v>
      </c>
      <c r="I60" s="32" t="s">
        <v>12</v>
      </c>
      <c r="J60" s="34"/>
      <c r="K60" s="35">
        <v>8.0500000000000007</v>
      </c>
    </row>
    <row r="61" spans="1:11">
      <c r="A61" s="32" t="s">
        <v>18</v>
      </c>
      <c r="B61" s="32">
        <v>656.49</v>
      </c>
      <c r="C61" s="33">
        <v>2</v>
      </c>
      <c r="D61" s="32">
        <v>7.2999999999999995E-2</v>
      </c>
      <c r="E61" s="32">
        <v>1E-3</v>
      </c>
      <c r="F61" s="32">
        <v>1000</v>
      </c>
      <c r="G61" s="34"/>
      <c r="H61" s="32">
        <v>22</v>
      </c>
      <c r="I61" s="32" t="s">
        <v>12</v>
      </c>
      <c r="J61" s="34"/>
      <c r="K61" s="35">
        <v>8.2100000000000009</v>
      </c>
    </row>
    <row r="62" spans="1:11">
      <c r="A62" s="32" t="s">
        <v>18</v>
      </c>
      <c r="B62" s="32">
        <v>722.01</v>
      </c>
      <c r="C62" s="33">
        <v>2</v>
      </c>
      <c r="D62" s="32">
        <v>7.2999999999999995E-2</v>
      </c>
      <c r="E62" s="32">
        <v>1E-3</v>
      </c>
      <c r="F62" s="32">
        <v>1000</v>
      </c>
      <c r="G62" s="34"/>
      <c r="H62" s="32">
        <v>22</v>
      </c>
      <c r="I62" s="32" t="s">
        <v>12</v>
      </c>
      <c r="J62" s="34"/>
      <c r="K62" s="35">
        <v>8.56</v>
      </c>
    </row>
    <row r="63" spans="1:11">
      <c r="A63" s="32" t="s">
        <v>18</v>
      </c>
      <c r="B63" s="32">
        <v>778.16</v>
      </c>
      <c r="C63" s="33">
        <v>2</v>
      </c>
      <c r="D63" s="32">
        <v>7.2999999999999995E-2</v>
      </c>
      <c r="E63" s="32">
        <v>1E-3</v>
      </c>
      <c r="F63" s="32">
        <v>1000</v>
      </c>
      <c r="G63" s="34"/>
      <c r="H63" s="32">
        <v>22</v>
      </c>
      <c r="I63" s="32" t="s">
        <v>12</v>
      </c>
      <c r="J63" s="34"/>
      <c r="K63" s="35">
        <v>8.7200000000000006</v>
      </c>
    </row>
    <row r="64" spans="1:11">
      <c r="A64" s="32" t="s">
        <v>18</v>
      </c>
      <c r="B64" s="32">
        <v>841</v>
      </c>
      <c r="C64" s="33">
        <v>2</v>
      </c>
      <c r="D64" s="32">
        <v>7.2999999999999995E-2</v>
      </c>
      <c r="E64" s="32">
        <v>1E-3</v>
      </c>
      <c r="F64" s="32">
        <v>1000</v>
      </c>
      <c r="G64" s="34"/>
      <c r="H64" s="32">
        <v>22</v>
      </c>
      <c r="I64" s="32" t="s">
        <v>12</v>
      </c>
      <c r="J64" s="34"/>
      <c r="K64" s="35">
        <v>8.9499999999999993</v>
      </c>
    </row>
    <row r="65" spans="1:11">
      <c r="A65" s="32" t="s">
        <v>18</v>
      </c>
      <c r="B65" s="32">
        <v>899.83</v>
      </c>
      <c r="C65" s="33">
        <v>2</v>
      </c>
      <c r="D65" s="32">
        <v>7.2999999999999995E-2</v>
      </c>
      <c r="E65" s="32">
        <v>1E-3</v>
      </c>
      <c r="F65" s="32">
        <v>1000</v>
      </c>
      <c r="G65" s="34"/>
      <c r="H65" s="32">
        <v>22</v>
      </c>
      <c r="I65" s="32" t="s">
        <v>12</v>
      </c>
      <c r="J65" s="34"/>
      <c r="K65" s="35">
        <v>9.1300000000000008</v>
      </c>
    </row>
    <row r="66" spans="1:11">
      <c r="A66" s="32" t="s">
        <v>18</v>
      </c>
      <c r="B66" s="32">
        <v>60.17</v>
      </c>
      <c r="C66" s="33">
        <v>1.5</v>
      </c>
      <c r="D66" s="32">
        <v>7.2999999999999995E-2</v>
      </c>
      <c r="E66" s="32">
        <v>1E-3</v>
      </c>
      <c r="F66" s="32">
        <v>1000</v>
      </c>
      <c r="G66" s="34"/>
      <c r="H66" s="32">
        <v>22</v>
      </c>
      <c r="I66" s="32" t="s">
        <v>12</v>
      </c>
      <c r="J66" s="34"/>
      <c r="K66" s="35">
        <v>4.49</v>
      </c>
    </row>
    <row r="67" spans="1:11">
      <c r="A67" s="32" t="s">
        <v>18</v>
      </c>
      <c r="B67" s="32">
        <v>119</v>
      </c>
      <c r="C67" s="33">
        <v>1.5</v>
      </c>
      <c r="D67" s="32">
        <v>7.2999999999999995E-2</v>
      </c>
      <c r="E67" s="32">
        <v>1E-3</v>
      </c>
      <c r="F67" s="32">
        <v>1000</v>
      </c>
      <c r="G67" s="34"/>
      <c r="H67" s="32">
        <v>22</v>
      </c>
      <c r="I67" s="32" t="s">
        <v>12</v>
      </c>
      <c r="J67" s="34"/>
      <c r="K67" s="35">
        <v>4.99</v>
      </c>
    </row>
    <row r="68" spans="1:11">
      <c r="A68" s="32" t="s">
        <v>18</v>
      </c>
      <c r="B68" s="32">
        <v>179.16</v>
      </c>
      <c r="C68" s="33">
        <v>1.5</v>
      </c>
      <c r="D68" s="32">
        <v>7.2999999999999995E-2</v>
      </c>
      <c r="E68" s="32">
        <v>1E-3</v>
      </c>
      <c r="F68" s="32">
        <v>1000</v>
      </c>
      <c r="G68" s="34"/>
      <c r="H68" s="32">
        <v>22</v>
      </c>
      <c r="I68" s="32" t="s">
        <v>12</v>
      </c>
      <c r="J68" s="34"/>
      <c r="K68" s="35">
        <v>5.5</v>
      </c>
    </row>
    <row r="69" spans="1:11">
      <c r="A69" s="32" t="s">
        <v>18</v>
      </c>
      <c r="B69" s="32">
        <v>242.01</v>
      </c>
      <c r="C69" s="33">
        <v>1.5</v>
      </c>
      <c r="D69" s="32">
        <v>7.2999999999999995E-2</v>
      </c>
      <c r="E69" s="32">
        <v>1E-3</v>
      </c>
      <c r="F69" s="32">
        <v>1000</v>
      </c>
      <c r="G69" s="34"/>
      <c r="H69" s="32">
        <v>22</v>
      </c>
      <c r="I69" s="32" t="s">
        <v>12</v>
      </c>
      <c r="J69" s="34"/>
      <c r="K69" s="35">
        <v>5.97</v>
      </c>
    </row>
    <row r="70" spans="1:11">
      <c r="A70" s="32" t="s">
        <v>18</v>
      </c>
      <c r="B70" s="32">
        <v>299.5</v>
      </c>
      <c r="C70" s="33">
        <v>1.5</v>
      </c>
      <c r="D70" s="32">
        <v>7.2999999999999995E-2</v>
      </c>
      <c r="E70" s="32">
        <v>1E-3</v>
      </c>
      <c r="F70" s="32">
        <v>1000</v>
      </c>
      <c r="G70" s="34"/>
      <c r="H70" s="32">
        <v>22</v>
      </c>
      <c r="I70" s="32" t="s">
        <v>12</v>
      </c>
      <c r="J70" s="34"/>
      <c r="K70" s="35">
        <v>6.31</v>
      </c>
    </row>
    <row r="71" spans="1:11">
      <c r="A71" s="32" t="s">
        <v>18</v>
      </c>
      <c r="B71" s="32">
        <v>361</v>
      </c>
      <c r="C71" s="33">
        <v>1.5</v>
      </c>
      <c r="D71" s="32">
        <v>7.2999999999999995E-2</v>
      </c>
      <c r="E71" s="32">
        <v>1E-3</v>
      </c>
      <c r="F71" s="32">
        <v>1000</v>
      </c>
      <c r="G71" s="34"/>
      <c r="H71" s="32">
        <v>22</v>
      </c>
      <c r="I71" s="32" t="s">
        <v>12</v>
      </c>
      <c r="J71" s="34"/>
      <c r="K71" s="35">
        <v>6.61</v>
      </c>
    </row>
    <row r="72" spans="1:11">
      <c r="A72" s="32" t="s">
        <v>18</v>
      </c>
      <c r="B72" s="32">
        <v>421.17</v>
      </c>
      <c r="C72" s="33">
        <v>1.5</v>
      </c>
      <c r="D72" s="32">
        <v>7.2999999999999995E-2</v>
      </c>
      <c r="E72" s="32">
        <v>1E-3</v>
      </c>
      <c r="F72" s="32">
        <v>1000</v>
      </c>
      <c r="G72" s="34"/>
      <c r="H72" s="32">
        <v>22</v>
      </c>
      <c r="I72" s="32" t="s">
        <v>12</v>
      </c>
      <c r="J72" s="34"/>
      <c r="K72" s="35">
        <v>6.91</v>
      </c>
    </row>
    <row r="73" spans="1:11">
      <c r="A73" s="32" t="s">
        <v>18</v>
      </c>
      <c r="B73" s="32">
        <v>478.66</v>
      </c>
      <c r="C73" s="33">
        <v>1.5</v>
      </c>
      <c r="D73" s="32">
        <v>7.2999999999999995E-2</v>
      </c>
      <c r="E73" s="32">
        <v>1E-3</v>
      </c>
      <c r="F73" s="32">
        <v>1000</v>
      </c>
      <c r="G73" s="34"/>
      <c r="H73" s="32">
        <v>22</v>
      </c>
      <c r="I73" s="32" t="s">
        <v>12</v>
      </c>
      <c r="J73" s="34"/>
      <c r="K73" s="35">
        <v>7.42</v>
      </c>
    </row>
    <row r="74" spans="1:11">
      <c r="A74" s="32" t="s">
        <v>18</v>
      </c>
      <c r="B74" s="32">
        <v>537.49</v>
      </c>
      <c r="C74" s="33">
        <v>1.5</v>
      </c>
      <c r="D74" s="32">
        <v>7.2999999999999995E-2</v>
      </c>
      <c r="E74" s="32">
        <v>1E-3</v>
      </c>
      <c r="F74" s="32">
        <v>1000</v>
      </c>
      <c r="G74" s="34"/>
      <c r="H74" s="32">
        <v>22</v>
      </c>
      <c r="I74" s="32" t="s">
        <v>12</v>
      </c>
      <c r="J74" s="34"/>
      <c r="K74" s="35">
        <v>7.69</v>
      </c>
    </row>
    <row r="75" spans="1:11">
      <c r="A75" s="32" t="s">
        <v>18</v>
      </c>
      <c r="B75" s="32">
        <v>600</v>
      </c>
      <c r="C75" s="33">
        <v>1.5</v>
      </c>
      <c r="D75" s="32">
        <v>7.2999999999999995E-2</v>
      </c>
      <c r="E75" s="32">
        <v>1E-3</v>
      </c>
      <c r="F75" s="32">
        <v>1000</v>
      </c>
      <c r="G75" s="34"/>
      <c r="H75" s="32">
        <v>22</v>
      </c>
      <c r="I75" s="32" t="s">
        <v>12</v>
      </c>
      <c r="J75" s="34"/>
      <c r="K75" s="35">
        <v>7.92</v>
      </c>
    </row>
    <row r="76" spans="1:11">
      <c r="A76" s="32" t="s">
        <v>18</v>
      </c>
      <c r="B76" s="32">
        <v>657.83</v>
      </c>
      <c r="C76" s="33">
        <v>1.5</v>
      </c>
      <c r="D76" s="32">
        <v>7.2999999999999995E-2</v>
      </c>
      <c r="E76" s="32">
        <v>1E-3</v>
      </c>
      <c r="F76" s="32">
        <v>1000</v>
      </c>
      <c r="G76" s="34"/>
      <c r="H76" s="32">
        <v>22</v>
      </c>
      <c r="I76" s="32" t="s">
        <v>12</v>
      </c>
      <c r="J76" s="34"/>
      <c r="K76" s="35">
        <v>8.1199999999999992</v>
      </c>
    </row>
    <row r="77" spans="1:11">
      <c r="A77" s="32" t="s">
        <v>18</v>
      </c>
      <c r="B77" s="32">
        <v>720.67</v>
      </c>
      <c r="C77" s="33">
        <v>1.5</v>
      </c>
      <c r="D77" s="32">
        <v>7.2999999999999995E-2</v>
      </c>
      <c r="E77" s="32">
        <v>1E-3</v>
      </c>
      <c r="F77" s="32">
        <v>1000</v>
      </c>
      <c r="G77" s="34"/>
      <c r="H77" s="32">
        <v>22</v>
      </c>
      <c r="I77" s="32" t="s">
        <v>12</v>
      </c>
      <c r="J77" s="34"/>
      <c r="K77" s="35">
        <v>8.43</v>
      </c>
    </row>
    <row r="78" spans="1:11">
      <c r="A78" s="32" t="s">
        <v>18</v>
      </c>
      <c r="B78" s="32">
        <v>779.83</v>
      </c>
      <c r="C78" s="33">
        <v>1.5</v>
      </c>
      <c r="D78" s="32">
        <v>7.2999999999999995E-2</v>
      </c>
      <c r="E78" s="32">
        <v>1E-3</v>
      </c>
      <c r="F78" s="32">
        <v>1000</v>
      </c>
      <c r="G78" s="34"/>
      <c r="H78" s="32">
        <v>22</v>
      </c>
      <c r="I78" s="32" t="s">
        <v>12</v>
      </c>
      <c r="J78" s="34"/>
      <c r="K78" s="35">
        <v>8.67</v>
      </c>
    </row>
    <row r="79" spans="1:11">
      <c r="A79" s="32" t="s">
        <v>18</v>
      </c>
      <c r="B79" s="32">
        <v>842.34</v>
      </c>
      <c r="C79" s="33">
        <v>1.5</v>
      </c>
      <c r="D79" s="32">
        <v>7.2999999999999995E-2</v>
      </c>
      <c r="E79" s="32">
        <v>1E-3</v>
      </c>
      <c r="F79" s="32">
        <v>1000</v>
      </c>
      <c r="G79" s="34"/>
      <c r="H79" s="32">
        <v>22</v>
      </c>
      <c r="I79" s="32" t="s">
        <v>12</v>
      </c>
      <c r="J79" s="34"/>
      <c r="K79" s="35">
        <v>8.9</v>
      </c>
    </row>
    <row r="80" spans="1:11">
      <c r="A80" s="32" t="s">
        <v>18</v>
      </c>
      <c r="B80" s="32">
        <v>899.83</v>
      </c>
      <c r="C80" s="33">
        <v>1.5</v>
      </c>
      <c r="D80" s="32">
        <v>7.2999999999999995E-2</v>
      </c>
      <c r="E80" s="32">
        <v>1E-3</v>
      </c>
      <c r="F80" s="32">
        <v>1000</v>
      </c>
      <c r="G80" s="34"/>
      <c r="H80" s="32">
        <v>22</v>
      </c>
      <c r="I80" s="32" t="s">
        <v>12</v>
      </c>
      <c r="J80" s="34"/>
      <c r="K80" s="35">
        <v>8.7200000000000006</v>
      </c>
    </row>
    <row r="81" spans="1:11">
      <c r="A81" s="32" t="s">
        <v>18</v>
      </c>
      <c r="B81" s="32">
        <v>60.17</v>
      </c>
      <c r="C81" s="33">
        <v>1</v>
      </c>
      <c r="D81" s="32">
        <v>7.2999999999999995E-2</v>
      </c>
      <c r="E81" s="32">
        <v>1E-3</v>
      </c>
      <c r="F81" s="32">
        <v>1000</v>
      </c>
      <c r="G81" s="34"/>
      <c r="H81" s="32">
        <v>22</v>
      </c>
      <c r="I81" s="32" t="s">
        <v>12</v>
      </c>
      <c r="J81" s="34"/>
      <c r="K81" s="35">
        <v>4.09</v>
      </c>
    </row>
    <row r="82" spans="1:11">
      <c r="A82" s="32" t="s">
        <v>18</v>
      </c>
      <c r="B82" s="32">
        <v>119</v>
      </c>
      <c r="C82" s="33">
        <v>1</v>
      </c>
      <c r="D82" s="32">
        <v>7.2999999999999995E-2</v>
      </c>
      <c r="E82" s="32">
        <v>1E-3</v>
      </c>
      <c r="F82" s="32">
        <v>1000</v>
      </c>
      <c r="G82" s="34"/>
      <c r="H82" s="32">
        <v>22</v>
      </c>
      <c r="I82" s="32" t="s">
        <v>12</v>
      </c>
      <c r="J82" s="34"/>
      <c r="K82" s="35">
        <v>4.67</v>
      </c>
    </row>
    <row r="83" spans="1:11">
      <c r="A83" s="32" t="s">
        <v>18</v>
      </c>
      <c r="B83" s="32">
        <v>183.18</v>
      </c>
      <c r="C83" s="33">
        <v>1</v>
      </c>
      <c r="D83" s="32">
        <v>7.2999999999999995E-2</v>
      </c>
      <c r="E83" s="32">
        <v>1E-3</v>
      </c>
      <c r="F83" s="32">
        <v>1000</v>
      </c>
      <c r="G83" s="34"/>
      <c r="H83" s="32">
        <v>22</v>
      </c>
      <c r="I83" s="32" t="s">
        <v>12</v>
      </c>
      <c r="J83" s="34"/>
      <c r="K83" s="35">
        <v>5.08</v>
      </c>
    </row>
    <row r="84" spans="1:11">
      <c r="A84" s="32" t="s">
        <v>18</v>
      </c>
      <c r="B84" s="32">
        <v>240.67</v>
      </c>
      <c r="C84" s="33">
        <v>1</v>
      </c>
      <c r="D84" s="32">
        <v>7.2999999999999995E-2</v>
      </c>
      <c r="E84" s="32">
        <v>1E-3</v>
      </c>
      <c r="F84" s="32">
        <v>1000</v>
      </c>
      <c r="G84" s="34"/>
      <c r="H84" s="32">
        <v>22</v>
      </c>
      <c r="I84" s="32" t="s">
        <v>12</v>
      </c>
      <c r="J84" s="34"/>
      <c r="K84" s="35">
        <v>5.54</v>
      </c>
    </row>
    <row r="85" spans="1:11">
      <c r="A85" s="32" t="s">
        <v>18</v>
      </c>
      <c r="B85" s="32">
        <v>300.83999999999997</v>
      </c>
      <c r="C85" s="33">
        <v>1</v>
      </c>
      <c r="D85" s="32">
        <v>7.2999999999999995E-2</v>
      </c>
      <c r="E85" s="32">
        <v>1E-3</v>
      </c>
      <c r="F85" s="32">
        <v>1000</v>
      </c>
      <c r="G85" s="34"/>
      <c r="H85" s="32">
        <v>22</v>
      </c>
      <c r="I85" s="32" t="s">
        <v>12</v>
      </c>
      <c r="J85" s="34"/>
      <c r="K85" s="35">
        <v>5.91</v>
      </c>
    </row>
    <row r="86" spans="1:11">
      <c r="A86" s="32" t="s">
        <v>18</v>
      </c>
      <c r="B86" s="32">
        <v>363.68</v>
      </c>
      <c r="C86" s="33">
        <v>1</v>
      </c>
      <c r="D86" s="32">
        <v>7.2999999999999995E-2</v>
      </c>
      <c r="E86" s="32">
        <v>1E-3</v>
      </c>
      <c r="F86" s="32">
        <v>1000</v>
      </c>
      <c r="G86" s="34"/>
      <c r="H86" s="32">
        <v>22</v>
      </c>
      <c r="I86" s="32" t="s">
        <v>12</v>
      </c>
      <c r="J86" s="34"/>
      <c r="K86" s="35">
        <v>6.2</v>
      </c>
    </row>
    <row r="87" spans="1:11">
      <c r="A87" s="32" t="s">
        <v>18</v>
      </c>
      <c r="B87" s="32">
        <v>422.5</v>
      </c>
      <c r="C87" s="33">
        <v>1</v>
      </c>
      <c r="D87" s="32">
        <v>7.2999999999999995E-2</v>
      </c>
      <c r="E87" s="32">
        <v>1E-3</v>
      </c>
      <c r="F87" s="32">
        <v>1000</v>
      </c>
      <c r="G87" s="34"/>
      <c r="H87" s="32">
        <v>22</v>
      </c>
      <c r="I87" s="32" t="s">
        <v>12</v>
      </c>
      <c r="J87" s="34"/>
      <c r="K87" s="35">
        <v>6.61</v>
      </c>
    </row>
    <row r="88" spans="1:11">
      <c r="A88" s="32" t="s">
        <v>18</v>
      </c>
      <c r="B88" s="32">
        <v>482.5</v>
      </c>
      <c r="C88" s="33">
        <v>1</v>
      </c>
      <c r="D88" s="32">
        <v>7.2999999999999995E-2</v>
      </c>
      <c r="E88" s="32">
        <v>1E-3</v>
      </c>
      <c r="F88" s="32">
        <v>1000</v>
      </c>
      <c r="G88" s="34"/>
      <c r="H88" s="32">
        <v>22</v>
      </c>
      <c r="I88" s="32" t="s">
        <v>12</v>
      </c>
      <c r="J88" s="34"/>
      <c r="K88" s="35">
        <v>6.9</v>
      </c>
    </row>
    <row r="89" spans="1:11">
      <c r="A89" s="32" t="s">
        <v>18</v>
      </c>
      <c r="B89" s="32">
        <v>541.5</v>
      </c>
      <c r="C89" s="33">
        <v>1</v>
      </c>
      <c r="D89" s="32">
        <v>7.2999999999999995E-2</v>
      </c>
      <c r="E89" s="32">
        <v>1E-3</v>
      </c>
      <c r="F89" s="32">
        <v>1000</v>
      </c>
      <c r="G89" s="34"/>
      <c r="H89" s="32">
        <v>22</v>
      </c>
      <c r="I89" s="32" t="s">
        <v>12</v>
      </c>
      <c r="J89" s="34"/>
      <c r="K89" s="35">
        <v>7.06</v>
      </c>
    </row>
    <row r="90" spans="1:11">
      <c r="A90" s="32" t="s">
        <v>18</v>
      </c>
      <c r="B90" s="32">
        <v>600</v>
      </c>
      <c r="C90" s="33">
        <v>1</v>
      </c>
      <c r="D90" s="32">
        <v>7.2999999999999995E-2</v>
      </c>
      <c r="E90" s="32">
        <v>1E-3</v>
      </c>
      <c r="F90" s="32">
        <v>1000</v>
      </c>
      <c r="G90" s="34"/>
      <c r="H90" s="32">
        <v>22</v>
      </c>
      <c r="I90" s="32" t="s">
        <v>12</v>
      </c>
      <c r="J90" s="34"/>
      <c r="K90" s="35">
        <v>7.43</v>
      </c>
    </row>
    <row r="91" spans="1:11">
      <c r="A91" s="32" t="s">
        <v>18</v>
      </c>
      <c r="B91" s="32">
        <v>660</v>
      </c>
      <c r="C91" s="33">
        <v>1</v>
      </c>
      <c r="D91" s="32">
        <v>7.2999999999999995E-2</v>
      </c>
      <c r="E91" s="32">
        <v>1E-3</v>
      </c>
      <c r="F91" s="32">
        <v>1000</v>
      </c>
      <c r="G91" s="34"/>
      <c r="H91" s="32">
        <v>22</v>
      </c>
      <c r="I91" s="32" t="s">
        <v>12</v>
      </c>
      <c r="J91" s="34"/>
      <c r="K91" s="35">
        <v>7.65</v>
      </c>
    </row>
    <row r="92" spans="1:11">
      <c r="A92" s="32" t="s">
        <v>18</v>
      </c>
      <c r="B92" s="32">
        <v>720</v>
      </c>
      <c r="C92" s="33">
        <v>1</v>
      </c>
      <c r="D92" s="32">
        <v>7.2999999999999995E-2</v>
      </c>
      <c r="E92" s="32">
        <v>1E-3</v>
      </c>
      <c r="F92" s="32">
        <v>1000</v>
      </c>
      <c r="G92" s="34"/>
      <c r="H92" s="32">
        <v>22</v>
      </c>
      <c r="I92" s="32" t="s">
        <v>12</v>
      </c>
      <c r="J92" s="34"/>
      <c r="K92" s="35">
        <v>7.8</v>
      </c>
    </row>
    <row r="93" spans="1:11">
      <c r="A93" s="32" t="s">
        <v>18</v>
      </c>
      <c r="B93" s="32">
        <v>780</v>
      </c>
      <c r="C93" s="33">
        <v>1</v>
      </c>
      <c r="D93" s="32">
        <v>7.2999999999999995E-2</v>
      </c>
      <c r="E93" s="32">
        <v>1E-3</v>
      </c>
      <c r="F93" s="32">
        <v>1000</v>
      </c>
      <c r="G93" s="34"/>
      <c r="H93" s="32">
        <v>22</v>
      </c>
      <c r="I93" s="32" t="s">
        <v>12</v>
      </c>
      <c r="J93" s="34"/>
      <c r="K93" s="35">
        <v>8.0299999999999994</v>
      </c>
    </row>
    <row r="94" spans="1:11">
      <c r="A94" s="32" t="s">
        <v>18</v>
      </c>
      <c r="B94" s="32">
        <v>840</v>
      </c>
      <c r="C94" s="33">
        <v>1</v>
      </c>
      <c r="D94" s="32">
        <v>7.2999999999999995E-2</v>
      </c>
      <c r="E94" s="32">
        <v>1E-3</v>
      </c>
      <c r="F94" s="32">
        <v>1000</v>
      </c>
      <c r="G94" s="34"/>
      <c r="H94" s="32">
        <v>22</v>
      </c>
      <c r="I94" s="32" t="s">
        <v>12</v>
      </c>
      <c r="J94" s="34"/>
      <c r="K94" s="35">
        <v>8.23</v>
      </c>
    </row>
    <row r="95" spans="1:11">
      <c r="A95" s="32" t="s">
        <v>18</v>
      </c>
      <c r="B95" s="32">
        <v>898.5</v>
      </c>
      <c r="C95" s="33">
        <v>1</v>
      </c>
      <c r="D95" s="32">
        <v>7.2999999999999995E-2</v>
      </c>
      <c r="E95" s="32">
        <v>1E-3</v>
      </c>
      <c r="F95" s="32">
        <v>1000</v>
      </c>
      <c r="G95" s="34"/>
      <c r="H95" s="32">
        <v>22</v>
      </c>
      <c r="I95" s="32" t="s">
        <v>12</v>
      </c>
      <c r="J95" s="34"/>
      <c r="K95" s="35">
        <v>8.44</v>
      </c>
    </row>
    <row r="96" spans="1:11">
      <c r="A96" s="32" t="s">
        <v>18</v>
      </c>
      <c r="B96" s="32">
        <v>64.180000000000007</v>
      </c>
      <c r="C96" s="33">
        <v>0.5</v>
      </c>
      <c r="D96" s="32">
        <v>7.2999999999999995E-2</v>
      </c>
      <c r="E96" s="32">
        <v>1E-3</v>
      </c>
      <c r="F96" s="32">
        <v>1000</v>
      </c>
      <c r="G96" s="34"/>
      <c r="H96" s="32">
        <v>22</v>
      </c>
      <c r="I96" s="32" t="s">
        <v>12</v>
      </c>
      <c r="J96" s="34"/>
      <c r="K96" s="35">
        <v>3.48</v>
      </c>
    </row>
    <row r="97" spans="1:11">
      <c r="A97" s="32" t="s">
        <v>18</v>
      </c>
      <c r="B97" s="32">
        <v>123.01</v>
      </c>
      <c r="C97" s="33">
        <v>0.5</v>
      </c>
      <c r="D97" s="32">
        <v>7.2999999999999995E-2</v>
      </c>
      <c r="E97" s="32">
        <v>1E-3</v>
      </c>
      <c r="F97" s="32">
        <v>1000</v>
      </c>
      <c r="G97" s="34"/>
      <c r="H97" s="32">
        <v>22</v>
      </c>
      <c r="I97" s="32" t="s">
        <v>12</v>
      </c>
      <c r="J97" s="34"/>
      <c r="K97" s="35">
        <v>4.1100000000000003</v>
      </c>
    </row>
    <row r="98" spans="1:11">
      <c r="A98" s="32" t="s">
        <v>18</v>
      </c>
      <c r="B98" s="32">
        <v>180.5</v>
      </c>
      <c r="C98" s="33">
        <v>0.5</v>
      </c>
      <c r="D98" s="32">
        <v>7.2999999999999995E-2</v>
      </c>
      <c r="E98" s="32">
        <v>1E-3</v>
      </c>
      <c r="F98" s="32">
        <v>1000</v>
      </c>
      <c r="G98" s="34"/>
      <c r="H98" s="32">
        <v>22</v>
      </c>
      <c r="I98" s="32" t="s">
        <v>12</v>
      </c>
      <c r="J98" s="34"/>
      <c r="K98" s="35">
        <v>4.53</v>
      </c>
    </row>
    <row r="99" spans="1:11">
      <c r="A99" s="32" t="s">
        <v>18</v>
      </c>
      <c r="B99" s="32">
        <v>240.67</v>
      </c>
      <c r="C99" s="33">
        <v>0.5</v>
      </c>
      <c r="D99" s="32">
        <v>7.2999999999999995E-2</v>
      </c>
      <c r="E99" s="32">
        <v>1E-3</v>
      </c>
      <c r="F99" s="32">
        <v>1000</v>
      </c>
      <c r="G99" s="34"/>
      <c r="H99" s="32">
        <v>22</v>
      </c>
      <c r="I99" s="32" t="s">
        <v>12</v>
      </c>
      <c r="J99" s="34"/>
      <c r="K99" s="35">
        <v>4.95</v>
      </c>
    </row>
    <row r="100" spans="1:11">
      <c r="A100" s="32" t="s">
        <v>18</v>
      </c>
      <c r="B100" s="32">
        <v>299.5</v>
      </c>
      <c r="C100" s="33">
        <v>0.5</v>
      </c>
      <c r="D100" s="32">
        <v>7.2999999999999995E-2</v>
      </c>
      <c r="E100" s="32">
        <v>1E-3</v>
      </c>
      <c r="F100" s="32">
        <v>1000</v>
      </c>
      <c r="G100" s="34"/>
      <c r="H100" s="32">
        <v>22</v>
      </c>
      <c r="I100" s="32" t="s">
        <v>12</v>
      </c>
      <c r="J100" s="34"/>
      <c r="K100" s="35">
        <v>5.28</v>
      </c>
    </row>
    <row r="101" spans="1:11">
      <c r="A101" s="32" t="s">
        <v>18</v>
      </c>
      <c r="B101" s="32">
        <v>363.68</v>
      </c>
      <c r="C101" s="33">
        <v>0.5</v>
      </c>
      <c r="D101" s="32">
        <v>7.2999999999999995E-2</v>
      </c>
      <c r="E101" s="32">
        <v>1E-3</v>
      </c>
      <c r="F101" s="32">
        <v>1000</v>
      </c>
      <c r="G101" s="34"/>
      <c r="H101" s="32">
        <v>22</v>
      </c>
      <c r="I101" s="32" t="s">
        <v>12</v>
      </c>
      <c r="J101" s="34"/>
      <c r="K101" s="35">
        <v>5.6</v>
      </c>
    </row>
    <row r="102" spans="1:11">
      <c r="A102" s="32" t="s">
        <v>18</v>
      </c>
      <c r="B102" s="32">
        <v>419.83</v>
      </c>
      <c r="C102" s="33">
        <v>0.5</v>
      </c>
      <c r="D102" s="32">
        <v>7.2999999999999995E-2</v>
      </c>
      <c r="E102" s="32">
        <v>1E-3</v>
      </c>
      <c r="F102" s="32">
        <v>1000</v>
      </c>
      <c r="G102" s="34"/>
      <c r="H102" s="32">
        <v>22</v>
      </c>
      <c r="I102" s="32" t="s">
        <v>12</v>
      </c>
      <c r="J102" s="34"/>
      <c r="K102" s="35">
        <v>5.92</v>
      </c>
    </row>
    <row r="103" spans="1:11">
      <c r="A103" s="32" t="s">
        <v>18</v>
      </c>
      <c r="B103" s="32">
        <v>479.5</v>
      </c>
      <c r="C103" s="33">
        <v>0.5</v>
      </c>
      <c r="D103" s="32">
        <v>7.2999999999999995E-2</v>
      </c>
      <c r="E103" s="32">
        <v>1E-3</v>
      </c>
      <c r="F103" s="32">
        <v>1000</v>
      </c>
      <c r="G103" s="34"/>
      <c r="H103" s="32">
        <v>22</v>
      </c>
      <c r="I103" s="32" t="s">
        <v>12</v>
      </c>
      <c r="J103" s="34"/>
      <c r="K103" s="35">
        <v>6.1</v>
      </c>
    </row>
    <row r="104" spans="1:11">
      <c r="A104" s="32" t="s">
        <v>18</v>
      </c>
      <c r="B104" s="32">
        <v>541.5</v>
      </c>
      <c r="C104" s="33">
        <v>0.5</v>
      </c>
      <c r="D104" s="32">
        <v>7.2999999999999995E-2</v>
      </c>
      <c r="E104" s="32">
        <v>1E-3</v>
      </c>
      <c r="F104" s="32">
        <v>1000</v>
      </c>
      <c r="G104" s="34"/>
      <c r="H104" s="32">
        <v>22</v>
      </c>
      <c r="I104" s="32" t="s">
        <v>12</v>
      </c>
      <c r="J104" s="34"/>
      <c r="K104" s="35">
        <v>6.4</v>
      </c>
    </row>
    <row r="105" spans="1:11">
      <c r="A105" s="32" t="s">
        <v>18</v>
      </c>
      <c r="B105" s="32">
        <v>600</v>
      </c>
      <c r="C105" s="33">
        <v>0.5</v>
      </c>
      <c r="D105" s="32">
        <v>7.2999999999999995E-2</v>
      </c>
      <c r="E105" s="32">
        <v>1E-3</v>
      </c>
      <c r="F105" s="32">
        <v>1000</v>
      </c>
      <c r="G105" s="34"/>
      <c r="H105" s="32">
        <v>22</v>
      </c>
      <c r="I105" s="32" t="s">
        <v>12</v>
      </c>
      <c r="J105" s="34"/>
      <c r="K105" s="35">
        <v>6.61</v>
      </c>
    </row>
    <row r="106" spans="1:11">
      <c r="A106" s="32" t="s">
        <v>18</v>
      </c>
      <c r="B106" s="32">
        <v>660</v>
      </c>
      <c r="C106" s="33">
        <v>0.5</v>
      </c>
      <c r="D106" s="32">
        <v>7.2999999999999995E-2</v>
      </c>
      <c r="E106" s="32">
        <v>1E-3</v>
      </c>
      <c r="F106" s="32">
        <v>1000</v>
      </c>
      <c r="G106" s="34"/>
      <c r="H106" s="32">
        <v>22</v>
      </c>
      <c r="I106" s="32" t="s">
        <v>12</v>
      </c>
      <c r="J106" s="34"/>
      <c r="K106" s="35">
        <v>6.82</v>
      </c>
    </row>
    <row r="107" spans="1:11">
      <c r="A107" s="32" t="s">
        <v>18</v>
      </c>
      <c r="B107" s="32">
        <v>719.83</v>
      </c>
      <c r="C107" s="33">
        <v>0.5</v>
      </c>
      <c r="D107" s="32">
        <v>7.2999999999999995E-2</v>
      </c>
      <c r="E107" s="32">
        <v>1E-3</v>
      </c>
      <c r="F107" s="32">
        <v>1000</v>
      </c>
      <c r="G107" s="34"/>
      <c r="H107" s="32">
        <v>22</v>
      </c>
      <c r="I107" s="32" t="s">
        <v>12</v>
      </c>
      <c r="J107" s="34"/>
      <c r="K107" s="35">
        <v>6.99</v>
      </c>
    </row>
    <row r="108" spans="1:11">
      <c r="A108" s="32" t="s">
        <v>18</v>
      </c>
      <c r="B108" s="32">
        <v>774.65</v>
      </c>
      <c r="C108" s="33">
        <v>0.5</v>
      </c>
      <c r="D108" s="32">
        <v>7.2999999999999995E-2</v>
      </c>
      <c r="E108" s="32">
        <v>1E-3</v>
      </c>
      <c r="F108" s="32">
        <v>1000</v>
      </c>
      <c r="G108" s="34"/>
      <c r="H108" s="32">
        <v>22</v>
      </c>
      <c r="I108" s="32" t="s">
        <v>12</v>
      </c>
      <c r="J108" s="34"/>
      <c r="K108" s="35">
        <v>7.22</v>
      </c>
    </row>
    <row r="109" spans="1:11">
      <c r="A109" s="32" t="s">
        <v>18</v>
      </c>
      <c r="B109" s="32">
        <v>841</v>
      </c>
      <c r="C109" s="33">
        <v>0.5</v>
      </c>
      <c r="D109" s="32">
        <v>7.2999999999999995E-2</v>
      </c>
      <c r="E109" s="32">
        <v>1E-3</v>
      </c>
      <c r="F109" s="32">
        <v>1000</v>
      </c>
      <c r="G109" s="34"/>
      <c r="H109" s="32">
        <v>22</v>
      </c>
      <c r="I109" s="32" t="s">
        <v>12</v>
      </c>
      <c r="J109" s="34"/>
      <c r="K109" s="35">
        <v>7.42</v>
      </c>
    </row>
    <row r="110" spans="1:11">
      <c r="A110" s="32" t="s">
        <v>18</v>
      </c>
      <c r="B110" s="32">
        <v>897.16</v>
      </c>
      <c r="C110" s="33">
        <v>0.5</v>
      </c>
      <c r="D110" s="32">
        <v>7.2999999999999995E-2</v>
      </c>
      <c r="E110" s="32">
        <v>1E-3</v>
      </c>
      <c r="F110" s="32">
        <v>1000</v>
      </c>
      <c r="G110" s="34"/>
      <c r="H110" s="32">
        <v>22</v>
      </c>
      <c r="I110" s="32" t="s">
        <v>12</v>
      </c>
      <c r="J110" s="34"/>
      <c r="K110" s="35">
        <v>7.65</v>
      </c>
    </row>
    <row r="111" spans="1:11">
      <c r="A111" s="37" t="s">
        <v>19</v>
      </c>
      <c r="B111" s="37">
        <v>5.6</v>
      </c>
      <c r="C111" s="38">
        <v>0.9</v>
      </c>
      <c r="D111" s="39"/>
      <c r="E111" s="39"/>
      <c r="F111" s="39"/>
      <c r="G111" s="37"/>
      <c r="H111" s="37">
        <v>18.5</v>
      </c>
      <c r="I111" s="37" t="s">
        <v>12</v>
      </c>
      <c r="J111" s="39"/>
      <c r="K111" s="40">
        <v>3.2816999999999998</v>
      </c>
    </row>
    <row r="112" spans="1:11">
      <c r="A112" s="37" t="s">
        <v>19</v>
      </c>
      <c r="B112" s="37">
        <v>12.97</v>
      </c>
      <c r="C112" s="38">
        <v>0.9</v>
      </c>
      <c r="D112" s="39"/>
      <c r="E112" s="39"/>
      <c r="F112" s="39"/>
      <c r="G112" s="37"/>
      <c r="H112" s="37">
        <v>18.5</v>
      </c>
      <c r="I112" s="37" t="s">
        <v>12</v>
      </c>
      <c r="J112" s="39"/>
      <c r="K112" s="40">
        <v>3.1654</v>
      </c>
    </row>
    <row r="113" spans="1:11">
      <c r="A113" s="37" t="s">
        <v>19</v>
      </c>
      <c r="B113" s="37">
        <v>23.88</v>
      </c>
      <c r="C113" s="38">
        <v>0.9</v>
      </c>
      <c r="D113" s="39"/>
      <c r="E113" s="39"/>
      <c r="F113" s="39"/>
      <c r="G113" s="37"/>
      <c r="H113" s="37">
        <v>18.5</v>
      </c>
      <c r="I113" s="37" t="s">
        <v>12</v>
      </c>
      <c r="J113" s="39"/>
      <c r="K113" s="40">
        <v>3.2946</v>
      </c>
    </row>
    <row r="114" spans="1:11">
      <c r="A114" s="37" t="s">
        <v>19</v>
      </c>
      <c r="B114" s="37">
        <v>31.56</v>
      </c>
      <c r="C114" s="38">
        <v>0.9</v>
      </c>
      <c r="D114" s="39"/>
      <c r="E114" s="39"/>
      <c r="F114" s="39"/>
      <c r="G114" s="37"/>
      <c r="H114" s="37">
        <v>18.5</v>
      </c>
      <c r="I114" s="37" t="s">
        <v>12</v>
      </c>
      <c r="J114" s="39"/>
      <c r="K114" s="40">
        <v>3.7208999999999999</v>
      </c>
    </row>
    <row r="115" spans="1:11">
      <c r="A115" s="37" t="s">
        <v>19</v>
      </c>
      <c r="B115" s="37">
        <v>36</v>
      </c>
      <c r="C115" s="38">
        <v>0.9</v>
      </c>
      <c r="D115" s="39"/>
      <c r="E115" s="39"/>
      <c r="F115" s="39"/>
      <c r="G115" s="37"/>
      <c r="H115" s="37">
        <v>18.5</v>
      </c>
      <c r="I115" s="37" t="s">
        <v>12</v>
      </c>
      <c r="J115" s="39"/>
      <c r="K115" s="40">
        <v>3.5788000000000002</v>
      </c>
    </row>
    <row r="116" spans="1:11">
      <c r="A116" s="37" t="s">
        <v>19</v>
      </c>
      <c r="B116" s="37">
        <v>46.05</v>
      </c>
      <c r="C116" s="38">
        <v>0.9</v>
      </c>
      <c r="D116" s="39"/>
      <c r="E116" s="39"/>
      <c r="F116" s="39"/>
      <c r="G116" s="37"/>
      <c r="H116" s="37">
        <v>18.5</v>
      </c>
      <c r="I116" s="37" t="s">
        <v>12</v>
      </c>
      <c r="J116" s="39"/>
      <c r="K116" s="40">
        <v>3.8889</v>
      </c>
    </row>
    <row r="117" spans="1:11">
      <c r="A117" s="37" t="s">
        <v>19</v>
      </c>
      <c r="B117" s="37">
        <v>56.09</v>
      </c>
      <c r="C117" s="38">
        <v>0.9</v>
      </c>
      <c r="D117" s="39"/>
      <c r="E117" s="39"/>
      <c r="F117" s="39"/>
      <c r="G117" s="37"/>
      <c r="H117" s="37">
        <v>18.5</v>
      </c>
      <c r="I117" s="37" t="s">
        <v>12</v>
      </c>
      <c r="J117" s="39"/>
      <c r="K117" s="40">
        <v>3.5270999999999999</v>
      </c>
    </row>
    <row r="118" spans="1:11">
      <c r="A118" s="37" t="s">
        <v>19</v>
      </c>
      <c r="B118" s="37">
        <v>76.17</v>
      </c>
      <c r="C118" s="38">
        <v>0.9</v>
      </c>
      <c r="D118" s="39"/>
      <c r="E118" s="39"/>
      <c r="F118" s="39"/>
      <c r="G118" s="37"/>
      <c r="H118" s="37">
        <v>18.5</v>
      </c>
      <c r="I118" s="37" t="s">
        <v>12</v>
      </c>
      <c r="J118" s="39"/>
      <c r="K118" s="40">
        <v>3.7467999999999999</v>
      </c>
    </row>
    <row r="119" spans="1:11">
      <c r="A119" s="37" t="s">
        <v>19</v>
      </c>
      <c r="B119" s="37">
        <v>80.91</v>
      </c>
      <c r="C119" s="38">
        <v>0.9</v>
      </c>
      <c r="D119" s="39"/>
      <c r="E119" s="39"/>
      <c r="F119" s="39"/>
      <c r="G119" s="37"/>
      <c r="H119" s="37">
        <v>18.5</v>
      </c>
      <c r="I119" s="37" t="s">
        <v>12</v>
      </c>
      <c r="J119" s="39"/>
      <c r="K119" s="40">
        <v>4.0052000000000003</v>
      </c>
    </row>
    <row r="120" spans="1:11">
      <c r="A120" s="37" t="s">
        <v>19</v>
      </c>
      <c r="B120" s="37">
        <v>105.99</v>
      </c>
      <c r="C120" s="38">
        <v>0.9</v>
      </c>
      <c r="D120" s="39"/>
      <c r="E120" s="39"/>
      <c r="F120" s="39"/>
      <c r="G120" s="37"/>
      <c r="H120" s="37">
        <v>18.5</v>
      </c>
      <c r="I120" s="37" t="s">
        <v>12</v>
      </c>
      <c r="J120" s="39"/>
      <c r="K120" s="40">
        <v>4.3022999999999998</v>
      </c>
    </row>
    <row r="121" spans="1:11">
      <c r="A121" s="37" t="s">
        <v>19</v>
      </c>
      <c r="B121" s="37">
        <v>113.09</v>
      </c>
      <c r="C121" s="38">
        <v>0.9</v>
      </c>
      <c r="D121" s="39"/>
      <c r="E121" s="39"/>
      <c r="F121" s="39"/>
      <c r="G121" s="37"/>
      <c r="H121" s="37">
        <v>18.5</v>
      </c>
      <c r="I121" s="37" t="s">
        <v>12</v>
      </c>
      <c r="J121" s="39"/>
      <c r="K121" s="40">
        <v>4.4832000000000001</v>
      </c>
    </row>
    <row r="122" spans="1:11">
      <c r="A122" s="37" t="s">
        <v>20</v>
      </c>
      <c r="B122" s="37">
        <v>0.12659999999999999</v>
      </c>
      <c r="C122" s="38">
        <v>0.13</v>
      </c>
      <c r="D122" s="39"/>
      <c r="E122" s="39"/>
      <c r="F122" s="39"/>
      <c r="G122" s="37">
        <v>0</v>
      </c>
      <c r="H122" s="37">
        <v>25</v>
      </c>
      <c r="I122" s="37" t="s">
        <v>44</v>
      </c>
      <c r="J122" s="39"/>
      <c r="K122" s="40">
        <v>0.71</v>
      </c>
    </row>
    <row r="123" spans="1:11">
      <c r="A123" s="37" t="s">
        <v>20</v>
      </c>
      <c r="B123" s="37">
        <v>0.12659999999999999</v>
      </c>
      <c r="C123" s="38">
        <v>0.13</v>
      </c>
      <c r="D123" s="39"/>
      <c r="E123" s="39"/>
      <c r="F123" s="39"/>
      <c r="G123" s="37">
        <v>0</v>
      </c>
      <c r="H123" s="37">
        <v>25</v>
      </c>
      <c r="I123" s="37" t="s">
        <v>44</v>
      </c>
      <c r="J123" s="39"/>
      <c r="K123" s="40">
        <v>0.71</v>
      </c>
    </row>
    <row r="124" spans="1:11">
      <c r="A124" s="37" t="s">
        <v>20</v>
      </c>
      <c r="B124" s="37">
        <v>0.25319999999999998</v>
      </c>
      <c r="C124" s="38">
        <v>0.13</v>
      </c>
      <c r="D124" s="39"/>
      <c r="E124" s="39"/>
      <c r="F124" s="39"/>
      <c r="G124" s="37">
        <v>0</v>
      </c>
      <c r="H124" s="37">
        <v>25</v>
      </c>
      <c r="I124" s="37" t="s">
        <v>44</v>
      </c>
      <c r="J124" s="39"/>
      <c r="K124" s="40">
        <v>0.77</v>
      </c>
    </row>
    <row r="125" spans="1:11">
      <c r="A125" s="37" t="s">
        <v>20</v>
      </c>
      <c r="B125" s="37">
        <v>0.30859999999999999</v>
      </c>
      <c r="C125" s="38">
        <v>0.13</v>
      </c>
      <c r="D125" s="39"/>
      <c r="E125" s="39"/>
      <c r="F125" s="39"/>
      <c r="G125" s="37">
        <v>0</v>
      </c>
      <c r="H125" s="37">
        <v>25</v>
      </c>
      <c r="I125" s="37" t="s">
        <v>44</v>
      </c>
      <c r="J125" s="39"/>
      <c r="K125" s="40">
        <v>0.75</v>
      </c>
    </row>
    <row r="126" spans="1:11">
      <c r="A126" s="37" t="s">
        <v>20</v>
      </c>
      <c r="B126" s="37">
        <v>0.37980000000000003</v>
      </c>
      <c r="C126" s="38">
        <v>0.13</v>
      </c>
      <c r="D126" s="39"/>
      <c r="E126" s="39"/>
      <c r="F126" s="39"/>
      <c r="G126" s="37">
        <v>0</v>
      </c>
      <c r="H126" s="37">
        <v>25</v>
      </c>
      <c r="I126" s="37" t="s">
        <v>44</v>
      </c>
      <c r="J126" s="39"/>
      <c r="K126" s="40">
        <v>0.76</v>
      </c>
    </row>
    <row r="127" spans="1:11">
      <c r="A127" s="37" t="s">
        <v>20</v>
      </c>
      <c r="B127" s="37">
        <v>0.43519999999999998</v>
      </c>
      <c r="C127" s="38">
        <v>0.13</v>
      </c>
      <c r="D127" s="39"/>
      <c r="E127" s="39"/>
      <c r="F127" s="39"/>
      <c r="G127" s="37">
        <v>0</v>
      </c>
      <c r="H127" s="37">
        <v>25</v>
      </c>
      <c r="I127" s="37" t="s">
        <v>44</v>
      </c>
      <c r="J127" s="39"/>
      <c r="K127" s="40">
        <v>0.74</v>
      </c>
    </row>
    <row r="128" spans="1:11">
      <c r="A128" s="37" t="s">
        <v>20</v>
      </c>
      <c r="B128" s="37">
        <v>0.49049999999999999</v>
      </c>
      <c r="C128" s="38">
        <v>0.13</v>
      </c>
      <c r="D128" s="39"/>
      <c r="E128" s="39"/>
      <c r="F128" s="39"/>
      <c r="G128" s="37">
        <v>0</v>
      </c>
      <c r="H128" s="37">
        <v>25</v>
      </c>
      <c r="I128" s="37" t="s">
        <v>44</v>
      </c>
      <c r="J128" s="39"/>
      <c r="K128" s="40">
        <v>0.75</v>
      </c>
    </row>
    <row r="129" spans="1:11">
      <c r="A129" s="37" t="s">
        <v>20</v>
      </c>
      <c r="B129" s="37">
        <v>0.60919999999999996</v>
      </c>
      <c r="C129" s="38">
        <v>0.13</v>
      </c>
      <c r="D129" s="39"/>
      <c r="E129" s="39"/>
      <c r="F129" s="39"/>
      <c r="G129" s="37">
        <v>0</v>
      </c>
      <c r="H129" s="37">
        <v>25</v>
      </c>
      <c r="I129" s="37" t="s">
        <v>44</v>
      </c>
      <c r="J129" s="39"/>
      <c r="K129" s="40">
        <v>0.79</v>
      </c>
    </row>
    <row r="130" spans="1:11">
      <c r="A130" s="37" t="s">
        <v>20</v>
      </c>
      <c r="B130" s="37">
        <v>0.73580000000000001</v>
      </c>
      <c r="C130" s="38">
        <v>0.13</v>
      </c>
      <c r="D130" s="39"/>
      <c r="E130" s="39"/>
      <c r="F130" s="39"/>
      <c r="G130" s="37">
        <v>0</v>
      </c>
      <c r="H130" s="37">
        <v>25</v>
      </c>
      <c r="I130" s="37" t="s">
        <v>44</v>
      </c>
      <c r="J130" s="39"/>
      <c r="K130" s="40">
        <v>0.81</v>
      </c>
    </row>
    <row r="131" spans="1:11">
      <c r="A131" s="37" t="s">
        <v>20</v>
      </c>
      <c r="B131" s="37">
        <v>0.86240000000000006</v>
      </c>
      <c r="C131" s="38">
        <v>0.13</v>
      </c>
      <c r="D131" s="39"/>
      <c r="E131" s="39"/>
      <c r="F131" s="39"/>
      <c r="G131" s="37">
        <v>0</v>
      </c>
      <c r="H131" s="37">
        <v>25</v>
      </c>
      <c r="I131" s="37" t="s">
        <v>44</v>
      </c>
      <c r="J131" s="39"/>
      <c r="K131" s="40">
        <v>0.85</v>
      </c>
    </row>
    <row r="132" spans="1:11">
      <c r="A132" s="37" t="s">
        <v>20</v>
      </c>
      <c r="B132" s="37">
        <v>1.4084000000000001</v>
      </c>
      <c r="C132" s="38">
        <v>0.13</v>
      </c>
      <c r="D132" s="39"/>
      <c r="E132" s="39"/>
      <c r="F132" s="39"/>
      <c r="G132" s="37">
        <v>0</v>
      </c>
      <c r="H132" s="37">
        <v>25</v>
      </c>
      <c r="I132" s="37" t="s">
        <v>44</v>
      </c>
      <c r="J132" s="39"/>
      <c r="K132" s="40">
        <v>0.79</v>
      </c>
    </row>
    <row r="133" spans="1:11">
      <c r="A133" s="37" t="s">
        <v>20</v>
      </c>
      <c r="B133" s="37">
        <v>1.5428999999999999</v>
      </c>
      <c r="C133" s="38">
        <v>0.13</v>
      </c>
      <c r="D133" s="39"/>
      <c r="E133" s="39"/>
      <c r="F133" s="39"/>
      <c r="G133" s="37">
        <v>0</v>
      </c>
      <c r="H133" s="37">
        <v>25</v>
      </c>
      <c r="I133" s="37" t="s">
        <v>44</v>
      </c>
      <c r="J133" s="39"/>
      <c r="K133" s="40">
        <v>0.78</v>
      </c>
    </row>
    <row r="134" spans="1:11">
      <c r="A134" s="37" t="s">
        <v>20</v>
      </c>
      <c r="B134" s="37">
        <v>1.6774</v>
      </c>
      <c r="C134" s="38">
        <v>0.13</v>
      </c>
      <c r="D134" s="39"/>
      <c r="E134" s="39"/>
      <c r="F134" s="39"/>
      <c r="G134" s="37">
        <v>0</v>
      </c>
      <c r="H134" s="37">
        <v>25</v>
      </c>
      <c r="I134" s="37" t="s">
        <v>44</v>
      </c>
      <c r="J134" s="39"/>
      <c r="K134" s="40">
        <v>0.77</v>
      </c>
    </row>
    <row r="135" spans="1:11">
      <c r="A135" s="37" t="s">
        <v>20</v>
      </c>
      <c r="B135" s="37">
        <v>1.804</v>
      </c>
      <c r="C135" s="38">
        <v>0.13</v>
      </c>
      <c r="D135" s="39"/>
      <c r="E135" s="39"/>
      <c r="F135" s="39"/>
      <c r="G135" s="37">
        <v>0</v>
      </c>
      <c r="H135" s="37">
        <v>25</v>
      </c>
      <c r="I135" s="37" t="s">
        <v>44</v>
      </c>
      <c r="J135" s="39"/>
      <c r="K135" s="40">
        <v>0.85</v>
      </c>
    </row>
    <row r="136" spans="1:11">
      <c r="A136" s="37" t="s">
        <v>20</v>
      </c>
      <c r="B136" s="37">
        <v>1.9384999999999999</v>
      </c>
      <c r="C136" s="38">
        <v>0.13</v>
      </c>
      <c r="D136" s="39"/>
      <c r="E136" s="39"/>
      <c r="F136" s="39"/>
      <c r="G136" s="37">
        <v>0</v>
      </c>
      <c r="H136" s="37">
        <v>25</v>
      </c>
      <c r="I136" s="37" t="s">
        <v>44</v>
      </c>
      <c r="J136" s="39"/>
      <c r="K136" s="40">
        <v>0.86</v>
      </c>
    </row>
    <row r="137" spans="1:11">
      <c r="A137" s="37" t="s">
        <v>20</v>
      </c>
      <c r="B137" s="37">
        <v>2.0491999999999999</v>
      </c>
      <c r="C137" s="38">
        <v>0.13</v>
      </c>
      <c r="D137" s="39"/>
      <c r="E137" s="39"/>
      <c r="F137" s="39"/>
      <c r="G137" s="37">
        <v>0</v>
      </c>
      <c r="H137" s="37">
        <v>25</v>
      </c>
      <c r="I137" s="37" t="s">
        <v>44</v>
      </c>
      <c r="J137" s="39"/>
      <c r="K137" s="40">
        <v>0.88</v>
      </c>
    </row>
    <row r="138" spans="1:11">
      <c r="A138" s="37" t="s">
        <v>20</v>
      </c>
      <c r="B138" s="37">
        <v>2.1837</v>
      </c>
      <c r="C138" s="38">
        <v>0.13</v>
      </c>
      <c r="D138" s="39"/>
      <c r="E138" s="39"/>
      <c r="F138" s="39"/>
      <c r="G138" s="37">
        <v>0</v>
      </c>
      <c r="H138" s="37">
        <v>25</v>
      </c>
      <c r="I138" s="37" t="s">
        <v>44</v>
      </c>
      <c r="J138" s="39"/>
      <c r="K138" s="40">
        <v>0.93</v>
      </c>
    </row>
    <row r="139" spans="1:11">
      <c r="A139" s="37" t="s">
        <v>20</v>
      </c>
      <c r="B139" s="37">
        <v>2.3102999999999998</v>
      </c>
      <c r="C139" s="38">
        <v>0.13</v>
      </c>
      <c r="D139" s="39"/>
      <c r="E139" s="39"/>
      <c r="F139" s="39"/>
      <c r="G139" s="37">
        <v>0</v>
      </c>
      <c r="H139" s="37">
        <v>25</v>
      </c>
      <c r="I139" s="37" t="s">
        <v>44</v>
      </c>
      <c r="J139" s="39"/>
      <c r="K139" s="40">
        <v>0.91</v>
      </c>
    </row>
    <row r="140" spans="1:11">
      <c r="A140" s="37" t="s">
        <v>20</v>
      </c>
      <c r="B140" s="37">
        <v>2.4289999999999998</v>
      </c>
      <c r="C140" s="38">
        <v>0.13</v>
      </c>
      <c r="D140" s="39"/>
      <c r="E140" s="39"/>
      <c r="F140" s="39"/>
      <c r="G140" s="37">
        <v>0</v>
      </c>
      <c r="H140" s="37">
        <v>25</v>
      </c>
      <c r="I140" s="37" t="s">
        <v>44</v>
      </c>
      <c r="J140" s="39"/>
      <c r="K140" s="40">
        <v>0.91</v>
      </c>
    </row>
    <row r="141" spans="1:11">
      <c r="A141" s="37" t="s">
        <v>20</v>
      </c>
      <c r="B141" s="37">
        <v>2.5634999999999999</v>
      </c>
      <c r="C141" s="38">
        <v>0.13</v>
      </c>
      <c r="D141" s="39"/>
      <c r="E141" s="39"/>
      <c r="F141" s="39"/>
      <c r="G141" s="37">
        <v>0</v>
      </c>
      <c r="H141" s="37">
        <v>25</v>
      </c>
      <c r="I141" s="37" t="s">
        <v>44</v>
      </c>
      <c r="J141" s="39"/>
      <c r="K141" s="40">
        <v>0.96</v>
      </c>
    </row>
    <row r="142" spans="1:11">
      <c r="A142" s="37" t="s">
        <v>20</v>
      </c>
      <c r="B142" s="37">
        <v>2.7059000000000002</v>
      </c>
      <c r="C142" s="38">
        <v>0.13</v>
      </c>
      <c r="D142" s="39"/>
      <c r="E142" s="39"/>
      <c r="F142" s="39"/>
      <c r="G142" s="37">
        <v>0</v>
      </c>
      <c r="H142" s="37">
        <v>25</v>
      </c>
      <c r="I142" s="37" t="s">
        <v>44</v>
      </c>
      <c r="J142" s="39"/>
      <c r="K142" s="40">
        <v>0.96</v>
      </c>
    </row>
    <row r="143" spans="1:11">
      <c r="A143" s="37" t="s">
        <v>20</v>
      </c>
      <c r="B143" s="37">
        <v>2.8246000000000002</v>
      </c>
      <c r="C143" s="38">
        <v>0.13</v>
      </c>
      <c r="D143" s="39"/>
      <c r="E143" s="39"/>
      <c r="F143" s="39"/>
      <c r="G143" s="37">
        <v>0</v>
      </c>
      <c r="H143" s="37">
        <v>25</v>
      </c>
      <c r="I143" s="37" t="s">
        <v>44</v>
      </c>
      <c r="J143" s="39"/>
      <c r="K143" s="40">
        <v>0.96</v>
      </c>
    </row>
    <row r="144" spans="1:11">
      <c r="A144" s="37" t="s">
        <v>20</v>
      </c>
      <c r="B144" s="37">
        <v>2.9512</v>
      </c>
      <c r="C144" s="38">
        <v>0.13</v>
      </c>
      <c r="D144" s="39"/>
      <c r="E144" s="39"/>
      <c r="F144" s="39"/>
      <c r="G144" s="37">
        <v>0</v>
      </c>
      <c r="H144" s="37">
        <v>25</v>
      </c>
      <c r="I144" s="37" t="s">
        <v>44</v>
      </c>
      <c r="J144" s="39"/>
      <c r="K144" s="40">
        <v>0.94</v>
      </c>
    </row>
    <row r="145" spans="1:11">
      <c r="A145" s="37" t="s">
        <v>20</v>
      </c>
      <c r="B145" s="37">
        <v>3.2202000000000002</v>
      </c>
      <c r="C145" s="38">
        <v>0.13</v>
      </c>
      <c r="D145" s="39"/>
      <c r="E145" s="39"/>
      <c r="F145" s="39"/>
      <c r="G145" s="37">
        <v>0</v>
      </c>
      <c r="H145" s="37">
        <v>25</v>
      </c>
      <c r="I145" s="37" t="s">
        <v>44</v>
      </c>
      <c r="J145" s="39"/>
      <c r="K145" s="40">
        <v>0.99</v>
      </c>
    </row>
    <row r="146" spans="1:11">
      <c r="A146" s="32" t="s">
        <v>21</v>
      </c>
      <c r="B146" s="32">
        <v>0.1404</v>
      </c>
      <c r="C146" s="33">
        <v>0.3</v>
      </c>
      <c r="D146" s="32">
        <v>2.07E-2</v>
      </c>
      <c r="E146" s="32">
        <v>5.1220000000000002E-2</v>
      </c>
      <c r="F146" s="32">
        <v>960</v>
      </c>
      <c r="G146" s="32">
        <v>0</v>
      </c>
      <c r="H146" s="32">
        <v>20</v>
      </c>
      <c r="I146" s="32" t="s">
        <v>12</v>
      </c>
      <c r="J146" s="34"/>
      <c r="K146" s="35">
        <v>1.506</v>
      </c>
    </row>
    <row r="147" spans="1:11">
      <c r="A147" s="32" t="s">
        <v>21</v>
      </c>
      <c r="B147" s="32">
        <v>0.1656</v>
      </c>
      <c r="C147" s="33">
        <v>0.3</v>
      </c>
      <c r="D147" s="32">
        <v>2.07E-2</v>
      </c>
      <c r="E147" s="32">
        <v>5.1220000000000002E-2</v>
      </c>
      <c r="F147" s="32">
        <v>960</v>
      </c>
      <c r="G147" s="32">
        <v>6.7000000000000002E-3</v>
      </c>
      <c r="H147" s="32">
        <v>20</v>
      </c>
      <c r="I147" s="32" t="s">
        <v>12</v>
      </c>
      <c r="J147" s="34"/>
      <c r="K147" s="35">
        <v>1.486</v>
      </c>
    </row>
    <row r="148" spans="1:11">
      <c r="A148" s="32" t="s">
        <v>21</v>
      </c>
      <c r="B148" s="32">
        <v>0.156</v>
      </c>
      <c r="C148" s="33">
        <v>0.3</v>
      </c>
      <c r="D148" s="32">
        <v>2.07E-2</v>
      </c>
      <c r="E148" s="32">
        <v>5.1220000000000002E-2</v>
      </c>
      <c r="F148" s="32">
        <v>960</v>
      </c>
      <c r="G148" s="32">
        <v>1.1900000000000001E-2</v>
      </c>
      <c r="H148" s="32">
        <v>20</v>
      </c>
      <c r="I148" s="32" t="s">
        <v>12</v>
      </c>
      <c r="J148" s="34"/>
      <c r="K148" s="35">
        <v>1.4379999999999999</v>
      </c>
    </row>
    <row r="149" spans="1:11">
      <c r="A149" s="32" t="s">
        <v>21</v>
      </c>
      <c r="B149" s="32">
        <v>0.33179999999999998</v>
      </c>
      <c r="C149" s="33">
        <v>0.3</v>
      </c>
      <c r="D149" s="32">
        <v>2.07E-2</v>
      </c>
      <c r="E149" s="32">
        <v>5.1220000000000002E-2</v>
      </c>
      <c r="F149" s="32">
        <v>960</v>
      </c>
      <c r="G149" s="32">
        <v>0</v>
      </c>
      <c r="H149" s="32">
        <v>20</v>
      </c>
      <c r="I149" s="32" t="s">
        <v>12</v>
      </c>
      <c r="J149" s="34"/>
      <c r="K149" s="35">
        <v>1.552</v>
      </c>
    </row>
    <row r="150" spans="1:11">
      <c r="A150" s="32" t="s">
        <v>21</v>
      </c>
      <c r="B150" s="32">
        <v>0.33300000000000002</v>
      </c>
      <c r="C150" s="33">
        <v>0.3</v>
      </c>
      <c r="D150" s="32">
        <v>2.07E-2</v>
      </c>
      <c r="E150" s="32">
        <v>5.1220000000000002E-2</v>
      </c>
      <c r="F150" s="32">
        <v>960</v>
      </c>
      <c r="G150" s="32">
        <v>6.1999999999999998E-3</v>
      </c>
      <c r="H150" s="32">
        <v>20</v>
      </c>
      <c r="I150" s="32" t="s">
        <v>12</v>
      </c>
      <c r="J150" s="34"/>
      <c r="K150" s="35">
        <v>1.536</v>
      </c>
    </row>
    <row r="151" spans="1:11">
      <c r="A151" s="32" t="s">
        <v>21</v>
      </c>
      <c r="B151" s="32">
        <v>0.30959999999999999</v>
      </c>
      <c r="C151" s="33">
        <v>0.3</v>
      </c>
      <c r="D151" s="32">
        <v>2.07E-2</v>
      </c>
      <c r="E151" s="32">
        <v>5.1220000000000002E-2</v>
      </c>
      <c r="F151" s="32">
        <v>960</v>
      </c>
      <c r="G151" s="32">
        <v>1.2999999999999999E-2</v>
      </c>
      <c r="H151" s="32">
        <v>20</v>
      </c>
      <c r="I151" s="32" t="s">
        <v>12</v>
      </c>
      <c r="J151" s="34"/>
      <c r="K151" s="35">
        <v>1.43</v>
      </c>
    </row>
    <row r="152" spans="1:11">
      <c r="A152" s="32" t="s">
        <v>21</v>
      </c>
      <c r="B152" s="32">
        <v>0.59219999999999995</v>
      </c>
      <c r="C152" s="33">
        <v>0.3</v>
      </c>
      <c r="D152" s="32">
        <v>2.07E-2</v>
      </c>
      <c r="E152" s="32">
        <v>5.1220000000000002E-2</v>
      </c>
      <c r="F152" s="32">
        <v>960</v>
      </c>
      <c r="G152" s="32">
        <v>0</v>
      </c>
      <c r="H152" s="32">
        <v>20</v>
      </c>
      <c r="I152" s="32" t="s">
        <v>12</v>
      </c>
      <c r="J152" s="34"/>
      <c r="K152" s="35">
        <v>1.5780000000000001</v>
      </c>
    </row>
    <row r="153" spans="1:11">
      <c r="A153" s="32" t="s">
        <v>21</v>
      </c>
      <c r="B153" s="32">
        <v>0.62039999999999995</v>
      </c>
      <c r="C153" s="33">
        <v>0.3</v>
      </c>
      <c r="D153" s="32">
        <v>2.07E-2</v>
      </c>
      <c r="E153" s="32">
        <v>5.1220000000000002E-2</v>
      </c>
      <c r="F153" s="32">
        <v>960</v>
      </c>
      <c r="G153" s="32">
        <v>6.0000000000000001E-3</v>
      </c>
      <c r="H153" s="32">
        <v>20</v>
      </c>
      <c r="I153" s="32" t="s">
        <v>12</v>
      </c>
      <c r="J153" s="34"/>
      <c r="K153" s="35">
        <v>1.57</v>
      </c>
    </row>
    <row r="154" spans="1:11">
      <c r="A154" s="32" t="s">
        <v>21</v>
      </c>
      <c r="B154" s="32">
        <v>0.67620000000000002</v>
      </c>
      <c r="C154" s="33">
        <v>0.3</v>
      </c>
      <c r="D154" s="32">
        <v>2.07E-2</v>
      </c>
      <c r="E154" s="32">
        <v>5.1220000000000002E-2</v>
      </c>
      <c r="F154" s="32">
        <v>960</v>
      </c>
      <c r="G154" s="32">
        <v>1.26E-2</v>
      </c>
      <c r="H154" s="32">
        <v>20</v>
      </c>
      <c r="I154" s="32" t="s">
        <v>12</v>
      </c>
      <c r="J154" s="34"/>
      <c r="K154" s="35">
        <v>1.502</v>
      </c>
    </row>
    <row r="155" spans="1:11">
      <c r="A155" s="32" t="s">
        <v>21</v>
      </c>
      <c r="B155" s="32">
        <v>1.4970000000000001</v>
      </c>
      <c r="C155" s="33">
        <v>0.3</v>
      </c>
      <c r="D155" s="32">
        <v>2.07E-2</v>
      </c>
      <c r="E155" s="32">
        <v>5.1220000000000002E-2</v>
      </c>
      <c r="F155" s="32">
        <v>960</v>
      </c>
      <c r="G155" s="32">
        <v>0</v>
      </c>
      <c r="H155" s="32">
        <v>20</v>
      </c>
      <c r="I155" s="32" t="s">
        <v>12</v>
      </c>
      <c r="J155" s="34"/>
      <c r="K155" s="35">
        <v>1.63</v>
      </c>
    </row>
    <row r="156" spans="1:11">
      <c r="A156" s="32" t="s">
        <v>21</v>
      </c>
      <c r="B156" s="32">
        <v>1.5156000000000001</v>
      </c>
      <c r="C156" s="33">
        <v>0.3</v>
      </c>
      <c r="D156" s="32">
        <v>2.07E-2</v>
      </c>
      <c r="E156" s="32">
        <v>5.1220000000000002E-2</v>
      </c>
      <c r="F156" s="32">
        <v>960</v>
      </c>
      <c r="G156" s="32">
        <v>6.0000000000000001E-3</v>
      </c>
      <c r="H156" s="32">
        <v>20</v>
      </c>
      <c r="I156" s="32" t="s">
        <v>12</v>
      </c>
      <c r="J156" s="34"/>
      <c r="K156" s="35">
        <v>1.5820000000000001</v>
      </c>
    </row>
    <row r="157" spans="1:11">
      <c r="A157" s="32" t="s">
        <v>21</v>
      </c>
      <c r="B157" s="32">
        <v>1.6763999999999999</v>
      </c>
      <c r="C157" s="33">
        <v>0.3</v>
      </c>
      <c r="D157" s="32">
        <v>2.07E-2</v>
      </c>
      <c r="E157" s="32">
        <v>5.1220000000000002E-2</v>
      </c>
      <c r="F157" s="32">
        <v>960</v>
      </c>
      <c r="G157" s="32">
        <v>1.26E-2</v>
      </c>
      <c r="H157" s="32">
        <v>20</v>
      </c>
      <c r="I157" s="32" t="s">
        <v>12</v>
      </c>
      <c r="J157" s="34"/>
      <c r="K157" s="35">
        <v>1.556</v>
      </c>
    </row>
    <row r="158" spans="1:11">
      <c r="A158" s="32" t="s">
        <v>21</v>
      </c>
      <c r="B158" s="32">
        <v>2.4216000000000002</v>
      </c>
      <c r="C158" s="33">
        <v>0.3</v>
      </c>
      <c r="D158" s="32">
        <v>2.07E-2</v>
      </c>
      <c r="E158" s="32">
        <v>5.1220000000000002E-2</v>
      </c>
      <c r="F158" s="32">
        <v>960</v>
      </c>
      <c r="G158" s="32">
        <v>0</v>
      </c>
      <c r="H158" s="32">
        <v>20</v>
      </c>
      <c r="I158" s="32" t="s">
        <v>12</v>
      </c>
      <c r="J158" s="34"/>
      <c r="K158" s="35">
        <v>1.726</v>
      </c>
    </row>
    <row r="159" spans="1:11">
      <c r="A159" s="32" t="s">
        <v>21</v>
      </c>
      <c r="B159" s="32">
        <v>2.4089999999999998</v>
      </c>
      <c r="C159" s="33">
        <v>0.3</v>
      </c>
      <c r="D159" s="32">
        <v>2.07E-2</v>
      </c>
      <c r="E159" s="32">
        <v>5.1220000000000002E-2</v>
      </c>
      <c r="F159" s="32">
        <v>960</v>
      </c>
      <c r="G159" s="32">
        <v>6.0000000000000001E-3</v>
      </c>
      <c r="H159" s="32">
        <v>20</v>
      </c>
      <c r="I159" s="32" t="s">
        <v>12</v>
      </c>
      <c r="J159" s="34"/>
      <c r="K159" s="35">
        <v>1.6659999999999999</v>
      </c>
    </row>
    <row r="160" spans="1:11">
      <c r="A160" s="32" t="s">
        <v>21</v>
      </c>
      <c r="B160" s="32">
        <v>2.4413999999999998</v>
      </c>
      <c r="C160" s="33">
        <v>0.3</v>
      </c>
      <c r="D160" s="32">
        <v>2.07E-2</v>
      </c>
      <c r="E160" s="32">
        <v>5.1220000000000002E-2</v>
      </c>
      <c r="F160" s="32">
        <v>960</v>
      </c>
      <c r="G160" s="32">
        <v>1.26E-2</v>
      </c>
      <c r="H160" s="32">
        <v>20</v>
      </c>
      <c r="I160" s="32" t="s">
        <v>12</v>
      </c>
      <c r="J160" s="34"/>
      <c r="K160" s="35">
        <v>1.63</v>
      </c>
    </row>
    <row r="161" spans="1:11">
      <c r="A161" s="34" t="s">
        <v>22</v>
      </c>
      <c r="B161" s="34">
        <v>50</v>
      </c>
      <c r="C161" s="41">
        <v>0.29880000000000001</v>
      </c>
      <c r="D161" s="34">
        <v>7.2800000000000004E-2</v>
      </c>
      <c r="E161" s="34">
        <v>1.01E-3</v>
      </c>
      <c r="F161" s="34">
        <v>1000</v>
      </c>
      <c r="G161" s="42">
        <v>0</v>
      </c>
      <c r="H161" s="34">
        <v>20</v>
      </c>
      <c r="I161" s="34" t="s">
        <v>12</v>
      </c>
      <c r="J161" s="34">
        <v>1.2909999999999999</v>
      </c>
      <c r="K161" s="41">
        <v>2.5842999999999998</v>
      </c>
    </row>
    <row r="162" spans="1:11">
      <c r="A162" s="34" t="s">
        <v>22</v>
      </c>
      <c r="B162" s="34">
        <v>50</v>
      </c>
      <c r="C162" s="41">
        <v>0.39879999999999999</v>
      </c>
      <c r="D162" s="34">
        <v>7.2800000000000004E-2</v>
      </c>
      <c r="E162" s="34">
        <v>1.01E-3</v>
      </c>
      <c r="F162" s="34">
        <v>1000</v>
      </c>
      <c r="G162" s="42">
        <v>0</v>
      </c>
      <c r="H162" s="34">
        <v>20</v>
      </c>
      <c r="I162" s="34" t="s">
        <v>12</v>
      </c>
      <c r="J162" s="34">
        <v>1.2909999999999999</v>
      </c>
      <c r="K162" s="41">
        <v>2.6928000000000001</v>
      </c>
    </row>
    <row r="163" spans="1:11">
      <c r="A163" s="34" t="s">
        <v>22</v>
      </c>
      <c r="B163" s="34">
        <v>50</v>
      </c>
      <c r="C163" s="41">
        <v>0.49880000000000002</v>
      </c>
      <c r="D163" s="34">
        <v>7.2800000000000004E-2</v>
      </c>
      <c r="E163" s="34">
        <v>1.01E-3</v>
      </c>
      <c r="F163" s="34">
        <v>1000</v>
      </c>
      <c r="G163" s="42">
        <v>0</v>
      </c>
      <c r="H163" s="34">
        <v>20</v>
      </c>
      <c r="I163" s="34" t="s">
        <v>12</v>
      </c>
      <c r="J163" s="34">
        <v>1.2909999999999999</v>
      </c>
      <c r="K163" s="41">
        <v>2.8012000000000001</v>
      </c>
    </row>
    <row r="164" spans="1:11">
      <c r="A164" s="34" t="s">
        <v>22</v>
      </c>
      <c r="B164" s="34">
        <v>50</v>
      </c>
      <c r="C164" s="41">
        <v>0.59750000000000003</v>
      </c>
      <c r="D164" s="34">
        <v>7.2800000000000004E-2</v>
      </c>
      <c r="E164" s="34">
        <v>1.01E-3</v>
      </c>
      <c r="F164" s="34">
        <v>1000</v>
      </c>
      <c r="G164" s="42">
        <v>0</v>
      </c>
      <c r="H164" s="34">
        <v>20</v>
      </c>
      <c r="I164" s="34" t="s">
        <v>12</v>
      </c>
      <c r="J164" s="34">
        <v>1.2909999999999999</v>
      </c>
      <c r="K164" s="41">
        <v>2.8940999999999999</v>
      </c>
    </row>
    <row r="165" spans="1:11">
      <c r="A165" s="34" t="s">
        <v>22</v>
      </c>
      <c r="B165" s="34">
        <v>50</v>
      </c>
      <c r="C165" s="41">
        <v>0.79749999999999999</v>
      </c>
      <c r="D165" s="34">
        <v>7.2800000000000004E-2</v>
      </c>
      <c r="E165" s="34">
        <v>1.01E-3</v>
      </c>
      <c r="F165" s="34">
        <v>1000</v>
      </c>
      <c r="G165" s="42">
        <v>0</v>
      </c>
      <c r="H165" s="34">
        <v>20</v>
      </c>
      <c r="I165" s="34" t="s">
        <v>12</v>
      </c>
      <c r="J165" s="34">
        <v>1.2909999999999999</v>
      </c>
      <c r="K165" s="41">
        <v>3.0644999999999998</v>
      </c>
    </row>
    <row r="166" spans="1:11">
      <c r="A166" s="34" t="s">
        <v>22</v>
      </c>
      <c r="B166" s="34">
        <v>50</v>
      </c>
      <c r="C166" s="41">
        <v>1</v>
      </c>
      <c r="D166" s="34">
        <v>7.2800000000000004E-2</v>
      </c>
      <c r="E166" s="34">
        <v>1.01E-3</v>
      </c>
      <c r="F166" s="34">
        <v>1000</v>
      </c>
      <c r="G166" s="42">
        <v>0</v>
      </c>
      <c r="H166" s="34">
        <v>20</v>
      </c>
      <c r="I166" s="34" t="s">
        <v>12</v>
      </c>
      <c r="J166" s="34">
        <v>1.2909999999999999</v>
      </c>
      <c r="K166" s="41">
        <v>3.2193999999999998</v>
      </c>
    </row>
    <row r="167" spans="1:11">
      <c r="A167" s="34" t="s">
        <v>22</v>
      </c>
      <c r="B167" s="34">
        <v>80</v>
      </c>
      <c r="C167" s="41">
        <v>0.3</v>
      </c>
      <c r="D167" s="34">
        <v>7.2800000000000004E-2</v>
      </c>
      <c r="E167" s="34">
        <v>1.01E-3</v>
      </c>
      <c r="F167" s="34">
        <v>1000</v>
      </c>
      <c r="G167" s="42">
        <v>0</v>
      </c>
      <c r="H167" s="34">
        <v>20</v>
      </c>
      <c r="I167" s="34" t="s">
        <v>12</v>
      </c>
      <c r="J167" s="34">
        <v>1.2909999999999999</v>
      </c>
      <c r="K167" s="41">
        <v>2.8786999999999998</v>
      </c>
    </row>
    <row r="168" spans="1:11">
      <c r="A168" s="34" t="s">
        <v>22</v>
      </c>
      <c r="B168" s="34">
        <v>80</v>
      </c>
      <c r="C168" s="41">
        <v>0.4012</v>
      </c>
      <c r="D168" s="34">
        <v>7.2800000000000004E-2</v>
      </c>
      <c r="E168" s="34">
        <v>1.01E-3</v>
      </c>
      <c r="F168" s="34">
        <v>1000</v>
      </c>
      <c r="G168" s="42">
        <v>0</v>
      </c>
      <c r="H168" s="34">
        <v>20</v>
      </c>
      <c r="I168" s="34" t="s">
        <v>12</v>
      </c>
      <c r="J168" s="34">
        <v>1.2909999999999999</v>
      </c>
      <c r="K168" s="41">
        <v>2.9870999999999999</v>
      </c>
    </row>
    <row r="169" spans="1:11">
      <c r="A169" s="34" t="s">
        <v>22</v>
      </c>
      <c r="B169" s="34">
        <v>80</v>
      </c>
      <c r="C169" s="41">
        <v>0.50119999999999998</v>
      </c>
      <c r="D169" s="34">
        <v>7.2800000000000004E-2</v>
      </c>
      <c r="E169" s="34">
        <v>1.01E-3</v>
      </c>
      <c r="F169" s="34">
        <v>1000</v>
      </c>
      <c r="G169" s="42">
        <v>0</v>
      </c>
      <c r="H169" s="34">
        <v>20</v>
      </c>
      <c r="I169" s="34" t="s">
        <v>12</v>
      </c>
      <c r="J169" s="34">
        <v>1.2909999999999999</v>
      </c>
      <c r="K169" s="41">
        <v>3.1032999999999999</v>
      </c>
    </row>
    <row r="170" spans="1:11">
      <c r="A170" s="34" t="s">
        <v>22</v>
      </c>
      <c r="B170" s="34">
        <v>80</v>
      </c>
      <c r="C170" s="41">
        <v>0.5988</v>
      </c>
      <c r="D170" s="34">
        <v>7.2800000000000004E-2</v>
      </c>
      <c r="E170" s="34">
        <v>1.01E-3</v>
      </c>
      <c r="F170" s="34">
        <v>1000</v>
      </c>
      <c r="G170" s="42">
        <v>0</v>
      </c>
      <c r="H170" s="34">
        <v>20</v>
      </c>
      <c r="I170" s="34" t="s">
        <v>12</v>
      </c>
      <c r="J170" s="34">
        <v>1.2909999999999999</v>
      </c>
      <c r="K170" s="41">
        <v>3.1962000000000002</v>
      </c>
    </row>
    <row r="171" spans="1:11">
      <c r="A171" s="34" t="s">
        <v>22</v>
      </c>
      <c r="B171" s="34">
        <v>80</v>
      </c>
      <c r="C171" s="41">
        <v>0.80120000000000002</v>
      </c>
      <c r="D171" s="34">
        <v>7.2800000000000004E-2</v>
      </c>
      <c r="E171" s="34">
        <v>1.01E-3</v>
      </c>
      <c r="F171" s="34">
        <v>1000</v>
      </c>
      <c r="G171" s="42">
        <v>0</v>
      </c>
      <c r="H171" s="34">
        <v>20</v>
      </c>
      <c r="I171" s="34" t="s">
        <v>12</v>
      </c>
      <c r="J171" s="34">
        <v>1.2909999999999999</v>
      </c>
      <c r="K171" s="41">
        <v>3.2814000000000001</v>
      </c>
    </row>
    <row r="172" spans="1:11">
      <c r="A172" s="34" t="s">
        <v>22</v>
      </c>
      <c r="B172" s="34">
        <v>80</v>
      </c>
      <c r="C172" s="41">
        <v>1.0037</v>
      </c>
      <c r="D172" s="34">
        <v>7.2800000000000004E-2</v>
      </c>
      <c r="E172" s="34">
        <v>1.01E-3</v>
      </c>
      <c r="F172" s="34">
        <v>1000</v>
      </c>
      <c r="G172" s="42">
        <v>0</v>
      </c>
      <c r="H172" s="34">
        <v>20</v>
      </c>
      <c r="I172" s="34" t="s">
        <v>12</v>
      </c>
      <c r="J172" s="34">
        <v>1.2909999999999999</v>
      </c>
      <c r="K172" s="41">
        <v>3.4053</v>
      </c>
    </row>
    <row r="173" spans="1:11">
      <c r="A173" s="34" t="s">
        <v>22</v>
      </c>
      <c r="B173" s="34">
        <v>100</v>
      </c>
      <c r="C173" s="41">
        <v>0.29880000000000001</v>
      </c>
      <c r="D173" s="34">
        <v>7.2800000000000004E-2</v>
      </c>
      <c r="E173" s="34">
        <v>1.01E-3</v>
      </c>
      <c r="F173" s="34">
        <v>1000</v>
      </c>
      <c r="G173" s="42">
        <v>0</v>
      </c>
      <c r="H173" s="34">
        <v>20</v>
      </c>
      <c r="I173" s="34" t="s">
        <v>12</v>
      </c>
      <c r="J173" s="34">
        <v>1.2909999999999999</v>
      </c>
      <c r="K173" s="41">
        <v>3.1806999999999999</v>
      </c>
    </row>
    <row r="174" spans="1:11">
      <c r="A174" s="34" t="s">
        <v>22</v>
      </c>
      <c r="B174" s="34">
        <v>100</v>
      </c>
      <c r="C174" s="41">
        <v>0.4012</v>
      </c>
      <c r="D174" s="34">
        <v>7.2800000000000004E-2</v>
      </c>
      <c r="E174" s="34">
        <v>1.01E-3</v>
      </c>
      <c r="F174" s="34">
        <v>1000</v>
      </c>
      <c r="G174" s="42">
        <v>0</v>
      </c>
      <c r="H174" s="34">
        <v>20</v>
      </c>
      <c r="I174" s="34" t="s">
        <v>12</v>
      </c>
      <c r="J174" s="34">
        <v>1.2909999999999999</v>
      </c>
      <c r="K174" s="41">
        <v>3.2892000000000001</v>
      </c>
    </row>
    <row r="175" spans="1:11">
      <c r="A175" s="34" t="s">
        <v>22</v>
      </c>
      <c r="B175" s="34">
        <v>100</v>
      </c>
      <c r="C175" s="41">
        <v>0.50119999999999998</v>
      </c>
      <c r="D175" s="34">
        <v>7.2800000000000004E-2</v>
      </c>
      <c r="E175" s="34">
        <v>1.01E-3</v>
      </c>
      <c r="F175" s="34">
        <v>1000</v>
      </c>
      <c r="G175" s="42">
        <v>0</v>
      </c>
      <c r="H175" s="34">
        <v>20</v>
      </c>
      <c r="I175" s="34" t="s">
        <v>12</v>
      </c>
      <c r="J175" s="34">
        <v>1.2909999999999999</v>
      </c>
      <c r="K175" s="41">
        <v>3.3898000000000001</v>
      </c>
    </row>
    <row r="176" spans="1:11">
      <c r="A176" s="34" t="s">
        <v>22</v>
      </c>
      <c r="B176" s="34">
        <v>100</v>
      </c>
      <c r="C176" s="41">
        <v>0.5988</v>
      </c>
      <c r="D176" s="34">
        <v>7.2800000000000004E-2</v>
      </c>
      <c r="E176" s="34">
        <v>1.01E-3</v>
      </c>
      <c r="F176" s="34">
        <v>1000</v>
      </c>
      <c r="G176" s="42">
        <v>0</v>
      </c>
      <c r="H176" s="34">
        <v>20</v>
      </c>
      <c r="I176" s="34" t="s">
        <v>12</v>
      </c>
      <c r="J176" s="34">
        <v>1.2909999999999999</v>
      </c>
      <c r="K176" s="41">
        <v>3.3744000000000001</v>
      </c>
    </row>
    <row r="177" spans="1:11">
      <c r="A177" s="34" t="s">
        <v>22</v>
      </c>
      <c r="B177" s="34">
        <v>100</v>
      </c>
      <c r="C177" s="41">
        <v>0.8</v>
      </c>
      <c r="D177" s="34">
        <v>7.2800000000000004E-2</v>
      </c>
      <c r="E177" s="34">
        <v>1.01E-3</v>
      </c>
      <c r="F177" s="34">
        <v>1000</v>
      </c>
      <c r="G177" s="42">
        <v>0</v>
      </c>
      <c r="H177" s="34">
        <v>20</v>
      </c>
      <c r="I177" s="34" t="s">
        <v>12</v>
      </c>
      <c r="J177" s="34">
        <v>1.2909999999999999</v>
      </c>
      <c r="K177" s="41">
        <v>3.5990000000000002</v>
      </c>
    </row>
    <row r="178" spans="1:11">
      <c r="A178" s="34" t="s">
        <v>22</v>
      </c>
      <c r="B178" s="34">
        <v>100</v>
      </c>
      <c r="C178" s="41">
        <v>1.0012000000000001</v>
      </c>
      <c r="D178" s="34">
        <v>7.2800000000000004E-2</v>
      </c>
      <c r="E178" s="34">
        <v>1.01E-3</v>
      </c>
      <c r="F178" s="34">
        <v>1000</v>
      </c>
      <c r="G178" s="42">
        <v>0</v>
      </c>
      <c r="H178" s="34">
        <v>20</v>
      </c>
      <c r="I178" s="34" t="s">
        <v>12</v>
      </c>
      <c r="J178" s="34">
        <v>1.2909999999999999</v>
      </c>
      <c r="K178" s="41">
        <v>3.6764000000000001</v>
      </c>
    </row>
    <row r="179" spans="1:11">
      <c r="A179" s="34" t="s">
        <v>22</v>
      </c>
      <c r="B179" s="34">
        <v>120</v>
      </c>
      <c r="C179" s="41">
        <v>0.29749999999999999</v>
      </c>
      <c r="D179" s="34">
        <v>7.2800000000000004E-2</v>
      </c>
      <c r="E179" s="34">
        <v>1.01E-3</v>
      </c>
      <c r="F179" s="34">
        <v>1000</v>
      </c>
      <c r="G179" s="42">
        <v>0</v>
      </c>
      <c r="H179" s="34">
        <v>20</v>
      </c>
      <c r="I179" s="34" t="s">
        <v>12</v>
      </c>
      <c r="J179" s="34">
        <v>1.2909999999999999</v>
      </c>
      <c r="K179" s="41">
        <v>3.4904999999999999</v>
      </c>
    </row>
    <row r="180" spans="1:11">
      <c r="A180" s="34" t="s">
        <v>22</v>
      </c>
      <c r="B180" s="34">
        <v>120</v>
      </c>
      <c r="C180" s="41">
        <v>0.39750000000000002</v>
      </c>
      <c r="D180" s="34">
        <v>7.2800000000000004E-2</v>
      </c>
      <c r="E180" s="34">
        <v>1.01E-3</v>
      </c>
      <c r="F180" s="34">
        <v>1000</v>
      </c>
      <c r="G180" s="42">
        <v>0</v>
      </c>
      <c r="H180" s="34">
        <v>20</v>
      </c>
      <c r="I180" s="34" t="s">
        <v>12</v>
      </c>
      <c r="J180" s="34">
        <v>1.2909999999999999</v>
      </c>
      <c r="K180" s="41">
        <v>3.5834999999999999</v>
      </c>
    </row>
    <row r="181" spans="1:11">
      <c r="A181" s="34" t="s">
        <v>22</v>
      </c>
      <c r="B181" s="34">
        <v>120</v>
      </c>
      <c r="C181" s="41">
        <v>0.5</v>
      </c>
      <c r="D181" s="34">
        <v>7.2800000000000004E-2</v>
      </c>
      <c r="E181" s="34">
        <v>1.01E-3</v>
      </c>
      <c r="F181" s="34">
        <v>1000</v>
      </c>
      <c r="G181" s="42">
        <v>0</v>
      </c>
      <c r="H181" s="34">
        <v>20</v>
      </c>
      <c r="I181" s="34" t="s">
        <v>12</v>
      </c>
      <c r="J181" s="34">
        <v>1.2909999999999999</v>
      </c>
      <c r="K181" s="41">
        <v>3.5990000000000002</v>
      </c>
    </row>
    <row r="182" spans="1:11">
      <c r="A182" s="34" t="s">
        <v>22</v>
      </c>
      <c r="B182" s="34">
        <v>120</v>
      </c>
      <c r="C182" s="41">
        <v>0.5988</v>
      </c>
      <c r="D182" s="34">
        <v>7.2800000000000004E-2</v>
      </c>
      <c r="E182" s="34">
        <v>1.01E-3</v>
      </c>
      <c r="F182" s="34">
        <v>1000</v>
      </c>
      <c r="G182" s="42">
        <v>0</v>
      </c>
      <c r="H182" s="34">
        <v>20</v>
      </c>
      <c r="I182" s="34" t="s">
        <v>12</v>
      </c>
      <c r="J182" s="34">
        <v>1.2909999999999999</v>
      </c>
      <c r="K182" s="41">
        <v>3.7073999999999998</v>
      </c>
    </row>
    <row r="183" spans="1:11">
      <c r="A183" s="34" t="s">
        <v>22</v>
      </c>
      <c r="B183" s="34">
        <v>120</v>
      </c>
      <c r="C183" s="41">
        <v>0.80120000000000002</v>
      </c>
      <c r="D183" s="34">
        <v>7.2800000000000004E-2</v>
      </c>
      <c r="E183" s="34">
        <v>1.01E-3</v>
      </c>
      <c r="F183" s="34">
        <v>1000</v>
      </c>
      <c r="G183" s="42">
        <v>0</v>
      </c>
      <c r="H183" s="34">
        <v>20</v>
      </c>
      <c r="I183" s="34" t="s">
        <v>12</v>
      </c>
      <c r="J183" s="34">
        <v>1.2909999999999999</v>
      </c>
      <c r="K183" s="41">
        <v>3.8003</v>
      </c>
    </row>
    <row r="184" spans="1:11">
      <c r="A184" s="34" t="s">
        <v>22</v>
      </c>
      <c r="B184" s="34">
        <v>120</v>
      </c>
      <c r="C184" s="41">
        <v>1.0012000000000001</v>
      </c>
      <c r="D184" s="34">
        <v>7.2800000000000004E-2</v>
      </c>
      <c r="E184" s="34">
        <v>1.01E-3</v>
      </c>
      <c r="F184" s="34">
        <v>1000</v>
      </c>
      <c r="G184" s="42">
        <v>0</v>
      </c>
      <c r="H184" s="34">
        <v>20</v>
      </c>
      <c r="I184" s="34" t="s">
        <v>12</v>
      </c>
      <c r="J184" s="34">
        <v>1.2909999999999999</v>
      </c>
      <c r="K184" s="41">
        <v>3.9087999999999998</v>
      </c>
    </row>
    <row r="185" spans="1:11">
      <c r="A185" s="34" t="s">
        <v>22</v>
      </c>
      <c r="B185" s="34">
        <v>150</v>
      </c>
      <c r="C185" s="41">
        <v>0.3</v>
      </c>
      <c r="D185" s="34">
        <v>7.2800000000000004E-2</v>
      </c>
      <c r="E185" s="34">
        <v>1.01E-3</v>
      </c>
      <c r="F185" s="34">
        <v>1000</v>
      </c>
      <c r="G185" s="42">
        <v>0</v>
      </c>
      <c r="H185" s="34">
        <v>20</v>
      </c>
      <c r="I185" s="34" t="s">
        <v>12</v>
      </c>
      <c r="J185" s="34">
        <v>1.2909999999999999</v>
      </c>
      <c r="K185" s="41">
        <v>3.9087999999999998</v>
      </c>
    </row>
    <row r="186" spans="1:11">
      <c r="A186" s="34" t="s">
        <v>22</v>
      </c>
      <c r="B186" s="34">
        <v>150</v>
      </c>
      <c r="C186" s="41">
        <v>0.39750000000000002</v>
      </c>
      <c r="D186" s="34">
        <v>7.2800000000000004E-2</v>
      </c>
      <c r="E186" s="34">
        <v>1.01E-3</v>
      </c>
      <c r="F186" s="34">
        <v>1000</v>
      </c>
      <c r="G186" s="42">
        <v>0</v>
      </c>
      <c r="H186" s="34">
        <v>20</v>
      </c>
      <c r="I186" s="34" t="s">
        <v>12</v>
      </c>
      <c r="J186" s="34">
        <v>1.2909999999999999</v>
      </c>
      <c r="K186" s="41">
        <v>3.9398</v>
      </c>
    </row>
    <row r="187" spans="1:11">
      <c r="A187" s="34" t="s">
        <v>22</v>
      </c>
      <c r="B187" s="34">
        <v>150</v>
      </c>
      <c r="C187" s="41">
        <v>0.5</v>
      </c>
      <c r="D187" s="34">
        <v>7.2800000000000004E-2</v>
      </c>
      <c r="E187" s="34">
        <v>1.01E-3</v>
      </c>
      <c r="F187" s="34">
        <v>1000</v>
      </c>
      <c r="G187" s="42">
        <v>0</v>
      </c>
      <c r="H187" s="34">
        <v>20</v>
      </c>
      <c r="I187" s="34" t="s">
        <v>12</v>
      </c>
      <c r="J187" s="34">
        <v>1.2909999999999999</v>
      </c>
      <c r="K187" s="41">
        <v>4.0171999999999999</v>
      </c>
    </row>
    <row r="188" spans="1:11">
      <c r="A188" s="34" t="s">
        <v>22</v>
      </c>
      <c r="B188" s="34">
        <v>150</v>
      </c>
      <c r="C188" s="41">
        <v>0.5988</v>
      </c>
      <c r="D188" s="34">
        <v>7.2800000000000004E-2</v>
      </c>
      <c r="E188" s="34">
        <v>1.01E-3</v>
      </c>
      <c r="F188" s="34">
        <v>1000</v>
      </c>
      <c r="G188" s="42">
        <v>0</v>
      </c>
      <c r="H188" s="34">
        <v>20</v>
      </c>
      <c r="I188" s="34" t="s">
        <v>12</v>
      </c>
      <c r="J188" s="34">
        <v>1.2909999999999999</v>
      </c>
      <c r="K188" s="41">
        <v>4.0404</v>
      </c>
    </row>
    <row r="189" spans="1:11">
      <c r="A189" s="34" t="s">
        <v>22</v>
      </c>
      <c r="B189" s="34">
        <v>150</v>
      </c>
      <c r="C189" s="41">
        <v>0.8</v>
      </c>
      <c r="D189" s="34">
        <v>7.2800000000000004E-2</v>
      </c>
      <c r="E189" s="34">
        <v>1.01E-3</v>
      </c>
      <c r="F189" s="34">
        <v>1000</v>
      </c>
      <c r="G189" s="42">
        <v>0</v>
      </c>
      <c r="H189" s="34">
        <v>20</v>
      </c>
      <c r="I189" s="34" t="s">
        <v>12</v>
      </c>
      <c r="J189" s="34">
        <v>1.2909999999999999</v>
      </c>
      <c r="K189" s="41">
        <v>4.1024000000000003</v>
      </c>
    </row>
    <row r="190" spans="1:11">
      <c r="A190" s="34" t="s">
        <v>22</v>
      </c>
      <c r="B190" s="34">
        <v>150</v>
      </c>
      <c r="C190" s="41">
        <v>1.0012000000000001</v>
      </c>
      <c r="D190" s="34">
        <v>7.2800000000000004E-2</v>
      </c>
      <c r="E190" s="34">
        <v>1.01E-3</v>
      </c>
      <c r="F190" s="34">
        <v>1000</v>
      </c>
      <c r="G190" s="42">
        <v>0</v>
      </c>
      <c r="H190" s="34">
        <v>20</v>
      </c>
      <c r="I190" s="34" t="s">
        <v>12</v>
      </c>
      <c r="J190" s="34">
        <v>1.2909999999999999</v>
      </c>
      <c r="K190" s="41">
        <v>4.1875999999999998</v>
      </c>
    </row>
    <row r="191" spans="1:11">
      <c r="A191" s="34" t="s">
        <v>22</v>
      </c>
      <c r="B191" s="34">
        <v>200</v>
      </c>
      <c r="C191" s="41">
        <v>0.29630000000000001</v>
      </c>
      <c r="D191" s="34">
        <v>7.2800000000000004E-2</v>
      </c>
      <c r="E191" s="34">
        <v>1.01E-3</v>
      </c>
      <c r="F191" s="34">
        <v>1000</v>
      </c>
      <c r="G191" s="42">
        <v>0</v>
      </c>
      <c r="H191" s="34">
        <v>20</v>
      </c>
      <c r="I191" s="34" t="s">
        <v>12</v>
      </c>
      <c r="J191" s="34">
        <v>1.2909999999999999</v>
      </c>
      <c r="K191" s="41">
        <v>4.3811999999999998</v>
      </c>
    </row>
    <row r="192" spans="1:11">
      <c r="A192" s="34" t="s">
        <v>22</v>
      </c>
      <c r="B192" s="34">
        <v>200</v>
      </c>
      <c r="C192" s="41">
        <v>0.39879999999999999</v>
      </c>
      <c r="D192" s="34">
        <v>7.2800000000000004E-2</v>
      </c>
      <c r="E192" s="34">
        <v>1.01E-3</v>
      </c>
      <c r="F192" s="34">
        <v>1000</v>
      </c>
      <c r="G192" s="42">
        <v>0</v>
      </c>
      <c r="H192" s="34">
        <v>20</v>
      </c>
      <c r="I192" s="34" t="s">
        <v>12</v>
      </c>
      <c r="J192" s="34">
        <v>1.2909999999999999</v>
      </c>
      <c r="K192" s="41">
        <v>4.42</v>
      </c>
    </row>
    <row r="193" spans="1:11">
      <c r="A193" s="34" t="s">
        <v>22</v>
      </c>
      <c r="B193" s="34">
        <v>200</v>
      </c>
      <c r="C193" s="41">
        <v>0.49880000000000002</v>
      </c>
      <c r="D193" s="34">
        <v>7.2800000000000004E-2</v>
      </c>
      <c r="E193" s="34">
        <v>1.01E-3</v>
      </c>
      <c r="F193" s="34">
        <v>1000</v>
      </c>
      <c r="G193" s="42">
        <v>0</v>
      </c>
      <c r="H193" s="34">
        <v>20</v>
      </c>
      <c r="I193" s="34" t="s">
        <v>12</v>
      </c>
      <c r="J193" s="34">
        <v>1.2909999999999999</v>
      </c>
      <c r="K193" s="41">
        <v>4.4897</v>
      </c>
    </row>
    <row r="194" spans="1:11">
      <c r="A194" s="34" t="s">
        <v>22</v>
      </c>
      <c r="B194" s="34">
        <v>200</v>
      </c>
      <c r="C194" s="41">
        <v>0.59750000000000003</v>
      </c>
      <c r="D194" s="34">
        <v>7.2800000000000004E-2</v>
      </c>
      <c r="E194" s="34">
        <v>1.01E-3</v>
      </c>
      <c r="F194" s="34">
        <v>1000</v>
      </c>
      <c r="G194" s="42">
        <v>0</v>
      </c>
      <c r="H194" s="34">
        <v>20</v>
      </c>
      <c r="I194" s="34" t="s">
        <v>12</v>
      </c>
      <c r="J194" s="34">
        <v>1.2909999999999999</v>
      </c>
      <c r="K194" s="41">
        <v>4.5438999999999998</v>
      </c>
    </row>
    <row r="195" spans="1:11">
      <c r="A195" s="34" t="s">
        <v>22</v>
      </c>
      <c r="B195" s="34">
        <v>200</v>
      </c>
      <c r="C195" s="41">
        <v>0.8</v>
      </c>
      <c r="D195" s="34">
        <v>7.2800000000000004E-2</v>
      </c>
      <c r="E195" s="34">
        <v>1.01E-3</v>
      </c>
      <c r="F195" s="34">
        <v>1000</v>
      </c>
      <c r="G195" s="42">
        <v>0</v>
      </c>
      <c r="H195" s="34">
        <v>20</v>
      </c>
      <c r="I195" s="34" t="s">
        <v>12</v>
      </c>
      <c r="J195" s="34">
        <v>1.2909999999999999</v>
      </c>
      <c r="K195" s="41">
        <v>4.5980999999999996</v>
      </c>
    </row>
    <row r="196" spans="1:11">
      <c r="A196" s="34" t="s">
        <v>22</v>
      </c>
      <c r="B196" s="34">
        <v>200</v>
      </c>
      <c r="C196" s="41">
        <v>1</v>
      </c>
      <c r="D196" s="34">
        <v>7.2800000000000004E-2</v>
      </c>
      <c r="E196" s="34">
        <v>1.01E-3</v>
      </c>
      <c r="F196" s="34">
        <v>1000</v>
      </c>
      <c r="G196" s="42">
        <v>0</v>
      </c>
      <c r="H196" s="34">
        <v>20</v>
      </c>
      <c r="I196" s="34" t="s">
        <v>12</v>
      </c>
      <c r="J196" s="34">
        <v>1.2909999999999999</v>
      </c>
      <c r="K196" s="41">
        <v>4.6833</v>
      </c>
    </row>
    <row r="197" spans="1:11">
      <c r="A197" s="34" t="s">
        <v>22</v>
      </c>
      <c r="B197" s="34">
        <v>50</v>
      </c>
      <c r="C197" s="41">
        <v>0.29720000000000002</v>
      </c>
      <c r="D197" s="34">
        <v>7.2800000000000004E-2</v>
      </c>
      <c r="E197" s="34">
        <v>1.01E-3</v>
      </c>
      <c r="F197" s="34">
        <v>1000</v>
      </c>
      <c r="G197" s="42">
        <v>0</v>
      </c>
      <c r="H197" s="34">
        <v>20</v>
      </c>
      <c r="I197" s="34" t="s">
        <v>12</v>
      </c>
      <c r="J197" s="34">
        <v>1.2909999999999999</v>
      </c>
      <c r="K197" s="41">
        <v>2.4855</v>
      </c>
    </row>
    <row r="198" spans="1:11">
      <c r="A198" s="34" t="s">
        <v>22</v>
      </c>
      <c r="B198" s="34">
        <v>50</v>
      </c>
      <c r="C198" s="41">
        <v>0.39939999999999998</v>
      </c>
      <c r="D198" s="34">
        <v>7.2800000000000004E-2</v>
      </c>
      <c r="E198" s="34">
        <v>1.01E-3</v>
      </c>
      <c r="F198" s="34">
        <v>1000</v>
      </c>
      <c r="G198" s="42">
        <v>0</v>
      </c>
      <c r="H198" s="34">
        <v>20</v>
      </c>
      <c r="I198" s="34" t="s">
        <v>12</v>
      </c>
      <c r="J198" s="34">
        <v>1.2909999999999999</v>
      </c>
      <c r="K198" s="41">
        <v>2.5941999999999998</v>
      </c>
    </row>
    <row r="199" spans="1:11">
      <c r="A199" s="34" t="s">
        <v>22</v>
      </c>
      <c r="B199" s="34">
        <v>50</v>
      </c>
      <c r="C199" s="41">
        <v>0.50039999999999996</v>
      </c>
      <c r="D199" s="34">
        <v>7.2800000000000004E-2</v>
      </c>
      <c r="E199" s="34">
        <v>1.01E-3</v>
      </c>
      <c r="F199" s="34">
        <v>1000</v>
      </c>
      <c r="G199" s="42">
        <v>0</v>
      </c>
      <c r="H199" s="34">
        <v>20</v>
      </c>
      <c r="I199" s="34" t="s">
        <v>12</v>
      </c>
      <c r="J199" s="34">
        <v>1.2909999999999999</v>
      </c>
      <c r="K199" s="41">
        <v>2.6812</v>
      </c>
    </row>
    <row r="200" spans="1:11">
      <c r="A200" s="34" t="s">
        <v>22</v>
      </c>
      <c r="B200" s="34">
        <v>50</v>
      </c>
      <c r="C200" s="41">
        <v>0.60260000000000002</v>
      </c>
      <c r="D200" s="34">
        <v>7.2800000000000004E-2</v>
      </c>
      <c r="E200" s="34">
        <v>1.01E-3</v>
      </c>
      <c r="F200" s="34">
        <v>1000</v>
      </c>
      <c r="G200" s="42">
        <v>0</v>
      </c>
      <c r="H200" s="34">
        <v>20</v>
      </c>
      <c r="I200" s="34" t="s">
        <v>12</v>
      </c>
      <c r="J200" s="34">
        <v>1.2909999999999999</v>
      </c>
      <c r="K200" s="41">
        <v>2.7391000000000001</v>
      </c>
    </row>
    <row r="201" spans="1:11">
      <c r="A201" s="34" t="s">
        <v>22</v>
      </c>
      <c r="B201" s="34">
        <v>50</v>
      </c>
      <c r="C201" s="41">
        <v>0.80210000000000004</v>
      </c>
      <c r="D201" s="34">
        <v>7.2800000000000004E-2</v>
      </c>
      <c r="E201" s="34">
        <v>1.01E-3</v>
      </c>
      <c r="F201" s="34">
        <v>1000</v>
      </c>
      <c r="G201" s="42">
        <v>0</v>
      </c>
      <c r="H201" s="34">
        <v>20</v>
      </c>
      <c r="I201" s="34" t="s">
        <v>12</v>
      </c>
      <c r="J201" s="34">
        <v>1.2909999999999999</v>
      </c>
      <c r="K201" s="41">
        <v>2.9275000000000002</v>
      </c>
    </row>
    <row r="202" spans="1:11">
      <c r="A202" s="34" t="s">
        <v>22</v>
      </c>
      <c r="B202" s="34">
        <v>50</v>
      </c>
      <c r="C202" s="41">
        <v>1.0003</v>
      </c>
      <c r="D202" s="34">
        <v>7.2800000000000004E-2</v>
      </c>
      <c r="E202" s="34">
        <v>1.01E-3</v>
      </c>
      <c r="F202" s="34">
        <v>1000</v>
      </c>
      <c r="G202" s="42">
        <v>0</v>
      </c>
      <c r="H202" s="34">
        <v>20</v>
      </c>
      <c r="I202" s="34" t="s">
        <v>12</v>
      </c>
      <c r="J202" s="34">
        <v>1.2909999999999999</v>
      </c>
      <c r="K202" s="41">
        <v>2.9782999999999999</v>
      </c>
    </row>
    <row r="203" spans="1:11">
      <c r="A203" s="34" t="s">
        <v>22</v>
      </c>
      <c r="B203" s="34">
        <v>80</v>
      </c>
      <c r="C203" s="41">
        <v>0.29599999999999999</v>
      </c>
      <c r="D203" s="34">
        <v>7.2800000000000004E-2</v>
      </c>
      <c r="E203" s="34">
        <v>1.01E-3</v>
      </c>
      <c r="F203" s="34">
        <v>1000</v>
      </c>
      <c r="G203" s="42">
        <v>0</v>
      </c>
      <c r="H203" s="34">
        <v>20</v>
      </c>
      <c r="I203" s="34" t="s">
        <v>12</v>
      </c>
      <c r="J203" s="34">
        <v>1.2909999999999999</v>
      </c>
      <c r="K203" s="41">
        <v>2.7898999999999998</v>
      </c>
    </row>
    <row r="204" spans="1:11">
      <c r="A204" s="34" t="s">
        <v>22</v>
      </c>
      <c r="B204" s="34">
        <v>80</v>
      </c>
      <c r="C204" s="41">
        <v>0.3982</v>
      </c>
      <c r="D204" s="34">
        <v>7.2800000000000004E-2</v>
      </c>
      <c r="E204" s="34">
        <v>1.01E-3</v>
      </c>
      <c r="F204" s="34">
        <v>1000</v>
      </c>
      <c r="G204" s="42">
        <v>0</v>
      </c>
      <c r="H204" s="34">
        <v>20</v>
      </c>
      <c r="I204" s="34" t="s">
        <v>12</v>
      </c>
      <c r="J204" s="34">
        <v>1.2909999999999999</v>
      </c>
      <c r="K204" s="41">
        <v>2.8767999999999998</v>
      </c>
    </row>
    <row r="205" spans="1:11">
      <c r="A205" s="34" t="s">
        <v>22</v>
      </c>
      <c r="B205" s="34">
        <v>80</v>
      </c>
      <c r="C205" s="41">
        <v>0.50039999999999996</v>
      </c>
      <c r="D205" s="34">
        <v>7.2800000000000004E-2</v>
      </c>
      <c r="E205" s="34">
        <v>1.01E-3</v>
      </c>
      <c r="F205" s="34">
        <v>1000</v>
      </c>
      <c r="G205" s="42">
        <v>0</v>
      </c>
      <c r="H205" s="34">
        <v>20</v>
      </c>
      <c r="I205" s="34" t="s">
        <v>12</v>
      </c>
      <c r="J205" s="34">
        <v>1.2909999999999999</v>
      </c>
      <c r="K205" s="41">
        <v>2.8913000000000002</v>
      </c>
    </row>
    <row r="206" spans="1:11">
      <c r="A206" s="34" t="s">
        <v>22</v>
      </c>
      <c r="B206" s="34">
        <v>80</v>
      </c>
      <c r="C206" s="41">
        <v>0.60009999999999997</v>
      </c>
      <c r="D206" s="34">
        <v>7.2800000000000004E-2</v>
      </c>
      <c r="E206" s="34">
        <v>1.01E-3</v>
      </c>
      <c r="F206" s="34">
        <v>1000</v>
      </c>
      <c r="G206" s="42">
        <v>0</v>
      </c>
      <c r="H206" s="34">
        <v>20</v>
      </c>
      <c r="I206" s="34" t="s">
        <v>12</v>
      </c>
      <c r="J206" s="34">
        <v>1.2909999999999999</v>
      </c>
      <c r="K206" s="41">
        <v>2.9855</v>
      </c>
    </row>
    <row r="207" spans="1:11">
      <c r="A207" s="34" t="s">
        <v>22</v>
      </c>
      <c r="B207" s="34">
        <v>80</v>
      </c>
      <c r="C207" s="41">
        <v>0.79959999999999998</v>
      </c>
      <c r="D207" s="34">
        <v>7.2800000000000004E-2</v>
      </c>
      <c r="E207" s="34">
        <v>1.01E-3</v>
      </c>
      <c r="F207" s="34">
        <v>1000</v>
      </c>
      <c r="G207" s="42">
        <v>0</v>
      </c>
      <c r="H207" s="34">
        <v>20</v>
      </c>
      <c r="I207" s="34" t="s">
        <v>12</v>
      </c>
      <c r="J207" s="34">
        <v>1.2909999999999999</v>
      </c>
      <c r="K207" s="41">
        <v>3.0796999999999999</v>
      </c>
    </row>
    <row r="208" spans="1:11">
      <c r="A208" s="34" t="s">
        <v>22</v>
      </c>
      <c r="B208" s="34">
        <v>80</v>
      </c>
      <c r="C208" s="41">
        <v>1.0015000000000001</v>
      </c>
      <c r="D208" s="34">
        <v>7.2800000000000004E-2</v>
      </c>
      <c r="E208" s="34">
        <v>1.01E-3</v>
      </c>
      <c r="F208" s="34">
        <v>1000</v>
      </c>
      <c r="G208" s="42">
        <v>0</v>
      </c>
      <c r="H208" s="34">
        <v>20</v>
      </c>
      <c r="I208" s="34" t="s">
        <v>12</v>
      </c>
      <c r="J208" s="34">
        <v>1.2909999999999999</v>
      </c>
      <c r="K208" s="41">
        <v>3.1957</v>
      </c>
    </row>
    <row r="209" spans="1:11">
      <c r="A209" s="34" t="s">
        <v>22</v>
      </c>
      <c r="B209" s="34">
        <v>100</v>
      </c>
      <c r="C209" s="41">
        <v>0.29849999999999999</v>
      </c>
      <c r="D209" s="34">
        <v>7.2800000000000004E-2</v>
      </c>
      <c r="E209" s="34">
        <v>1.01E-3</v>
      </c>
      <c r="F209" s="34">
        <v>1000</v>
      </c>
      <c r="G209" s="42">
        <v>0</v>
      </c>
      <c r="H209" s="34">
        <v>20</v>
      </c>
      <c r="I209" s="34" t="s">
        <v>12</v>
      </c>
      <c r="J209" s="34">
        <v>1.2909999999999999</v>
      </c>
      <c r="K209" s="41">
        <v>3.0941999999999998</v>
      </c>
    </row>
    <row r="210" spans="1:11">
      <c r="A210" s="34" t="s">
        <v>22</v>
      </c>
      <c r="B210" s="34">
        <v>100</v>
      </c>
      <c r="C210" s="41">
        <v>0.3982</v>
      </c>
      <c r="D210" s="34">
        <v>7.2800000000000004E-2</v>
      </c>
      <c r="E210" s="34">
        <v>1.01E-3</v>
      </c>
      <c r="F210" s="34">
        <v>1000</v>
      </c>
      <c r="G210" s="42">
        <v>0</v>
      </c>
      <c r="H210" s="34">
        <v>20</v>
      </c>
      <c r="I210" s="34" t="s">
        <v>12</v>
      </c>
      <c r="J210" s="34">
        <v>1.2909999999999999</v>
      </c>
      <c r="K210" s="41">
        <v>3.1884000000000001</v>
      </c>
    </row>
    <row r="211" spans="1:11">
      <c r="A211" s="34" t="s">
        <v>22</v>
      </c>
      <c r="B211" s="34">
        <v>100</v>
      </c>
      <c r="C211" s="41">
        <v>0.49919999999999998</v>
      </c>
      <c r="D211" s="34">
        <v>7.2800000000000004E-2</v>
      </c>
      <c r="E211" s="34">
        <v>1.01E-3</v>
      </c>
      <c r="F211" s="34">
        <v>1000</v>
      </c>
      <c r="G211" s="42">
        <v>0</v>
      </c>
      <c r="H211" s="34">
        <v>20</v>
      </c>
      <c r="I211" s="34" t="s">
        <v>12</v>
      </c>
      <c r="J211" s="34">
        <v>1.2909999999999999</v>
      </c>
      <c r="K211" s="41">
        <v>3.1957</v>
      </c>
    </row>
    <row r="212" spans="1:11">
      <c r="A212" s="34" t="s">
        <v>22</v>
      </c>
      <c r="B212" s="34">
        <v>100</v>
      </c>
      <c r="C212" s="41">
        <v>0.60009999999999997</v>
      </c>
      <c r="D212" s="34">
        <v>7.2800000000000004E-2</v>
      </c>
      <c r="E212" s="34">
        <v>1.01E-3</v>
      </c>
      <c r="F212" s="34">
        <v>1000</v>
      </c>
      <c r="G212" s="42">
        <v>0</v>
      </c>
      <c r="H212" s="34">
        <v>20</v>
      </c>
      <c r="I212" s="34" t="s">
        <v>12</v>
      </c>
      <c r="J212" s="34">
        <v>1.2909999999999999</v>
      </c>
      <c r="K212" s="41">
        <v>3.2898999999999998</v>
      </c>
    </row>
    <row r="213" spans="1:11">
      <c r="A213" s="34" t="s">
        <v>22</v>
      </c>
      <c r="B213" s="34">
        <v>100</v>
      </c>
      <c r="C213" s="41">
        <v>0.79830000000000001</v>
      </c>
      <c r="D213" s="34">
        <v>7.2800000000000004E-2</v>
      </c>
      <c r="E213" s="34">
        <v>1.01E-3</v>
      </c>
      <c r="F213" s="34">
        <v>1000</v>
      </c>
      <c r="G213" s="42">
        <v>0</v>
      </c>
      <c r="H213" s="34">
        <v>20</v>
      </c>
      <c r="I213" s="34" t="s">
        <v>12</v>
      </c>
      <c r="J213" s="34">
        <v>1.2909999999999999</v>
      </c>
      <c r="K213" s="41">
        <v>3.3767999999999998</v>
      </c>
    </row>
    <row r="214" spans="1:11">
      <c r="A214" s="34" t="s">
        <v>22</v>
      </c>
      <c r="B214" s="34">
        <v>100</v>
      </c>
      <c r="C214" s="41">
        <v>1.0003</v>
      </c>
      <c r="D214" s="34">
        <v>7.2800000000000004E-2</v>
      </c>
      <c r="E214" s="34">
        <v>1.01E-3</v>
      </c>
      <c r="F214" s="34">
        <v>1000</v>
      </c>
      <c r="G214" s="42">
        <v>0</v>
      </c>
      <c r="H214" s="34">
        <v>20</v>
      </c>
      <c r="I214" s="34" t="s">
        <v>12</v>
      </c>
      <c r="J214" s="34">
        <v>1.2909999999999999</v>
      </c>
      <c r="K214" s="41">
        <v>3.4855</v>
      </c>
    </row>
    <row r="215" spans="1:11">
      <c r="A215" s="34" t="s">
        <v>22</v>
      </c>
      <c r="B215" s="34">
        <v>120</v>
      </c>
      <c r="C215" s="41">
        <v>0.29849999999999999</v>
      </c>
      <c r="D215" s="34">
        <v>7.2800000000000004E-2</v>
      </c>
      <c r="E215" s="34">
        <v>1.01E-3</v>
      </c>
      <c r="F215" s="34">
        <v>1000</v>
      </c>
      <c r="G215" s="42">
        <v>0</v>
      </c>
      <c r="H215" s="34">
        <v>20</v>
      </c>
      <c r="I215" s="34" t="s">
        <v>12</v>
      </c>
      <c r="J215" s="34">
        <v>1.2909999999999999</v>
      </c>
      <c r="K215" s="41">
        <v>3.3841000000000001</v>
      </c>
    </row>
    <row r="216" spans="1:11">
      <c r="A216" s="34" t="s">
        <v>22</v>
      </c>
      <c r="B216" s="34">
        <v>120</v>
      </c>
      <c r="C216" s="41">
        <v>0.39939999999999998</v>
      </c>
      <c r="D216" s="34">
        <v>7.2800000000000004E-2</v>
      </c>
      <c r="E216" s="34">
        <v>1.01E-3</v>
      </c>
      <c r="F216" s="34">
        <v>1000</v>
      </c>
      <c r="G216" s="42">
        <v>0</v>
      </c>
      <c r="H216" s="34">
        <v>20</v>
      </c>
      <c r="I216" s="34" t="s">
        <v>12</v>
      </c>
      <c r="J216" s="34">
        <v>1.2909999999999999</v>
      </c>
      <c r="K216" s="41">
        <v>3.3841000000000001</v>
      </c>
    </row>
    <row r="217" spans="1:11">
      <c r="A217" s="34" t="s">
        <v>22</v>
      </c>
      <c r="B217" s="34">
        <v>120</v>
      </c>
      <c r="C217" s="41">
        <v>0.49790000000000001</v>
      </c>
      <c r="D217" s="34">
        <v>7.2800000000000004E-2</v>
      </c>
      <c r="E217" s="34">
        <v>1.01E-3</v>
      </c>
      <c r="F217" s="34">
        <v>1000</v>
      </c>
      <c r="G217" s="42">
        <v>0</v>
      </c>
      <c r="H217" s="34">
        <v>20</v>
      </c>
      <c r="I217" s="34" t="s">
        <v>12</v>
      </c>
      <c r="J217" s="34">
        <v>1.2909999999999999</v>
      </c>
      <c r="K217" s="41">
        <v>3.4855</v>
      </c>
    </row>
    <row r="218" spans="1:11">
      <c r="A218" s="34" t="s">
        <v>22</v>
      </c>
      <c r="B218" s="34">
        <v>120</v>
      </c>
      <c r="C218" s="41">
        <v>0.59760000000000002</v>
      </c>
      <c r="D218" s="34">
        <v>7.2800000000000004E-2</v>
      </c>
      <c r="E218" s="34">
        <v>1.01E-3</v>
      </c>
      <c r="F218" s="34">
        <v>1000</v>
      </c>
      <c r="G218" s="42">
        <v>0</v>
      </c>
      <c r="H218" s="34">
        <v>20</v>
      </c>
      <c r="I218" s="34" t="s">
        <v>12</v>
      </c>
      <c r="J218" s="34">
        <v>1.2909999999999999</v>
      </c>
      <c r="K218" s="41">
        <v>3.4855</v>
      </c>
    </row>
    <row r="219" spans="1:11">
      <c r="A219" s="34" t="s">
        <v>22</v>
      </c>
      <c r="B219" s="34">
        <v>120</v>
      </c>
      <c r="C219" s="41">
        <v>0.79959999999999998</v>
      </c>
      <c r="D219" s="34">
        <v>7.2800000000000004E-2</v>
      </c>
      <c r="E219" s="34">
        <v>1.01E-3</v>
      </c>
      <c r="F219" s="34">
        <v>1000</v>
      </c>
      <c r="G219" s="42">
        <v>0</v>
      </c>
      <c r="H219" s="34">
        <v>20</v>
      </c>
      <c r="I219" s="34" t="s">
        <v>12</v>
      </c>
      <c r="J219" s="34">
        <v>1.2909999999999999</v>
      </c>
      <c r="K219" s="41">
        <v>3.5870000000000002</v>
      </c>
    </row>
    <row r="220" spans="1:11">
      <c r="A220" s="34" t="s">
        <v>22</v>
      </c>
      <c r="B220" s="34">
        <v>120</v>
      </c>
      <c r="C220" s="41">
        <v>1.0015000000000001</v>
      </c>
      <c r="D220" s="34">
        <v>7.2800000000000004E-2</v>
      </c>
      <c r="E220" s="34">
        <v>1.01E-3</v>
      </c>
      <c r="F220" s="34">
        <v>1000</v>
      </c>
      <c r="G220" s="42">
        <v>0</v>
      </c>
      <c r="H220" s="34">
        <v>20</v>
      </c>
      <c r="I220" s="34" t="s">
        <v>12</v>
      </c>
      <c r="J220" s="34">
        <v>1.2909999999999999</v>
      </c>
      <c r="K220" s="41">
        <v>3.7101000000000002</v>
      </c>
    </row>
    <row r="221" spans="1:11">
      <c r="A221" s="34" t="s">
        <v>22</v>
      </c>
      <c r="B221" s="34">
        <v>150</v>
      </c>
      <c r="C221" s="41">
        <v>0.29849999999999999</v>
      </c>
      <c r="D221" s="34">
        <v>7.2800000000000004E-2</v>
      </c>
      <c r="E221" s="34">
        <v>1.01E-3</v>
      </c>
      <c r="F221" s="34">
        <v>1000</v>
      </c>
      <c r="G221" s="42">
        <v>0</v>
      </c>
      <c r="H221" s="34">
        <v>20</v>
      </c>
      <c r="I221" s="34" t="s">
        <v>12</v>
      </c>
      <c r="J221" s="34">
        <v>1.2909999999999999</v>
      </c>
      <c r="K221" s="41">
        <v>3.6957</v>
      </c>
    </row>
    <row r="222" spans="1:11">
      <c r="A222" s="34" t="s">
        <v>22</v>
      </c>
      <c r="B222" s="34">
        <v>150</v>
      </c>
      <c r="C222" s="41">
        <v>0.3982</v>
      </c>
      <c r="D222" s="34">
        <v>7.2800000000000004E-2</v>
      </c>
      <c r="E222" s="34">
        <v>1.01E-3</v>
      </c>
      <c r="F222" s="34">
        <v>1000</v>
      </c>
      <c r="G222" s="42">
        <v>0</v>
      </c>
      <c r="H222" s="34">
        <v>20</v>
      </c>
      <c r="I222" s="34" t="s">
        <v>12</v>
      </c>
      <c r="J222" s="34">
        <v>1.2909999999999999</v>
      </c>
      <c r="K222" s="41">
        <v>3.7898999999999998</v>
      </c>
    </row>
    <row r="223" spans="1:11">
      <c r="A223" s="34" t="s">
        <v>22</v>
      </c>
      <c r="B223" s="34">
        <v>150</v>
      </c>
      <c r="C223" s="41">
        <v>0.49919999999999998</v>
      </c>
      <c r="D223" s="34">
        <v>7.2800000000000004E-2</v>
      </c>
      <c r="E223" s="34">
        <v>1.01E-3</v>
      </c>
      <c r="F223" s="34">
        <v>1000</v>
      </c>
      <c r="G223" s="42">
        <v>0</v>
      </c>
      <c r="H223" s="34">
        <v>20</v>
      </c>
      <c r="I223" s="34" t="s">
        <v>12</v>
      </c>
      <c r="J223" s="34">
        <v>1.2909999999999999</v>
      </c>
      <c r="K223" s="41">
        <v>3.8043</v>
      </c>
    </row>
    <row r="224" spans="1:11">
      <c r="A224" s="34" t="s">
        <v>22</v>
      </c>
      <c r="B224" s="34">
        <v>150</v>
      </c>
      <c r="C224" s="41">
        <v>0.60260000000000002</v>
      </c>
      <c r="D224" s="34">
        <v>7.2800000000000004E-2</v>
      </c>
      <c r="E224" s="34">
        <v>1.01E-3</v>
      </c>
      <c r="F224" s="34">
        <v>1000</v>
      </c>
      <c r="G224" s="42">
        <v>0</v>
      </c>
      <c r="H224" s="34">
        <v>20</v>
      </c>
      <c r="I224" s="34" t="s">
        <v>12</v>
      </c>
      <c r="J224" s="34">
        <v>1.2909999999999999</v>
      </c>
      <c r="K224" s="41">
        <v>3.7826</v>
      </c>
    </row>
    <row r="225" spans="1:11">
      <c r="A225" s="34" t="s">
        <v>22</v>
      </c>
      <c r="B225" s="34">
        <v>150</v>
      </c>
      <c r="C225" s="41">
        <v>0.80079999999999996</v>
      </c>
      <c r="D225" s="34">
        <v>7.2800000000000004E-2</v>
      </c>
      <c r="E225" s="34">
        <v>1.01E-3</v>
      </c>
      <c r="F225" s="34">
        <v>1000</v>
      </c>
      <c r="G225" s="42">
        <v>0</v>
      </c>
      <c r="H225" s="34">
        <v>20</v>
      </c>
      <c r="I225" s="34" t="s">
        <v>12</v>
      </c>
      <c r="J225" s="34">
        <v>1.2909999999999999</v>
      </c>
      <c r="K225" s="41">
        <v>3.8913000000000002</v>
      </c>
    </row>
    <row r="226" spans="1:11">
      <c r="A226" s="34" t="s">
        <v>22</v>
      </c>
      <c r="B226" s="34">
        <v>150</v>
      </c>
      <c r="C226" s="41">
        <v>1.0003</v>
      </c>
      <c r="D226" s="34">
        <v>7.2800000000000004E-2</v>
      </c>
      <c r="E226" s="34">
        <v>1.01E-3</v>
      </c>
      <c r="F226" s="34">
        <v>1000</v>
      </c>
      <c r="G226" s="42">
        <v>0</v>
      </c>
      <c r="H226" s="34">
        <v>20</v>
      </c>
      <c r="I226" s="34" t="s">
        <v>12</v>
      </c>
      <c r="J226" s="34">
        <v>1.2909999999999999</v>
      </c>
      <c r="K226" s="41">
        <v>3.9927999999999999</v>
      </c>
    </row>
    <row r="227" spans="1:11">
      <c r="A227" s="34" t="s">
        <v>22</v>
      </c>
      <c r="B227" s="34">
        <v>200</v>
      </c>
      <c r="C227" s="41">
        <v>0.29720000000000002</v>
      </c>
      <c r="D227" s="34">
        <v>7.2800000000000004E-2</v>
      </c>
      <c r="E227" s="34">
        <v>1.01E-3</v>
      </c>
      <c r="F227" s="34">
        <v>1000</v>
      </c>
      <c r="G227" s="42">
        <v>0</v>
      </c>
      <c r="H227" s="34">
        <v>20</v>
      </c>
      <c r="I227" s="34" t="s">
        <v>12</v>
      </c>
      <c r="J227" s="34">
        <v>1.2909999999999999</v>
      </c>
      <c r="K227" s="41">
        <v>4.1883999999999997</v>
      </c>
    </row>
    <row r="228" spans="1:11">
      <c r="A228" s="34" t="s">
        <v>22</v>
      </c>
      <c r="B228" s="34">
        <v>200</v>
      </c>
      <c r="C228" s="41">
        <v>0.4007</v>
      </c>
      <c r="D228" s="34">
        <v>7.2800000000000004E-2</v>
      </c>
      <c r="E228" s="34">
        <v>1.01E-3</v>
      </c>
      <c r="F228" s="34">
        <v>1000</v>
      </c>
      <c r="G228" s="42">
        <v>0</v>
      </c>
      <c r="H228" s="34">
        <v>20</v>
      </c>
      <c r="I228" s="34" t="s">
        <v>12</v>
      </c>
      <c r="J228" s="34">
        <v>1.2909999999999999</v>
      </c>
      <c r="K228" s="41">
        <v>4.2899000000000003</v>
      </c>
    </row>
    <row r="229" spans="1:11">
      <c r="A229" s="34" t="s">
        <v>22</v>
      </c>
      <c r="B229" s="34">
        <v>200</v>
      </c>
      <c r="C229" s="41">
        <v>0.50170000000000003</v>
      </c>
      <c r="D229" s="34">
        <v>7.2800000000000004E-2</v>
      </c>
      <c r="E229" s="34">
        <v>1.01E-3</v>
      </c>
      <c r="F229" s="34">
        <v>1000</v>
      </c>
      <c r="G229" s="42">
        <v>0</v>
      </c>
      <c r="H229" s="34">
        <v>20</v>
      </c>
      <c r="I229" s="34" t="s">
        <v>12</v>
      </c>
      <c r="J229" s="34">
        <v>1.2909999999999999</v>
      </c>
      <c r="K229" s="41">
        <v>4.2899000000000003</v>
      </c>
    </row>
    <row r="230" spans="1:11">
      <c r="A230" s="34" t="s">
        <v>22</v>
      </c>
      <c r="B230" s="34">
        <v>200</v>
      </c>
      <c r="C230" s="41">
        <v>0.60140000000000005</v>
      </c>
      <c r="D230" s="34">
        <v>7.2800000000000004E-2</v>
      </c>
      <c r="E230" s="34">
        <v>1.01E-3</v>
      </c>
      <c r="F230" s="34">
        <v>1000</v>
      </c>
      <c r="G230" s="42">
        <v>0</v>
      </c>
      <c r="H230" s="34">
        <v>20</v>
      </c>
      <c r="I230" s="34" t="s">
        <v>12</v>
      </c>
      <c r="J230" s="34">
        <v>1.2909999999999999</v>
      </c>
      <c r="K230" s="41">
        <v>4.2826000000000004</v>
      </c>
    </row>
    <row r="231" spans="1:11">
      <c r="A231" s="34" t="s">
        <v>22</v>
      </c>
      <c r="B231" s="34">
        <v>200</v>
      </c>
      <c r="C231" s="41">
        <v>0.80210000000000004</v>
      </c>
      <c r="D231" s="34">
        <v>7.2800000000000004E-2</v>
      </c>
      <c r="E231" s="34">
        <v>1.01E-3</v>
      </c>
      <c r="F231" s="34">
        <v>1000</v>
      </c>
      <c r="G231" s="42">
        <v>0</v>
      </c>
      <c r="H231" s="34">
        <v>20</v>
      </c>
      <c r="I231" s="34" t="s">
        <v>12</v>
      </c>
      <c r="J231" s="34">
        <v>1.2909999999999999</v>
      </c>
      <c r="K231" s="41">
        <v>4.3841000000000001</v>
      </c>
    </row>
    <row r="232" spans="1:11">
      <c r="A232" s="34" t="s">
        <v>22</v>
      </c>
      <c r="B232" s="34">
        <v>200</v>
      </c>
      <c r="C232" s="41">
        <v>0.999</v>
      </c>
      <c r="D232" s="34">
        <v>7.2800000000000004E-2</v>
      </c>
      <c r="E232" s="34">
        <v>1.01E-3</v>
      </c>
      <c r="F232" s="34">
        <v>1000</v>
      </c>
      <c r="G232" s="42">
        <v>0</v>
      </c>
      <c r="H232" s="34">
        <v>20</v>
      </c>
      <c r="I232" s="34" t="s">
        <v>12</v>
      </c>
      <c r="J232" s="34">
        <v>1.2909999999999999</v>
      </c>
      <c r="K232" s="41">
        <v>4.5</v>
      </c>
    </row>
    <row r="233" spans="1:11">
      <c r="A233" s="34" t="s">
        <v>22</v>
      </c>
      <c r="B233" s="34">
        <v>50</v>
      </c>
      <c r="C233" s="41">
        <v>0.30099999999999999</v>
      </c>
      <c r="D233" s="34">
        <v>7.2800000000000004E-2</v>
      </c>
      <c r="E233" s="34">
        <v>1.01E-3</v>
      </c>
      <c r="F233" s="34">
        <v>1000</v>
      </c>
      <c r="G233" s="42">
        <v>0</v>
      </c>
      <c r="H233" s="34">
        <v>20</v>
      </c>
      <c r="I233" s="34" t="s">
        <v>12</v>
      </c>
      <c r="J233" s="34">
        <v>1.2909999999999999</v>
      </c>
      <c r="K233" s="41">
        <v>2.3963999999999999</v>
      </c>
    </row>
    <row r="234" spans="1:11">
      <c r="A234" s="34" t="s">
        <v>22</v>
      </c>
      <c r="B234" s="34">
        <v>50</v>
      </c>
      <c r="C234" s="41">
        <v>0.4007</v>
      </c>
      <c r="D234" s="34">
        <v>7.2800000000000004E-2</v>
      </c>
      <c r="E234" s="34">
        <v>1.01E-3</v>
      </c>
      <c r="F234" s="34">
        <v>1000</v>
      </c>
      <c r="G234" s="42">
        <v>0</v>
      </c>
      <c r="H234" s="34">
        <v>20</v>
      </c>
      <c r="I234" s="34" t="s">
        <v>12</v>
      </c>
      <c r="J234" s="34">
        <v>1.2909999999999999</v>
      </c>
      <c r="K234" s="41">
        <v>2.4983</v>
      </c>
    </row>
    <row r="235" spans="1:11">
      <c r="A235" s="34" t="s">
        <v>22</v>
      </c>
      <c r="B235" s="34">
        <v>50</v>
      </c>
      <c r="C235" s="41">
        <v>0.50039999999999996</v>
      </c>
      <c r="D235" s="34">
        <v>7.2800000000000004E-2</v>
      </c>
      <c r="E235" s="34">
        <v>1.01E-3</v>
      </c>
      <c r="F235" s="34">
        <v>1000</v>
      </c>
      <c r="G235" s="42">
        <v>0</v>
      </c>
      <c r="H235" s="34">
        <v>20</v>
      </c>
      <c r="I235" s="34" t="s">
        <v>12</v>
      </c>
      <c r="J235" s="34">
        <v>1.2909999999999999</v>
      </c>
      <c r="K235" s="41">
        <v>2.5933999999999999</v>
      </c>
    </row>
    <row r="236" spans="1:11">
      <c r="A236" s="34" t="s">
        <v>22</v>
      </c>
      <c r="B236" s="34">
        <v>50</v>
      </c>
      <c r="C236" s="41">
        <v>0.59770000000000001</v>
      </c>
      <c r="D236" s="34">
        <v>7.2800000000000004E-2</v>
      </c>
      <c r="E236" s="34">
        <v>1.01E-3</v>
      </c>
      <c r="F236" s="34">
        <v>1000</v>
      </c>
      <c r="G236" s="42">
        <v>0</v>
      </c>
      <c r="H236" s="34">
        <v>20</v>
      </c>
      <c r="I236" s="34" t="s">
        <v>12</v>
      </c>
      <c r="J236" s="34">
        <v>1.2909999999999999</v>
      </c>
      <c r="K236" s="41">
        <v>2.6680999999999999</v>
      </c>
    </row>
    <row r="237" spans="1:11">
      <c r="A237" s="34" t="s">
        <v>22</v>
      </c>
      <c r="B237" s="34">
        <v>50</v>
      </c>
      <c r="C237" s="41">
        <v>0.80330000000000001</v>
      </c>
      <c r="D237" s="34">
        <v>7.2800000000000004E-2</v>
      </c>
      <c r="E237" s="34">
        <v>1.01E-3</v>
      </c>
      <c r="F237" s="34">
        <v>1000</v>
      </c>
      <c r="G237" s="42">
        <v>0</v>
      </c>
      <c r="H237" s="34">
        <v>20</v>
      </c>
      <c r="I237" s="34" t="s">
        <v>12</v>
      </c>
      <c r="J237" s="34">
        <v>1.2909999999999999</v>
      </c>
      <c r="K237" s="41">
        <v>2.8513999999999999</v>
      </c>
    </row>
    <row r="238" spans="1:11">
      <c r="A238" s="34" t="s">
        <v>22</v>
      </c>
      <c r="B238" s="34">
        <v>50</v>
      </c>
      <c r="C238" s="41">
        <v>1.0015000000000001</v>
      </c>
      <c r="D238" s="34">
        <v>7.2800000000000004E-2</v>
      </c>
      <c r="E238" s="34">
        <v>1.01E-3</v>
      </c>
      <c r="F238" s="34">
        <v>1000</v>
      </c>
      <c r="G238" s="42">
        <v>0</v>
      </c>
      <c r="H238" s="34">
        <v>20</v>
      </c>
      <c r="I238" s="34" t="s">
        <v>12</v>
      </c>
      <c r="J238" s="34">
        <v>1.2909999999999999</v>
      </c>
      <c r="K238" s="41">
        <v>2.9194</v>
      </c>
    </row>
    <row r="239" spans="1:11">
      <c r="A239" s="34" t="s">
        <v>22</v>
      </c>
      <c r="B239" s="34">
        <v>80</v>
      </c>
      <c r="C239" s="41">
        <v>0.29970000000000002</v>
      </c>
      <c r="D239" s="34">
        <v>7.2800000000000004E-2</v>
      </c>
      <c r="E239" s="34">
        <v>1.01E-3</v>
      </c>
      <c r="F239" s="34">
        <v>1000</v>
      </c>
      <c r="G239" s="42">
        <v>0</v>
      </c>
      <c r="H239" s="34">
        <v>20</v>
      </c>
      <c r="I239" s="34" t="s">
        <v>12</v>
      </c>
      <c r="J239" s="34">
        <v>1.2909999999999999</v>
      </c>
      <c r="K239" s="41">
        <v>2.702</v>
      </c>
    </row>
    <row r="240" spans="1:11">
      <c r="A240" s="34" t="s">
        <v>22</v>
      </c>
      <c r="B240" s="34">
        <v>80</v>
      </c>
      <c r="C240" s="41">
        <v>0.4007</v>
      </c>
      <c r="D240" s="34">
        <v>7.2800000000000004E-2</v>
      </c>
      <c r="E240" s="34">
        <v>1.01E-3</v>
      </c>
      <c r="F240" s="34">
        <v>1000</v>
      </c>
      <c r="G240" s="42">
        <v>0</v>
      </c>
      <c r="H240" s="34">
        <v>20</v>
      </c>
      <c r="I240" s="34" t="s">
        <v>12</v>
      </c>
      <c r="J240" s="34">
        <v>1.2909999999999999</v>
      </c>
      <c r="K240" s="41">
        <v>2.7970999999999999</v>
      </c>
    </row>
    <row r="241" spans="1:11">
      <c r="A241" s="34" t="s">
        <v>22</v>
      </c>
      <c r="B241" s="34">
        <v>80</v>
      </c>
      <c r="C241" s="41">
        <v>0.50039999999999996</v>
      </c>
      <c r="D241" s="34">
        <v>7.2800000000000004E-2</v>
      </c>
      <c r="E241" s="34">
        <v>1.01E-3</v>
      </c>
      <c r="F241" s="34">
        <v>1000</v>
      </c>
      <c r="G241" s="42">
        <v>0</v>
      </c>
      <c r="H241" s="34">
        <v>20</v>
      </c>
      <c r="I241" s="34" t="s">
        <v>12</v>
      </c>
      <c r="J241" s="34">
        <v>1.2909999999999999</v>
      </c>
      <c r="K241" s="41">
        <v>2.7970999999999999</v>
      </c>
    </row>
    <row r="242" spans="1:11">
      <c r="A242" s="34" t="s">
        <v>22</v>
      </c>
      <c r="B242" s="34">
        <v>80</v>
      </c>
      <c r="C242" s="41">
        <v>0.60009999999999997</v>
      </c>
      <c r="D242" s="34">
        <v>7.2800000000000004E-2</v>
      </c>
      <c r="E242" s="34">
        <v>1.01E-3</v>
      </c>
      <c r="F242" s="34">
        <v>1000</v>
      </c>
      <c r="G242" s="42">
        <v>0</v>
      </c>
      <c r="H242" s="34">
        <v>20</v>
      </c>
      <c r="I242" s="34" t="s">
        <v>12</v>
      </c>
      <c r="J242" s="34">
        <v>1.2909999999999999</v>
      </c>
      <c r="K242" s="41">
        <v>2.8921999999999999</v>
      </c>
    </row>
    <row r="243" spans="1:11">
      <c r="A243" s="34" t="s">
        <v>22</v>
      </c>
      <c r="B243" s="34">
        <v>80</v>
      </c>
      <c r="C243" s="41">
        <v>0.80079999999999996</v>
      </c>
      <c r="D243" s="34">
        <v>7.2800000000000004E-2</v>
      </c>
      <c r="E243" s="34">
        <v>1.01E-3</v>
      </c>
      <c r="F243" s="34">
        <v>1000</v>
      </c>
      <c r="G243" s="42">
        <v>0</v>
      </c>
      <c r="H243" s="34">
        <v>20</v>
      </c>
      <c r="I243" s="34" t="s">
        <v>12</v>
      </c>
      <c r="J243" s="34">
        <v>1.2909999999999999</v>
      </c>
      <c r="K243" s="41">
        <v>2.9805000000000001</v>
      </c>
    </row>
    <row r="244" spans="1:11">
      <c r="A244" s="34" t="s">
        <v>22</v>
      </c>
      <c r="B244" s="34">
        <v>80</v>
      </c>
      <c r="C244" s="41">
        <v>0.999</v>
      </c>
      <c r="D244" s="34">
        <v>7.2800000000000004E-2</v>
      </c>
      <c r="E244" s="34">
        <v>1.01E-3</v>
      </c>
      <c r="F244" s="34">
        <v>1000</v>
      </c>
      <c r="G244" s="42">
        <v>0</v>
      </c>
      <c r="H244" s="34">
        <v>20</v>
      </c>
      <c r="I244" s="34" t="s">
        <v>12</v>
      </c>
      <c r="J244" s="34">
        <v>1.2909999999999999</v>
      </c>
      <c r="K244" s="41">
        <v>3.0958999999999999</v>
      </c>
    </row>
    <row r="245" spans="1:11">
      <c r="A245" s="34" t="s">
        <v>22</v>
      </c>
      <c r="B245" s="34">
        <v>100</v>
      </c>
      <c r="C245" s="41">
        <v>0.30099999999999999</v>
      </c>
      <c r="D245" s="34">
        <v>7.2800000000000004E-2</v>
      </c>
      <c r="E245" s="34">
        <v>1.01E-3</v>
      </c>
      <c r="F245" s="34">
        <v>1000</v>
      </c>
      <c r="G245" s="42">
        <v>0</v>
      </c>
      <c r="H245" s="34">
        <v>20</v>
      </c>
      <c r="I245" s="34" t="s">
        <v>12</v>
      </c>
      <c r="J245" s="34">
        <v>1.2909999999999999</v>
      </c>
      <c r="K245" s="41">
        <v>2.9941</v>
      </c>
    </row>
    <row r="246" spans="1:11">
      <c r="A246" s="34" t="s">
        <v>22</v>
      </c>
      <c r="B246" s="34">
        <v>100</v>
      </c>
      <c r="C246" s="41">
        <v>0.4007</v>
      </c>
      <c r="D246" s="34">
        <v>7.2800000000000004E-2</v>
      </c>
      <c r="E246" s="34">
        <v>1.01E-3</v>
      </c>
      <c r="F246" s="34">
        <v>1000</v>
      </c>
      <c r="G246" s="42">
        <v>0</v>
      </c>
      <c r="H246" s="34">
        <v>20</v>
      </c>
      <c r="I246" s="34" t="s">
        <v>12</v>
      </c>
      <c r="J246" s="34">
        <v>1.2909999999999999</v>
      </c>
      <c r="K246" s="41">
        <v>3.1027</v>
      </c>
    </row>
    <row r="247" spans="1:11">
      <c r="A247" s="34" t="s">
        <v>22</v>
      </c>
      <c r="B247" s="34">
        <v>100</v>
      </c>
      <c r="C247" s="41">
        <v>0.49790000000000001</v>
      </c>
      <c r="D247" s="34">
        <v>7.2800000000000004E-2</v>
      </c>
      <c r="E247" s="34">
        <v>1.01E-3</v>
      </c>
      <c r="F247" s="34">
        <v>1000</v>
      </c>
      <c r="G247" s="42">
        <v>0</v>
      </c>
      <c r="H247" s="34">
        <v>20</v>
      </c>
      <c r="I247" s="34" t="s">
        <v>12</v>
      </c>
      <c r="J247" s="34">
        <v>1.2909999999999999</v>
      </c>
      <c r="K247" s="41">
        <v>3.1095000000000002</v>
      </c>
    </row>
    <row r="248" spans="1:11">
      <c r="A248" s="34" t="s">
        <v>22</v>
      </c>
      <c r="B248" s="34">
        <v>100</v>
      </c>
      <c r="C248" s="41">
        <v>0.59889999999999999</v>
      </c>
      <c r="D248" s="34">
        <v>7.2800000000000004E-2</v>
      </c>
      <c r="E248" s="34">
        <v>1.01E-3</v>
      </c>
      <c r="F248" s="34">
        <v>1000</v>
      </c>
      <c r="G248" s="42">
        <v>0</v>
      </c>
      <c r="H248" s="34">
        <v>20</v>
      </c>
      <c r="I248" s="34" t="s">
        <v>12</v>
      </c>
      <c r="J248" s="34">
        <v>1.2909999999999999</v>
      </c>
      <c r="K248" s="41">
        <v>3.0958999999999999</v>
      </c>
    </row>
    <row r="249" spans="1:11">
      <c r="A249" s="34" t="s">
        <v>22</v>
      </c>
      <c r="B249" s="34">
        <v>100</v>
      </c>
      <c r="C249" s="41">
        <v>0.79959999999999998</v>
      </c>
      <c r="D249" s="34">
        <v>7.2800000000000004E-2</v>
      </c>
      <c r="E249" s="34">
        <v>1.01E-3</v>
      </c>
      <c r="F249" s="34">
        <v>1000</v>
      </c>
      <c r="G249" s="42">
        <v>0</v>
      </c>
      <c r="H249" s="34">
        <v>20</v>
      </c>
      <c r="I249" s="34" t="s">
        <v>12</v>
      </c>
      <c r="J249" s="34">
        <v>1.2909999999999999</v>
      </c>
      <c r="K249" s="41">
        <v>3.1909999999999998</v>
      </c>
    </row>
    <row r="250" spans="1:11">
      <c r="A250" s="34" t="s">
        <v>22</v>
      </c>
      <c r="B250" s="34">
        <v>100</v>
      </c>
      <c r="C250" s="41">
        <v>1.0015000000000001</v>
      </c>
      <c r="D250" s="34">
        <v>7.2800000000000004E-2</v>
      </c>
      <c r="E250" s="34">
        <v>1.01E-3</v>
      </c>
      <c r="F250" s="34">
        <v>1000</v>
      </c>
      <c r="G250" s="42">
        <v>0</v>
      </c>
      <c r="H250" s="34">
        <v>20</v>
      </c>
      <c r="I250" s="34" t="s">
        <v>12</v>
      </c>
      <c r="J250" s="34">
        <v>1.2909999999999999</v>
      </c>
      <c r="K250" s="41">
        <v>3.2860999999999998</v>
      </c>
    </row>
    <row r="251" spans="1:11">
      <c r="A251" s="34" t="s">
        <v>22</v>
      </c>
      <c r="B251" s="34">
        <v>120</v>
      </c>
      <c r="C251" s="41">
        <v>0.30099999999999999</v>
      </c>
      <c r="D251" s="34">
        <v>7.2800000000000004E-2</v>
      </c>
      <c r="E251" s="34">
        <v>1.01E-3</v>
      </c>
      <c r="F251" s="34">
        <v>1000</v>
      </c>
      <c r="G251" s="42">
        <v>0</v>
      </c>
      <c r="H251" s="34">
        <v>20</v>
      </c>
      <c r="I251" s="34" t="s">
        <v>12</v>
      </c>
      <c r="J251" s="34">
        <v>1.2909999999999999</v>
      </c>
      <c r="K251" s="41">
        <v>3.1909999999999998</v>
      </c>
    </row>
    <row r="252" spans="1:11">
      <c r="A252" s="34" t="s">
        <v>22</v>
      </c>
      <c r="B252" s="34">
        <v>120</v>
      </c>
      <c r="C252" s="41">
        <v>0.39950000000000002</v>
      </c>
      <c r="D252" s="34">
        <v>7.2800000000000004E-2</v>
      </c>
      <c r="E252" s="34">
        <v>1.01E-3</v>
      </c>
      <c r="F252" s="34">
        <v>1000</v>
      </c>
      <c r="G252" s="42">
        <v>0</v>
      </c>
      <c r="H252" s="34">
        <v>20</v>
      </c>
      <c r="I252" s="34" t="s">
        <v>12</v>
      </c>
      <c r="J252" s="34">
        <v>1.2909999999999999</v>
      </c>
      <c r="K252" s="41">
        <v>3.2928999999999999</v>
      </c>
    </row>
    <row r="253" spans="1:11">
      <c r="A253" s="34" t="s">
        <v>22</v>
      </c>
      <c r="B253" s="34">
        <v>120</v>
      </c>
      <c r="C253" s="41">
        <v>0.50039999999999996</v>
      </c>
      <c r="D253" s="34">
        <v>7.2800000000000004E-2</v>
      </c>
      <c r="E253" s="34">
        <v>1.01E-3</v>
      </c>
      <c r="F253" s="34">
        <v>1000</v>
      </c>
      <c r="G253" s="42">
        <v>0</v>
      </c>
      <c r="H253" s="34">
        <v>20</v>
      </c>
      <c r="I253" s="34" t="s">
        <v>12</v>
      </c>
      <c r="J253" s="34">
        <v>1.2909999999999999</v>
      </c>
      <c r="K253" s="41">
        <v>3.4015</v>
      </c>
    </row>
    <row r="254" spans="1:11">
      <c r="A254" s="34" t="s">
        <v>22</v>
      </c>
      <c r="B254" s="34">
        <v>120</v>
      </c>
      <c r="C254" s="41">
        <v>0.59889999999999999</v>
      </c>
      <c r="D254" s="34">
        <v>7.2800000000000004E-2</v>
      </c>
      <c r="E254" s="34">
        <v>1.01E-3</v>
      </c>
      <c r="F254" s="34">
        <v>1000</v>
      </c>
      <c r="G254" s="42">
        <v>0</v>
      </c>
      <c r="H254" s="34">
        <v>20</v>
      </c>
      <c r="I254" s="34" t="s">
        <v>12</v>
      </c>
      <c r="J254" s="34">
        <v>1.2909999999999999</v>
      </c>
      <c r="K254" s="41">
        <v>3.3946999999999998</v>
      </c>
    </row>
    <row r="255" spans="1:11">
      <c r="A255" s="34" t="s">
        <v>22</v>
      </c>
      <c r="B255" s="34">
        <v>120</v>
      </c>
      <c r="C255" s="41">
        <v>0.79959999999999998</v>
      </c>
      <c r="D255" s="34">
        <v>7.2800000000000004E-2</v>
      </c>
      <c r="E255" s="34">
        <v>1.01E-3</v>
      </c>
      <c r="F255" s="34">
        <v>1000</v>
      </c>
      <c r="G255" s="42">
        <v>0</v>
      </c>
      <c r="H255" s="34">
        <v>20</v>
      </c>
      <c r="I255" s="34" t="s">
        <v>12</v>
      </c>
      <c r="J255" s="34">
        <v>1.2909999999999999</v>
      </c>
      <c r="K255" s="41">
        <v>3.4897999999999998</v>
      </c>
    </row>
    <row r="256" spans="1:11">
      <c r="A256" s="34" t="s">
        <v>22</v>
      </c>
      <c r="B256" s="34">
        <v>120</v>
      </c>
      <c r="C256" s="41">
        <v>1.0026999999999999</v>
      </c>
      <c r="D256" s="34">
        <v>7.2800000000000004E-2</v>
      </c>
      <c r="E256" s="34">
        <v>1.01E-3</v>
      </c>
      <c r="F256" s="34">
        <v>1000</v>
      </c>
      <c r="G256" s="42">
        <v>0</v>
      </c>
      <c r="H256" s="34">
        <v>20</v>
      </c>
      <c r="I256" s="34" t="s">
        <v>12</v>
      </c>
      <c r="J256" s="34">
        <v>1.2909999999999999</v>
      </c>
      <c r="K256" s="41">
        <v>3.5916999999999999</v>
      </c>
    </row>
    <row r="257" spans="1:11">
      <c r="A257" s="34" t="s">
        <v>22</v>
      </c>
      <c r="B257" s="34">
        <v>150</v>
      </c>
      <c r="C257" s="41">
        <v>0.29849999999999999</v>
      </c>
      <c r="D257" s="34">
        <v>7.2800000000000004E-2</v>
      </c>
      <c r="E257" s="34">
        <v>1.01E-3</v>
      </c>
      <c r="F257" s="34">
        <v>1000</v>
      </c>
      <c r="G257" s="42">
        <v>0</v>
      </c>
      <c r="H257" s="34">
        <v>20</v>
      </c>
      <c r="I257" s="34" t="s">
        <v>12</v>
      </c>
      <c r="J257" s="34">
        <v>1.2909999999999999</v>
      </c>
      <c r="K257" s="41">
        <v>3.5985</v>
      </c>
    </row>
    <row r="258" spans="1:11">
      <c r="A258" s="34" t="s">
        <v>22</v>
      </c>
      <c r="B258" s="34">
        <v>150</v>
      </c>
      <c r="C258" s="41">
        <v>0.4007</v>
      </c>
      <c r="D258" s="34">
        <v>7.2800000000000004E-2</v>
      </c>
      <c r="E258" s="34">
        <v>1.01E-3</v>
      </c>
      <c r="F258" s="34">
        <v>1000</v>
      </c>
      <c r="G258" s="42">
        <v>0</v>
      </c>
      <c r="H258" s="34">
        <v>20</v>
      </c>
      <c r="I258" s="34" t="s">
        <v>12</v>
      </c>
      <c r="J258" s="34">
        <v>1.2909999999999999</v>
      </c>
      <c r="K258" s="41">
        <v>3.5916999999999999</v>
      </c>
    </row>
    <row r="259" spans="1:11">
      <c r="A259" s="34" t="s">
        <v>22</v>
      </c>
      <c r="B259" s="34">
        <v>150</v>
      </c>
      <c r="C259" s="41">
        <v>0.50039999999999996</v>
      </c>
      <c r="D259" s="34">
        <v>7.2800000000000004E-2</v>
      </c>
      <c r="E259" s="34">
        <v>1.01E-3</v>
      </c>
      <c r="F259" s="34">
        <v>1000</v>
      </c>
      <c r="G259" s="42">
        <v>0</v>
      </c>
      <c r="H259" s="34">
        <v>20</v>
      </c>
      <c r="I259" s="34" t="s">
        <v>12</v>
      </c>
      <c r="J259" s="34">
        <v>1.2909999999999999</v>
      </c>
      <c r="K259" s="41">
        <v>3.7002999999999999</v>
      </c>
    </row>
    <row r="260" spans="1:11">
      <c r="A260" s="34" t="s">
        <v>22</v>
      </c>
      <c r="B260" s="34">
        <v>150</v>
      </c>
      <c r="C260" s="41">
        <v>0.60140000000000005</v>
      </c>
      <c r="D260" s="34">
        <v>7.2800000000000004E-2</v>
      </c>
      <c r="E260" s="34">
        <v>1.01E-3</v>
      </c>
      <c r="F260" s="34">
        <v>1000</v>
      </c>
      <c r="G260" s="42">
        <v>0</v>
      </c>
      <c r="H260" s="34">
        <v>20</v>
      </c>
      <c r="I260" s="34" t="s">
        <v>12</v>
      </c>
      <c r="J260" s="34">
        <v>1.2909999999999999</v>
      </c>
      <c r="K260" s="41">
        <v>3.7953999999999999</v>
      </c>
    </row>
    <row r="261" spans="1:11">
      <c r="A261" s="34" t="s">
        <v>22</v>
      </c>
      <c r="B261" s="34">
        <v>150</v>
      </c>
      <c r="C261" s="41">
        <v>0.80079999999999996</v>
      </c>
      <c r="D261" s="34">
        <v>7.2800000000000004E-2</v>
      </c>
      <c r="E261" s="34">
        <v>1.01E-3</v>
      </c>
      <c r="F261" s="34">
        <v>1000</v>
      </c>
      <c r="G261" s="42">
        <v>0</v>
      </c>
      <c r="H261" s="34">
        <v>20</v>
      </c>
      <c r="I261" s="34" t="s">
        <v>12</v>
      </c>
      <c r="J261" s="34">
        <v>1.2909999999999999</v>
      </c>
      <c r="K261" s="41">
        <v>3.7886000000000002</v>
      </c>
    </row>
    <row r="262" spans="1:11">
      <c r="A262" s="34" t="s">
        <v>22</v>
      </c>
      <c r="B262" s="34">
        <v>150</v>
      </c>
      <c r="C262" s="41">
        <v>1.0015000000000001</v>
      </c>
      <c r="D262" s="34">
        <v>7.2800000000000004E-2</v>
      </c>
      <c r="E262" s="34">
        <v>1.01E-3</v>
      </c>
      <c r="F262" s="34">
        <v>1000</v>
      </c>
      <c r="G262" s="42">
        <v>0</v>
      </c>
      <c r="H262" s="34">
        <v>20</v>
      </c>
      <c r="I262" s="34" t="s">
        <v>12</v>
      </c>
      <c r="J262" s="34">
        <v>1.2909999999999999</v>
      </c>
      <c r="K262" s="41">
        <v>3.9041000000000001</v>
      </c>
    </row>
    <row r="263" spans="1:11">
      <c r="A263" s="34" t="s">
        <v>22</v>
      </c>
      <c r="B263" s="34">
        <v>200</v>
      </c>
      <c r="C263" s="41">
        <v>0.30099999999999999</v>
      </c>
      <c r="D263" s="34">
        <v>7.2800000000000004E-2</v>
      </c>
      <c r="E263" s="34">
        <v>1.01E-3</v>
      </c>
      <c r="F263" s="34">
        <v>1000</v>
      </c>
      <c r="G263" s="42">
        <v>0</v>
      </c>
      <c r="H263" s="34">
        <v>20</v>
      </c>
      <c r="I263" s="34" t="s">
        <v>12</v>
      </c>
      <c r="J263" s="34">
        <v>1.2909999999999999</v>
      </c>
      <c r="K263" s="41">
        <v>4.101</v>
      </c>
    </row>
    <row r="264" spans="1:11">
      <c r="A264" s="34" t="s">
        <v>22</v>
      </c>
      <c r="B264" s="34">
        <v>200</v>
      </c>
      <c r="C264" s="41">
        <v>0.39950000000000002</v>
      </c>
      <c r="D264" s="34">
        <v>7.2800000000000004E-2</v>
      </c>
      <c r="E264" s="34">
        <v>1.01E-3</v>
      </c>
      <c r="F264" s="34">
        <v>1000</v>
      </c>
      <c r="G264" s="42">
        <v>0</v>
      </c>
      <c r="H264" s="34">
        <v>20</v>
      </c>
      <c r="I264" s="34" t="s">
        <v>12</v>
      </c>
      <c r="J264" s="34">
        <v>1.2909999999999999</v>
      </c>
      <c r="K264" s="41">
        <v>4.2028999999999996</v>
      </c>
    </row>
    <row r="265" spans="1:11">
      <c r="A265" s="34" t="s">
        <v>22</v>
      </c>
      <c r="B265" s="34">
        <v>200</v>
      </c>
      <c r="C265" s="41">
        <v>0.50160000000000005</v>
      </c>
      <c r="D265" s="34">
        <v>7.2800000000000004E-2</v>
      </c>
      <c r="E265" s="34">
        <v>1.01E-3</v>
      </c>
      <c r="F265" s="34">
        <v>1000</v>
      </c>
      <c r="G265" s="42">
        <v>0</v>
      </c>
      <c r="H265" s="34">
        <v>20</v>
      </c>
      <c r="I265" s="34" t="s">
        <v>12</v>
      </c>
      <c r="J265" s="34">
        <v>1.2909999999999999</v>
      </c>
      <c r="K265" s="41">
        <v>4.1961000000000004</v>
      </c>
    </row>
    <row r="266" spans="1:11">
      <c r="A266" s="34" t="s">
        <v>22</v>
      </c>
      <c r="B266" s="34">
        <v>200</v>
      </c>
      <c r="C266" s="41">
        <v>0.60140000000000005</v>
      </c>
      <c r="D266" s="34">
        <v>7.2800000000000004E-2</v>
      </c>
      <c r="E266" s="34">
        <v>1.01E-3</v>
      </c>
      <c r="F266" s="34">
        <v>1000</v>
      </c>
      <c r="G266" s="42">
        <v>0</v>
      </c>
      <c r="H266" s="34">
        <v>20</v>
      </c>
      <c r="I266" s="34" t="s">
        <v>12</v>
      </c>
      <c r="J266" s="34">
        <v>1.2909999999999999</v>
      </c>
      <c r="K266" s="41">
        <v>4.1961000000000004</v>
      </c>
    </row>
    <row r="267" spans="1:11">
      <c r="A267" s="34" t="s">
        <v>22</v>
      </c>
      <c r="B267" s="34">
        <v>200</v>
      </c>
      <c r="C267" s="41">
        <v>0.80079999999999996</v>
      </c>
      <c r="D267" s="34">
        <v>7.2800000000000004E-2</v>
      </c>
      <c r="E267" s="34">
        <v>1.01E-3</v>
      </c>
      <c r="F267" s="34">
        <v>1000</v>
      </c>
      <c r="G267" s="42">
        <v>0</v>
      </c>
      <c r="H267" s="34">
        <v>20</v>
      </c>
      <c r="I267" s="34" t="s">
        <v>12</v>
      </c>
      <c r="J267" s="34">
        <v>1.2909999999999999</v>
      </c>
      <c r="K267" s="41">
        <v>4.3048000000000002</v>
      </c>
    </row>
    <row r="268" spans="1:11">
      <c r="A268" s="34" t="s">
        <v>22</v>
      </c>
      <c r="B268" s="34">
        <v>200</v>
      </c>
      <c r="C268" s="41">
        <v>1.0003</v>
      </c>
      <c r="D268" s="34">
        <v>7.2800000000000004E-2</v>
      </c>
      <c r="E268" s="34">
        <v>1.01E-3</v>
      </c>
      <c r="F268" s="34">
        <v>1000</v>
      </c>
      <c r="G268" s="42">
        <v>0</v>
      </c>
      <c r="H268" s="34">
        <v>20</v>
      </c>
      <c r="I268" s="34" t="s">
        <v>12</v>
      </c>
      <c r="J268" s="34">
        <v>1.2909999999999999</v>
      </c>
      <c r="K268" s="41">
        <v>4.2911999999999999</v>
      </c>
    </row>
    <row r="269" spans="1:11">
      <c r="A269" s="34" t="s">
        <v>22</v>
      </c>
      <c r="B269" s="34">
        <v>50</v>
      </c>
      <c r="C269" s="41">
        <v>0.29749999999999999</v>
      </c>
      <c r="D269" s="34">
        <v>9.6600000000000005E-2</v>
      </c>
      <c r="E269" s="34">
        <v>0.13</v>
      </c>
      <c r="F269" s="34">
        <v>1008</v>
      </c>
      <c r="G269" s="42">
        <v>0</v>
      </c>
      <c r="H269" s="34">
        <v>20</v>
      </c>
      <c r="I269" s="34" t="s">
        <v>12</v>
      </c>
      <c r="J269" s="34">
        <v>1.2909999999999999</v>
      </c>
      <c r="K269" s="41">
        <v>3.3820999999999999</v>
      </c>
    </row>
    <row r="270" spans="1:11">
      <c r="A270" s="34" t="s">
        <v>22</v>
      </c>
      <c r="B270" s="34">
        <v>50</v>
      </c>
      <c r="C270" s="41">
        <v>0.39879999999999999</v>
      </c>
      <c r="D270" s="34">
        <v>9.6600000000000005E-2</v>
      </c>
      <c r="E270" s="34">
        <v>0.13</v>
      </c>
      <c r="F270" s="34">
        <v>1008</v>
      </c>
      <c r="G270" s="42">
        <v>0</v>
      </c>
      <c r="H270" s="34">
        <v>20</v>
      </c>
      <c r="I270" s="34" t="s">
        <v>12</v>
      </c>
      <c r="J270" s="34">
        <v>1.2909999999999999</v>
      </c>
      <c r="K270" s="41">
        <v>3.4363000000000001</v>
      </c>
    </row>
    <row r="271" spans="1:11">
      <c r="A271" s="34" t="s">
        <v>22</v>
      </c>
      <c r="B271" s="34">
        <v>50</v>
      </c>
      <c r="C271" s="41">
        <v>0.49880000000000002</v>
      </c>
      <c r="D271" s="34">
        <v>9.6600000000000005E-2</v>
      </c>
      <c r="E271" s="34">
        <v>0.13</v>
      </c>
      <c r="F271" s="34">
        <v>1008</v>
      </c>
      <c r="G271" s="42">
        <v>0</v>
      </c>
      <c r="H271" s="34">
        <v>20</v>
      </c>
      <c r="I271" s="34" t="s">
        <v>12</v>
      </c>
      <c r="J271" s="34">
        <v>1.2909999999999999</v>
      </c>
      <c r="K271" s="41">
        <v>3.4904999999999999</v>
      </c>
    </row>
    <row r="272" spans="1:11">
      <c r="A272" s="34" t="s">
        <v>22</v>
      </c>
      <c r="B272" s="34">
        <v>50</v>
      </c>
      <c r="C272" s="41">
        <v>0.60119999999999996</v>
      </c>
      <c r="D272" s="34">
        <v>9.6600000000000005E-2</v>
      </c>
      <c r="E272" s="34">
        <v>0.13</v>
      </c>
      <c r="F272" s="34">
        <v>1008</v>
      </c>
      <c r="G272" s="42">
        <v>0</v>
      </c>
      <c r="H272" s="34">
        <v>20</v>
      </c>
      <c r="I272" s="34" t="s">
        <v>12</v>
      </c>
      <c r="J272" s="34">
        <v>1.2909999999999999</v>
      </c>
      <c r="K272" s="41">
        <v>3.6067</v>
      </c>
    </row>
    <row r="273" spans="1:11">
      <c r="A273" s="34" t="s">
        <v>22</v>
      </c>
      <c r="B273" s="34">
        <v>50</v>
      </c>
      <c r="C273" s="41">
        <v>0.80120000000000002</v>
      </c>
      <c r="D273" s="34">
        <v>9.6600000000000005E-2</v>
      </c>
      <c r="E273" s="34">
        <v>0.13</v>
      </c>
      <c r="F273" s="34">
        <v>1008</v>
      </c>
      <c r="G273" s="42">
        <v>0</v>
      </c>
      <c r="H273" s="34">
        <v>20</v>
      </c>
      <c r="I273" s="34" t="s">
        <v>12</v>
      </c>
      <c r="J273" s="34">
        <v>1.2909999999999999</v>
      </c>
      <c r="K273" s="41">
        <v>3.7073999999999998</v>
      </c>
    </row>
    <row r="274" spans="1:11">
      <c r="A274" s="34" t="s">
        <v>22</v>
      </c>
      <c r="B274" s="34">
        <v>50</v>
      </c>
      <c r="C274" s="41">
        <v>1.0024999999999999</v>
      </c>
      <c r="D274" s="34">
        <v>9.6600000000000005E-2</v>
      </c>
      <c r="E274" s="34">
        <v>0.13</v>
      </c>
      <c r="F274" s="34">
        <v>1008</v>
      </c>
      <c r="G274" s="42">
        <v>0</v>
      </c>
      <c r="H274" s="34">
        <v>20</v>
      </c>
      <c r="I274" s="34" t="s">
        <v>12</v>
      </c>
      <c r="J274" s="34">
        <v>1.2909999999999999</v>
      </c>
      <c r="K274" s="41">
        <v>3.7848999999999999</v>
      </c>
    </row>
    <row r="275" spans="1:11">
      <c r="A275" s="34" t="s">
        <v>22</v>
      </c>
      <c r="B275" s="34">
        <v>80</v>
      </c>
      <c r="C275" s="41">
        <v>0.29880000000000001</v>
      </c>
      <c r="D275" s="34">
        <v>9.6600000000000005E-2</v>
      </c>
      <c r="E275" s="34">
        <v>0.13</v>
      </c>
      <c r="F275" s="34">
        <v>1008</v>
      </c>
      <c r="G275" s="42">
        <v>0</v>
      </c>
      <c r="H275" s="34">
        <v>20</v>
      </c>
      <c r="I275" s="34" t="s">
        <v>12</v>
      </c>
      <c r="J275" s="34">
        <v>1.2909999999999999</v>
      </c>
      <c r="K275" s="41">
        <v>3.8003</v>
      </c>
    </row>
    <row r="276" spans="1:11">
      <c r="A276" s="34" t="s">
        <v>22</v>
      </c>
      <c r="B276" s="34">
        <v>80</v>
      </c>
      <c r="C276" s="41">
        <v>0.4</v>
      </c>
      <c r="D276" s="34">
        <v>9.6600000000000005E-2</v>
      </c>
      <c r="E276" s="34">
        <v>0.13</v>
      </c>
      <c r="F276" s="34">
        <v>1008</v>
      </c>
      <c r="G276" s="42">
        <v>0</v>
      </c>
      <c r="H276" s="34">
        <v>20</v>
      </c>
      <c r="I276" s="34" t="s">
        <v>12</v>
      </c>
      <c r="J276" s="34">
        <v>1.2909999999999999</v>
      </c>
      <c r="K276" s="41">
        <v>3.9009999999999998</v>
      </c>
    </row>
    <row r="277" spans="1:11">
      <c r="A277" s="34" t="s">
        <v>22</v>
      </c>
      <c r="B277" s="34">
        <v>80</v>
      </c>
      <c r="C277" s="41">
        <v>0.5</v>
      </c>
      <c r="D277" s="34">
        <v>9.6600000000000005E-2</v>
      </c>
      <c r="E277" s="34">
        <v>0.13</v>
      </c>
      <c r="F277" s="34">
        <v>1008</v>
      </c>
      <c r="G277" s="42">
        <v>0</v>
      </c>
      <c r="H277" s="34">
        <v>20</v>
      </c>
      <c r="I277" s="34" t="s">
        <v>12</v>
      </c>
      <c r="J277" s="34">
        <v>1.2909999999999999</v>
      </c>
      <c r="K277" s="41">
        <v>3.9087999999999998</v>
      </c>
    </row>
    <row r="278" spans="1:11">
      <c r="A278" s="34" t="s">
        <v>22</v>
      </c>
      <c r="B278" s="34">
        <v>80</v>
      </c>
      <c r="C278" s="41">
        <v>0.6</v>
      </c>
      <c r="D278" s="34">
        <v>9.6600000000000005E-2</v>
      </c>
      <c r="E278" s="34">
        <v>0.13</v>
      </c>
      <c r="F278" s="34">
        <v>1008</v>
      </c>
      <c r="G278" s="42">
        <v>0</v>
      </c>
      <c r="H278" s="34">
        <v>20</v>
      </c>
      <c r="I278" s="34" t="s">
        <v>12</v>
      </c>
      <c r="J278" s="34">
        <v>1.2909999999999999</v>
      </c>
      <c r="K278" s="41">
        <v>3.9862000000000002</v>
      </c>
    </row>
    <row r="279" spans="1:11">
      <c r="A279" s="34" t="s">
        <v>22</v>
      </c>
      <c r="B279" s="34">
        <v>80</v>
      </c>
      <c r="C279" s="41">
        <v>0.79630000000000001</v>
      </c>
      <c r="D279" s="34">
        <v>9.6600000000000005E-2</v>
      </c>
      <c r="E279" s="34">
        <v>0.13</v>
      </c>
      <c r="F279" s="34">
        <v>1008</v>
      </c>
      <c r="G279" s="42">
        <v>0</v>
      </c>
      <c r="H279" s="34">
        <v>20</v>
      </c>
      <c r="I279" s="34" t="s">
        <v>12</v>
      </c>
      <c r="J279" s="34">
        <v>1.2909999999999999</v>
      </c>
      <c r="K279" s="41">
        <v>4.0946999999999996</v>
      </c>
    </row>
    <row r="280" spans="1:11">
      <c r="A280" s="34" t="s">
        <v>22</v>
      </c>
      <c r="B280" s="34">
        <v>80</v>
      </c>
      <c r="C280" s="41">
        <v>1.0024999999999999</v>
      </c>
      <c r="D280" s="34">
        <v>9.6600000000000005E-2</v>
      </c>
      <c r="E280" s="34">
        <v>0.13</v>
      </c>
      <c r="F280" s="34">
        <v>1008</v>
      </c>
      <c r="G280" s="42">
        <v>0</v>
      </c>
      <c r="H280" s="34">
        <v>20</v>
      </c>
      <c r="I280" s="34" t="s">
        <v>12</v>
      </c>
      <c r="J280" s="34">
        <v>1.2909999999999999</v>
      </c>
      <c r="K280" s="41">
        <v>4.1875999999999998</v>
      </c>
    </row>
    <row r="281" spans="1:11">
      <c r="A281" s="34" t="s">
        <v>22</v>
      </c>
      <c r="B281" s="34">
        <v>100</v>
      </c>
      <c r="C281" s="41">
        <v>0.29880000000000001</v>
      </c>
      <c r="D281" s="34">
        <v>9.6600000000000005E-2</v>
      </c>
      <c r="E281" s="34">
        <v>0.13</v>
      </c>
      <c r="F281" s="34">
        <v>1008</v>
      </c>
      <c r="G281" s="42">
        <v>0</v>
      </c>
      <c r="H281" s="34">
        <v>20</v>
      </c>
      <c r="I281" s="34" t="s">
        <v>12</v>
      </c>
      <c r="J281" s="34">
        <v>1.2909999999999999</v>
      </c>
      <c r="K281" s="41">
        <v>4.1954000000000002</v>
      </c>
    </row>
    <row r="282" spans="1:11">
      <c r="A282" s="34" t="s">
        <v>22</v>
      </c>
      <c r="B282" s="34">
        <v>100</v>
      </c>
      <c r="C282" s="41">
        <v>0.39879999999999999</v>
      </c>
      <c r="D282" s="34">
        <v>9.6600000000000005E-2</v>
      </c>
      <c r="E282" s="34">
        <v>0.13</v>
      </c>
      <c r="F282" s="34">
        <v>1008</v>
      </c>
      <c r="G282" s="42">
        <v>0</v>
      </c>
      <c r="H282" s="34">
        <v>20</v>
      </c>
      <c r="I282" s="34" t="s">
        <v>12</v>
      </c>
      <c r="J282" s="34">
        <v>1.2909999999999999</v>
      </c>
      <c r="K282" s="41">
        <v>4.1954000000000002</v>
      </c>
    </row>
    <row r="283" spans="1:11">
      <c r="A283" s="34" t="s">
        <v>22</v>
      </c>
      <c r="B283" s="34">
        <v>100</v>
      </c>
      <c r="C283" s="41">
        <v>0.49880000000000002</v>
      </c>
      <c r="D283" s="34">
        <v>9.6600000000000005E-2</v>
      </c>
      <c r="E283" s="34">
        <v>0.13</v>
      </c>
      <c r="F283" s="34">
        <v>1008</v>
      </c>
      <c r="G283" s="42">
        <v>0</v>
      </c>
      <c r="H283" s="34">
        <v>20</v>
      </c>
      <c r="I283" s="34" t="s">
        <v>12</v>
      </c>
      <c r="J283" s="34">
        <v>1.2909999999999999</v>
      </c>
      <c r="K283" s="41">
        <v>4.3037999999999998</v>
      </c>
    </row>
    <row r="284" spans="1:11">
      <c r="A284" s="34" t="s">
        <v>22</v>
      </c>
      <c r="B284" s="34">
        <v>100</v>
      </c>
      <c r="C284" s="41">
        <v>0.5988</v>
      </c>
      <c r="D284" s="34">
        <v>9.6600000000000005E-2</v>
      </c>
      <c r="E284" s="34">
        <v>0.13</v>
      </c>
      <c r="F284" s="34">
        <v>1008</v>
      </c>
      <c r="G284" s="42">
        <v>0</v>
      </c>
      <c r="H284" s="34">
        <v>20</v>
      </c>
      <c r="I284" s="34" t="s">
        <v>12</v>
      </c>
      <c r="J284" s="34">
        <v>1.2909999999999999</v>
      </c>
      <c r="K284" s="41">
        <v>4.3037999999999998</v>
      </c>
    </row>
    <row r="285" spans="1:11">
      <c r="A285" s="34" t="s">
        <v>22</v>
      </c>
      <c r="B285" s="34">
        <v>100</v>
      </c>
      <c r="C285" s="41">
        <v>0.8</v>
      </c>
      <c r="D285" s="34">
        <v>9.6600000000000005E-2</v>
      </c>
      <c r="E285" s="34">
        <v>0.13</v>
      </c>
      <c r="F285" s="34">
        <v>1008</v>
      </c>
      <c r="G285" s="42">
        <v>0</v>
      </c>
      <c r="H285" s="34">
        <v>20</v>
      </c>
      <c r="I285" s="34" t="s">
        <v>12</v>
      </c>
      <c r="J285" s="34">
        <v>1.2909999999999999</v>
      </c>
      <c r="K285" s="41">
        <v>4.4044999999999996</v>
      </c>
    </row>
    <row r="286" spans="1:11">
      <c r="A286" s="34" t="s">
        <v>22</v>
      </c>
      <c r="B286" s="34">
        <v>100</v>
      </c>
      <c r="C286" s="41">
        <v>1</v>
      </c>
      <c r="D286" s="34">
        <v>9.6600000000000005E-2</v>
      </c>
      <c r="E286" s="34">
        <v>0.13</v>
      </c>
      <c r="F286" s="34">
        <v>1008</v>
      </c>
      <c r="G286" s="42">
        <v>0</v>
      </c>
      <c r="H286" s="34">
        <v>20</v>
      </c>
      <c r="I286" s="34" t="s">
        <v>12</v>
      </c>
      <c r="J286" s="34">
        <v>1.2909999999999999</v>
      </c>
      <c r="K286" s="41">
        <v>4.4973999999999998</v>
      </c>
    </row>
    <row r="287" spans="1:11">
      <c r="A287" s="34" t="s">
        <v>22</v>
      </c>
      <c r="B287" s="34">
        <v>120</v>
      </c>
      <c r="C287" s="41">
        <v>0.29749999999999999</v>
      </c>
      <c r="D287" s="34">
        <v>9.6600000000000005E-2</v>
      </c>
      <c r="E287" s="34">
        <v>0.13</v>
      </c>
      <c r="F287" s="34">
        <v>1008</v>
      </c>
      <c r="G287" s="42">
        <v>0</v>
      </c>
      <c r="H287" s="34">
        <v>20</v>
      </c>
      <c r="I287" s="34" t="s">
        <v>12</v>
      </c>
      <c r="J287" s="34">
        <v>1.2909999999999999</v>
      </c>
      <c r="K287" s="41">
        <v>4.4973999999999998</v>
      </c>
    </row>
    <row r="288" spans="1:11">
      <c r="A288" s="34" t="s">
        <v>22</v>
      </c>
      <c r="B288" s="34">
        <v>120</v>
      </c>
      <c r="C288" s="41">
        <v>0.39879999999999999</v>
      </c>
      <c r="D288" s="34">
        <v>9.6600000000000005E-2</v>
      </c>
      <c r="E288" s="34">
        <v>0.13</v>
      </c>
      <c r="F288" s="34">
        <v>1008</v>
      </c>
      <c r="G288" s="42">
        <v>0</v>
      </c>
      <c r="H288" s="34">
        <v>20</v>
      </c>
      <c r="I288" s="34" t="s">
        <v>12</v>
      </c>
      <c r="J288" s="34">
        <v>1.2909999999999999</v>
      </c>
      <c r="K288" s="41">
        <v>4.4973999999999998</v>
      </c>
    </row>
    <row r="289" spans="1:11">
      <c r="A289" s="34" t="s">
        <v>22</v>
      </c>
      <c r="B289" s="34">
        <v>120</v>
      </c>
      <c r="C289" s="41">
        <v>0.5</v>
      </c>
      <c r="D289" s="34">
        <v>9.6600000000000005E-2</v>
      </c>
      <c r="E289" s="34">
        <v>0.13</v>
      </c>
      <c r="F289" s="34">
        <v>1008</v>
      </c>
      <c r="G289" s="42">
        <v>0</v>
      </c>
      <c r="H289" s="34">
        <v>20</v>
      </c>
      <c r="I289" s="34" t="s">
        <v>12</v>
      </c>
      <c r="J289" s="34">
        <v>1.2909999999999999</v>
      </c>
      <c r="K289" s="41">
        <v>4.6059000000000001</v>
      </c>
    </row>
    <row r="290" spans="1:11">
      <c r="A290" s="34" t="s">
        <v>22</v>
      </c>
      <c r="B290" s="34">
        <v>120</v>
      </c>
      <c r="C290" s="41">
        <v>0.6</v>
      </c>
      <c r="D290" s="34">
        <v>9.6600000000000005E-2</v>
      </c>
      <c r="E290" s="34">
        <v>0.13</v>
      </c>
      <c r="F290" s="34">
        <v>1008</v>
      </c>
      <c r="G290" s="42">
        <v>0</v>
      </c>
      <c r="H290" s="34">
        <v>20</v>
      </c>
      <c r="I290" s="34" t="s">
        <v>12</v>
      </c>
      <c r="J290" s="34">
        <v>1.2909999999999999</v>
      </c>
      <c r="K290" s="41">
        <v>4.5980999999999996</v>
      </c>
    </row>
    <row r="291" spans="1:11">
      <c r="A291" s="34" t="s">
        <v>22</v>
      </c>
      <c r="B291" s="34">
        <v>120</v>
      </c>
      <c r="C291" s="41">
        <v>0.8</v>
      </c>
      <c r="D291" s="34">
        <v>9.6600000000000005E-2</v>
      </c>
      <c r="E291" s="34">
        <v>0.13</v>
      </c>
      <c r="F291" s="34">
        <v>1008</v>
      </c>
      <c r="G291" s="42">
        <v>0</v>
      </c>
      <c r="H291" s="34">
        <v>20</v>
      </c>
      <c r="I291" s="34" t="s">
        <v>12</v>
      </c>
      <c r="J291" s="34">
        <v>1.2909999999999999</v>
      </c>
      <c r="K291" s="41">
        <v>4.6988000000000003</v>
      </c>
    </row>
    <row r="292" spans="1:11">
      <c r="A292" s="34" t="s">
        <v>22</v>
      </c>
      <c r="B292" s="34">
        <v>120</v>
      </c>
      <c r="C292" s="41">
        <v>1.0024999999999999</v>
      </c>
      <c r="D292" s="34">
        <v>9.6600000000000005E-2</v>
      </c>
      <c r="E292" s="34">
        <v>0.13</v>
      </c>
      <c r="F292" s="34">
        <v>1008</v>
      </c>
      <c r="G292" s="42">
        <v>0</v>
      </c>
      <c r="H292" s="34">
        <v>20</v>
      </c>
      <c r="I292" s="34" t="s">
        <v>12</v>
      </c>
      <c r="J292" s="34">
        <v>1.2909999999999999</v>
      </c>
      <c r="K292" s="41">
        <v>4.8071999999999999</v>
      </c>
    </row>
    <row r="293" spans="1:11">
      <c r="A293" s="34" t="s">
        <v>22</v>
      </c>
      <c r="B293" s="34">
        <v>150</v>
      </c>
      <c r="C293" s="41">
        <v>0.29880000000000001</v>
      </c>
      <c r="D293" s="34">
        <v>9.6600000000000005E-2</v>
      </c>
      <c r="E293" s="34">
        <v>0.13</v>
      </c>
      <c r="F293" s="34">
        <v>1008</v>
      </c>
      <c r="G293" s="42">
        <v>0</v>
      </c>
      <c r="H293" s="34">
        <v>20</v>
      </c>
      <c r="I293" s="34" t="s">
        <v>12</v>
      </c>
      <c r="J293" s="34">
        <v>1.2909999999999999</v>
      </c>
      <c r="K293" s="41">
        <v>4.8924000000000003</v>
      </c>
    </row>
    <row r="294" spans="1:11">
      <c r="A294" s="34" t="s">
        <v>22</v>
      </c>
      <c r="B294" s="34">
        <v>150</v>
      </c>
      <c r="C294" s="41">
        <v>0.39750000000000002</v>
      </c>
      <c r="D294" s="34">
        <v>9.6600000000000005E-2</v>
      </c>
      <c r="E294" s="34">
        <v>0.13</v>
      </c>
      <c r="F294" s="34">
        <v>1008</v>
      </c>
      <c r="G294" s="42">
        <v>0</v>
      </c>
      <c r="H294" s="34">
        <v>20</v>
      </c>
      <c r="I294" s="34" t="s">
        <v>12</v>
      </c>
      <c r="J294" s="34">
        <v>1.2909999999999999</v>
      </c>
      <c r="K294" s="41">
        <v>5.0086000000000004</v>
      </c>
    </row>
    <row r="295" spans="1:11">
      <c r="A295" s="34" t="s">
        <v>22</v>
      </c>
      <c r="B295" s="34">
        <v>150</v>
      </c>
      <c r="C295" s="41">
        <v>0.50119999999999998</v>
      </c>
      <c r="D295" s="34">
        <v>9.6600000000000005E-2</v>
      </c>
      <c r="E295" s="34">
        <v>0.13</v>
      </c>
      <c r="F295" s="34">
        <v>1008</v>
      </c>
      <c r="G295" s="42">
        <v>0</v>
      </c>
      <c r="H295" s="34">
        <v>20</v>
      </c>
      <c r="I295" s="34" t="s">
        <v>12</v>
      </c>
      <c r="J295" s="34">
        <v>1.2909999999999999</v>
      </c>
      <c r="K295" s="41">
        <v>4.9931000000000001</v>
      </c>
    </row>
    <row r="296" spans="1:11">
      <c r="A296" s="34" t="s">
        <v>22</v>
      </c>
      <c r="B296" s="34">
        <v>150</v>
      </c>
      <c r="C296" s="41">
        <v>0.59750000000000003</v>
      </c>
      <c r="D296" s="34">
        <v>9.6600000000000005E-2</v>
      </c>
      <c r="E296" s="34">
        <v>0.13</v>
      </c>
      <c r="F296" s="34">
        <v>1008</v>
      </c>
      <c r="G296" s="42">
        <v>0</v>
      </c>
      <c r="H296" s="34">
        <v>20</v>
      </c>
      <c r="I296" s="34" t="s">
        <v>12</v>
      </c>
      <c r="J296" s="34">
        <v>1.2909999999999999</v>
      </c>
      <c r="K296" s="41">
        <v>4.9931000000000001</v>
      </c>
    </row>
    <row r="297" spans="1:11">
      <c r="A297" s="34" t="s">
        <v>22</v>
      </c>
      <c r="B297" s="34">
        <v>150</v>
      </c>
      <c r="C297" s="41">
        <v>0.79879999999999995</v>
      </c>
      <c r="D297" s="34">
        <v>9.6600000000000005E-2</v>
      </c>
      <c r="E297" s="34">
        <v>0.13</v>
      </c>
      <c r="F297" s="34">
        <v>1008</v>
      </c>
      <c r="G297" s="42">
        <v>0</v>
      </c>
      <c r="H297" s="34">
        <v>20</v>
      </c>
      <c r="I297" s="34" t="s">
        <v>12</v>
      </c>
      <c r="J297" s="34">
        <v>1.2909999999999999</v>
      </c>
      <c r="K297" s="41">
        <v>5.1014999999999997</v>
      </c>
    </row>
    <row r="298" spans="1:11">
      <c r="A298" s="34" t="s">
        <v>22</v>
      </c>
      <c r="B298" s="34">
        <v>150</v>
      </c>
      <c r="C298" s="41">
        <v>1.0012000000000001</v>
      </c>
      <c r="D298" s="34">
        <v>9.6600000000000005E-2</v>
      </c>
      <c r="E298" s="34">
        <v>0.13</v>
      </c>
      <c r="F298" s="34">
        <v>1008</v>
      </c>
      <c r="G298" s="42">
        <v>0</v>
      </c>
      <c r="H298" s="34">
        <v>20</v>
      </c>
      <c r="I298" s="34" t="s">
        <v>12</v>
      </c>
      <c r="J298" s="34">
        <v>1.2909999999999999</v>
      </c>
      <c r="K298" s="41">
        <v>5.1944999999999997</v>
      </c>
    </row>
    <row r="299" spans="1:11">
      <c r="A299" s="34" t="s">
        <v>22</v>
      </c>
      <c r="B299" s="34">
        <v>200</v>
      </c>
      <c r="C299" s="41">
        <v>0.29749999999999999</v>
      </c>
      <c r="D299" s="34">
        <v>9.6600000000000005E-2</v>
      </c>
      <c r="E299" s="34">
        <v>0.13</v>
      </c>
      <c r="F299" s="34">
        <v>1008</v>
      </c>
      <c r="G299" s="42">
        <v>0</v>
      </c>
      <c r="H299" s="34">
        <v>20</v>
      </c>
      <c r="I299" s="34" t="s">
        <v>12</v>
      </c>
      <c r="J299" s="34">
        <v>1.2909999999999999</v>
      </c>
      <c r="K299" s="41">
        <v>5.4965999999999999</v>
      </c>
    </row>
    <row r="300" spans="1:11">
      <c r="A300" s="34" t="s">
        <v>22</v>
      </c>
      <c r="B300" s="34">
        <v>200</v>
      </c>
      <c r="C300" s="41">
        <v>0.39879999999999999</v>
      </c>
      <c r="D300" s="34">
        <v>9.6600000000000005E-2</v>
      </c>
      <c r="E300" s="34">
        <v>0.13</v>
      </c>
      <c r="F300" s="34">
        <v>1008</v>
      </c>
      <c r="G300" s="42">
        <v>0</v>
      </c>
      <c r="H300" s="34">
        <v>20</v>
      </c>
      <c r="I300" s="34" t="s">
        <v>12</v>
      </c>
      <c r="J300" s="34">
        <v>1.2909999999999999</v>
      </c>
      <c r="K300" s="41">
        <v>5.5042999999999997</v>
      </c>
    </row>
    <row r="301" spans="1:11">
      <c r="A301" s="34" t="s">
        <v>22</v>
      </c>
      <c r="B301" s="34">
        <v>200</v>
      </c>
      <c r="C301" s="41">
        <v>0.5</v>
      </c>
      <c r="D301" s="34">
        <v>9.6600000000000005E-2</v>
      </c>
      <c r="E301" s="34">
        <v>0.13</v>
      </c>
      <c r="F301" s="34">
        <v>1008</v>
      </c>
      <c r="G301" s="42">
        <v>0</v>
      </c>
      <c r="H301" s="34">
        <v>20</v>
      </c>
      <c r="I301" s="34" t="s">
        <v>12</v>
      </c>
      <c r="J301" s="34">
        <v>1.2909999999999999</v>
      </c>
      <c r="K301" s="41">
        <v>5.6050000000000004</v>
      </c>
    </row>
    <row r="302" spans="1:11">
      <c r="A302" s="34" t="s">
        <v>22</v>
      </c>
      <c r="B302" s="34">
        <v>200</v>
      </c>
      <c r="C302" s="41">
        <v>0.6</v>
      </c>
      <c r="D302" s="34">
        <v>9.6600000000000005E-2</v>
      </c>
      <c r="E302" s="34">
        <v>0.13</v>
      </c>
      <c r="F302" s="34">
        <v>1008</v>
      </c>
      <c r="G302" s="42">
        <v>0</v>
      </c>
      <c r="H302" s="34">
        <v>20</v>
      </c>
      <c r="I302" s="34" t="s">
        <v>12</v>
      </c>
      <c r="J302" s="34">
        <v>1.2909999999999999</v>
      </c>
      <c r="K302" s="41">
        <v>5.6127000000000002</v>
      </c>
    </row>
    <row r="303" spans="1:11">
      <c r="A303" s="34" t="s">
        <v>22</v>
      </c>
      <c r="B303" s="34">
        <v>200</v>
      </c>
      <c r="C303" s="41">
        <v>0.8</v>
      </c>
      <c r="D303" s="34">
        <v>9.6600000000000005E-2</v>
      </c>
      <c r="E303" s="34">
        <v>0.13</v>
      </c>
      <c r="F303" s="34">
        <v>1008</v>
      </c>
      <c r="G303" s="42">
        <v>0</v>
      </c>
      <c r="H303" s="34">
        <v>20</v>
      </c>
      <c r="I303" s="34" t="s">
        <v>12</v>
      </c>
      <c r="J303" s="34">
        <v>1.2909999999999999</v>
      </c>
      <c r="K303" s="41">
        <v>5.7057000000000002</v>
      </c>
    </row>
    <row r="304" spans="1:11">
      <c r="A304" s="34" t="s">
        <v>22</v>
      </c>
      <c r="B304" s="34">
        <v>200</v>
      </c>
      <c r="C304" s="41">
        <v>1.0037</v>
      </c>
      <c r="D304" s="34">
        <v>9.6600000000000005E-2</v>
      </c>
      <c r="E304" s="34">
        <v>0.13</v>
      </c>
      <c r="F304" s="34">
        <v>1008</v>
      </c>
      <c r="G304" s="42">
        <v>0</v>
      </c>
      <c r="H304" s="34">
        <v>20</v>
      </c>
      <c r="I304" s="34" t="s">
        <v>12</v>
      </c>
      <c r="J304" s="34">
        <v>1.2909999999999999</v>
      </c>
      <c r="K304" s="41">
        <v>5.6978999999999997</v>
      </c>
    </row>
    <row r="305" spans="1:11">
      <c r="A305" s="34" t="s">
        <v>22</v>
      </c>
      <c r="B305" s="34">
        <v>50</v>
      </c>
      <c r="C305" s="41">
        <v>0.29720000000000002</v>
      </c>
      <c r="D305" s="34">
        <v>9.6600000000000005E-2</v>
      </c>
      <c r="E305" s="34">
        <v>0.13</v>
      </c>
      <c r="F305" s="34">
        <v>1008</v>
      </c>
      <c r="G305" s="42">
        <v>0</v>
      </c>
      <c r="H305" s="34">
        <v>20</v>
      </c>
      <c r="I305" s="34" t="s">
        <v>12</v>
      </c>
      <c r="J305" s="34">
        <v>1.2909999999999999</v>
      </c>
      <c r="K305" s="41">
        <v>3.1884000000000001</v>
      </c>
    </row>
    <row r="306" spans="1:11">
      <c r="A306" s="34" t="s">
        <v>22</v>
      </c>
      <c r="B306" s="34">
        <v>50</v>
      </c>
      <c r="C306" s="41">
        <v>0.4007</v>
      </c>
      <c r="D306" s="34">
        <v>9.6600000000000005E-2</v>
      </c>
      <c r="E306" s="34">
        <v>0.13</v>
      </c>
      <c r="F306" s="34">
        <v>1008</v>
      </c>
      <c r="G306" s="42">
        <v>0</v>
      </c>
      <c r="H306" s="34">
        <v>20</v>
      </c>
      <c r="I306" s="34" t="s">
        <v>12</v>
      </c>
      <c r="J306" s="34">
        <v>1.2909999999999999</v>
      </c>
      <c r="K306" s="41">
        <v>3.2898999999999998</v>
      </c>
    </row>
    <row r="307" spans="1:11">
      <c r="A307" s="34" t="s">
        <v>22</v>
      </c>
      <c r="B307" s="34">
        <v>50</v>
      </c>
      <c r="C307" s="41">
        <v>0.49919999999999998</v>
      </c>
      <c r="D307" s="34">
        <v>9.6600000000000005E-2</v>
      </c>
      <c r="E307" s="34">
        <v>0.13</v>
      </c>
      <c r="F307" s="34">
        <v>1008</v>
      </c>
      <c r="G307" s="42">
        <v>0</v>
      </c>
      <c r="H307" s="34">
        <v>20</v>
      </c>
      <c r="I307" s="34" t="s">
        <v>12</v>
      </c>
      <c r="J307" s="34">
        <v>1.2909999999999999</v>
      </c>
      <c r="K307" s="41">
        <v>3.3986000000000001</v>
      </c>
    </row>
    <row r="308" spans="1:11">
      <c r="A308" s="34" t="s">
        <v>22</v>
      </c>
      <c r="B308" s="34">
        <v>50</v>
      </c>
      <c r="C308" s="41">
        <v>0.59889999999999999</v>
      </c>
      <c r="D308" s="34">
        <v>9.6600000000000005E-2</v>
      </c>
      <c r="E308" s="34">
        <v>0.13</v>
      </c>
      <c r="F308" s="34">
        <v>1008</v>
      </c>
      <c r="G308" s="42">
        <v>0</v>
      </c>
      <c r="H308" s="34">
        <v>20</v>
      </c>
      <c r="I308" s="34" t="s">
        <v>12</v>
      </c>
      <c r="J308" s="34">
        <v>1.2909999999999999</v>
      </c>
      <c r="K308" s="41">
        <v>3.4129999999999998</v>
      </c>
    </row>
    <row r="309" spans="1:11">
      <c r="A309" s="34" t="s">
        <v>22</v>
      </c>
      <c r="B309" s="34">
        <v>50</v>
      </c>
      <c r="C309" s="41">
        <v>0.79830000000000001</v>
      </c>
      <c r="D309" s="34">
        <v>9.6600000000000005E-2</v>
      </c>
      <c r="E309" s="34">
        <v>0.13</v>
      </c>
      <c r="F309" s="34">
        <v>1008</v>
      </c>
      <c r="G309" s="42">
        <v>0</v>
      </c>
      <c r="H309" s="34">
        <v>20</v>
      </c>
      <c r="I309" s="34" t="s">
        <v>12</v>
      </c>
      <c r="J309" s="34">
        <v>1.2909999999999999</v>
      </c>
      <c r="K309" s="41">
        <v>3.5072000000000001</v>
      </c>
    </row>
    <row r="310" spans="1:11">
      <c r="A310" s="34" t="s">
        <v>22</v>
      </c>
      <c r="B310" s="34">
        <v>50</v>
      </c>
      <c r="C310" s="41">
        <v>1.0015000000000001</v>
      </c>
      <c r="D310" s="34">
        <v>9.6600000000000005E-2</v>
      </c>
      <c r="E310" s="34">
        <v>0.13</v>
      </c>
      <c r="F310" s="34">
        <v>1008</v>
      </c>
      <c r="G310" s="42">
        <v>0</v>
      </c>
      <c r="H310" s="34">
        <v>20</v>
      </c>
      <c r="I310" s="34" t="s">
        <v>12</v>
      </c>
      <c r="J310" s="34">
        <v>1.2909999999999999</v>
      </c>
      <c r="K310" s="41">
        <v>3.6522000000000001</v>
      </c>
    </row>
    <row r="311" spans="1:11">
      <c r="A311" s="34" t="s">
        <v>22</v>
      </c>
      <c r="B311" s="34">
        <v>80</v>
      </c>
      <c r="C311" s="41">
        <v>0.29849999999999999</v>
      </c>
      <c r="D311" s="34">
        <v>9.6600000000000005E-2</v>
      </c>
      <c r="E311" s="34">
        <v>0.13</v>
      </c>
      <c r="F311" s="34">
        <v>1008</v>
      </c>
      <c r="G311" s="42">
        <v>0</v>
      </c>
      <c r="H311" s="34">
        <v>20</v>
      </c>
      <c r="I311" s="34" t="s">
        <v>12</v>
      </c>
      <c r="J311" s="34">
        <v>1.2909999999999999</v>
      </c>
      <c r="K311" s="41">
        <v>3.5941999999999998</v>
      </c>
    </row>
    <row r="312" spans="1:11">
      <c r="A312" s="34" t="s">
        <v>22</v>
      </c>
      <c r="B312" s="34">
        <v>80</v>
      </c>
      <c r="C312" s="41">
        <v>0.39939999999999998</v>
      </c>
      <c r="D312" s="34">
        <v>9.6600000000000005E-2</v>
      </c>
      <c r="E312" s="34">
        <v>0.13</v>
      </c>
      <c r="F312" s="34">
        <v>1008</v>
      </c>
      <c r="G312" s="42">
        <v>0</v>
      </c>
      <c r="H312" s="34">
        <v>20</v>
      </c>
      <c r="I312" s="34" t="s">
        <v>12</v>
      </c>
      <c r="J312" s="34">
        <v>1.2909999999999999</v>
      </c>
      <c r="K312" s="41">
        <v>3.5870000000000002</v>
      </c>
    </row>
    <row r="313" spans="1:11">
      <c r="A313" s="34" t="s">
        <v>22</v>
      </c>
      <c r="B313" s="34">
        <v>80</v>
      </c>
      <c r="C313" s="41">
        <v>0.49790000000000001</v>
      </c>
      <c r="D313" s="34">
        <v>9.6600000000000005E-2</v>
      </c>
      <c r="E313" s="34">
        <v>0.13</v>
      </c>
      <c r="F313" s="34">
        <v>1008</v>
      </c>
      <c r="G313" s="42">
        <v>0</v>
      </c>
      <c r="H313" s="34">
        <v>20</v>
      </c>
      <c r="I313" s="34" t="s">
        <v>12</v>
      </c>
      <c r="J313" s="34">
        <v>1.2909999999999999</v>
      </c>
      <c r="K313" s="41">
        <v>3.7029000000000001</v>
      </c>
    </row>
    <row r="314" spans="1:11">
      <c r="A314" s="34" t="s">
        <v>22</v>
      </c>
      <c r="B314" s="34">
        <v>80</v>
      </c>
      <c r="C314" s="41">
        <v>0.59640000000000004</v>
      </c>
      <c r="D314" s="34">
        <v>9.6600000000000005E-2</v>
      </c>
      <c r="E314" s="34">
        <v>0.13</v>
      </c>
      <c r="F314" s="34">
        <v>1008</v>
      </c>
      <c r="G314" s="42">
        <v>0</v>
      </c>
      <c r="H314" s="34">
        <v>20</v>
      </c>
      <c r="I314" s="34" t="s">
        <v>12</v>
      </c>
      <c r="J314" s="34">
        <v>1.2909999999999999</v>
      </c>
      <c r="K314" s="41">
        <v>3.7464</v>
      </c>
    </row>
    <row r="315" spans="1:11">
      <c r="A315" s="34" t="s">
        <v>22</v>
      </c>
      <c r="B315" s="34">
        <v>80</v>
      </c>
      <c r="C315" s="41">
        <v>0.80079999999999996</v>
      </c>
      <c r="D315" s="34">
        <v>9.6600000000000005E-2</v>
      </c>
      <c r="E315" s="34">
        <v>0.13</v>
      </c>
      <c r="F315" s="34">
        <v>1008</v>
      </c>
      <c r="G315" s="42">
        <v>0</v>
      </c>
      <c r="H315" s="34">
        <v>20</v>
      </c>
      <c r="I315" s="34" t="s">
        <v>12</v>
      </c>
      <c r="J315" s="34">
        <v>1.2909999999999999</v>
      </c>
      <c r="K315" s="41">
        <v>3.8696000000000002</v>
      </c>
    </row>
    <row r="316" spans="1:11">
      <c r="A316" s="34" t="s">
        <v>22</v>
      </c>
      <c r="B316" s="34">
        <v>80</v>
      </c>
      <c r="C316" s="41">
        <v>0.999</v>
      </c>
      <c r="D316" s="34">
        <v>9.6600000000000005E-2</v>
      </c>
      <c r="E316" s="34">
        <v>0.13</v>
      </c>
      <c r="F316" s="34">
        <v>1008</v>
      </c>
      <c r="G316" s="42">
        <v>0</v>
      </c>
      <c r="H316" s="34">
        <v>20</v>
      </c>
      <c r="I316" s="34" t="s">
        <v>12</v>
      </c>
      <c r="J316" s="34">
        <v>1.2909999999999999</v>
      </c>
      <c r="K316" s="41">
        <v>3.9203000000000001</v>
      </c>
    </row>
    <row r="317" spans="1:11">
      <c r="A317" s="34" t="s">
        <v>22</v>
      </c>
      <c r="B317" s="34">
        <v>100</v>
      </c>
      <c r="C317" s="41">
        <v>0.29599999999999999</v>
      </c>
      <c r="D317" s="34">
        <v>9.6600000000000005E-2</v>
      </c>
      <c r="E317" s="34">
        <v>0.13</v>
      </c>
      <c r="F317" s="34">
        <v>1008</v>
      </c>
      <c r="G317" s="42">
        <v>0</v>
      </c>
      <c r="H317" s="34">
        <v>20</v>
      </c>
      <c r="I317" s="34" t="s">
        <v>12</v>
      </c>
      <c r="J317" s="34">
        <v>1.2909999999999999</v>
      </c>
      <c r="K317" s="41">
        <v>3.8841000000000001</v>
      </c>
    </row>
    <row r="318" spans="1:11">
      <c r="A318" s="34" t="s">
        <v>22</v>
      </c>
      <c r="B318" s="34">
        <v>100</v>
      </c>
      <c r="C318" s="41">
        <v>0.3982</v>
      </c>
      <c r="D318" s="34">
        <v>9.6600000000000005E-2</v>
      </c>
      <c r="E318" s="34">
        <v>0.13</v>
      </c>
      <c r="F318" s="34">
        <v>1008</v>
      </c>
      <c r="G318" s="42">
        <v>0</v>
      </c>
      <c r="H318" s="34">
        <v>20</v>
      </c>
      <c r="I318" s="34" t="s">
        <v>12</v>
      </c>
      <c r="J318" s="34">
        <v>1.2909999999999999</v>
      </c>
      <c r="K318" s="41">
        <v>4</v>
      </c>
    </row>
    <row r="319" spans="1:11">
      <c r="A319" s="34" t="s">
        <v>22</v>
      </c>
      <c r="B319" s="34">
        <v>100</v>
      </c>
      <c r="C319" s="41">
        <v>0.49919999999999998</v>
      </c>
      <c r="D319" s="34">
        <v>9.6600000000000005E-2</v>
      </c>
      <c r="E319" s="34">
        <v>0.13</v>
      </c>
      <c r="F319" s="34">
        <v>1008</v>
      </c>
      <c r="G319" s="42">
        <v>0</v>
      </c>
      <c r="H319" s="34">
        <v>20</v>
      </c>
      <c r="I319" s="34" t="s">
        <v>12</v>
      </c>
      <c r="J319" s="34">
        <v>1.2909999999999999</v>
      </c>
      <c r="K319" s="41">
        <v>3.9927999999999999</v>
      </c>
    </row>
    <row r="320" spans="1:11">
      <c r="A320" s="34" t="s">
        <v>22</v>
      </c>
      <c r="B320" s="34">
        <v>100</v>
      </c>
      <c r="C320" s="41">
        <v>0.60009999999999997</v>
      </c>
      <c r="D320" s="34">
        <v>9.6600000000000005E-2</v>
      </c>
      <c r="E320" s="34">
        <v>0.13</v>
      </c>
      <c r="F320" s="34">
        <v>1008</v>
      </c>
      <c r="G320" s="42">
        <v>0</v>
      </c>
      <c r="H320" s="34">
        <v>20</v>
      </c>
      <c r="I320" s="34" t="s">
        <v>12</v>
      </c>
      <c r="J320" s="34">
        <v>1.2909999999999999</v>
      </c>
      <c r="K320" s="41">
        <v>4.0941999999999998</v>
      </c>
    </row>
    <row r="321" spans="1:11">
      <c r="A321" s="34" t="s">
        <v>22</v>
      </c>
      <c r="B321" s="34">
        <v>100</v>
      </c>
      <c r="C321" s="41">
        <v>0.79710000000000003</v>
      </c>
      <c r="D321" s="34">
        <v>9.6600000000000005E-2</v>
      </c>
      <c r="E321" s="34">
        <v>0.13</v>
      </c>
      <c r="F321" s="34">
        <v>1008</v>
      </c>
      <c r="G321" s="42">
        <v>0</v>
      </c>
      <c r="H321" s="34">
        <v>20</v>
      </c>
      <c r="I321" s="34" t="s">
        <v>12</v>
      </c>
      <c r="J321" s="34">
        <v>1.2909999999999999</v>
      </c>
      <c r="K321" s="41">
        <v>4.1883999999999997</v>
      </c>
    </row>
    <row r="322" spans="1:11">
      <c r="A322" s="34" t="s">
        <v>22</v>
      </c>
      <c r="B322" s="34">
        <v>100</v>
      </c>
      <c r="C322" s="41">
        <v>1.0015000000000001</v>
      </c>
      <c r="D322" s="34">
        <v>9.6600000000000005E-2</v>
      </c>
      <c r="E322" s="34">
        <v>0.13</v>
      </c>
      <c r="F322" s="34">
        <v>1008</v>
      </c>
      <c r="G322" s="42">
        <v>0</v>
      </c>
      <c r="H322" s="34">
        <v>20</v>
      </c>
      <c r="I322" s="34" t="s">
        <v>12</v>
      </c>
      <c r="J322" s="34">
        <v>1.2909999999999999</v>
      </c>
      <c r="K322" s="41">
        <v>4.2971000000000004</v>
      </c>
    </row>
    <row r="323" spans="1:11">
      <c r="A323" s="34" t="s">
        <v>22</v>
      </c>
      <c r="B323" s="34">
        <v>120</v>
      </c>
      <c r="C323" s="41">
        <v>0.29849999999999999</v>
      </c>
      <c r="D323" s="34">
        <v>9.6600000000000005E-2</v>
      </c>
      <c r="E323" s="34">
        <v>0.13</v>
      </c>
      <c r="F323" s="34">
        <v>1008</v>
      </c>
      <c r="G323" s="42">
        <v>0</v>
      </c>
      <c r="H323" s="34">
        <v>20</v>
      </c>
      <c r="I323" s="34" t="s">
        <v>12</v>
      </c>
      <c r="J323" s="34">
        <v>1.2909999999999999</v>
      </c>
      <c r="K323" s="41">
        <v>4.3042999999999996</v>
      </c>
    </row>
    <row r="324" spans="1:11">
      <c r="A324" s="34" t="s">
        <v>22</v>
      </c>
      <c r="B324" s="34">
        <v>120</v>
      </c>
      <c r="C324" s="41">
        <v>0.40189999999999998</v>
      </c>
      <c r="D324" s="34">
        <v>9.6600000000000005E-2</v>
      </c>
      <c r="E324" s="34">
        <v>0.13</v>
      </c>
      <c r="F324" s="34">
        <v>1008</v>
      </c>
      <c r="G324" s="42">
        <v>0</v>
      </c>
      <c r="H324" s="34">
        <v>20</v>
      </c>
      <c r="I324" s="34" t="s">
        <v>12</v>
      </c>
      <c r="J324" s="34">
        <v>1.2909999999999999</v>
      </c>
      <c r="K324" s="41">
        <v>4.2971000000000004</v>
      </c>
    </row>
    <row r="325" spans="1:11">
      <c r="A325" s="34" t="s">
        <v>22</v>
      </c>
      <c r="B325" s="34">
        <v>120</v>
      </c>
      <c r="C325" s="41">
        <v>0.49919999999999998</v>
      </c>
      <c r="D325" s="34">
        <v>9.6600000000000005E-2</v>
      </c>
      <c r="E325" s="34">
        <v>0.13</v>
      </c>
      <c r="F325" s="34">
        <v>1008</v>
      </c>
      <c r="G325" s="42">
        <v>0</v>
      </c>
      <c r="H325" s="34">
        <v>20</v>
      </c>
      <c r="I325" s="34" t="s">
        <v>12</v>
      </c>
      <c r="J325" s="34">
        <v>1.2909999999999999</v>
      </c>
      <c r="K325" s="41">
        <v>4.2899000000000003</v>
      </c>
    </row>
    <row r="326" spans="1:11">
      <c r="A326" s="34" t="s">
        <v>22</v>
      </c>
      <c r="B326" s="34">
        <v>120</v>
      </c>
      <c r="C326" s="41">
        <v>0.60009999999999997</v>
      </c>
      <c r="D326" s="34">
        <v>9.6600000000000005E-2</v>
      </c>
      <c r="E326" s="34">
        <v>0.13</v>
      </c>
      <c r="F326" s="34">
        <v>1008</v>
      </c>
      <c r="G326" s="42">
        <v>0</v>
      </c>
      <c r="H326" s="34">
        <v>20</v>
      </c>
      <c r="I326" s="34" t="s">
        <v>12</v>
      </c>
      <c r="J326" s="34">
        <v>1.2909999999999999</v>
      </c>
      <c r="K326" s="41">
        <v>4.3913000000000002</v>
      </c>
    </row>
    <row r="327" spans="1:11">
      <c r="A327" s="34" t="s">
        <v>22</v>
      </c>
      <c r="B327" s="34">
        <v>120</v>
      </c>
      <c r="C327" s="41">
        <v>0.80079999999999996</v>
      </c>
      <c r="D327" s="34">
        <v>9.6600000000000005E-2</v>
      </c>
      <c r="E327" s="34">
        <v>0.13</v>
      </c>
      <c r="F327" s="34">
        <v>1008</v>
      </c>
      <c r="G327" s="42">
        <v>0</v>
      </c>
      <c r="H327" s="34">
        <v>20</v>
      </c>
      <c r="I327" s="34" t="s">
        <v>12</v>
      </c>
      <c r="J327" s="34">
        <v>1.2909999999999999</v>
      </c>
      <c r="K327" s="41">
        <v>4.4927999999999999</v>
      </c>
    </row>
    <row r="328" spans="1:11">
      <c r="A328" s="34" t="s">
        <v>22</v>
      </c>
      <c r="B328" s="34">
        <v>120</v>
      </c>
      <c r="C328" s="41">
        <v>1.0015000000000001</v>
      </c>
      <c r="D328" s="34">
        <v>9.6600000000000005E-2</v>
      </c>
      <c r="E328" s="34">
        <v>0.13</v>
      </c>
      <c r="F328" s="34">
        <v>1008</v>
      </c>
      <c r="G328" s="42">
        <v>0</v>
      </c>
      <c r="H328" s="34">
        <v>20</v>
      </c>
      <c r="I328" s="34" t="s">
        <v>12</v>
      </c>
      <c r="J328" s="34">
        <v>1.2909999999999999</v>
      </c>
      <c r="K328" s="41">
        <v>4.5</v>
      </c>
    </row>
    <row r="329" spans="1:11">
      <c r="A329" s="34" t="s">
        <v>22</v>
      </c>
      <c r="B329" s="34">
        <v>150</v>
      </c>
      <c r="C329" s="41">
        <v>0.29849999999999999</v>
      </c>
      <c r="D329" s="34">
        <v>9.6600000000000005E-2</v>
      </c>
      <c r="E329" s="34">
        <v>0.13</v>
      </c>
      <c r="F329" s="34">
        <v>1008</v>
      </c>
      <c r="G329" s="42">
        <v>0</v>
      </c>
      <c r="H329" s="34">
        <v>20</v>
      </c>
      <c r="I329" s="34" t="s">
        <v>12</v>
      </c>
      <c r="J329" s="34">
        <v>1.2909999999999999</v>
      </c>
      <c r="K329" s="41">
        <v>4.6957000000000004</v>
      </c>
    </row>
    <row r="330" spans="1:11">
      <c r="A330" s="34" t="s">
        <v>22</v>
      </c>
      <c r="B330" s="34">
        <v>150</v>
      </c>
      <c r="C330" s="41">
        <v>0.39700000000000002</v>
      </c>
      <c r="D330" s="34">
        <v>9.6600000000000005E-2</v>
      </c>
      <c r="E330" s="34">
        <v>0.13</v>
      </c>
      <c r="F330" s="34">
        <v>1008</v>
      </c>
      <c r="G330" s="42">
        <v>0</v>
      </c>
      <c r="H330" s="34">
        <v>20</v>
      </c>
      <c r="I330" s="34" t="s">
        <v>12</v>
      </c>
      <c r="J330" s="34">
        <v>1.2909999999999999</v>
      </c>
      <c r="K330" s="41">
        <v>4.6811999999999996</v>
      </c>
    </row>
    <row r="331" spans="1:11">
      <c r="A331" s="34" t="s">
        <v>22</v>
      </c>
      <c r="B331" s="34">
        <v>150</v>
      </c>
      <c r="C331" s="41">
        <v>0.49919999999999998</v>
      </c>
      <c r="D331" s="34">
        <v>9.6600000000000005E-2</v>
      </c>
      <c r="E331" s="34">
        <v>0.13</v>
      </c>
      <c r="F331" s="34">
        <v>1008</v>
      </c>
      <c r="G331" s="42">
        <v>0</v>
      </c>
      <c r="H331" s="34">
        <v>20</v>
      </c>
      <c r="I331" s="34" t="s">
        <v>12</v>
      </c>
      <c r="J331" s="34">
        <v>1.2909999999999999</v>
      </c>
      <c r="K331" s="41">
        <v>4.8116000000000003</v>
      </c>
    </row>
    <row r="332" spans="1:11">
      <c r="A332" s="34" t="s">
        <v>22</v>
      </c>
      <c r="B332" s="34">
        <v>150</v>
      </c>
      <c r="C332" s="41">
        <v>0.60140000000000005</v>
      </c>
      <c r="D332" s="34">
        <v>9.6600000000000005E-2</v>
      </c>
      <c r="E332" s="34">
        <v>0.13</v>
      </c>
      <c r="F332" s="34">
        <v>1008</v>
      </c>
      <c r="G332" s="42">
        <v>0</v>
      </c>
      <c r="H332" s="34">
        <v>20</v>
      </c>
      <c r="I332" s="34" t="s">
        <v>12</v>
      </c>
      <c r="J332" s="34">
        <v>1.2909999999999999</v>
      </c>
      <c r="K332" s="41">
        <v>4.7899000000000003</v>
      </c>
    </row>
    <row r="333" spans="1:11">
      <c r="A333" s="34" t="s">
        <v>22</v>
      </c>
      <c r="B333" s="34">
        <v>150</v>
      </c>
      <c r="C333" s="41">
        <v>0.80330000000000001</v>
      </c>
      <c r="D333" s="34">
        <v>9.6600000000000005E-2</v>
      </c>
      <c r="E333" s="34">
        <v>0.13</v>
      </c>
      <c r="F333" s="34">
        <v>1008</v>
      </c>
      <c r="G333" s="42">
        <v>0</v>
      </c>
      <c r="H333" s="34">
        <v>20</v>
      </c>
      <c r="I333" s="34" t="s">
        <v>12</v>
      </c>
      <c r="J333" s="34">
        <v>1.2909999999999999</v>
      </c>
      <c r="K333" s="41">
        <v>4.8841000000000001</v>
      </c>
    </row>
    <row r="334" spans="1:11">
      <c r="A334" s="34" t="s">
        <v>22</v>
      </c>
      <c r="B334" s="34">
        <v>150</v>
      </c>
      <c r="C334" s="41">
        <v>1.0015000000000001</v>
      </c>
      <c r="D334" s="34">
        <v>9.6600000000000005E-2</v>
      </c>
      <c r="E334" s="34">
        <v>0.13</v>
      </c>
      <c r="F334" s="34">
        <v>1008</v>
      </c>
      <c r="G334" s="42">
        <v>0</v>
      </c>
      <c r="H334" s="34">
        <v>20</v>
      </c>
      <c r="I334" s="34" t="s">
        <v>12</v>
      </c>
      <c r="J334" s="34">
        <v>1.2909999999999999</v>
      </c>
      <c r="K334" s="41">
        <v>4.8913000000000002</v>
      </c>
    </row>
    <row r="335" spans="1:11">
      <c r="A335" s="34" t="s">
        <v>22</v>
      </c>
      <c r="B335" s="34">
        <v>200</v>
      </c>
      <c r="C335" s="41">
        <v>0.29849999999999999</v>
      </c>
      <c r="D335" s="34">
        <v>9.6600000000000005E-2</v>
      </c>
      <c r="E335" s="34">
        <v>0.13</v>
      </c>
      <c r="F335" s="34">
        <v>1008</v>
      </c>
      <c r="G335" s="42">
        <v>0</v>
      </c>
      <c r="H335" s="34">
        <v>20</v>
      </c>
      <c r="I335" s="34" t="s">
        <v>12</v>
      </c>
      <c r="J335" s="34">
        <v>1.2909999999999999</v>
      </c>
      <c r="K335" s="41">
        <v>5.2971000000000004</v>
      </c>
    </row>
    <row r="336" spans="1:11">
      <c r="A336" s="34" t="s">
        <v>22</v>
      </c>
      <c r="B336" s="34">
        <v>200</v>
      </c>
      <c r="C336" s="41">
        <v>0.39939999999999998</v>
      </c>
      <c r="D336" s="34">
        <v>9.6600000000000005E-2</v>
      </c>
      <c r="E336" s="34">
        <v>0.13</v>
      </c>
      <c r="F336" s="34">
        <v>1008</v>
      </c>
      <c r="G336" s="42">
        <v>0</v>
      </c>
      <c r="H336" s="34">
        <v>20</v>
      </c>
      <c r="I336" s="34" t="s">
        <v>12</v>
      </c>
      <c r="J336" s="34">
        <v>1.2909999999999999</v>
      </c>
      <c r="K336" s="41">
        <v>5.2899000000000003</v>
      </c>
    </row>
    <row r="337" spans="1:11">
      <c r="A337" s="34" t="s">
        <v>22</v>
      </c>
      <c r="B337" s="34">
        <v>200</v>
      </c>
      <c r="C337" s="41">
        <v>0.50039999999999996</v>
      </c>
      <c r="D337" s="34">
        <v>9.6600000000000005E-2</v>
      </c>
      <c r="E337" s="34">
        <v>0.13</v>
      </c>
      <c r="F337" s="34">
        <v>1008</v>
      </c>
      <c r="G337" s="42">
        <v>0</v>
      </c>
      <c r="H337" s="34">
        <v>20</v>
      </c>
      <c r="I337" s="34" t="s">
        <v>12</v>
      </c>
      <c r="J337" s="34">
        <v>1.2909999999999999</v>
      </c>
      <c r="K337" s="41">
        <v>5.2971000000000004</v>
      </c>
    </row>
    <row r="338" spans="1:11">
      <c r="A338" s="34" t="s">
        <v>22</v>
      </c>
      <c r="B338" s="34">
        <v>200</v>
      </c>
      <c r="C338" s="41">
        <v>0.60140000000000005</v>
      </c>
      <c r="D338" s="34">
        <v>9.6600000000000005E-2</v>
      </c>
      <c r="E338" s="34">
        <v>0.13</v>
      </c>
      <c r="F338" s="34">
        <v>1008</v>
      </c>
      <c r="G338" s="42">
        <v>0</v>
      </c>
      <c r="H338" s="34">
        <v>20</v>
      </c>
      <c r="I338" s="34" t="s">
        <v>12</v>
      </c>
      <c r="J338" s="34">
        <v>1.2909999999999999</v>
      </c>
      <c r="K338" s="41">
        <v>5.3913000000000002</v>
      </c>
    </row>
    <row r="339" spans="1:11">
      <c r="A339" s="34" t="s">
        <v>22</v>
      </c>
      <c r="B339" s="34">
        <v>200</v>
      </c>
      <c r="C339" s="41">
        <v>0.79959999999999998</v>
      </c>
      <c r="D339" s="34">
        <v>9.6600000000000005E-2</v>
      </c>
      <c r="E339" s="34">
        <v>0.13</v>
      </c>
      <c r="F339" s="34">
        <v>1008</v>
      </c>
      <c r="G339" s="42">
        <v>0</v>
      </c>
      <c r="H339" s="34">
        <v>20</v>
      </c>
      <c r="I339" s="34" t="s">
        <v>12</v>
      </c>
      <c r="J339" s="34">
        <v>1.2909999999999999</v>
      </c>
      <c r="K339" s="41">
        <v>5.3986000000000001</v>
      </c>
    </row>
    <row r="340" spans="1:11">
      <c r="A340" s="34" t="s">
        <v>22</v>
      </c>
      <c r="B340" s="34">
        <v>200</v>
      </c>
      <c r="C340" s="41">
        <v>1.0015000000000001</v>
      </c>
      <c r="D340" s="34">
        <v>9.6600000000000005E-2</v>
      </c>
      <c r="E340" s="34">
        <v>0.13</v>
      </c>
      <c r="F340" s="34">
        <v>1008</v>
      </c>
      <c r="G340" s="42">
        <v>0</v>
      </c>
      <c r="H340" s="34">
        <v>20</v>
      </c>
      <c r="I340" s="34" t="s">
        <v>12</v>
      </c>
      <c r="J340" s="34">
        <v>1.2909999999999999</v>
      </c>
      <c r="K340" s="41">
        <v>5.5072000000000001</v>
      </c>
    </row>
    <row r="341" spans="1:11">
      <c r="A341" s="34" t="s">
        <v>22</v>
      </c>
      <c r="B341" s="34">
        <v>50</v>
      </c>
      <c r="C341" s="41">
        <v>0.29849999999999999</v>
      </c>
      <c r="D341" s="34">
        <v>9.6600000000000005E-2</v>
      </c>
      <c r="E341" s="34">
        <v>0.13</v>
      </c>
      <c r="F341" s="34">
        <v>1008</v>
      </c>
      <c r="G341" s="42">
        <v>0</v>
      </c>
      <c r="H341" s="34">
        <v>20</v>
      </c>
      <c r="I341" s="34" t="s">
        <v>12</v>
      </c>
      <c r="J341" s="34">
        <v>1.2909999999999999</v>
      </c>
      <c r="K341" s="41">
        <v>3.0007999999999999</v>
      </c>
    </row>
    <row r="342" spans="1:11">
      <c r="A342" s="34" t="s">
        <v>22</v>
      </c>
      <c r="B342" s="34">
        <v>50</v>
      </c>
      <c r="C342" s="41">
        <v>0.40189999999999998</v>
      </c>
      <c r="D342" s="34">
        <v>9.6600000000000005E-2</v>
      </c>
      <c r="E342" s="34">
        <v>0.13</v>
      </c>
      <c r="F342" s="34">
        <v>1008</v>
      </c>
      <c r="G342" s="42">
        <v>0</v>
      </c>
      <c r="H342" s="34">
        <v>20</v>
      </c>
      <c r="I342" s="34" t="s">
        <v>12</v>
      </c>
      <c r="J342" s="34">
        <v>1.2909999999999999</v>
      </c>
      <c r="K342" s="41">
        <v>3.028</v>
      </c>
    </row>
    <row r="343" spans="1:11">
      <c r="A343" s="34" t="s">
        <v>22</v>
      </c>
      <c r="B343" s="34">
        <v>50</v>
      </c>
      <c r="C343" s="41">
        <v>0.50039999999999996</v>
      </c>
      <c r="D343" s="34">
        <v>9.6600000000000005E-2</v>
      </c>
      <c r="E343" s="34">
        <v>0.13</v>
      </c>
      <c r="F343" s="34">
        <v>1008</v>
      </c>
      <c r="G343" s="42">
        <v>0</v>
      </c>
      <c r="H343" s="34">
        <v>20</v>
      </c>
      <c r="I343" s="34" t="s">
        <v>12</v>
      </c>
      <c r="J343" s="34">
        <v>1.2909999999999999</v>
      </c>
      <c r="K343" s="41">
        <v>3.1162999999999998</v>
      </c>
    </row>
    <row r="344" spans="1:11">
      <c r="A344" s="34" t="s">
        <v>22</v>
      </c>
      <c r="B344" s="34">
        <v>50</v>
      </c>
      <c r="C344" s="41">
        <v>0.59640000000000004</v>
      </c>
      <c r="D344" s="34">
        <v>9.6600000000000005E-2</v>
      </c>
      <c r="E344" s="34">
        <v>0.13</v>
      </c>
      <c r="F344" s="34">
        <v>1008</v>
      </c>
      <c r="G344" s="42">
        <v>0</v>
      </c>
      <c r="H344" s="34">
        <v>20</v>
      </c>
      <c r="I344" s="34" t="s">
        <v>12</v>
      </c>
      <c r="J344" s="34">
        <v>1.2909999999999999</v>
      </c>
      <c r="K344" s="41">
        <v>3.2046000000000001</v>
      </c>
    </row>
    <row r="345" spans="1:11">
      <c r="A345" s="34" t="s">
        <v>22</v>
      </c>
      <c r="B345" s="34">
        <v>50</v>
      </c>
      <c r="C345" s="41">
        <v>0.79959999999999998</v>
      </c>
      <c r="D345" s="34">
        <v>9.6600000000000005E-2</v>
      </c>
      <c r="E345" s="34">
        <v>0.13</v>
      </c>
      <c r="F345" s="34">
        <v>1008</v>
      </c>
      <c r="G345" s="42">
        <v>0</v>
      </c>
      <c r="H345" s="34">
        <v>20</v>
      </c>
      <c r="I345" s="34" t="s">
        <v>12</v>
      </c>
      <c r="J345" s="34">
        <v>1.2909999999999999</v>
      </c>
      <c r="K345" s="41">
        <v>3.3607999999999998</v>
      </c>
    </row>
    <row r="346" spans="1:11">
      <c r="A346" s="34" t="s">
        <v>22</v>
      </c>
      <c r="B346" s="34">
        <v>50</v>
      </c>
      <c r="C346" s="41">
        <v>1.0003</v>
      </c>
      <c r="D346" s="34">
        <v>9.6600000000000005E-2</v>
      </c>
      <c r="E346" s="34">
        <v>0.13</v>
      </c>
      <c r="F346" s="34">
        <v>1008</v>
      </c>
      <c r="G346" s="42">
        <v>0</v>
      </c>
      <c r="H346" s="34">
        <v>20</v>
      </c>
      <c r="I346" s="34" t="s">
        <v>12</v>
      </c>
      <c r="J346" s="34">
        <v>1.2909999999999999</v>
      </c>
      <c r="K346" s="41">
        <v>3.4355000000000002</v>
      </c>
    </row>
    <row r="347" spans="1:11">
      <c r="A347" s="34" t="s">
        <v>22</v>
      </c>
      <c r="B347" s="34">
        <v>80</v>
      </c>
      <c r="C347" s="41">
        <v>0.30220000000000002</v>
      </c>
      <c r="D347" s="34">
        <v>9.6600000000000005E-2</v>
      </c>
      <c r="E347" s="34">
        <v>0.13</v>
      </c>
      <c r="F347" s="34">
        <v>1008</v>
      </c>
      <c r="G347" s="42">
        <v>0</v>
      </c>
      <c r="H347" s="34">
        <v>20</v>
      </c>
      <c r="I347" s="34" t="s">
        <v>12</v>
      </c>
      <c r="J347" s="34">
        <v>1.2909999999999999</v>
      </c>
      <c r="K347" s="41">
        <v>3.3879000000000001</v>
      </c>
    </row>
    <row r="348" spans="1:11">
      <c r="A348" s="34" t="s">
        <v>22</v>
      </c>
      <c r="B348" s="34">
        <v>80</v>
      </c>
      <c r="C348" s="41">
        <v>0.40189999999999998</v>
      </c>
      <c r="D348" s="34">
        <v>9.6600000000000005E-2</v>
      </c>
      <c r="E348" s="34">
        <v>0.13</v>
      </c>
      <c r="F348" s="34">
        <v>1008</v>
      </c>
      <c r="G348" s="42">
        <v>0</v>
      </c>
      <c r="H348" s="34">
        <v>20</v>
      </c>
      <c r="I348" s="34" t="s">
        <v>12</v>
      </c>
      <c r="J348" s="34">
        <v>1.2909999999999999</v>
      </c>
      <c r="K348" s="41">
        <v>3.4965999999999999</v>
      </c>
    </row>
    <row r="349" spans="1:11">
      <c r="A349" s="34" t="s">
        <v>22</v>
      </c>
      <c r="B349" s="34">
        <v>80</v>
      </c>
      <c r="C349" s="41">
        <v>0.50290000000000001</v>
      </c>
      <c r="D349" s="34">
        <v>9.6600000000000005E-2</v>
      </c>
      <c r="E349" s="34">
        <v>0.13</v>
      </c>
      <c r="F349" s="34">
        <v>1008</v>
      </c>
      <c r="G349" s="42">
        <v>0</v>
      </c>
      <c r="H349" s="34">
        <v>20</v>
      </c>
      <c r="I349" s="34" t="s">
        <v>12</v>
      </c>
      <c r="J349" s="34">
        <v>1.2909999999999999</v>
      </c>
      <c r="K349" s="41">
        <v>3.4965999999999999</v>
      </c>
    </row>
    <row r="350" spans="1:11">
      <c r="A350" s="34" t="s">
        <v>22</v>
      </c>
      <c r="B350" s="34">
        <v>80</v>
      </c>
      <c r="C350" s="41">
        <v>0.60009999999999997</v>
      </c>
      <c r="D350" s="34">
        <v>9.6600000000000005E-2</v>
      </c>
      <c r="E350" s="34">
        <v>0.13</v>
      </c>
      <c r="F350" s="34">
        <v>1008</v>
      </c>
      <c r="G350" s="42">
        <v>0</v>
      </c>
      <c r="H350" s="34">
        <v>20</v>
      </c>
      <c r="I350" s="34" t="s">
        <v>12</v>
      </c>
      <c r="J350" s="34">
        <v>1.2909999999999999</v>
      </c>
      <c r="K350" s="41">
        <v>3.6053000000000002</v>
      </c>
    </row>
    <row r="351" spans="1:11">
      <c r="A351" s="34" t="s">
        <v>22</v>
      </c>
      <c r="B351" s="34">
        <v>80</v>
      </c>
      <c r="C351" s="41">
        <v>0.79959999999999998</v>
      </c>
      <c r="D351" s="34">
        <v>9.6600000000000005E-2</v>
      </c>
      <c r="E351" s="34">
        <v>0.13</v>
      </c>
      <c r="F351" s="34">
        <v>1008</v>
      </c>
      <c r="G351" s="42">
        <v>0</v>
      </c>
      <c r="H351" s="34">
        <v>20</v>
      </c>
      <c r="I351" s="34" t="s">
        <v>12</v>
      </c>
      <c r="J351" s="34">
        <v>1.2909999999999999</v>
      </c>
      <c r="K351" s="41">
        <v>3.7002999999999999</v>
      </c>
    </row>
    <row r="352" spans="1:11">
      <c r="A352" s="34" t="s">
        <v>22</v>
      </c>
      <c r="B352" s="34">
        <v>80</v>
      </c>
      <c r="C352" s="41">
        <v>1.0003</v>
      </c>
      <c r="D352" s="34">
        <v>9.6600000000000005E-2</v>
      </c>
      <c r="E352" s="34">
        <v>0.13</v>
      </c>
      <c r="F352" s="34">
        <v>1008</v>
      </c>
      <c r="G352" s="42">
        <v>0</v>
      </c>
      <c r="H352" s="34">
        <v>20</v>
      </c>
      <c r="I352" s="34" t="s">
        <v>12</v>
      </c>
      <c r="J352" s="34">
        <v>1.2909999999999999</v>
      </c>
      <c r="K352" s="41">
        <v>3.8090000000000002</v>
      </c>
    </row>
    <row r="353" spans="1:11">
      <c r="A353" s="34" t="s">
        <v>22</v>
      </c>
      <c r="B353" s="34">
        <v>100</v>
      </c>
      <c r="C353" s="41">
        <v>0.30099999999999999</v>
      </c>
      <c r="D353" s="34">
        <v>9.6600000000000005E-2</v>
      </c>
      <c r="E353" s="34">
        <v>0.13</v>
      </c>
      <c r="F353" s="34">
        <v>1008</v>
      </c>
      <c r="G353" s="42">
        <v>0</v>
      </c>
      <c r="H353" s="34">
        <v>20</v>
      </c>
      <c r="I353" s="34" t="s">
        <v>12</v>
      </c>
      <c r="J353" s="34">
        <v>1.2909999999999999</v>
      </c>
      <c r="K353" s="41">
        <v>3.8090000000000002</v>
      </c>
    </row>
    <row r="354" spans="1:11">
      <c r="A354" s="34" t="s">
        <v>22</v>
      </c>
      <c r="B354" s="34">
        <v>100</v>
      </c>
      <c r="C354" s="41">
        <v>0.39950000000000002</v>
      </c>
      <c r="D354" s="34">
        <v>9.6600000000000005E-2</v>
      </c>
      <c r="E354" s="34">
        <v>0.13</v>
      </c>
      <c r="F354" s="34">
        <v>1008</v>
      </c>
      <c r="G354" s="42">
        <v>0</v>
      </c>
      <c r="H354" s="34">
        <v>20</v>
      </c>
      <c r="I354" s="34" t="s">
        <v>12</v>
      </c>
      <c r="J354" s="34">
        <v>1.2909999999999999</v>
      </c>
      <c r="K354" s="41">
        <v>3.7953999999999999</v>
      </c>
    </row>
    <row r="355" spans="1:11">
      <c r="A355" s="34" t="s">
        <v>22</v>
      </c>
      <c r="B355" s="34">
        <v>100</v>
      </c>
      <c r="C355" s="41">
        <v>0.49919999999999998</v>
      </c>
      <c r="D355" s="34">
        <v>9.6600000000000005E-2</v>
      </c>
      <c r="E355" s="34">
        <v>0.13</v>
      </c>
      <c r="F355" s="34">
        <v>1008</v>
      </c>
      <c r="G355" s="42">
        <v>0</v>
      </c>
      <c r="H355" s="34">
        <v>20</v>
      </c>
      <c r="I355" s="34" t="s">
        <v>12</v>
      </c>
      <c r="J355" s="34">
        <v>1.2909999999999999</v>
      </c>
      <c r="K355" s="41">
        <v>3.8973</v>
      </c>
    </row>
    <row r="356" spans="1:11">
      <c r="A356" s="34" t="s">
        <v>22</v>
      </c>
      <c r="B356" s="34">
        <v>100</v>
      </c>
      <c r="C356" s="41">
        <v>0.60009999999999997</v>
      </c>
      <c r="D356" s="34">
        <v>9.6600000000000005E-2</v>
      </c>
      <c r="E356" s="34">
        <v>0.13</v>
      </c>
      <c r="F356" s="34">
        <v>1008</v>
      </c>
      <c r="G356" s="42">
        <v>0</v>
      </c>
      <c r="H356" s="34">
        <v>20</v>
      </c>
      <c r="I356" s="34" t="s">
        <v>12</v>
      </c>
      <c r="J356" s="34">
        <v>1.2909999999999999</v>
      </c>
      <c r="K356" s="41">
        <v>3.8973</v>
      </c>
    </row>
    <row r="357" spans="1:11">
      <c r="A357" s="34" t="s">
        <v>22</v>
      </c>
      <c r="B357" s="34">
        <v>100</v>
      </c>
      <c r="C357" s="41">
        <v>0.80079999999999996</v>
      </c>
      <c r="D357" s="34">
        <v>9.6600000000000005E-2</v>
      </c>
      <c r="E357" s="34">
        <v>0.13</v>
      </c>
      <c r="F357" s="34">
        <v>1008</v>
      </c>
      <c r="G357" s="42">
        <v>0</v>
      </c>
      <c r="H357" s="34">
        <v>20</v>
      </c>
      <c r="I357" s="34" t="s">
        <v>12</v>
      </c>
      <c r="J357" s="34">
        <v>1.2909999999999999</v>
      </c>
      <c r="K357" s="41">
        <v>3.9855999999999998</v>
      </c>
    </row>
    <row r="358" spans="1:11">
      <c r="A358" s="34" t="s">
        <v>22</v>
      </c>
      <c r="B358" s="34">
        <v>100</v>
      </c>
      <c r="C358" s="41">
        <v>1.0003</v>
      </c>
      <c r="D358" s="34">
        <v>9.6600000000000005E-2</v>
      </c>
      <c r="E358" s="34">
        <v>0.13</v>
      </c>
      <c r="F358" s="34">
        <v>1008</v>
      </c>
      <c r="G358" s="42">
        <v>0</v>
      </c>
      <c r="H358" s="34">
        <v>20</v>
      </c>
      <c r="I358" s="34" t="s">
        <v>12</v>
      </c>
      <c r="J358" s="34">
        <v>1.2909999999999999</v>
      </c>
      <c r="K358" s="41">
        <v>4.101</v>
      </c>
    </row>
    <row r="359" spans="1:11">
      <c r="A359" s="34" t="s">
        <v>22</v>
      </c>
      <c r="B359" s="34">
        <v>120</v>
      </c>
      <c r="C359" s="41">
        <v>0.29970000000000002</v>
      </c>
      <c r="D359" s="34">
        <v>9.6600000000000005E-2</v>
      </c>
      <c r="E359" s="34">
        <v>0.13</v>
      </c>
      <c r="F359" s="34">
        <v>1008</v>
      </c>
      <c r="G359" s="42">
        <v>0</v>
      </c>
      <c r="H359" s="34">
        <v>20</v>
      </c>
      <c r="I359" s="34" t="s">
        <v>12</v>
      </c>
      <c r="J359" s="34">
        <v>1.2909999999999999</v>
      </c>
      <c r="K359" s="41">
        <v>4.101</v>
      </c>
    </row>
    <row r="360" spans="1:11">
      <c r="A360" s="34" t="s">
        <v>22</v>
      </c>
      <c r="B360" s="34">
        <v>120</v>
      </c>
      <c r="C360" s="41">
        <v>0.4007</v>
      </c>
      <c r="D360" s="34">
        <v>9.6600000000000005E-2</v>
      </c>
      <c r="E360" s="34">
        <v>0.13</v>
      </c>
      <c r="F360" s="34">
        <v>1008</v>
      </c>
      <c r="G360" s="42">
        <v>0</v>
      </c>
      <c r="H360" s="34">
        <v>20</v>
      </c>
      <c r="I360" s="34" t="s">
        <v>12</v>
      </c>
      <c r="J360" s="34">
        <v>1.2909999999999999</v>
      </c>
      <c r="K360" s="41">
        <v>4.0941999999999998</v>
      </c>
    </row>
    <row r="361" spans="1:11">
      <c r="A361" s="34" t="s">
        <v>22</v>
      </c>
      <c r="B361" s="34">
        <v>120</v>
      </c>
      <c r="C361" s="41">
        <v>0.50039999999999996</v>
      </c>
      <c r="D361" s="34">
        <v>9.6600000000000005E-2</v>
      </c>
      <c r="E361" s="34">
        <v>0.13</v>
      </c>
      <c r="F361" s="34">
        <v>1008</v>
      </c>
      <c r="G361" s="42">
        <v>0</v>
      </c>
      <c r="H361" s="34">
        <v>20</v>
      </c>
      <c r="I361" s="34" t="s">
        <v>12</v>
      </c>
      <c r="J361" s="34">
        <v>1.2909999999999999</v>
      </c>
      <c r="K361" s="41">
        <v>4.2096999999999998</v>
      </c>
    </row>
    <row r="362" spans="1:11">
      <c r="A362" s="34" t="s">
        <v>22</v>
      </c>
      <c r="B362" s="34">
        <v>120</v>
      </c>
      <c r="C362" s="41">
        <v>0.60140000000000005</v>
      </c>
      <c r="D362" s="34">
        <v>9.6600000000000005E-2</v>
      </c>
      <c r="E362" s="34">
        <v>0.13</v>
      </c>
      <c r="F362" s="34">
        <v>1008</v>
      </c>
      <c r="G362" s="42">
        <v>0</v>
      </c>
      <c r="H362" s="34">
        <v>20</v>
      </c>
      <c r="I362" s="34" t="s">
        <v>12</v>
      </c>
      <c r="J362" s="34">
        <v>1.2909999999999999</v>
      </c>
      <c r="K362" s="41">
        <v>4.1961000000000004</v>
      </c>
    </row>
    <row r="363" spans="1:11">
      <c r="A363" s="34" t="s">
        <v>22</v>
      </c>
      <c r="B363" s="34">
        <v>120</v>
      </c>
      <c r="C363" s="41">
        <v>0.80210000000000004</v>
      </c>
      <c r="D363" s="34">
        <v>9.6600000000000005E-2</v>
      </c>
      <c r="E363" s="34">
        <v>0.13</v>
      </c>
      <c r="F363" s="34">
        <v>1008</v>
      </c>
      <c r="G363" s="42">
        <v>0</v>
      </c>
      <c r="H363" s="34">
        <v>20</v>
      </c>
      <c r="I363" s="34" t="s">
        <v>12</v>
      </c>
      <c r="J363" s="34">
        <v>1.2909999999999999</v>
      </c>
      <c r="K363" s="41">
        <v>4.2911999999999999</v>
      </c>
    </row>
    <row r="364" spans="1:11">
      <c r="A364" s="34" t="s">
        <v>22</v>
      </c>
      <c r="B364" s="34">
        <v>120</v>
      </c>
      <c r="C364" s="41">
        <v>0.99780000000000002</v>
      </c>
      <c r="D364" s="34">
        <v>9.6600000000000005E-2</v>
      </c>
      <c r="E364" s="34">
        <v>0.13</v>
      </c>
      <c r="F364" s="34">
        <v>1008</v>
      </c>
      <c r="G364" s="42">
        <v>0</v>
      </c>
      <c r="H364" s="34">
        <v>20</v>
      </c>
      <c r="I364" s="34" t="s">
        <v>12</v>
      </c>
      <c r="J364" s="34">
        <v>1.2909999999999999</v>
      </c>
      <c r="K364" s="41">
        <v>4.3997999999999999</v>
      </c>
    </row>
    <row r="365" spans="1:11">
      <c r="A365" s="34" t="s">
        <v>22</v>
      </c>
      <c r="B365" s="34">
        <v>150</v>
      </c>
      <c r="C365" s="41">
        <v>0.29970000000000002</v>
      </c>
      <c r="D365" s="34">
        <v>9.6600000000000005E-2</v>
      </c>
      <c r="E365" s="34">
        <v>0.13</v>
      </c>
      <c r="F365" s="34">
        <v>1008</v>
      </c>
      <c r="G365" s="42">
        <v>0</v>
      </c>
      <c r="H365" s="34">
        <v>20</v>
      </c>
      <c r="I365" s="34" t="s">
        <v>12</v>
      </c>
      <c r="J365" s="34">
        <v>1.2909999999999999</v>
      </c>
      <c r="K365" s="41">
        <v>4.4949000000000003</v>
      </c>
    </row>
    <row r="366" spans="1:11">
      <c r="A366" s="34" t="s">
        <v>22</v>
      </c>
      <c r="B366" s="34">
        <v>150</v>
      </c>
      <c r="C366" s="41">
        <v>0.39950000000000002</v>
      </c>
      <c r="D366" s="34">
        <v>9.6600000000000005E-2</v>
      </c>
      <c r="E366" s="34">
        <v>0.13</v>
      </c>
      <c r="F366" s="34">
        <v>1008</v>
      </c>
      <c r="G366" s="42">
        <v>0</v>
      </c>
      <c r="H366" s="34">
        <v>20</v>
      </c>
      <c r="I366" s="34" t="s">
        <v>12</v>
      </c>
      <c r="J366" s="34">
        <v>1.2909999999999999</v>
      </c>
      <c r="K366" s="41">
        <v>4.4881000000000002</v>
      </c>
    </row>
    <row r="367" spans="1:11">
      <c r="A367" s="34" t="s">
        <v>22</v>
      </c>
      <c r="B367" s="34">
        <v>150</v>
      </c>
      <c r="C367" s="41">
        <v>0.49919999999999998</v>
      </c>
      <c r="D367" s="34">
        <v>9.6600000000000005E-2</v>
      </c>
      <c r="E367" s="34">
        <v>0.13</v>
      </c>
      <c r="F367" s="34">
        <v>1008</v>
      </c>
      <c r="G367" s="42">
        <v>0</v>
      </c>
      <c r="H367" s="34">
        <v>20</v>
      </c>
      <c r="I367" s="34" t="s">
        <v>12</v>
      </c>
      <c r="J367" s="34">
        <v>1.2909999999999999</v>
      </c>
      <c r="K367" s="41">
        <v>4.6104000000000003</v>
      </c>
    </row>
    <row r="368" spans="1:11">
      <c r="A368" s="34" t="s">
        <v>22</v>
      </c>
      <c r="B368" s="34">
        <v>150</v>
      </c>
      <c r="C368" s="41">
        <v>0.60140000000000005</v>
      </c>
      <c r="D368" s="34">
        <v>9.6600000000000005E-2</v>
      </c>
      <c r="E368" s="34">
        <v>0.13</v>
      </c>
      <c r="F368" s="34">
        <v>1008</v>
      </c>
      <c r="G368" s="42">
        <v>0</v>
      </c>
      <c r="H368" s="34">
        <v>20</v>
      </c>
      <c r="I368" s="34" t="s">
        <v>12</v>
      </c>
      <c r="J368" s="34">
        <v>1.2909999999999999</v>
      </c>
      <c r="K368" s="41">
        <v>4.5968</v>
      </c>
    </row>
    <row r="369" spans="1:11">
      <c r="A369" s="34" t="s">
        <v>22</v>
      </c>
      <c r="B369" s="34">
        <v>150</v>
      </c>
      <c r="C369" s="41">
        <v>0.80210000000000004</v>
      </c>
      <c r="D369" s="34">
        <v>9.6600000000000005E-2</v>
      </c>
      <c r="E369" s="34">
        <v>0.13</v>
      </c>
      <c r="F369" s="34">
        <v>1008</v>
      </c>
      <c r="G369" s="42">
        <v>0</v>
      </c>
      <c r="H369" s="34">
        <v>20</v>
      </c>
      <c r="I369" s="34" t="s">
        <v>12</v>
      </c>
      <c r="J369" s="34">
        <v>1.2909999999999999</v>
      </c>
      <c r="K369" s="41">
        <v>4.7122000000000002</v>
      </c>
    </row>
    <row r="370" spans="1:11">
      <c r="A370" s="34" t="s">
        <v>22</v>
      </c>
      <c r="B370" s="34">
        <v>150</v>
      </c>
      <c r="C370" s="41">
        <v>1.0003</v>
      </c>
      <c r="D370" s="34">
        <v>9.6600000000000005E-2</v>
      </c>
      <c r="E370" s="34">
        <v>0.13</v>
      </c>
      <c r="F370" s="34">
        <v>1008</v>
      </c>
      <c r="G370" s="42">
        <v>0</v>
      </c>
      <c r="H370" s="34">
        <v>20</v>
      </c>
      <c r="I370" s="34" t="s">
        <v>12</v>
      </c>
      <c r="J370" s="34">
        <v>1.2909999999999999</v>
      </c>
      <c r="K370" s="41">
        <v>4.7937000000000003</v>
      </c>
    </row>
    <row r="371" spans="1:11">
      <c r="A371" s="34" t="s">
        <v>22</v>
      </c>
      <c r="B371" s="34">
        <v>200</v>
      </c>
      <c r="C371" s="41">
        <v>0.29970000000000002</v>
      </c>
      <c r="D371" s="34">
        <v>9.6600000000000005E-2</v>
      </c>
      <c r="E371" s="34">
        <v>0.13</v>
      </c>
      <c r="F371" s="34">
        <v>1008</v>
      </c>
      <c r="G371" s="42">
        <v>0</v>
      </c>
      <c r="H371" s="34">
        <v>20</v>
      </c>
      <c r="I371" s="34" t="s">
        <v>12</v>
      </c>
      <c r="J371" s="34">
        <v>1.2909999999999999</v>
      </c>
      <c r="K371" s="41">
        <v>5.1128999999999998</v>
      </c>
    </row>
    <row r="372" spans="1:11">
      <c r="A372" s="34" t="s">
        <v>22</v>
      </c>
      <c r="B372" s="34">
        <v>200</v>
      </c>
      <c r="C372" s="41">
        <v>0.4007</v>
      </c>
      <c r="D372" s="34">
        <v>9.6600000000000005E-2</v>
      </c>
      <c r="E372" s="34">
        <v>0.13</v>
      </c>
      <c r="F372" s="34">
        <v>1008</v>
      </c>
      <c r="G372" s="42">
        <v>0</v>
      </c>
      <c r="H372" s="34">
        <v>20</v>
      </c>
      <c r="I372" s="34" t="s">
        <v>12</v>
      </c>
      <c r="J372" s="34">
        <v>1.2909999999999999</v>
      </c>
      <c r="K372" s="41">
        <v>5.0925000000000002</v>
      </c>
    </row>
    <row r="373" spans="1:11">
      <c r="A373" s="34" t="s">
        <v>22</v>
      </c>
      <c r="B373" s="34">
        <v>200</v>
      </c>
      <c r="C373" s="41">
        <v>0.50039999999999996</v>
      </c>
      <c r="D373" s="34">
        <v>9.6600000000000005E-2</v>
      </c>
      <c r="E373" s="34">
        <v>0.13</v>
      </c>
      <c r="F373" s="34">
        <v>1008</v>
      </c>
      <c r="G373" s="42">
        <v>0</v>
      </c>
      <c r="H373" s="34">
        <v>20</v>
      </c>
      <c r="I373" s="34" t="s">
        <v>12</v>
      </c>
      <c r="J373" s="34">
        <v>1.2909999999999999</v>
      </c>
      <c r="K373" s="41">
        <v>5.2080000000000002</v>
      </c>
    </row>
    <row r="374" spans="1:11">
      <c r="A374" s="34" t="s">
        <v>22</v>
      </c>
      <c r="B374" s="34">
        <v>200</v>
      </c>
      <c r="C374" s="41">
        <v>0.60140000000000005</v>
      </c>
      <c r="D374" s="34">
        <v>9.6600000000000005E-2</v>
      </c>
      <c r="E374" s="34">
        <v>0.13</v>
      </c>
      <c r="F374" s="34">
        <v>1008</v>
      </c>
      <c r="G374" s="42">
        <v>0</v>
      </c>
      <c r="H374" s="34">
        <v>20</v>
      </c>
      <c r="I374" s="34" t="s">
        <v>12</v>
      </c>
      <c r="J374" s="34">
        <v>1.2909999999999999</v>
      </c>
      <c r="K374" s="41">
        <v>5.2080000000000002</v>
      </c>
    </row>
    <row r="375" spans="1:11">
      <c r="A375" s="34" t="s">
        <v>22</v>
      </c>
      <c r="B375" s="34">
        <v>200</v>
      </c>
      <c r="C375" s="41">
        <v>0.80210000000000004</v>
      </c>
      <c r="D375" s="34">
        <v>9.6600000000000005E-2</v>
      </c>
      <c r="E375" s="34">
        <v>0.13</v>
      </c>
      <c r="F375" s="34">
        <v>1008</v>
      </c>
      <c r="G375" s="42">
        <v>0</v>
      </c>
      <c r="H375" s="34">
        <v>20</v>
      </c>
      <c r="I375" s="34" t="s">
        <v>12</v>
      </c>
      <c r="J375" s="34">
        <v>1.2909999999999999</v>
      </c>
      <c r="K375" s="41">
        <v>5.3030999999999997</v>
      </c>
    </row>
    <row r="376" spans="1:11">
      <c r="A376" s="34" t="s">
        <v>22</v>
      </c>
      <c r="B376" s="34">
        <v>200</v>
      </c>
      <c r="C376" s="41">
        <v>1.0015000000000001</v>
      </c>
      <c r="D376" s="34">
        <v>9.6600000000000005E-2</v>
      </c>
      <c r="E376" s="34">
        <v>0.13</v>
      </c>
      <c r="F376" s="34">
        <v>1008</v>
      </c>
      <c r="G376" s="42">
        <v>0</v>
      </c>
      <c r="H376" s="34">
        <v>20</v>
      </c>
      <c r="I376" s="34" t="s">
        <v>12</v>
      </c>
      <c r="J376" s="34">
        <v>1.2909999999999999</v>
      </c>
      <c r="K376" s="41">
        <v>5.3030999999999997</v>
      </c>
    </row>
    <row r="377" spans="1:11">
      <c r="A377" s="34" t="s">
        <v>22</v>
      </c>
      <c r="B377" s="36">
        <v>50</v>
      </c>
      <c r="C377" s="43">
        <v>0.3</v>
      </c>
      <c r="D377" s="36">
        <v>7.2800000000000004E-2</v>
      </c>
      <c r="E377" s="36">
        <v>1.01E-3</v>
      </c>
      <c r="F377" s="36">
        <v>1000</v>
      </c>
      <c r="G377" s="42">
        <v>0</v>
      </c>
      <c r="H377" s="34">
        <v>20</v>
      </c>
      <c r="I377" s="34" t="s">
        <v>12</v>
      </c>
      <c r="J377" s="34">
        <v>1.2909999999999999</v>
      </c>
      <c r="K377" s="43">
        <v>3.5135999999999998</v>
      </c>
    </row>
    <row r="378" spans="1:11">
      <c r="A378" s="34" t="s">
        <v>22</v>
      </c>
      <c r="B378" s="36">
        <v>50</v>
      </c>
      <c r="C378" s="43">
        <v>0.40089999999999998</v>
      </c>
      <c r="D378" s="36">
        <v>7.2800000000000004E-2</v>
      </c>
      <c r="E378" s="36">
        <v>1.01E-3</v>
      </c>
      <c r="F378" s="36">
        <v>1000</v>
      </c>
      <c r="G378" s="42">
        <v>0</v>
      </c>
      <c r="H378" s="34">
        <v>20</v>
      </c>
      <c r="I378" s="34" t="s">
        <v>12</v>
      </c>
      <c r="J378" s="34">
        <v>1.2909999999999999</v>
      </c>
      <c r="K378" s="43">
        <v>3.7349999999999999</v>
      </c>
    </row>
    <row r="379" spans="1:11">
      <c r="A379" s="34" t="s">
        <v>22</v>
      </c>
      <c r="B379" s="36">
        <v>50</v>
      </c>
      <c r="C379" s="43">
        <v>0.50229999999999997</v>
      </c>
      <c r="D379" s="36">
        <v>7.2800000000000004E-2</v>
      </c>
      <c r="E379" s="36">
        <v>1.01E-3</v>
      </c>
      <c r="F379" s="36">
        <v>1000</v>
      </c>
      <c r="G379" s="42">
        <v>0</v>
      </c>
      <c r="H379" s="34">
        <v>20</v>
      </c>
      <c r="I379" s="34" t="s">
        <v>12</v>
      </c>
      <c r="J379" s="34">
        <v>1.2909999999999999</v>
      </c>
      <c r="K379" s="43">
        <v>3.8294000000000001</v>
      </c>
    </row>
    <row r="380" spans="1:11">
      <c r="A380" s="34" t="s">
        <v>22</v>
      </c>
      <c r="B380" s="36">
        <v>50</v>
      </c>
      <c r="C380" s="43">
        <v>0.60229999999999995</v>
      </c>
      <c r="D380" s="36">
        <v>7.2800000000000004E-2</v>
      </c>
      <c r="E380" s="36">
        <v>1.01E-3</v>
      </c>
      <c r="F380" s="36">
        <v>1000</v>
      </c>
      <c r="G380" s="42">
        <v>0</v>
      </c>
      <c r="H380" s="34">
        <v>20</v>
      </c>
      <c r="I380" s="34" t="s">
        <v>12</v>
      </c>
      <c r="J380" s="34">
        <v>1.2909999999999999</v>
      </c>
      <c r="K380" s="43">
        <v>3.9636999999999998</v>
      </c>
    </row>
    <row r="381" spans="1:11">
      <c r="A381" s="34" t="s">
        <v>22</v>
      </c>
      <c r="B381" s="36">
        <v>50</v>
      </c>
      <c r="C381" s="43">
        <v>0.80020000000000002</v>
      </c>
      <c r="D381" s="36">
        <v>7.2800000000000004E-2</v>
      </c>
      <c r="E381" s="36">
        <v>1.01E-3</v>
      </c>
      <c r="F381" s="36">
        <v>1000</v>
      </c>
      <c r="G381" s="42">
        <v>0</v>
      </c>
      <c r="H381" s="34">
        <v>20</v>
      </c>
      <c r="I381" s="34" t="s">
        <v>12</v>
      </c>
      <c r="J381" s="34">
        <v>1.2909999999999999</v>
      </c>
      <c r="K381" s="43">
        <v>4.1669</v>
      </c>
    </row>
    <row r="382" spans="1:11">
      <c r="A382" s="34" t="s">
        <v>22</v>
      </c>
      <c r="B382" s="36">
        <v>50</v>
      </c>
      <c r="C382" s="43">
        <v>1.0007999999999999</v>
      </c>
      <c r="D382" s="36">
        <v>7.2800000000000004E-2</v>
      </c>
      <c r="E382" s="36">
        <v>1.01E-3</v>
      </c>
      <c r="F382" s="36">
        <v>1000</v>
      </c>
      <c r="G382" s="42">
        <v>0</v>
      </c>
      <c r="H382" s="34">
        <v>20</v>
      </c>
      <c r="I382" s="34" t="s">
        <v>12</v>
      </c>
      <c r="J382" s="34">
        <v>1.2909999999999999</v>
      </c>
      <c r="K382" s="43">
        <v>4.3811</v>
      </c>
    </row>
    <row r="383" spans="1:11">
      <c r="A383" s="34" t="s">
        <v>22</v>
      </c>
      <c r="B383" s="36">
        <v>80</v>
      </c>
      <c r="C383" s="43">
        <v>0.29880000000000001</v>
      </c>
      <c r="D383" s="36">
        <v>7.2800000000000004E-2</v>
      </c>
      <c r="E383" s="36">
        <v>1.01E-3</v>
      </c>
      <c r="F383" s="36">
        <v>1000</v>
      </c>
      <c r="G383" s="42">
        <v>0</v>
      </c>
      <c r="H383" s="34">
        <v>20</v>
      </c>
      <c r="I383" s="34" t="s">
        <v>12</v>
      </c>
      <c r="J383" s="34">
        <v>1.2909999999999999</v>
      </c>
      <c r="K383" s="43">
        <v>3.9445999999999999</v>
      </c>
    </row>
    <row r="384" spans="1:11">
      <c r="A384" s="34" t="s">
        <v>22</v>
      </c>
      <c r="B384" s="36">
        <v>80</v>
      </c>
      <c r="C384" s="43">
        <v>0.40189999999999998</v>
      </c>
      <c r="D384" s="36">
        <v>7.2800000000000004E-2</v>
      </c>
      <c r="E384" s="36">
        <v>1.01E-3</v>
      </c>
      <c r="F384" s="36">
        <v>1000</v>
      </c>
      <c r="G384" s="42">
        <v>0</v>
      </c>
      <c r="H384" s="34">
        <v>20</v>
      </c>
      <c r="I384" s="34" t="s">
        <v>12</v>
      </c>
      <c r="J384" s="34">
        <v>1.2909999999999999</v>
      </c>
      <c r="K384" s="43">
        <v>4.0644</v>
      </c>
    </row>
    <row r="385" spans="1:11">
      <c r="A385" s="34" t="s">
        <v>22</v>
      </c>
      <c r="B385" s="36">
        <v>80</v>
      </c>
      <c r="C385" s="43">
        <v>0.50109999999999999</v>
      </c>
      <c r="D385" s="36">
        <v>7.2800000000000004E-2</v>
      </c>
      <c r="E385" s="36">
        <v>1.01E-3</v>
      </c>
      <c r="F385" s="36">
        <v>1000</v>
      </c>
      <c r="G385" s="42">
        <v>0</v>
      </c>
      <c r="H385" s="34">
        <v>20</v>
      </c>
      <c r="I385" s="34" t="s">
        <v>12</v>
      </c>
      <c r="J385" s="34">
        <v>1.2909999999999999</v>
      </c>
      <c r="K385" s="43">
        <v>4.0697999999999999</v>
      </c>
    </row>
    <row r="386" spans="1:11">
      <c r="A386" s="34" t="s">
        <v>22</v>
      </c>
      <c r="B386" s="36">
        <v>80</v>
      </c>
      <c r="C386" s="43">
        <v>0.60089999999999999</v>
      </c>
      <c r="D386" s="36">
        <v>7.2800000000000004E-2</v>
      </c>
      <c r="E386" s="36">
        <v>1.01E-3</v>
      </c>
      <c r="F386" s="36">
        <v>1000</v>
      </c>
      <c r="G386" s="42">
        <v>0</v>
      </c>
      <c r="H386" s="34">
        <v>20</v>
      </c>
      <c r="I386" s="34" t="s">
        <v>12</v>
      </c>
      <c r="J386" s="34">
        <v>1.2909999999999999</v>
      </c>
      <c r="K386" s="43">
        <v>4.1787000000000001</v>
      </c>
    </row>
    <row r="387" spans="1:11">
      <c r="A387" s="34" t="s">
        <v>22</v>
      </c>
      <c r="B387" s="36">
        <v>80</v>
      </c>
      <c r="C387" s="43">
        <v>0.79930000000000001</v>
      </c>
      <c r="D387" s="36">
        <v>7.2800000000000004E-2</v>
      </c>
      <c r="E387" s="36">
        <v>1.01E-3</v>
      </c>
      <c r="F387" s="36">
        <v>1000</v>
      </c>
      <c r="G387" s="42">
        <v>0</v>
      </c>
      <c r="H387" s="34">
        <v>20</v>
      </c>
      <c r="I387" s="34" t="s">
        <v>12</v>
      </c>
      <c r="J387" s="34">
        <v>1.2909999999999999</v>
      </c>
      <c r="K387" s="43">
        <v>4.3964999999999996</v>
      </c>
    </row>
    <row r="388" spans="1:11">
      <c r="A388" s="34" t="s">
        <v>22</v>
      </c>
      <c r="B388" s="36">
        <v>80</v>
      </c>
      <c r="C388" s="44">
        <v>1</v>
      </c>
      <c r="D388" s="36">
        <v>7.2800000000000004E-2</v>
      </c>
      <c r="E388" s="36">
        <v>1.01E-3</v>
      </c>
      <c r="F388" s="36">
        <v>1000</v>
      </c>
      <c r="G388" s="42">
        <v>0</v>
      </c>
      <c r="H388" s="34">
        <v>20</v>
      </c>
      <c r="I388" s="34" t="s">
        <v>12</v>
      </c>
      <c r="J388" s="34">
        <v>1.2909999999999999</v>
      </c>
      <c r="K388" s="43">
        <v>4.5652999999999997</v>
      </c>
    </row>
    <row r="389" spans="1:11">
      <c r="A389" s="34" t="s">
        <v>22</v>
      </c>
      <c r="B389" s="36">
        <v>100</v>
      </c>
      <c r="C389" s="43">
        <v>0.30209999999999998</v>
      </c>
      <c r="D389" s="36">
        <v>7.2800000000000004E-2</v>
      </c>
      <c r="E389" s="36">
        <v>1.01E-3</v>
      </c>
      <c r="F389" s="36">
        <v>1000</v>
      </c>
      <c r="G389" s="42">
        <v>0</v>
      </c>
      <c r="H389" s="34">
        <v>20</v>
      </c>
      <c r="I389" s="34" t="s">
        <v>12</v>
      </c>
      <c r="J389" s="34">
        <v>1.2909999999999999</v>
      </c>
      <c r="K389" s="43">
        <v>4.1746999999999996</v>
      </c>
    </row>
    <row r="390" spans="1:11">
      <c r="A390" s="34" t="s">
        <v>22</v>
      </c>
      <c r="B390" s="36">
        <v>100</v>
      </c>
      <c r="C390" s="43">
        <v>0.40239999999999998</v>
      </c>
      <c r="D390" s="36">
        <v>7.2800000000000004E-2</v>
      </c>
      <c r="E390" s="36">
        <v>1.01E-3</v>
      </c>
      <c r="F390" s="36">
        <v>1000</v>
      </c>
      <c r="G390" s="42">
        <v>0</v>
      </c>
      <c r="H390" s="34">
        <v>20</v>
      </c>
      <c r="I390" s="34" t="s">
        <v>12</v>
      </c>
      <c r="J390" s="34">
        <v>1.2909999999999999</v>
      </c>
      <c r="K390" s="43">
        <v>4.2881</v>
      </c>
    </row>
    <row r="391" spans="1:11">
      <c r="A391" s="34" t="s">
        <v>22</v>
      </c>
      <c r="B391" s="36">
        <v>100</v>
      </c>
      <c r="C391" s="43">
        <v>0.50209999999999999</v>
      </c>
      <c r="D391" s="36">
        <v>7.2800000000000004E-2</v>
      </c>
      <c r="E391" s="36">
        <v>1.01E-3</v>
      </c>
      <c r="F391" s="36">
        <v>1000</v>
      </c>
      <c r="G391" s="42">
        <v>0</v>
      </c>
      <c r="H391" s="34">
        <v>20</v>
      </c>
      <c r="I391" s="34" t="s">
        <v>12</v>
      </c>
      <c r="J391" s="34">
        <v>1.2909999999999999</v>
      </c>
      <c r="K391" s="43">
        <v>4.3879000000000001</v>
      </c>
    </row>
    <row r="392" spans="1:11">
      <c r="A392" s="34" t="s">
        <v>22</v>
      </c>
      <c r="B392" s="36">
        <v>100</v>
      </c>
      <c r="C392" s="43">
        <v>0.60129999999999995</v>
      </c>
      <c r="D392" s="36">
        <v>7.2800000000000004E-2</v>
      </c>
      <c r="E392" s="36">
        <v>1.01E-3</v>
      </c>
      <c r="F392" s="36">
        <v>1000</v>
      </c>
      <c r="G392" s="42">
        <v>0</v>
      </c>
      <c r="H392" s="34">
        <v>20</v>
      </c>
      <c r="I392" s="34" t="s">
        <v>12</v>
      </c>
      <c r="J392" s="34">
        <v>1.2909999999999999</v>
      </c>
      <c r="K392" s="43">
        <v>4.5194999999999999</v>
      </c>
    </row>
    <row r="393" spans="1:11">
      <c r="A393" s="34" t="s">
        <v>22</v>
      </c>
      <c r="B393" s="36">
        <v>100</v>
      </c>
      <c r="C393" s="43">
        <v>0.79959999999999998</v>
      </c>
      <c r="D393" s="36">
        <v>7.2800000000000004E-2</v>
      </c>
      <c r="E393" s="36">
        <v>1.01E-3</v>
      </c>
      <c r="F393" s="36">
        <v>1000</v>
      </c>
      <c r="G393" s="42">
        <v>0</v>
      </c>
      <c r="H393" s="34">
        <v>20</v>
      </c>
      <c r="I393" s="34" t="s">
        <v>12</v>
      </c>
      <c r="J393" s="34">
        <v>1.2909999999999999</v>
      </c>
      <c r="K393" s="43">
        <v>4.6012000000000004</v>
      </c>
    </row>
    <row r="394" spans="1:11">
      <c r="A394" s="34" t="s">
        <v>22</v>
      </c>
      <c r="B394" s="36">
        <v>100</v>
      </c>
      <c r="C394" s="43">
        <v>1.0024</v>
      </c>
      <c r="D394" s="36">
        <v>7.2800000000000004E-2</v>
      </c>
      <c r="E394" s="36">
        <v>1.01E-3</v>
      </c>
      <c r="F394" s="36">
        <v>1000</v>
      </c>
      <c r="G394" s="42">
        <v>0</v>
      </c>
      <c r="H394" s="34">
        <v>20</v>
      </c>
      <c r="I394" s="34" t="s">
        <v>12</v>
      </c>
      <c r="J394" s="34">
        <v>1.2909999999999999</v>
      </c>
      <c r="K394" s="43">
        <v>4.8417000000000003</v>
      </c>
    </row>
    <row r="395" spans="1:11">
      <c r="A395" s="34" t="s">
        <v>22</v>
      </c>
      <c r="B395" s="36">
        <v>120</v>
      </c>
      <c r="C395" s="43">
        <v>0.30030000000000001</v>
      </c>
      <c r="D395" s="36">
        <v>7.2800000000000004E-2</v>
      </c>
      <c r="E395" s="36">
        <v>1.01E-3</v>
      </c>
      <c r="F395" s="36">
        <v>1000</v>
      </c>
      <c r="G395" s="42">
        <v>0</v>
      </c>
      <c r="H395" s="34">
        <v>20</v>
      </c>
      <c r="I395" s="34" t="s">
        <v>12</v>
      </c>
      <c r="J395" s="34">
        <v>1.2909999999999999</v>
      </c>
      <c r="K395" s="43">
        <v>4.4942000000000002</v>
      </c>
    </row>
    <row r="396" spans="1:11">
      <c r="A396" s="34" t="s">
        <v>22</v>
      </c>
      <c r="B396" s="36">
        <v>120</v>
      </c>
      <c r="C396" s="43">
        <v>0.4002</v>
      </c>
      <c r="D396" s="36">
        <v>7.2800000000000004E-2</v>
      </c>
      <c r="E396" s="36">
        <v>1.01E-3</v>
      </c>
      <c r="F396" s="36">
        <v>1000</v>
      </c>
      <c r="G396" s="42">
        <v>0</v>
      </c>
      <c r="H396" s="34">
        <v>20</v>
      </c>
      <c r="I396" s="34" t="s">
        <v>12</v>
      </c>
      <c r="J396" s="34">
        <v>1.2909999999999999</v>
      </c>
      <c r="K396" s="43">
        <v>4.6151999999999997</v>
      </c>
    </row>
    <row r="397" spans="1:11">
      <c r="A397" s="34" t="s">
        <v>22</v>
      </c>
      <c r="B397" s="36">
        <v>120</v>
      </c>
      <c r="C397" s="43">
        <v>0.50239999999999996</v>
      </c>
      <c r="D397" s="36">
        <v>7.2800000000000004E-2</v>
      </c>
      <c r="E397" s="36">
        <v>1.01E-3</v>
      </c>
      <c r="F397" s="36">
        <v>1000</v>
      </c>
      <c r="G397" s="42">
        <v>0</v>
      </c>
      <c r="H397" s="34">
        <v>20</v>
      </c>
      <c r="I397" s="34" t="s">
        <v>12</v>
      </c>
      <c r="J397" s="34">
        <v>1.2909999999999999</v>
      </c>
      <c r="K397" s="43">
        <v>4.7168000000000001</v>
      </c>
    </row>
    <row r="398" spans="1:11">
      <c r="A398" s="34" t="s">
        <v>22</v>
      </c>
      <c r="B398" s="36">
        <v>120</v>
      </c>
      <c r="C398" s="43">
        <v>0.59940000000000004</v>
      </c>
      <c r="D398" s="36">
        <v>7.2800000000000004E-2</v>
      </c>
      <c r="E398" s="36">
        <v>1.01E-3</v>
      </c>
      <c r="F398" s="36">
        <v>1000</v>
      </c>
      <c r="G398" s="42">
        <v>0</v>
      </c>
      <c r="H398" s="34">
        <v>20</v>
      </c>
      <c r="I398" s="34" t="s">
        <v>12</v>
      </c>
      <c r="J398" s="34">
        <v>1.2909999999999999</v>
      </c>
      <c r="K398" s="43">
        <v>4.7313000000000001</v>
      </c>
    </row>
    <row r="399" spans="1:11">
      <c r="A399" s="34" t="s">
        <v>22</v>
      </c>
      <c r="B399" s="36">
        <v>120</v>
      </c>
      <c r="C399" s="43">
        <v>0.79920000000000002</v>
      </c>
      <c r="D399" s="36">
        <v>7.2800000000000004E-2</v>
      </c>
      <c r="E399" s="36">
        <v>1.01E-3</v>
      </c>
      <c r="F399" s="36">
        <v>1000</v>
      </c>
      <c r="G399" s="42">
        <v>0</v>
      </c>
      <c r="H399" s="34">
        <v>20</v>
      </c>
      <c r="I399" s="34" t="s">
        <v>12</v>
      </c>
      <c r="J399" s="34">
        <v>1.2909999999999999</v>
      </c>
      <c r="K399" s="43">
        <v>4.9298000000000002</v>
      </c>
    </row>
    <row r="400" spans="1:11">
      <c r="A400" s="34" t="s">
        <v>22</v>
      </c>
      <c r="B400" s="36">
        <v>120</v>
      </c>
      <c r="C400" s="43">
        <v>0.99960000000000004</v>
      </c>
      <c r="D400" s="36">
        <v>7.2800000000000004E-2</v>
      </c>
      <c r="E400" s="36">
        <v>1.01E-3</v>
      </c>
      <c r="F400" s="36">
        <v>1000</v>
      </c>
      <c r="G400" s="42">
        <v>0</v>
      </c>
      <c r="H400" s="34">
        <v>20</v>
      </c>
      <c r="I400" s="34" t="s">
        <v>12</v>
      </c>
      <c r="J400" s="34">
        <v>1.2909999999999999</v>
      </c>
      <c r="K400" s="43">
        <v>5.0556000000000001</v>
      </c>
    </row>
    <row r="401" spans="1:11">
      <c r="A401" s="34" t="s">
        <v>22</v>
      </c>
      <c r="B401" s="36">
        <v>150</v>
      </c>
      <c r="C401" s="43">
        <v>0.2994</v>
      </c>
      <c r="D401" s="36">
        <v>7.2800000000000004E-2</v>
      </c>
      <c r="E401" s="36">
        <v>1.01E-3</v>
      </c>
      <c r="F401" s="36">
        <v>1000</v>
      </c>
      <c r="G401" s="42">
        <v>0</v>
      </c>
      <c r="H401" s="34">
        <v>20</v>
      </c>
      <c r="I401" s="34" t="s">
        <v>12</v>
      </c>
      <c r="J401" s="34">
        <v>1.2909999999999999</v>
      </c>
      <c r="K401" s="43">
        <v>4.9324000000000003</v>
      </c>
    </row>
    <row r="402" spans="1:11">
      <c r="A402" s="34" t="s">
        <v>22</v>
      </c>
      <c r="B402" s="36">
        <v>150</v>
      </c>
      <c r="C402" s="43">
        <v>0.40079999999999999</v>
      </c>
      <c r="D402" s="36">
        <v>7.2800000000000004E-2</v>
      </c>
      <c r="E402" s="36">
        <v>1.01E-3</v>
      </c>
      <c r="F402" s="36">
        <v>1000</v>
      </c>
      <c r="G402" s="42">
        <v>0</v>
      </c>
      <c r="H402" s="34">
        <v>20</v>
      </c>
      <c r="I402" s="34" t="s">
        <v>12</v>
      </c>
      <c r="J402" s="34">
        <v>1.2909999999999999</v>
      </c>
      <c r="K402" s="43">
        <v>4.9324000000000003</v>
      </c>
    </row>
    <row r="403" spans="1:11">
      <c r="A403" s="34" t="s">
        <v>22</v>
      </c>
      <c r="B403" s="36">
        <v>150</v>
      </c>
      <c r="C403" s="43">
        <v>0.50209999999999999</v>
      </c>
      <c r="D403" s="36">
        <v>7.2800000000000004E-2</v>
      </c>
      <c r="E403" s="36">
        <v>1.01E-3</v>
      </c>
      <c r="F403" s="36">
        <v>1000</v>
      </c>
      <c r="G403" s="42">
        <v>0</v>
      </c>
      <c r="H403" s="34">
        <v>20</v>
      </c>
      <c r="I403" s="34" t="s">
        <v>12</v>
      </c>
      <c r="J403" s="34">
        <v>1.2909999999999999</v>
      </c>
      <c r="K403" s="43">
        <v>5.0503999999999998</v>
      </c>
    </row>
    <row r="404" spans="1:11">
      <c r="A404" s="34" t="s">
        <v>22</v>
      </c>
      <c r="B404" s="36">
        <v>150</v>
      </c>
      <c r="C404" s="43">
        <v>0.6008</v>
      </c>
      <c r="D404" s="36">
        <v>7.2800000000000004E-2</v>
      </c>
      <c r="E404" s="36">
        <v>1.01E-3</v>
      </c>
      <c r="F404" s="36">
        <v>1000</v>
      </c>
      <c r="G404" s="42">
        <v>0</v>
      </c>
      <c r="H404" s="34">
        <v>20</v>
      </c>
      <c r="I404" s="34" t="s">
        <v>12</v>
      </c>
      <c r="J404" s="34">
        <v>1.2909999999999999</v>
      </c>
      <c r="K404" s="43">
        <v>5.1410999999999998</v>
      </c>
    </row>
    <row r="405" spans="1:11">
      <c r="A405" s="34" t="s">
        <v>22</v>
      </c>
      <c r="B405" s="36">
        <v>150</v>
      </c>
      <c r="C405" s="43">
        <v>0.79910000000000003</v>
      </c>
      <c r="D405" s="36">
        <v>7.2800000000000004E-2</v>
      </c>
      <c r="E405" s="36">
        <v>1.01E-3</v>
      </c>
      <c r="F405" s="36">
        <v>1000</v>
      </c>
      <c r="G405" s="42">
        <v>0</v>
      </c>
      <c r="H405" s="34">
        <v>20</v>
      </c>
      <c r="I405" s="34" t="s">
        <v>12</v>
      </c>
      <c r="J405" s="34">
        <v>1.2909999999999999</v>
      </c>
      <c r="K405" s="43">
        <v>5.2545000000000002</v>
      </c>
    </row>
    <row r="406" spans="1:11">
      <c r="A406" s="34" t="s">
        <v>22</v>
      </c>
      <c r="B406" s="36">
        <v>150</v>
      </c>
      <c r="C406" s="43">
        <v>1.0024</v>
      </c>
      <c r="D406" s="36">
        <v>7.2800000000000004E-2</v>
      </c>
      <c r="E406" s="36">
        <v>1.01E-3</v>
      </c>
      <c r="F406" s="36">
        <v>1000</v>
      </c>
      <c r="G406" s="42">
        <v>0</v>
      </c>
      <c r="H406" s="34">
        <v>20</v>
      </c>
      <c r="I406" s="34" t="s">
        <v>12</v>
      </c>
      <c r="J406" s="34">
        <v>1.2909999999999999</v>
      </c>
      <c r="K406" s="43">
        <v>5.3815999999999997</v>
      </c>
    </row>
    <row r="407" spans="1:11">
      <c r="A407" s="34" t="s">
        <v>22</v>
      </c>
      <c r="B407" s="36">
        <v>200</v>
      </c>
      <c r="C407" s="43">
        <v>0.3014</v>
      </c>
      <c r="D407" s="36">
        <v>7.2800000000000004E-2</v>
      </c>
      <c r="E407" s="36">
        <v>1.01E-3</v>
      </c>
      <c r="F407" s="36">
        <v>1000</v>
      </c>
      <c r="G407" s="42">
        <v>0</v>
      </c>
      <c r="H407" s="34">
        <v>20</v>
      </c>
      <c r="I407" s="34" t="s">
        <v>12</v>
      </c>
      <c r="J407" s="34">
        <v>1.2909999999999999</v>
      </c>
      <c r="K407" s="43">
        <v>5.4962999999999997</v>
      </c>
    </row>
    <row r="408" spans="1:11">
      <c r="A408" s="34" t="s">
        <v>22</v>
      </c>
      <c r="B408" s="36">
        <v>200</v>
      </c>
      <c r="C408" s="43">
        <v>0.40189999999999998</v>
      </c>
      <c r="D408" s="36">
        <v>7.2800000000000004E-2</v>
      </c>
      <c r="E408" s="36">
        <v>1.01E-3</v>
      </c>
      <c r="F408" s="36">
        <v>1000</v>
      </c>
      <c r="G408" s="42">
        <v>0</v>
      </c>
      <c r="H408" s="34">
        <v>20</v>
      </c>
      <c r="I408" s="34" t="s">
        <v>12</v>
      </c>
      <c r="J408" s="34">
        <v>1.2909999999999999</v>
      </c>
      <c r="K408" s="43">
        <v>5.4962999999999997</v>
      </c>
    </row>
    <row r="409" spans="1:11">
      <c r="A409" s="34" t="s">
        <v>22</v>
      </c>
      <c r="B409" s="36">
        <v>200</v>
      </c>
      <c r="C409" s="43">
        <v>0.49909999999999999</v>
      </c>
      <c r="D409" s="36">
        <v>7.2800000000000004E-2</v>
      </c>
      <c r="E409" s="36">
        <v>1.01E-3</v>
      </c>
      <c r="F409" s="36">
        <v>1000</v>
      </c>
      <c r="G409" s="42">
        <v>0</v>
      </c>
      <c r="H409" s="34">
        <v>20</v>
      </c>
      <c r="I409" s="34" t="s">
        <v>12</v>
      </c>
      <c r="J409" s="34">
        <v>1.2909999999999999</v>
      </c>
      <c r="K409" s="43">
        <v>5.5997000000000003</v>
      </c>
    </row>
    <row r="410" spans="1:11">
      <c r="A410" s="34" t="s">
        <v>22</v>
      </c>
      <c r="B410" s="36">
        <v>200</v>
      </c>
      <c r="C410" s="43">
        <v>0.60160000000000002</v>
      </c>
      <c r="D410" s="36">
        <v>7.2800000000000004E-2</v>
      </c>
      <c r="E410" s="36">
        <v>1.01E-3</v>
      </c>
      <c r="F410" s="36">
        <v>1000</v>
      </c>
      <c r="G410" s="42">
        <v>0</v>
      </c>
      <c r="H410" s="34">
        <v>20</v>
      </c>
      <c r="I410" s="34" t="s">
        <v>12</v>
      </c>
      <c r="J410" s="34">
        <v>1.2909999999999999</v>
      </c>
      <c r="K410" s="43">
        <v>5.6977000000000002</v>
      </c>
    </row>
    <row r="411" spans="1:11">
      <c r="A411" s="34" t="s">
        <v>22</v>
      </c>
      <c r="B411" s="36">
        <v>200</v>
      </c>
      <c r="C411" s="43">
        <v>0.79990000000000006</v>
      </c>
      <c r="D411" s="36">
        <v>7.2800000000000004E-2</v>
      </c>
      <c r="E411" s="36">
        <v>1.01E-3</v>
      </c>
      <c r="F411" s="36">
        <v>1000</v>
      </c>
      <c r="G411" s="42">
        <v>0</v>
      </c>
      <c r="H411" s="34">
        <v>20</v>
      </c>
      <c r="I411" s="34" t="s">
        <v>12</v>
      </c>
      <c r="J411" s="34">
        <v>1.2909999999999999</v>
      </c>
      <c r="K411" s="43">
        <v>5.8121</v>
      </c>
    </row>
    <row r="412" spans="1:11">
      <c r="A412" s="34" t="s">
        <v>22</v>
      </c>
      <c r="B412" s="36">
        <v>200</v>
      </c>
      <c r="C412" s="43">
        <v>1.0022</v>
      </c>
      <c r="D412" s="36">
        <v>7.2800000000000004E-2</v>
      </c>
      <c r="E412" s="36">
        <v>1.01E-3</v>
      </c>
      <c r="F412" s="36">
        <v>1000</v>
      </c>
      <c r="G412" s="42">
        <v>0</v>
      </c>
      <c r="H412" s="34">
        <v>20</v>
      </c>
      <c r="I412" s="34" t="s">
        <v>12</v>
      </c>
      <c r="J412" s="34">
        <v>1.2909999999999999</v>
      </c>
      <c r="K412" s="43">
        <v>5.9318999999999997</v>
      </c>
    </row>
    <row r="413" spans="1:11">
      <c r="A413" s="34" t="s">
        <v>22</v>
      </c>
      <c r="B413" s="36">
        <v>50</v>
      </c>
      <c r="C413" s="43">
        <v>0.29830000000000001</v>
      </c>
      <c r="D413" s="36">
        <v>7.2800000000000004E-2</v>
      </c>
      <c r="E413" s="36">
        <v>1.01E-3</v>
      </c>
      <c r="F413" s="36">
        <v>1000</v>
      </c>
      <c r="G413" s="42">
        <v>0</v>
      </c>
      <c r="H413" s="34">
        <v>20</v>
      </c>
      <c r="I413" s="34" t="s">
        <v>12</v>
      </c>
      <c r="J413" s="34">
        <v>1.2909999999999999</v>
      </c>
      <c r="K413" s="43">
        <v>3.1966000000000001</v>
      </c>
    </row>
    <row r="414" spans="1:11">
      <c r="A414" s="34" t="s">
        <v>22</v>
      </c>
      <c r="B414" s="36">
        <v>50</v>
      </c>
      <c r="C414" s="43">
        <v>0.4</v>
      </c>
      <c r="D414" s="36">
        <v>7.2800000000000004E-2</v>
      </c>
      <c r="E414" s="36">
        <v>1.01E-3</v>
      </c>
      <c r="F414" s="36">
        <v>1000</v>
      </c>
      <c r="G414" s="42">
        <v>0</v>
      </c>
      <c r="H414" s="34">
        <v>20</v>
      </c>
      <c r="I414" s="34" t="s">
        <v>12</v>
      </c>
      <c r="J414" s="34">
        <v>1.2909999999999999</v>
      </c>
      <c r="K414" s="43">
        <v>3.3108</v>
      </c>
    </row>
    <row r="415" spans="1:11">
      <c r="A415" s="34" t="s">
        <v>22</v>
      </c>
      <c r="B415" s="36">
        <v>50</v>
      </c>
      <c r="C415" s="43">
        <v>0.50109999999999999</v>
      </c>
      <c r="D415" s="36">
        <v>7.2800000000000004E-2</v>
      </c>
      <c r="E415" s="36">
        <v>1.01E-3</v>
      </c>
      <c r="F415" s="36">
        <v>1000</v>
      </c>
      <c r="G415" s="42">
        <v>0</v>
      </c>
      <c r="H415" s="34">
        <v>20</v>
      </c>
      <c r="I415" s="34" t="s">
        <v>12</v>
      </c>
      <c r="J415" s="34">
        <v>1.2909999999999999</v>
      </c>
      <c r="K415" s="43">
        <v>3.4447999999999999</v>
      </c>
    </row>
    <row r="416" spans="1:11">
      <c r="A416" s="34" t="s">
        <v>22</v>
      </c>
      <c r="B416" s="36">
        <v>50</v>
      </c>
      <c r="C416" s="43">
        <v>0.59940000000000004</v>
      </c>
      <c r="D416" s="36">
        <v>7.2800000000000004E-2</v>
      </c>
      <c r="E416" s="36">
        <v>1.01E-3</v>
      </c>
      <c r="F416" s="36">
        <v>1000</v>
      </c>
      <c r="G416" s="42">
        <v>0</v>
      </c>
      <c r="H416" s="34">
        <v>20</v>
      </c>
      <c r="I416" s="34" t="s">
        <v>12</v>
      </c>
      <c r="J416" s="34">
        <v>1.2909999999999999</v>
      </c>
      <c r="K416" s="43">
        <v>3.6236000000000002</v>
      </c>
    </row>
    <row r="417" spans="1:11">
      <c r="A417" s="34" t="s">
        <v>22</v>
      </c>
      <c r="B417" s="36">
        <v>50</v>
      </c>
      <c r="C417" s="43">
        <v>0.80220000000000002</v>
      </c>
      <c r="D417" s="36">
        <v>7.2800000000000004E-2</v>
      </c>
      <c r="E417" s="36">
        <v>1.01E-3</v>
      </c>
      <c r="F417" s="36">
        <v>1000</v>
      </c>
      <c r="G417" s="42">
        <v>0</v>
      </c>
      <c r="H417" s="34">
        <v>20</v>
      </c>
      <c r="I417" s="34" t="s">
        <v>12</v>
      </c>
      <c r="J417" s="34">
        <v>1.2909999999999999</v>
      </c>
      <c r="K417" s="43">
        <v>3.7675999999999998</v>
      </c>
    </row>
    <row r="418" spans="1:11">
      <c r="A418" s="34" t="s">
        <v>22</v>
      </c>
      <c r="B418" s="36">
        <v>50</v>
      </c>
      <c r="C418" s="43">
        <v>1.0008999999999999</v>
      </c>
      <c r="D418" s="36">
        <v>7.2800000000000004E-2</v>
      </c>
      <c r="E418" s="36">
        <v>1.01E-3</v>
      </c>
      <c r="F418" s="36">
        <v>1000</v>
      </c>
      <c r="G418" s="42">
        <v>0</v>
      </c>
      <c r="H418" s="34">
        <v>20</v>
      </c>
      <c r="I418" s="34" t="s">
        <v>12</v>
      </c>
      <c r="J418" s="34">
        <v>1.2909999999999999</v>
      </c>
      <c r="K418" s="43">
        <v>3.8717999999999999</v>
      </c>
    </row>
    <row r="419" spans="1:11">
      <c r="A419" s="34" t="s">
        <v>22</v>
      </c>
      <c r="B419" s="36">
        <v>80</v>
      </c>
      <c r="C419" s="43">
        <v>0.2999</v>
      </c>
      <c r="D419" s="36">
        <v>7.2800000000000004E-2</v>
      </c>
      <c r="E419" s="36">
        <v>1.01E-3</v>
      </c>
      <c r="F419" s="36">
        <v>1000</v>
      </c>
      <c r="G419" s="42">
        <v>0</v>
      </c>
      <c r="H419" s="34">
        <v>20</v>
      </c>
      <c r="I419" s="34" t="s">
        <v>12</v>
      </c>
      <c r="J419" s="34">
        <v>1.2909999999999999</v>
      </c>
      <c r="K419" s="43">
        <v>3.5423</v>
      </c>
    </row>
    <row r="420" spans="1:11">
      <c r="A420" s="34" t="s">
        <v>22</v>
      </c>
      <c r="B420" s="36">
        <v>80</v>
      </c>
      <c r="C420" s="43">
        <v>0.40050000000000002</v>
      </c>
      <c r="D420" s="36">
        <v>7.2800000000000004E-2</v>
      </c>
      <c r="E420" s="36">
        <v>1.01E-3</v>
      </c>
      <c r="F420" s="36">
        <v>1000</v>
      </c>
      <c r="G420" s="42">
        <v>0</v>
      </c>
      <c r="H420" s="34">
        <v>20</v>
      </c>
      <c r="I420" s="34" t="s">
        <v>12</v>
      </c>
      <c r="J420" s="34">
        <v>1.2909999999999999</v>
      </c>
      <c r="K420" s="43">
        <v>3.6503000000000001</v>
      </c>
    </row>
    <row r="421" spans="1:11">
      <c r="A421" s="34" t="s">
        <v>22</v>
      </c>
      <c r="B421" s="36">
        <v>80</v>
      </c>
      <c r="C421" s="43">
        <v>0.501</v>
      </c>
      <c r="D421" s="36">
        <v>7.2800000000000004E-2</v>
      </c>
      <c r="E421" s="36">
        <v>1.01E-3</v>
      </c>
      <c r="F421" s="36">
        <v>1000</v>
      </c>
      <c r="G421" s="42">
        <v>0</v>
      </c>
      <c r="H421" s="34">
        <v>20</v>
      </c>
      <c r="I421" s="34" t="s">
        <v>12</v>
      </c>
      <c r="J421" s="34">
        <v>1.2909999999999999</v>
      </c>
      <c r="K421" s="43">
        <v>3.762</v>
      </c>
    </row>
    <row r="422" spans="1:11">
      <c r="A422" s="34" t="s">
        <v>22</v>
      </c>
      <c r="B422" s="36">
        <v>80</v>
      </c>
      <c r="C422" s="43">
        <v>0.6</v>
      </c>
      <c r="D422" s="36">
        <v>7.2800000000000004E-2</v>
      </c>
      <c r="E422" s="36">
        <v>1.01E-3</v>
      </c>
      <c r="F422" s="36">
        <v>1000</v>
      </c>
      <c r="G422" s="42">
        <v>0</v>
      </c>
      <c r="H422" s="34">
        <v>20</v>
      </c>
      <c r="I422" s="34" t="s">
        <v>12</v>
      </c>
      <c r="J422" s="34">
        <v>1.2909999999999999</v>
      </c>
      <c r="K422" s="43">
        <v>3.9891999999999999</v>
      </c>
    </row>
    <row r="423" spans="1:11">
      <c r="A423" s="34" t="s">
        <v>22</v>
      </c>
      <c r="B423" s="36">
        <v>80</v>
      </c>
      <c r="C423" s="43">
        <v>0.79849999999999999</v>
      </c>
      <c r="D423" s="36">
        <v>7.2800000000000004E-2</v>
      </c>
      <c r="E423" s="36">
        <v>1.01E-3</v>
      </c>
      <c r="F423" s="36">
        <v>1000</v>
      </c>
      <c r="G423" s="42">
        <v>0</v>
      </c>
      <c r="H423" s="34">
        <v>20</v>
      </c>
      <c r="I423" s="34" t="s">
        <v>12</v>
      </c>
      <c r="J423" s="34">
        <v>1.2909999999999999</v>
      </c>
      <c r="K423" s="43">
        <v>3.9817</v>
      </c>
    </row>
    <row r="424" spans="1:11">
      <c r="A424" s="34" t="s">
        <v>22</v>
      </c>
      <c r="B424" s="36">
        <v>80</v>
      </c>
      <c r="C424" s="44">
        <v>1</v>
      </c>
      <c r="D424" s="36">
        <v>7.2800000000000004E-2</v>
      </c>
      <c r="E424" s="36">
        <v>1.01E-3</v>
      </c>
      <c r="F424" s="36">
        <v>1000</v>
      </c>
      <c r="G424" s="42">
        <v>0</v>
      </c>
      <c r="H424" s="34">
        <v>20</v>
      </c>
      <c r="I424" s="34" t="s">
        <v>12</v>
      </c>
      <c r="J424" s="34">
        <v>1.2909999999999999</v>
      </c>
      <c r="K424" s="43">
        <v>4.2126000000000001</v>
      </c>
    </row>
    <row r="425" spans="1:11">
      <c r="A425" s="34" t="s">
        <v>22</v>
      </c>
      <c r="B425" s="36">
        <v>100</v>
      </c>
      <c r="C425" s="43">
        <v>0.2984</v>
      </c>
      <c r="D425" s="36">
        <v>7.2800000000000004E-2</v>
      </c>
      <c r="E425" s="36">
        <v>1.01E-3</v>
      </c>
      <c r="F425" s="36">
        <v>1000</v>
      </c>
      <c r="G425" s="42">
        <v>0</v>
      </c>
      <c r="H425" s="34">
        <v>20</v>
      </c>
      <c r="I425" s="34" t="s">
        <v>12</v>
      </c>
      <c r="J425" s="34">
        <v>1.2909999999999999</v>
      </c>
      <c r="K425" s="43">
        <v>3.8662999999999998</v>
      </c>
    </row>
    <row r="426" spans="1:11">
      <c r="A426" s="34" t="s">
        <v>22</v>
      </c>
      <c r="B426" s="36">
        <v>100</v>
      </c>
      <c r="C426" s="44">
        <v>0.4</v>
      </c>
      <c r="D426" s="36">
        <v>7.2800000000000004E-2</v>
      </c>
      <c r="E426" s="36">
        <v>1.01E-3</v>
      </c>
      <c r="F426" s="36">
        <v>1000</v>
      </c>
      <c r="G426" s="42">
        <v>0</v>
      </c>
      <c r="H426" s="34">
        <v>20</v>
      </c>
      <c r="I426" s="34" t="s">
        <v>12</v>
      </c>
      <c r="J426" s="34">
        <v>1.2909999999999999</v>
      </c>
      <c r="K426" s="43">
        <v>4.0041000000000002</v>
      </c>
    </row>
    <row r="427" spans="1:11">
      <c r="A427" s="34" t="s">
        <v>22</v>
      </c>
      <c r="B427" s="36">
        <v>100</v>
      </c>
      <c r="C427" s="43">
        <v>0.49840000000000001</v>
      </c>
      <c r="D427" s="36">
        <v>7.2800000000000004E-2</v>
      </c>
      <c r="E427" s="36">
        <v>1.01E-3</v>
      </c>
      <c r="F427" s="36">
        <v>1000</v>
      </c>
      <c r="G427" s="42">
        <v>0</v>
      </c>
      <c r="H427" s="34">
        <v>20</v>
      </c>
      <c r="I427" s="34" t="s">
        <v>12</v>
      </c>
      <c r="J427" s="34">
        <v>1.2909999999999999</v>
      </c>
      <c r="K427" s="43">
        <v>3.9817</v>
      </c>
    </row>
    <row r="428" spans="1:11">
      <c r="A428" s="34" t="s">
        <v>22</v>
      </c>
      <c r="B428" s="36">
        <v>100</v>
      </c>
      <c r="C428" s="43">
        <v>0.59950000000000003</v>
      </c>
      <c r="D428" s="36">
        <v>7.2800000000000004E-2</v>
      </c>
      <c r="E428" s="36">
        <v>1.01E-3</v>
      </c>
      <c r="F428" s="36">
        <v>1000</v>
      </c>
      <c r="G428" s="42">
        <v>0</v>
      </c>
      <c r="H428" s="34">
        <v>20</v>
      </c>
      <c r="I428" s="34" t="s">
        <v>12</v>
      </c>
      <c r="J428" s="34">
        <v>1.2909999999999999</v>
      </c>
      <c r="K428" s="43">
        <v>4.0896999999999997</v>
      </c>
    </row>
    <row r="429" spans="1:11">
      <c r="A429" s="34" t="s">
        <v>22</v>
      </c>
      <c r="B429" s="36">
        <v>100</v>
      </c>
      <c r="C429" s="43">
        <v>0.80010000000000003</v>
      </c>
      <c r="D429" s="36">
        <v>7.2800000000000004E-2</v>
      </c>
      <c r="E429" s="36">
        <v>1.01E-3</v>
      </c>
      <c r="F429" s="36">
        <v>1000</v>
      </c>
      <c r="G429" s="42">
        <v>0</v>
      </c>
      <c r="H429" s="34">
        <v>20</v>
      </c>
      <c r="I429" s="34" t="s">
        <v>12</v>
      </c>
      <c r="J429" s="34">
        <v>1.2909999999999999</v>
      </c>
      <c r="K429" s="43">
        <v>4.2051999999999996</v>
      </c>
    </row>
    <row r="430" spans="1:11">
      <c r="A430" s="34" t="s">
        <v>22</v>
      </c>
      <c r="B430" s="36">
        <v>100</v>
      </c>
      <c r="C430" s="43">
        <v>1.0006999999999999</v>
      </c>
      <c r="D430" s="36">
        <v>7.2800000000000004E-2</v>
      </c>
      <c r="E430" s="36">
        <v>1.01E-3</v>
      </c>
      <c r="F430" s="36">
        <v>1000</v>
      </c>
      <c r="G430" s="42">
        <v>0</v>
      </c>
      <c r="H430" s="34">
        <v>20</v>
      </c>
      <c r="I430" s="34" t="s">
        <v>12</v>
      </c>
      <c r="J430" s="34">
        <v>1.2909999999999999</v>
      </c>
      <c r="K430" s="43">
        <v>4.4435000000000002</v>
      </c>
    </row>
    <row r="431" spans="1:11">
      <c r="A431" s="34" t="s">
        <v>22</v>
      </c>
      <c r="B431" s="36">
        <v>120</v>
      </c>
      <c r="C431" s="43">
        <v>0.29830000000000001</v>
      </c>
      <c r="D431" s="36">
        <v>7.2800000000000004E-2</v>
      </c>
      <c r="E431" s="36">
        <v>1.01E-3</v>
      </c>
      <c r="F431" s="36">
        <v>1000</v>
      </c>
      <c r="G431" s="42">
        <v>0</v>
      </c>
      <c r="H431" s="34">
        <v>20</v>
      </c>
      <c r="I431" s="34" t="s">
        <v>12</v>
      </c>
      <c r="J431" s="34">
        <v>1.2909999999999999</v>
      </c>
      <c r="K431" s="43">
        <v>4.0952999999999999</v>
      </c>
    </row>
    <row r="432" spans="1:11">
      <c r="A432" s="34" t="s">
        <v>22</v>
      </c>
      <c r="B432" s="36">
        <v>120</v>
      </c>
      <c r="C432" s="43">
        <v>0.4007</v>
      </c>
      <c r="D432" s="36">
        <v>7.2800000000000004E-2</v>
      </c>
      <c r="E432" s="36">
        <v>1.01E-3</v>
      </c>
      <c r="F432" s="36">
        <v>1000</v>
      </c>
      <c r="G432" s="42">
        <v>0</v>
      </c>
      <c r="H432" s="34">
        <v>20</v>
      </c>
      <c r="I432" s="34" t="s">
        <v>12</v>
      </c>
      <c r="J432" s="34">
        <v>1.2909999999999999</v>
      </c>
      <c r="K432" s="43">
        <v>4.1996000000000002</v>
      </c>
    </row>
    <row r="433" spans="1:11">
      <c r="A433" s="34" t="s">
        <v>22</v>
      </c>
      <c r="B433" s="36">
        <v>120</v>
      </c>
      <c r="C433" s="43">
        <v>0.499</v>
      </c>
      <c r="D433" s="36">
        <v>7.2800000000000004E-2</v>
      </c>
      <c r="E433" s="36">
        <v>1.01E-3</v>
      </c>
      <c r="F433" s="36">
        <v>1000</v>
      </c>
      <c r="G433" s="42">
        <v>0</v>
      </c>
      <c r="H433" s="34">
        <v>20</v>
      </c>
      <c r="I433" s="34" t="s">
        <v>12</v>
      </c>
      <c r="J433" s="34">
        <v>1.2909999999999999</v>
      </c>
      <c r="K433" s="43">
        <v>4.3285999999999998</v>
      </c>
    </row>
    <row r="434" spans="1:11">
      <c r="A434" s="34" t="s">
        <v>22</v>
      </c>
      <c r="B434" s="36">
        <v>120</v>
      </c>
      <c r="C434" s="43">
        <v>0.59870000000000001</v>
      </c>
      <c r="D434" s="36">
        <v>7.2800000000000004E-2</v>
      </c>
      <c r="E434" s="36">
        <v>1.01E-3</v>
      </c>
      <c r="F434" s="36">
        <v>1000</v>
      </c>
      <c r="G434" s="42">
        <v>0</v>
      </c>
      <c r="H434" s="34">
        <v>20</v>
      </c>
      <c r="I434" s="34" t="s">
        <v>12</v>
      </c>
      <c r="J434" s="34">
        <v>1.2909999999999999</v>
      </c>
      <c r="K434" s="43">
        <v>4.4379</v>
      </c>
    </row>
    <row r="435" spans="1:11">
      <c r="A435" s="34" t="s">
        <v>22</v>
      </c>
      <c r="B435" s="36">
        <v>120</v>
      </c>
      <c r="C435" s="43">
        <v>0.79949999999999999</v>
      </c>
      <c r="D435" s="36">
        <v>7.2800000000000004E-2</v>
      </c>
      <c r="E435" s="36">
        <v>1.01E-3</v>
      </c>
      <c r="F435" s="36">
        <v>1000</v>
      </c>
      <c r="G435" s="42">
        <v>0</v>
      </c>
      <c r="H435" s="34">
        <v>20</v>
      </c>
      <c r="I435" s="34" t="s">
        <v>12</v>
      </c>
      <c r="J435" s="34">
        <v>1.2909999999999999</v>
      </c>
      <c r="K435" s="43">
        <v>4.5372000000000003</v>
      </c>
    </row>
    <row r="436" spans="1:11">
      <c r="A436" s="34" t="s">
        <v>22</v>
      </c>
      <c r="B436" s="36">
        <v>120</v>
      </c>
      <c r="C436" s="43">
        <v>1.0003</v>
      </c>
      <c r="D436" s="36">
        <v>7.2800000000000004E-2</v>
      </c>
      <c r="E436" s="36">
        <v>1.01E-3</v>
      </c>
      <c r="F436" s="36">
        <v>1000</v>
      </c>
      <c r="G436" s="42">
        <v>0</v>
      </c>
      <c r="H436" s="34">
        <v>20</v>
      </c>
      <c r="I436" s="34" t="s">
        <v>12</v>
      </c>
      <c r="J436" s="34">
        <v>1.2909999999999999</v>
      </c>
      <c r="K436" s="43">
        <v>4.6612999999999998</v>
      </c>
    </row>
    <row r="437" spans="1:11">
      <c r="A437" s="34" t="s">
        <v>22</v>
      </c>
      <c r="B437" s="36">
        <v>150</v>
      </c>
      <c r="C437" s="43">
        <v>0.29759999999999998</v>
      </c>
      <c r="D437" s="36">
        <v>7.2800000000000004E-2</v>
      </c>
      <c r="E437" s="36">
        <v>1.01E-3</v>
      </c>
      <c r="F437" s="36">
        <v>1000</v>
      </c>
      <c r="G437" s="42">
        <v>0</v>
      </c>
      <c r="H437" s="34">
        <v>20</v>
      </c>
      <c r="I437" s="34" t="s">
        <v>12</v>
      </c>
      <c r="J437" s="34">
        <v>1.2909999999999999</v>
      </c>
      <c r="K437" s="43">
        <v>4.5372000000000003</v>
      </c>
    </row>
    <row r="438" spans="1:11">
      <c r="A438" s="34" t="s">
        <v>22</v>
      </c>
      <c r="B438" s="36">
        <v>150</v>
      </c>
      <c r="C438" s="43">
        <v>0.40210000000000001</v>
      </c>
      <c r="D438" s="36">
        <v>7.2800000000000004E-2</v>
      </c>
      <c r="E438" s="36">
        <v>1.01E-3</v>
      </c>
      <c r="F438" s="36">
        <v>1000</v>
      </c>
      <c r="G438" s="42">
        <v>0</v>
      </c>
      <c r="H438" s="34">
        <v>20</v>
      </c>
      <c r="I438" s="34" t="s">
        <v>12</v>
      </c>
      <c r="J438" s="34">
        <v>1.2909999999999999</v>
      </c>
      <c r="K438" s="43">
        <v>4.6612999999999998</v>
      </c>
    </row>
    <row r="439" spans="1:11">
      <c r="A439" s="34" t="s">
        <v>22</v>
      </c>
      <c r="B439" s="36">
        <v>150</v>
      </c>
      <c r="C439" s="43">
        <v>0.49969999999999998</v>
      </c>
      <c r="D439" s="36">
        <v>7.2800000000000004E-2</v>
      </c>
      <c r="E439" s="36">
        <v>1.01E-3</v>
      </c>
      <c r="F439" s="36">
        <v>1000</v>
      </c>
      <c r="G439" s="42">
        <v>0</v>
      </c>
      <c r="H439" s="34">
        <v>20</v>
      </c>
      <c r="I439" s="34" t="s">
        <v>12</v>
      </c>
      <c r="J439" s="34">
        <v>1.2909999999999999</v>
      </c>
      <c r="K439" s="43">
        <v>4.6364999999999998</v>
      </c>
    </row>
    <row r="440" spans="1:11">
      <c r="A440" s="34" t="s">
        <v>22</v>
      </c>
      <c r="B440" s="36">
        <v>150</v>
      </c>
      <c r="C440" s="43">
        <v>0.59940000000000004</v>
      </c>
      <c r="D440" s="36">
        <v>7.2800000000000004E-2</v>
      </c>
      <c r="E440" s="36">
        <v>1.01E-3</v>
      </c>
      <c r="F440" s="36">
        <v>1000</v>
      </c>
      <c r="G440" s="42">
        <v>0</v>
      </c>
      <c r="H440" s="34">
        <v>20</v>
      </c>
      <c r="I440" s="34" t="s">
        <v>12</v>
      </c>
      <c r="J440" s="34">
        <v>1.2909999999999999</v>
      </c>
      <c r="K440" s="43">
        <v>4.7755000000000001</v>
      </c>
    </row>
    <row r="441" spans="1:11">
      <c r="A441" s="34" t="s">
        <v>22</v>
      </c>
      <c r="B441" s="36">
        <v>150</v>
      </c>
      <c r="C441" s="43">
        <v>0.79610000000000003</v>
      </c>
      <c r="D441" s="36">
        <v>7.2800000000000004E-2</v>
      </c>
      <c r="E441" s="36">
        <v>1.01E-3</v>
      </c>
      <c r="F441" s="36">
        <v>1000</v>
      </c>
      <c r="G441" s="42">
        <v>0</v>
      </c>
      <c r="H441" s="34">
        <v>20</v>
      </c>
      <c r="I441" s="34" t="s">
        <v>12</v>
      </c>
      <c r="J441" s="34">
        <v>1.2909999999999999</v>
      </c>
      <c r="K441" s="43">
        <v>4.8848000000000003</v>
      </c>
    </row>
    <row r="442" spans="1:11">
      <c r="A442" s="34" t="s">
        <v>22</v>
      </c>
      <c r="B442" s="36">
        <v>150</v>
      </c>
      <c r="C442" s="43">
        <v>0.99960000000000004</v>
      </c>
      <c r="D442" s="36">
        <v>7.2800000000000004E-2</v>
      </c>
      <c r="E442" s="36">
        <v>1.01E-3</v>
      </c>
      <c r="F442" s="36">
        <v>1000</v>
      </c>
      <c r="G442" s="42">
        <v>0</v>
      </c>
      <c r="H442" s="34">
        <v>20</v>
      </c>
      <c r="I442" s="34" t="s">
        <v>12</v>
      </c>
      <c r="J442" s="34">
        <v>1.2909999999999999</v>
      </c>
      <c r="K442" s="43">
        <v>5.0038999999999998</v>
      </c>
    </row>
    <row r="443" spans="1:11">
      <c r="A443" s="34" t="s">
        <v>22</v>
      </c>
      <c r="B443" s="36">
        <v>200</v>
      </c>
      <c r="C443" s="43">
        <v>0.29830000000000001</v>
      </c>
      <c r="D443" s="36">
        <v>7.2800000000000004E-2</v>
      </c>
      <c r="E443" s="36">
        <v>1.01E-3</v>
      </c>
      <c r="F443" s="36">
        <v>1000</v>
      </c>
      <c r="G443" s="42">
        <v>0</v>
      </c>
      <c r="H443" s="34">
        <v>20</v>
      </c>
      <c r="I443" s="34" t="s">
        <v>12</v>
      </c>
      <c r="J443" s="34">
        <v>1.2909999999999999</v>
      </c>
      <c r="K443" s="43">
        <v>5.0933000000000002</v>
      </c>
    </row>
    <row r="444" spans="1:11">
      <c r="A444" s="34" t="s">
        <v>22</v>
      </c>
      <c r="B444" s="36">
        <v>200</v>
      </c>
      <c r="C444" s="43">
        <v>0.3987</v>
      </c>
      <c r="D444" s="36">
        <v>7.2800000000000004E-2</v>
      </c>
      <c r="E444" s="36">
        <v>1.01E-3</v>
      </c>
      <c r="F444" s="36">
        <v>1000</v>
      </c>
      <c r="G444" s="42">
        <v>0</v>
      </c>
      <c r="H444" s="34">
        <v>20</v>
      </c>
      <c r="I444" s="34" t="s">
        <v>12</v>
      </c>
      <c r="J444" s="34">
        <v>1.2909999999999999</v>
      </c>
      <c r="K444" s="43">
        <v>5.2125000000000004</v>
      </c>
    </row>
    <row r="445" spans="1:11">
      <c r="A445" s="34" t="s">
        <v>22</v>
      </c>
      <c r="B445" s="36">
        <v>200</v>
      </c>
      <c r="C445" s="43">
        <v>0.49830000000000002</v>
      </c>
      <c r="D445" s="36">
        <v>7.2800000000000004E-2</v>
      </c>
      <c r="E445" s="36">
        <v>1.01E-3</v>
      </c>
      <c r="F445" s="36">
        <v>1000</v>
      </c>
      <c r="G445" s="42">
        <v>0</v>
      </c>
      <c r="H445" s="34">
        <v>20</v>
      </c>
      <c r="I445" s="34" t="s">
        <v>12</v>
      </c>
      <c r="J445" s="34">
        <v>1.2909999999999999</v>
      </c>
      <c r="K445" s="43">
        <v>5.2074999999999996</v>
      </c>
    </row>
    <row r="446" spans="1:11">
      <c r="A446" s="34" t="s">
        <v>22</v>
      </c>
      <c r="B446" s="36">
        <v>200</v>
      </c>
      <c r="C446" s="43">
        <v>0.6008</v>
      </c>
      <c r="D446" s="36">
        <v>7.2800000000000004E-2</v>
      </c>
      <c r="E446" s="36">
        <v>1.01E-3</v>
      </c>
      <c r="F446" s="36">
        <v>1000</v>
      </c>
      <c r="G446" s="42">
        <v>0</v>
      </c>
      <c r="H446" s="34">
        <v>20</v>
      </c>
      <c r="I446" s="34" t="s">
        <v>12</v>
      </c>
      <c r="J446" s="34">
        <v>1.2909999999999999</v>
      </c>
      <c r="K446" s="43">
        <v>5.3068</v>
      </c>
    </row>
    <row r="447" spans="1:11">
      <c r="A447" s="34" t="s">
        <v>22</v>
      </c>
      <c r="B447" s="36">
        <v>200</v>
      </c>
      <c r="C447" s="43">
        <v>0.80020000000000002</v>
      </c>
      <c r="D447" s="36">
        <v>7.2800000000000004E-2</v>
      </c>
      <c r="E447" s="36">
        <v>1.01E-3</v>
      </c>
      <c r="F447" s="36">
        <v>1000</v>
      </c>
      <c r="G447" s="42">
        <v>0</v>
      </c>
      <c r="H447" s="34">
        <v>20</v>
      </c>
      <c r="I447" s="34" t="s">
        <v>12</v>
      </c>
      <c r="J447" s="34">
        <v>1.2909999999999999</v>
      </c>
      <c r="K447" s="43">
        <v>5.4409000000000001</v>
      </c>
    </row>
    <row r="448" spans="1:11">
      <c r="A448" s="34" t="s">
        <v>22</v>
      </c>
      <c r="B448" s="36">
        <v>200</v>
      </c>
      <c r="C448" s="43">
        <v>0.99890000000000001</v>
      </c>
      <c r="D448" s="36">
        <v>7.2800000000000004E-2</v>
      </c>
      <c r="E448" s="36">
        <v>1.01E-3</v>
      </c>
      <c r="F448" s="36">
        <v>1000</v>
      </c>
      <c r="G448" s="42">
        <v>0</v>
      </c>
      <c r="H448" s="34">
        <v>20</v>
      </c>
      <c r="I448" s="34" t="s">
        <v>12</v>
      </c>
      <c r="J448" s="34">
        <v>1.2909999999999999</v>
      </c>
      <c r="K448" s="43">
        <v>5.5551000000000004</v>
      </c>
    </row>
    <row r="449" spans="1:11">
      <c r="A449" s="34" t="s">
        <v>22</v>
      </c>
      <c r="B449" s="36">
        <v>50</v>
      </c>
      <c r="C449" s="43">
        <v>0.29730000000000001</v>
      </c>
      <c r="D449" s="36">
        <v>7.2800000000000004E-2</v>
      </c>
      <c r="E449" s="36">
        <v>1.01E-3</v>
      </c>
      <c r="F449" s="36">
        <v>1000</v>
      </c>
      <c r="G449" s="42">
        <v>0</v>
      </c>
      <c r="H449" s="34">
        <v>20</v>
      </c>
      <c r="I449" s="34" t="s">
        <v>12</v>
      </c>
      <c r="J449" s="34">
        <v>1.2909999999999999</v>
      </c>
      <c r="K449" s="43">
        <v>2.7826</v>
      </c>
    </row>
    <row r="450" spans="1:11">
      <c r="A450" s="34" t="s">
        <v>22</v>
      </c>
      <c r="B450" s="36">
        <v>50</v>
      </c>
      <c r="C450" s="43">
        <v>0.39939999999999998</v>
      </c>
      <c r="D450" s="36">
        <v>7.2800000000000004E-2</v>
      </c>
      <c r="E450" s="36">
        <v>1.01E-3</v>
      </c>
      <c r="F450" s="36">
        <v>1000</v>
      </c>
      <c r="G450" s="42">
        <v>0</v>
      </c>
      <c r="H450" s="34">
        <v>20</v>
      </c>
      <c r="I450" s="34" t="s">
        <v>12</v>
      </c>
      <c r="J450" s="34">
        <v>1.2909999999999999</v>
      </c>
      <c r="K450" s="43">
        <v>2.8860999999999999</v>
      </c>
    </row>
    <row r="451" spans="1:11">
      <c r="A451" s="34" t="s">
        <v>22</v>
      </c>
      <c r="B451" s="36">
        <v>50</v>
      </c>
      <c r="C451" s="43">
        <v>0.50019999999999998</v>
      </c>
      <c r="D451" s="36">
        <v>7.2800000000000004E-2</v>
      </c>
      <c r="E451" s="36">
        <v>1.01E-3</v>
      </c>
      <c r="F451" s="36">
        <v>1000</v>
      </c>
      <c r="G451" s="42">
        <v>0</v>
      </c>
      <c r="H451" s="34">
        <v>20</v>
      </c>
      <c r="I451" s="34" t="s">
        <v>12</v>
      </c>
      <c r="J451" s="34">
        <v>1.2909999999999999</v>
      </c>
      <c r="K451" s="43">
        <v>2.9855</v>
      </c>
    </row>
    <row r="452" spans="1:11">
      <c r="A452" s="34" t="s">
        <v>22</v>
      </c>
      <c r="B452" s="36">
        <v>50</v>
      </c>
      <c r="C452" s="43">
        <v>0.60160000000000002</v>
      </c>
      <c r="D452" s="36">
        <v>7.2800000000000004E-2</v>
      </c>
      <c r="E452" s="36">
        <v>1.01E-3</v>
      </c>
      <c r="F452" s="36">
        <v>1000</v>
      </c>
      <c r="G452" s="42">
        <v>0</v>
      </c>
      <c r="H452" s="34">
        <v>20</v>
      </c>
      <c r="I452" s="34" t="s">
        <v>12</v>
      </c>
      <c r="J452" s="34">
        <v>1.2909999999999999</v>
      </c>
      <c r="K452" s="43">
        <v>3.0848</v>
      </c>
    </row>
    <row r="453" spans="1:11">
      <c r="A453" s="34" t="s">
        <v>22</v>
      </c>
      <c r="B453" s="36">
        <v>50</v>
      </c>
      <c r="C453" s="43">
        <v>0.80169999999999997</v>
      </c>
      <c r="D453" s="36">
        <v>7.2800000000000004E-2</v>
      </c>
      <c r="E453" s="36">
        <v>1.01E-3</v>
      </c>
      <c r="F453" s="36">
        <v>1000</v>
      </c>
      <c r="G453" s="42">
        <v>0</v>
      </c>
      <c r="H453" s="34">
        <v>20</v>
      </c>
      <c r="I453" s="34" t="s">
        <v>12</v>
      </c>
      <c r="J453" s="34">
        <v>1.2909999999999999</v>
      </c>
      <c r="K453" s="43">
        <v>3.2835999999999999</v>
      </c>
    </row>
    <row r="454" spans="1:11">
      <c r="A454" s="34" t="s">
        <v>22</v>
      </c>
      <c r="B454" s="36">
        <v>50</v>
      </c>
      <c r="C454" s="43">
        <v>1.0012000000000001</v>
      </c>
      <c r="D454" s="36">
        <v>7.2800000000000004E-2</v>
      </c>
      <c r="E454" s="36">
        <v>1.01E-3</v>
      </c>
      <c r="F454" s="36">
        <v>1000</v>
      </c>
      <c r="G454" s="42">
        <v>0</v>
      </c>
      <c r="H454" s="34">
        <v>20</v>
      </c>
      <c r="I454" s="34" t="s">
        <v>12</v>
      </c>
      <c r="J454" s="34">
        <v>1.2909999999999999</v>
      </c>
      <c r="K454" s="43">
        <v>3.3954</v>
      </c>
    </row>
    <row r="455" spans="1:11">
      <c r="A455" s="34" t="s">
        <v>22</v>
      </c>
      <c r="B455" s="36">
        <v>80</v>
      </c>
      <c r="C455" s="43">
        <v>0.29799999999999999</v>
      </c>
      <c r="D455" s="36">
        <v>7.2800000000000004E-2</v>
      </c>
      <c r="E455" s="36">
        <v>1.01E-3</v>
      </c>
      <c r="F455" s="36">
        <v>1000</v>
      </c>
      <c r="G455" s="42">
        <v>0</v>
      </c>
      <c r="H455" s="34">
        <v>20</v>
      </c>
      <c r="I455" s="34" t="s">
        <v>12</v>
      </c>
      <c r="J455" s="34">
        <v>1.2909999999999999</v>
      </c>
      <c r="K455" s="43">
        <v>3.1097000000000001</v>
      </c>
    </row>
    <row r="456" spans="1:11">
      <c r="A456" s="34" t="s">
        <v>22</v>
      </c>
      <c r="B456" s="36">
        <v>80</v>
      </c>
      <c r="C456" s="43">
        <v>0.40010000000000001</v>
      </c>
      <c r="D456" s="36">
        <v>7.2800000000000004E-2</v>
      </c>
      <c r="E456" s="36">
        <v>1.01E-3</v>
      </c>
      <c r="F456" s="36">
        <v>1000</v>
      </c>
      <c r="G456" s="42">
        <v>0</v>
      </c>
      <c r="H456" s="34">
        <v>20</v>
      </c>
      <c r="I456" s="34" t="s">
        <v>12</v>
      </c>
      <c r="J456" s="34">
        <v>1.2909999999999999</v>
      </c>
      <c r="K456" s="43">
        <v>3.1842000000000001</v>
      </c>
    </row>
    <row r="457" spans="1:11">
      <c r="A457" s="34" t="s">
        <v>22</v>
      </c>
      <c r="B457" s="36">
        <v>80</v>
      </c>
      <c r="C457" s="43">
        <v>0.49819999999999998</v>
      </c>
      <c r="D457" s="36">
        <v>7.2800000000000004E-2</v>
      </c>
      <c r="E457" s="36">
        <v>1.01E-3</v>
      </c>
      <c r="F457" s="36">
        <v>1000</v>
      </c>
      <c r="G457" s="42">
        <v>0</v>
      </c>
      <c r="H457" s="34">
        <v>20</v>
      </c>
      <c r="I457" s="34" t="s">
        <v>12</v>
      </c>
      <c r="J457" s="34">
        <v>1.2909999999999999</v>
      </c>
      <c r="K457" s="43">
        <v>3.3043</v>
      </c>
    </row>
    <row r="458" spans="1:11">
      <c r="A458" s="34" t="s">
        <v>22</v>
      </c>
      <c r="B458" s="36">
        <v>80</v>
      </c>
      <c r="C458" s="43">
        <v>0.60160000000000002</v>
      </c>
      <c r="D458" s="36">
        <v>7.2800000000000004E-2</v>
      </c>
      <c r="E458" s="36">
        <v>1.01E-3</v>
      </c>
      <c r="F458" s="36">
        <v>1000</v>
      </c>
      <c r="G458" s="42">
        <v>0</v>
      </c>
      <c r="H458" s="34">
        <v>20</v>
      </c>
      <c r="I458" s="34" t="s">
        <v>12</v>
      </c>
      <c r="J458" s="34">
        <v>1.2909999999999999</v>
      </c>
      <c r="K458" s="43">
        <v>3.2919</v>
      </c>
    </row>
    <row r="459" spans="1:11">
      <c r="A459" s="34" t="s">
        <v>22</v>
      </c>
      <c r="B459" s="36">
        <v>80</v>
      </c>
      <c r="C459" s="43">
        <v>0.7984</v>
      </c>
      <c r="D459" s="36">
        <v>7.2800000000000004E-2</v>
      </c>
      <c r="E459" s="36">
        <v>1.01E-3</v>
      </c>
      <c r="F459" s="36">
        <v>1000</v>
      </c>
      <c r="G459" s="42">
        <v>0</v>
      </c>
      <c r="H459" s="34">
        <v>20</v>
      </c>
      <c r="I459" s="34" t="s">
        <v>12</v>
      </c>
      <c r="J459" s="34">
        <v>1.2909999999999999</v>
      </c>
      <c r="K459" s="43">
        <v>3.4824000000000002</v>
      </c>
    </row>
    <row r="460" spans="1:11">
      <c r="A460" s="34" t="s">
        <v>22</v>
      </c>
      <c r="B460" s="36">
        <v>80</v>
      </c>
      <c r="C460" s="43">
        <v>0.99990000000000001</v>
      </c>
      <c r="D460" s="36">
        <v>7.2800000000000004E-2</v>
      </c>
      <c r="E460" s="36">
        <v>1.01E-3</v>
      </c>
      <c r="F460" s="36">
        <v>1000</v>
      </c>
      <c r="G460" s="42">
        <v>0</v>
      </c>
      <c r="H460" s="34">
        <v>20</v>
      </c>
      <c r="I460" s="34" t="s">
        <v>12</v>
      </c>
      <c r="J460" s="34">
        <v>1.2909999999999999</v>
      </c>
      <c r="K460" s="43">
        <v>3.6107</v>
      </c>
    </row>
    <row r="461" spans="1:11">
      <c r="A461" s="34" t="s">
        <v>22</v>
      </c>
      <c r="B461" s="36">
        <v>100</v>
      </c>
      <c r="C461" s="43">
        <v>0.29470000000000002</v>
      </c>
      <c r="D461" s="36">
        <v>7.2800000000000004E-2</v>
      </c>
      <c r="E461" s="36">
        <v>1.01E-3</v>
      </c>
      <c r="F461" s="36">
        <v>1000</v>
      </c>
      <c r="G461" s="42">
        <v>0</v>
      </c>
      <c r="H461" s="34">
        <v>20</v>
      </c>
      <c r="I461" s="34" t="s">
        <v>12</v>
      </c>
      <c r="J461" s="34">
        <v>1.2909999999999999</v>
      </c>
      <c r="K461" s="43">
        <v>3.3871000000000002</v>
      </c>
    </row>
    <row r="462" spans="1:11">
      <c r="A462" s="34" t="s">
        <v>22</v>
      </c>
      <c r="B462" s="36">
        <v>100</v>
      </c>
      <c r="C462" s="43">
        <v>0.3967</v>
      </c>
      <c r="D462" s="36">
        <v>7.2800000000000004E-2</v>
      </c>
      <c r="E462" s="36">
        <v>1.01E-3</v>
      </c>
      <c r="F462" s="36">
        <v>1000</v>
      </c>
      <c r="G462" s="42">
        <v>0</v>
      </c>
      <c r="H462" s="34">
        <v>20</v>
      </c>
      <c r="I462" s="34" t="s">
        <v>12</v>
      </c>
      <c r="J462" s="34">
        <v>1.2909999999999999</v>
      </c>
      <c r="K462" s="43">
        <v>3.4988999999999999</v>
      </c>
    </row>
    <row r="463" spans="1:11">
      <c r="A463" s="34" t="s">
        <v>22</v>
      </c>
      <c r="B463" s="36">
        <v>100</v>
      </c>
      <c r="C463" s="43">
        <v>0.50019999999999998</v>
      </c>
      <c r="D463" s="36">
        <v>7.2800000000000004E-2</v>
      </c>
      <c r="E463" s="36">
        <v>1.01E-3</v>
      </c>
      <c r="F463" s="36">
        <v>1000</v>
      </c>
      <c r="G463" s="42">
        <v>0</v>
      </c>
      <c r="H463" s="34">
        <v>20</v>
      </c>
      <c r="I463" s="34" t="s">
        <v>12</v>
      </c>
      <c r="J463" s="34">
        <v>1.2909999999999999</v>
      </c>
      <c r="K463" s="43">
        <v>3.5817000000000001</v>
      </c>
    </row>
    <row r="464" spans="1:11">
      <c r="A464" s="34" t="s">
        <v>22</v>
      </c>
      <c r="B464" s="36">
        <v>100</v>
      </c>
      <c r="C464" s="43">
        <v>0.59960000000000002</v>
      </c>
      <c r="D464" s="36">
        <v>7.2800000000000004E-2</v>
      </c>
      <c r="E464" s="36">
        <v>1.01E-3</v>
      </c>
      <c r="F464" s="36">
        <v>1000</v>
      </c>
      <c r="G464" s="42">
        <v>0</v>
      </c>
      <c r="H464" s="34">
        <v>20</v>
      </c>
      <c r="I464" s="34" t="s">
        <v>12</v>
      </c>
      <c r="J464" s="34">
        <v>1.2909999999999999</v>
      </c>
      <c r="K464" s="43">
        <v>3.5859000000000001</v>
      </c>
    </row>
    <row r="465" spans="1:11">
      <c r="A465" s="34" t="s">
        <v>22</v>
      </c>
      <c r="B465" s="36">
        <v>100</v>
      </c>
      <c r="C465" s="43">
        <v>0.80110000000000003</v>
      </c>
      <c r="D465" s="36">
        <v>7.2800000000000004E-2</v>
      </c>
      <c r="E465" s="36">
        <v>1.01E-3</v>
      </c>
      <c r="F465" s="36">
        <v>1000</v>
      </c>
      <c r="G465" s="42">
        <v>0</v>
      </c>
      <c r="H465" s="34">
        <v>20</v>
      </c>
      <c r="I465" s="34" t="s">
        <v>12</v>
      </c>
      <c r="J465" s="34">
        <v>1.2909999999999999</v>
      </c>
      <c r="K465" s="43">
        <v>3.7763</v>
      </c>
    </row>
    <row r="466" spans="1:11">
      <c r="A466" s="34" t="s">
        <v>22</v>
      </c>
      <c r="B466" s="36">
        <v>100</v>
      </c>
      <c r="C466" s="43">
        <v>0.99990000000000001</v>
      </c>
      <c r="D466" s="36">
        <v>7.2800000000000004E-2</v>
      </c>
      <c r="E466" s="36">
        <v>1.01E-3</v>
      </c>
      <c r="F466" s="36">
        <v>1000</v>
      </c>
      <c r="G466" s="42">
        <v>0</v>
      </c>
      <c r="H466" s="34">
        <v>20</v>
      </c>
      <c r="I466" s="34" t="s">
        <v>12</v>
      </c>
      <c r="J466" s="34">
        <v>1.2909999999999999</v>
      </c>
      <c r="K466" s="43">
        <v>3.9916999999999998</v>
      </c>
    </row>
    <row r="467" spans="1:11">
      <c r="A467" s="34" t="s">
        <v>22</v>
      </c>
      <c r="B467" s="36">
        <v>120</v>
      </c>
      <c r="C467" s="43">
        <v>0.29670000000000002</v>
      </c>
      <c r="D467" s="36">
        <v>7.2800000000000004E-2</v>
      </c>
      <c r="E467" s="36">
        <v>1.01E-3</v>
      </c>
      <c r="F467" s="36">
        <v>1000</v>
      </c>
      <c r="G467" s="42">
        <v>0</v>
      </c>
      <c r="H467" s="34">
        <v>20</v>
      </c>
      <c r="I467" s="34" t="s">
        <v>12</v>
      </c>
      <c r="J467" s="34">
        <v>1.2909999999999999</v>
      </c>
      <c r="K467" s="43">
        <v>3.6977000000000002</v>
      </c>
    </row>
    <row r="468" spans="1:11">
      <c r="A468" s="34" t="s">
        <v>22</v>
      </c>
      <c r="B468" s="36">
        <v>120</v>
      </c>
      <c r="C468" s="43">
        <v>0.40010000000000001</v>
      </c>
      <c r="D468" s="36">
        <v>7.2800000000000004E-2</v>
      </c>
      <c r="E468" s="36">
        <v>1.01E-3</v>
      </c>
      <c r="F468" s="36">
        <v>1000</v>
      </c>
      <c r="G468" s="42">
        <v>0</v>
      </c>
      <c r="H468" s="34">
        <v>20</v>
      </c>
      <c r="I468" s="34" t="s">
        <v>12</v>
      </c>
      <c r="J468" s="34">
        <v>1.2909999999999999</v>
      </c>
      <c r="K468" s="43">
        <v>3.6977000000000002</v>
      </c>
    </row>
    <row r="469" spans="1:11">
      <c r="A469" s="34" t="s">
        <v>22</v>
      </c>
      <c r="B469" s="36">
        <v>120</v>
      </c>
      <c r="C469" s="43">
        <v>0.49880000000000002</v>
      </c>
      <c r="D469" s="36">
        <v>7.2800000000000004E-2</v>
      </c>
      <c r="E469" s="36">
        <v>1.01E-3</v>
      </c>
      <c r="F469" s="36">
        <v>1000</v>
      </c>
      <c r="G469" s="42">
        <v>0</v>
      </c>
      <c r="H469" s="34">
        <v>20</v>
      </c>
      <c r="I469" s="34" t="s">
        <v>12</v>
      </c>
      <c r="J469" s="34">
        <v>1.2909999999999999</v>
      </c>
      <c r="K469" s="43">
        <v>3.7928999999999999</v>
      </c>
    </row>
    <row r="470" spans="1:11">
      <c r="A470" s="34" t="s">
        <v>22</v>
      </c>
      <c r="B470" s="36">
        <v>120</v>
      </c>
      <c r="C470" s="43">
        <v>0.59819999999999995</v>
      </c>
      <c r="D470" s="36">
        <v>7.2800000000000004E-2</v>
      </c>
      <c r="E470" s="36">
        <v>1.01E-3</v>
      </c>
      <c r="F470" s="36">
        <v>1000</v>
      </c>
      <c r="G470" s="42">
        <v>0</v>
      </c>
      <c r="H470" s="34">
        <v>20</v>
      </c>
      <c r="I470" s="34" t="s">
        <v>12</v>
      </c>
      <c r="J470" s="34">
        <v>1.2909999999999999</v>
      </c>
      <c r="K470" s="43">
        <v>3.9089</v>
      </c>
    </row>
    <row r="471" spans="1:11">
      <c r="A471" s="34" t="s">
        <v>22</v>
      </c>
      <c r="B471" s="36">
        <v>120</v>
      </c>
      <c r="C471" s="43">
        <v>0.79910000000000003</v>
      </c>
      <c r="D471" s="36">
        <v>7.2800000000000004E-2</v>
      </c>
      <c r="E471" s="36">
        <v>1.01E-3</v>
      </c>
      <c r="F471" s="36">
        <v>1000</v>
      </c>
      <c r="G471" s="42">
        <v>0</v>
      </c>
      <c r="H471" s="34">
        <v>20</v>
      </c>
      <c r="I471" s="34" t="s">
        <v>12</v>
      </c>
      <c r="J471" s="34">
        <v>1.2909999999999999</v>
      </c>
      <c r="K471" s="43">
        <v>4.0082000000000004</v>
      </c>
    </row>
    <row r="472" spans="1:11">
      <c r="A472" s="34" t="s">
        <v>22</v>
      </c>
      <c r="B472" s="36">
        <v>120</v>
      </c>
      <c r="C472" s="43">
        <v>1.0012000000000001</v>
      </c>
      <c r="D472" s="36">
        <v>7.2800000000000004E-2</v>
      </c>
      <c r="E472" s="36">
        <v>1.01E-3</v>
      </c>
      <c r="F472" s="36">
        <v>1000</v>
      </c>
      <c r="G472" s="42">
        <v>0</v>
      </c>
      <c r="H472" s="34">
        <v>20</v>
      </c>
      <c r="I472" s="34" t="s">
        <v>12</v>
      </c>
      <c r="J472" s="34">
        <v>1.2909999999999999</v>
      </c>
      <c r="K472" s="43">
        <v>4.0952000000000002</v>
      </c>
    </row>
    <row r="473" spans="1:11">
      <c r="A473" s="34" t="s">
        <v>22</v>
      </c>
      <c r="B473" s="36">
        <v>150</v>
      </c>
      <c r="C473" s="43">
        <v>0.29730000000000001</v>
      </c>
      <c r="D473" s="36">
        <v>7.2800000000000004E-2</v>
      </c>
      <c r="E473" s="36">
        <v>1.01E-3</v>
      </c>
      <c r="F473" s="36">
        <v>1000</v>
      </c>
      <c r="G473" s="42">
        <v>0</v>
      </c>
      <c r="H473" s="34">
        <v>20</v>
      </c>
      <c r="I473" s="34" t="s">
        <v>12</v>
      </c>
      <c r="J473" s="34">
        <v>1.2909999999999999</v>
      </c>
      <c r="K473" s="43">
        <v>4.0041000000000002</v>
      </c>
    </row>
    <row r="474" spans="1:11">
      <c r="A474" s="34" t="s">
        <v>22</v>
      </c>
      <c r="B474" s="36">
        <v>150</v>
      </c>
      <c r="C474" s="43">
        <v>0.40010000000000001</v>
      </c>
      <c r="D474" s="36">
        <v>7.2800000000000004E-2</v>
      </c>
      <c r="E474" s="36">
        <v>1.01E-3</v>
      </c>
      <c r="F474" s="36">
        <v>1000</v>
      </c>
      <c r="G474" s="42">
        <v>0</v>
      </c>
      <c r="H474" s="34">
        <v>20</v>
      </c>
      <c r="I474" s="34" t="s">
        <v>12</v>
      </c>
      <c r="J474" s="34">
        <v>1.2909999999999999</v>
      </c>
      <c r="K474" s="43">
        <v>4.1075999999999997</v>
      </c>
    </row>
    <row r="475" spans="1:11">
      <c r="A475" s="34" t="s">
        <v>22</v>
      </c>
      <c r="B475" s="36">
        <v>150</v>
      </c>
      <c r="C475" s="43">
        <v>0.4995</v>
      </c>
      <c r="D475" s="36">
        <v>7.2800000000000004E-2</v>
      </c>
      <c r="E475" s="36">
        <v>1.01E-3</v>
      </c>
      <c r="F475" s="36">
        <v>1000</v>
      </c>
      <c r="G475" s="42">
        <v>0</v>
      </c>
      <c r="H475" s="34">
        <v>20</v>
      </c>
      <c r="I475" s="34" t="s">
        <v>12</v>
      </c>
      <c r="J475" s="34">
        <v>1.2909999999999999</v>
      </c>
      <c r="K475" s="43">
        <v>4.2027999999999999</v>
      </c>
    </row>
    <row r="476" spans="1:11">
      <c r="A476" s="34" t="s">
        <v>22</v>
      </c>
      <c r="B476" s="36">
        <v>150</v>
      </c>
      <c r="C476" s="43">
        <v>0.59960000000000002</v>
      </c>
      <c r="D476" s="36">
        <v>7.2800000000000004E-2</v>
      </c>
      <c r="E476" s="36">
        <v>1.01E-3</v>
      </c>
      <c r="F476" s="36">
        <v>1000</v>
      </c>
      <c r="G476" s="42">
        <v>0</v>
      </c>
      <c r="H476" s="34">
        <v>20</v>
      </c>
      <c r="I476" s="34" t="s">
        <v>12</v>
      </c>
      <c r="J476" s="34">
        <v>1.2909999999999999</v>
      </c>
      <c r="K476" s="43">
        <v>4.1946000000000003</v>
      </c>
    </row>
    <row r="477" spans="1:11">
      <c r="A477" s="34" t="s">
        <v>22</v>
      </c>
      <c r="B477" s="36">
        <v>150</v>
      </c>
      <c r="C477" s="43">
        <v>0.79910000000000003</v>
      </c>
      <c r="D477" s="36">
        <v>7.2800000000000004E-2</v>
      </c>
      <c r="E477" s="36">
        <v>1.01E-3</v>
      </c>
      <c r="F477" s="36">
        <v>1000</v>
      </c>
      <c r="G477" s="42">
        <v>0</v>
      </c>
      <c r="H477" s="34">
        <v>20</v>
      </c>
      <c r="I477" s="34" t="s">
        <v>12</v>
      </c>
      <c r="J477" s="34">
        <v>1.2909999999999999</v>
      </c>
      <c r="K477" s="43">
        <v>4.2980999999999998</v>
      </c>
    </row>
    <row r="478" spans="1:11">
      <c r="A478" s="34" t="s">
        <v>22</v>
      </c>
      <c r="B478" s="36">
        <v>150</v>
      </c>
      <c r="C478" s="43">
        <v>0.99790000000000001</v>
      </c>
      <c r="D478" s="36">
        <v>7.2800000000000004E-2</v>
      </c>
      <c r="E478" s="36">
        <v>1.01E-3</v>
      </c>
      <c r="F478" s="36">
        <v>1000</v>
      </c>
      <c r="G478" s="42">
        <v>0</v>
      </c>
      <c r="H478" s="34">
        <v>20</v>
      </c>
      <c r="I478" s="34" t="s">
        <v>12</v>
      </c>
      <c r="J478" s="34">
        <v>1.2909999999999999</v>
      </c>
      <c r="K478" s="43">
        <v>4.4139999999999997</v>
      </c>
    </row>
    <row r="479" spans="1:11">
      <c r="A479" s="34" t="s">
        <v>22</v>
      </c>
      <c r="B479" s="36">
        <v>200</v>
      </c>
      <c r="C479" s="43">
        <v>0.29670000000000002</v>
      </c>
      <c r="D479" s="36">
        <v>7.2800000000000004E-2</v>
      </c>
      <c r="E479" s="36">
        <v>1.01E-3</v>
      </c>
      <c r="F479" s="36">
        <v>1000</v>
      </c>
      <c r="G479" s="42">
        <v>0</v>
      </c>
      <c r="H479" s="34">
        <v>20</v>
      </c>
      <c r="I479" s="34" t="s">
        <v>12</v>
      </c>
      <c r="J479" s="34">
        <v>1.2909999999999999</v>
      </c>
      <c r="K479" s="43">
        <v>4.5838000000000001</v>
      </c>
    </row>
    <row r="480" spans="1:11">
      <c r="A480" s="34" t="s">
        <v>22</v>
      </c>
      <c r="B480" s="36">
        <v>200</v>
      </c>
      <c r="C480" s="43">
        <v>0.40010000000000001</v>
      </c>
      <c r="D480" s="36">
        <v>7.2800000000000004E-2</v>
      </c>
      <c r="E480" s="36">
        <v>1.01E-3</v>
      </c>
      <c r="F480" s="36">
        <v>1000</v>
      </c>
      <c r="G480" s="42">
        <v>0</v>
      </c>
      <c r="H480" s="34">
        <v>20</v>
      </c>
      <c r="I480" s="34" t="s">
        <v>12</v>
      </c>
      <c r="J480" s="34">
        <v>1.2909999999999999</v>
      </c>
      <c r="K480" s="43">
        <v>4.6003999999999996</v>
      </c>
    </row>
    <row r="481" spans="1:11">
      <c r="A481" s="34" t="s">
        <v>22</v>
      </c>
      <c r="B481" s="36">
        <v>200</v>
      </c>
      <c r="C481" s="43">
        <v>0.49880000000000002</v>
      </c>
      <c r="D481" s="36">
        <v>7.2800000000000004E-2</v>
      </c>
      <c r="E481" s="36">
        <v>1.01E-3</v>
      </c>
      <c r="F481" s="36">
        <v>1000</v>
      </c>
      <c r="G481" s="42">
        <v>0</v>
      </c>
      <c r="H481" s="34">
        <v>20</v>
      </c>
      <c r="I481" s="34" t="s">
        <v>12</v>
      </c>
      <c r="J481" s="34">
        <v>1.2909999999999999</v>
      </c>
      <c r="K481" s="43">
        <v>4.6459000000000001</v>
      </c>
    </row>
    <row r="482" spans="1:11">
      <c r="A482" s="34" t="s">
        <v>22</v>
      </c>
      <c r="B482" s="36">
        <v>200</v>
      </c>
      <c r="C482" s="43">
        <v>0.60019999999999996</v>
      </c>
      <c r="D482" s="36">
        <v>7.2800000000000004E-2</v>
      </c>
      <c r="E482" s="36">
        <v>1.01E-3</v>
      </c>
      <c r="F482" s="36">
        <v>1000</v>
      </c>
      <c r="G482" s="42">
        <v>0</v>
      </c>
      <c r="H482" s="34">
        <v>20</v>
      </c>
      <c r="I482" s="34" t="s">
        <v>12</v>
      </c>
      <c r="J482" s="34">
        <v>1.2909999999999999</v>
      </c>
      <c r="K482" s="43">
        <v>4.7080000000000002</v>
      </c>
    </row>
    <row r="483" spans="1:11">
      <c r="A483" s="34" t="s">
        <v>22</v>
      </c>
      <c r="B483" s="36">
        <v>200</v>
      </c>
      <c r="C483" s="43">
        <v>0.8024</v>
      </c>
      <c r="D483" s="36">
        <v>7.2800000000000004E-2</v>
      </c>
      <c r="E483" s="36">
        <v>1.01E-3</v>
      </c>
      <c r="F483" s="36">
        <v>1000</v>
      </c>
      <c r="G483" s="42">
        <v>0</v>
      </c>
      <c r="H483" s="34">
        <v>20</v>
      </c>
      <c r="I483" s="34" t="s">
        <v>12</v>
      </c>
      <c r="J483" s="34">
        <v>1.2909999999999999</v>
      </c>
      <c r="K483" s="43">
        <v>4.7949999999999999</v>
      </c>
    </row>
    <row r="484" spans="1:11">
      <c r="A484" s="34" t="s">
        <v>22</v>
      </c>
      <c r="B484" s="36">
        <v>200</v>
      </c>
      <c r="C484" s="43">
        <v>0.99990000000000001</v>
      </c>
      <c r="D484" s="36">
        <v>7.2800000000000004E-2</v>
      </c>
      <c r="E484" s="36">
        <v>1.01E-3</v>
      </c>
      <c r="F484" s="36">
        <v>1000</v>
      </c>
      <c r="G484" s="42">
        <v>0</v>
      </c>
      <c r="H484" s="34">
        <v>20</v>
      </c>
      <c r="I484" s="34" t="s">
        <v>12</v>
      </c>
      <c r="J484" s="34">
        <v>1.2909999999999999</v>
      </c>
      <c r="K484" s="43">
        <v>4.8944000000000001</v>
      </c>
    </row>
    <row r="485" spans="1:11">
      <c r="A485" s="34" t="s">
        <v>22</v>
      </c>
      <c r="B485" s="36">
        <v>50</v>
      </c>
      <c r="C485" s="43">
        <v>0.30130000000000001</v>
      </c>
      <c r="D485" s="36">
        <v>9.6600000000000005E-2</v>
      </c>
      <c r="E485" s="36">
        <v>0.13</v>
      </c>
      <c r="F485" s="36">
        <v>1008</v>
      </c>
      <c r="G485" s="42">
        <v>0</v>
      </c>
      <c r="H485" s="34">
        <v>20</v>
      </c>
      <c r="I485" s="34" t="s">
        <v>12</v>
      </c>
      <c r="J485" s="34">
        <v>1.2909999999999999</v>
      </c>
      <c r="K485" s="43">
        <v>4.9382000000000001</v>
      </c>
    </row>
    <row r="486" spans="1:11">
      <c r="A486" s="34" t="s">
        <v>22</v>
      </c>
      <c r="B486" s="36">
        <v>50</v>
      </c>
      <c r="C486" s="43">
        <v>0.40089999999999998</v>
      </c>
      <c r="D486" s="36">
        <v>9.6600000000000005E-2</v>
      </c>
      <c r="E486" s="36">
        <v>0.13</v>
      </c>
      <c r="F486" s="36">
        <v>1008</v>
      </c>
      <c r="G486" s="42">
        <v>0</v>
      </c>
      <c r="H486" s="34">
        <v>20</v>
      </c>
      <c r="I486" s="34" t="s">
        <v>12</v>
      </c>
      <c r="J486" s="34">
        <v>1.2909999999999999</v>
      </c>
      <c r="K486" s="43">
        <v>5.0397999999999996</v>
      </c>
    </row>
    <row r="487" spans="1:11">
      <c r="A487" s="34" t="s">
        <v>22</v>
      </c>
      <c r="B487" s="36">
        <v>50</v>
      </c>
      <c r="C487" s="43">
        <v>0.50490000000000002</v>
      </c>
      <c r="D487" s="36">
        <v>9.6600000000000005E-2</v>
      </c>
      <c r="E487" s="36">
        <v>0.13</v>
      </c>
      <c r="F487" s="36">
        <v>1008</v>
      </c>
      <c r="G487" s="42">
        <v>0</v>
      </c>
      <c r="H487" s="34">
        <v>20</v>
      </c>
      <c r="I487" s="34" t="s">
        <v>12</v>
      </c>
      <c r="J487" s="34">
        <v>1.2909999999999999</v>
      </c>
      <c r="K487" s="43">
        <v>5.1778000000000004</v>
      </c>
    </row>
    <row r="488" spans="1:11">
      <c r="A488" s="34" t="s">
        <v>22</v>
      </c>
      <c r="B488" s="36">
        <v>50</v>
      </c>
      <c r="C488" s="43">
        <v>0.60370000000000001</v>
      </c>
      <c r="D488" s="36">
        <v>9.6600000000000005E-2</v>
      </c>
      <c r="E488" s="36">
        <v>0.13</v>
      </c>
      <c r="F488" s="36">
        <v>1008</v>
      </c>
      <c r="G488" s="42">
        <v>0</v>
      </c>
      <c r="H488" s="34">
        <v>20</v>
      </c>
      <c r="I488" s="34" t="s">
        <v>12</v>
      </c>
      <c r="J488" s="34">
        <v>1.2909999999999999</v>
      </c>
      <c r="K488" s="43">
        <v>5.3011999999999997</v>
      </c>
    </row>
    <row r="489" spans="1:11">
      <c r="A489" s="34" t="s">
        <v>22</v>
      </c>
      <c r="B489" s="36">
        <v>50</v>
      </c>
      <c r="C489" s="43">
        <v>0.80289999999999995</v>
      </c>
      <c r="D489" s="36">
        <v>9.6600000000000005E-2</v>
      </c>
      <c r="E489" s="36">
        <v>0.13</v>
      </c>
      <c r="F489" s="36">
        <v>1008</v>
      </c>
      <c r="G489" s="42">
        <v>0</v>
      </c>
      <c r="H489" s="34">
        <v>20</v>
      </c>
      <c r="I489" s="34" t="s">
        <v>12</v>
      </c>
      <c r="J489" s="34">
        <v>1.2909999999999999</v>
      </c>
      <c r="K489" s="43">
        <v>5.3810000000000002</v>
      </c>
    </row>
    <row r="490" spans="1:11">
      <c r="A490" s="34" t="s">
        <v>22</v>
      </c>
      <c r="B490" s="36">
        <v>50</v>
      </c>
      <c r="C490" s="43">
        <v>0.99860000000000004</v>
      </c>
      <c r="D490" s="36">
        <v>9.6600000000000005E-2</v>
      </c>
      <c r="E490" s="36">
        <v>0.13</v>
      </c>
      <c r="F490" s="36">
        <v>1008</v>
      </c>
      <c r="G490" s="42">
        <v>0</v>
      </c>
      <c r="H490" s="34">
        <v>20</v>
      </c>
      <c r="I490" s="34" t="s">
        <v>12</v>
      </c>
      <c r="J490" s="34">
        <v>1.2909999999999999</v>
      </c>
      <c r="K490" s="43">
        <v>5.4753999999999996</v>
      </c>
    </row>
    <row r="491" spans="1:11">
      <c r="A491" s="34" t="s">
        <v>22</v>
      </c>
      <c r="B491" s="36">
        <v>80</v>
      </c>
      <c r="C491" s="43">
        <v>0.30220000000000002</v>
      </c>
      <c r="D491" s="36">
        <v>9.6600000000000005E-2</v>
      </c>
      <c r="E491" s="36">
        <v>0.13</v>
      </c>
      <c r="F491" s="36">
        <v>1008</v>
      </c>
      <c r="G491" s="42">
        <v>0</v>
      </c>
      <c r="H491" s="34">
        <v>20</v>
      </c>
      <c r="I491" s="34" t="s">
        <v>12</v>
      </c>
      <c r="J491" s="34">
        <v>1.2909999999999999</v>
      </c>
      <c r="K491" s="43">
        <v>5.3955000000000002</v>
      </c>
    </row>
    <row r="492" spans="1:11">
      <c r="A492" s="34" t="s">
        <v>22</v>
      </c>
      <c r="B492" s="36">
        <v>80</v>
      </c>
      <c r="C492" s="43">
        <v>0.40179999999999999</v>
      </c>
      <c r="D492" s="36">
        <v>9.6600000000000005E-2</v>
      </c>
      <c r="E492" s="36">
        <v>0.13</v>
      </c>
      <c r="F492" s="36">
        <v>1008</v>
      </c>
      <c r="G492" s="42">
        <v>0</v>
      </c>
      <c r="H492" s="34">
        <v>20</v>
      </c>
      <c r="I492" s="34" t="s">
        <v>12</v>
      </c>
      <c r="J492" s="34">
        <v>1.2909999999999999</v>
      </c>
      <c r="K492" s="43">
        <v>5.5044000000000004</v>
      </c>
    </row>
    <row r="493" spans="1:11">
      <c r="A493" s="34" t="s">
        <v>22</v>
      </c>
      <c r="B493" s="36">
        <v>80</v>
      </c>
      <c r="C493" s="43">
        <v>0.50049999999999994</v>
      </c>
      <c r="D493" s="36">
        <v>9.6600000000000005E-2</v>
      </c>
      <c r="E493" s="36">
        <v>0.13</v>
      </c>
      <c r="F493" s="36">
        <v>1008</v>
      </c>
      <c r="G493" s="42">
        <v>0</v>
      </c>
      <c r="H493" s="34">
        <v>20</v>
      </c>
      <c r="I493" s="34" t="s">
        <v>12</v>
      </c>
      <c r="J493" s="34">
        <v>1.2909999999999999</v>
      </c>
      <c r="K493" s="43">
        <v>5.6060999999999996</v>
      </c>
    </row>
    <row r="494" spans="1:11">
      <c r="A494" s="34" t="s">
        <v>22</v>
      </c>
      <c r="B494" s="36">
        <v>80</v>
      </c>
      <c r="C494" s="43">
        <v>0.59930000000000005</v>
      </c>
      <c r="D494" s="36">
        <v>9.6600000000000005E-2</v>
      </c>
      <c r="E494" s="36">
        <v>0.13</v>
      </c>
      <c r="F494" s="36">
        <v>1008</v>
      </c>
      <c r="G494" s="42">
        <v>0</v>
      </c>
      <c r="H494" s="34">
        <v>20</v>
      </c>
      <c r="I494" s="34" t="s">
        <v>12</v>
      </c>
      <c r="J494" s="34">
        <v>1.2909999999999999</v>
      </c>
      <c r="K494" s="43">
        <v>5.5987999999999998</v>
      </c>
    </row>
    <row r="495" spans="1:11">
      <c r="A495" s="34" t="s">
        <v>22</v>
      </c>
      <c r="B495" s="36">
        <v>80</v>
      </c>
      <c r="C495" s="43">
        <v>0.7994</v>
      </c>
      <c r="D495" s="36">
        <v>9.6600000000000005E-2</v>
      </c>
      <c r="E495" s="36">
        <v>0.13</v>
      </c>
      <c r="F495" s="36">
        <v>1008</v>
      </c>
      <c r="G495" s="42">
        <v>0</v>
      </c>
      <c r="H495" s="34">
        <v>20</v>
      </c>
      <c r="I495" s="34" t="s">
        <v>12</v>
      </c>
      <c r="J495" s="34">
        <v>1.2909999999999999</v>
      </c>
      <c r="K495" s="43">
        <v>5.7077</v>
      </c>
    </row>
    <row r="496" spans="1:11">
      <c r="A496" s="34" t="s">
        <v>22</v>
      </c>
      <c r="B496" s="36">
        <v>80</v>
      </c>
      <c r="C496" s="43">
        <v>0.99860000000000004</v>
      </c>
      <c r="D496" s="36">
        <v>9.6600000000000005E-2</v>
      </c>
      <c r="E496" s="36">
        <v>0.13</v>
      </c>
      <c r="F496" s="36">
        <v>1008</v>
      </c>
      <c r="G496" s="42">
        <v>0</v>
      </c>
      <c r="H496" s="34">
        <v>20</v>
      </c>
      <c r="I496" s="34" t="s">
        <v>12</v>
      </c>
      <c r="J496" s="34">
        <v>1.2909999999999999</v>
      </c>
      <c r="K496" s="43">
        <v>5.9326999999999996</v>
      </c>
    </row>
    <row r="497" spans="1:11">
      <c r="A497" s="34" t="s">
        <v>22</v>
      </c>
      <c r="B497" s="36">
        <v>100</v>
      </c>
      <c r="C497" s="43">
        <v>0.30399999999999999</v>
      </c>
      <c r="D497" s="36">
        <v>9.6600000000000005E-2</v>
      </c>
      <c r="E497" s="36">
        <v>0.13</v>
      </c>
      <c r="F497" s="36">
        <v>1008</v>
      </c>
      <c r="G497" s="42">
        <v>0</v>
      </c>
      <c r="H497" s="34">
        <v>20</v>
      </c>
      <c r="I497" s="34" t="s">
        <v>12</v>
      </c>
      <c r="J497" s="34">
        <v>1.2909999999999999</v>
      </c>
      <c r="K497" s="43">
        <v>5.8093000000000004</v>
      </c>
    </row>
    <row r="498" spans="1:11">
      <c r="A498" s="34" t="s">
        <v>22</v>
      </c>
      <c r="B498" s="36">
        <v>100</v>
      </c>
      <c r="C498" s="43">
        <v>0.40089999999999998</v>
      </c>
      <c r="D498" s="36">
        <v>9.6600000000000005E-2</v>
      </c>
      <c r="E498" s="36">
        <v>0.13</v>
      </c>
      <c r="F498" s="36">
        <v>1008</v>
      </c>
      <c r="G498" s="42">
        <v>0</v>
      </c>
      <c r="H498" s="34">
        <v>20</v>
      </c>
      <c r="I498" s="34" t="s">
        <v>12</v>
      </c>
      <c r="J498" s="34">
        <v>1.2909999999999999</v>
      </c>
      <c r="K498" s="43">
        <v>5.8093000000000004</v>
      </c>
    </row>
    <row r="499" spans="1:11">
      <c r="A499" s="34" t="s">
        <v>22</v>
      </c>
      <c r="B499" s="36">
        <v>100</v>
      </c>
      <c r="C499" s="43">
        <v>0.50319999999999998</v>
      </c>
      <c r="D499" s="36">
        <v>9.6600000000000005E-2</v>
      </c>
      <c r="E499" s="36">
        <v>0.13</v>
      </c>
      <c r="F499" s="36">
        <v>1008</v>
      </c>
      <c r="G499" s="42">
        <v>0</v>
      </c>
      <c r="H499" s="34">
        <v>20</v>
      </c>
      <c r="I499" s="34" t="s">
        <v>12</v>
      </c>
      <c r="J499" s="34">
        <v>1.2909999999999999</v>
      </c>
      <c r="K499" s="43">
        <v>5.9181999999999997</v>
      </c>
    </row>
    <row r="500" spans="1:11">
      <c r="A500" s="34" t="s">
        <v>22</v>
      </c>
      <c r="B500" s="36">
        <v>100</v>
      </c>
      <c r="C500" s="43">
        <v>0.60009999999999997</v>
      </c>
      <c r="D500" s="36">
        <v>9.6600000000000005E-2</v>
      </c>
      <c r="E500" s="36">
        <v>0.13</v>
      </c>
      <c r="F500" s="36">
        <v>1008</v>
      </c>
      <c r="G500" s="42">
        <v>0</v>
      </c>
      <c r="H500" s="34">
        <v>20</v>
      </c>
      <c r="I500" s="34" t="s">
        <v>12</v>
      </c>
      <c r="J500" s="34">
        <v>1.2909999999999999</v>
      </c>
      <c r="K500" s="43">
        <v>6.0270999999999999</v>
      </c>
    </row>
    <row r="501" spans="1:11">
      <c r="A501" s="34" t="s">
        <v>22</v>
      </c>
      <c r="B501" s="36">
        <v>100</v>
      </c>
      <c r="C501" s="43">
        <v>0.80110000000000003</v>
      </c>
      <c r="D501" s="36">
        <v>9.6600000000000005E-2</v>
      </c>
      <c r="E501" s="36">
        <v>0.13</v>
      </c>
      <c r="F501" s="36">
        <v>1008</v>
      </c>
      <c r="G501" s="42">
        <v>0</v>
      </c>
      <c r="H501" s="34">
        <v>20</v>
      </c>
      <c r="I501" s="34" t="s">
        <v>12</v>
      </c>
      <c r="J501" s="34">
        <v>1.2909999999999999</v>
      </c>
      <c r="K501" s="43">
        <v>6.1433</v>
      </c>
    </row>
    <row r="502" spans="1:11">
      <c r="A502" s="34" t="s">
        <v>22</v>
      </c>
      <c r="B502" s="36">
        <v>100</v>
      </c>
      <c r="C502" s="43">
        <v>1.002</v>
      </c>
      <c r="D502" s="36">
        <v>9.6600000000000005E-2</v>
      </c>
      <c r="E502" s="36">
        <v>0.13</v>
      </c>
      <c r="F502" s="36">
        <v>1008</v>
      </c>
      <c r="G502" s="42">
        <v>0</v>
      </c>
      <c r="H502" s="34">
        <v>20</v>
      </c>
      <c r="I502" s="34" t="s">
        <v>12</v>
      </c>
      <c r="J502" s="34">
        <v>1.2909999999999999</v>
      </c>
      <c r="K502" s="43">
        <v>6.2739000000000003</v>
      </c>
    </row>
    <row r="503" spans="1:11">
      <c r="A503" s="34" t="s">
        <v>22</v>
      </c>
      <c r="B503" s="36">
        <v>120</v>
      </c>
      <c r="C503" s="43">
        <v>0.30099999999999999</v>
      </c>
      <c r="D503" s="36">
        <v>9.6600000000000005E-2</v>
      </c>
      <c r="E503" s="36">
        <v>0.13</v>
      </c>
      <c r="F503" s="36">
        <v>1008</v>
      </c>
      <c r="G503" s="42">
        <v>0</v>
      </c>
      <c r="H503" s="34">
        <v>20</v>
      </c>
      <c r="I503" s="34" t="s">
        <v>12</v>
      </c>
      <c r="J503" s="34">
        <v>1.2909999999999999</v>
      </c>
      <c r="K503" s="43">
        <v>6.1483999999999996</v>
      </c>
    </row>
    <row r="504" spans="1:11">
      <c r="A504" s="34" t="s">
        <v>22</v>
      </c>
      <c r="B504" s="36">
        <v>120</v>
      </c>
      <c r="C504" s="43">
        <v>0.40189999999999998</v>
      </c>
      <c r="D504" s="36">
        <v>9.6600000000000005E-2</v>
      </c>
      <c r="E504" s="36">
        <v>0.13</v>
      </c>
      <c r="F504" s="36">
        <v>1008</v>
      </c>
      <c r="G504" s="42">
        <v>0</v>
      </c>
      <c r="H504" s="34">
        <v>20</v>
      </c>
      <c r="I504" s="34" t="s">
        <v>12</v>
      </c>
      <c r="J504" s="34">
        <v>1.2909999999999999</v>
      </c>
      <c r="K504" s="43">
        <v>6.2526999999999999</v>
      </c>
    </row>
    <row r="505" spans="1:11">
      <c r="A505" s="34" t="s">
        <v>22</v>
      </c>
      <c r="B505" s="36">
        <v>120</v>
      </c>
      <c r="C505" s="43">
        <v>0.50209999999999999</v>
      </c>
      <c r="D505" s="36">
        <v>9.6600000000000005E-2</v>
      </c>
      <c r="E505" s="36">
        <v>0.13</v>
      </c>
      <c r="F505" s="36">
        <v>1008</v>
      </c>
      <c r="G505" s="42">
        <v>0</v>
      </c>
      <c r="H505" s="34">
        <v>20</v>
      </c>
      <c r="I505" s="34" t="s">
        <v>12</v>
      </c>
      <c r="J505" s="34">
        <v>1.2909999999999999</v>
      </c>
      <c r="K505" s="43">
        <v>6.2346000000000004</v>
      </c>
    </row>
    <row r="506" spans="1:11">
      <c r="A506" s="34" t="s">
        <v>22</v>
      </c>
      <c r="B506" s="36">
        <v>120</v>
      </c>
      <c r="C506" s="43">
        <v>0.6008</v>
      </c>
      <c r="D506" s="36">
        <v>9.6600000000000005E-2</v>
      </c>
      <c r="E506" s="36">
        <v>0.13</v>
      </c>
      <c r="F506" s="36">
        <v>1008</v>
      </c>
      <c r="G506" s="42">
        <v>0</v>
      </c>
      <c r="H506" s="34">
        <v>20</v>
      </c>
      <c r="I506" s="34" t="s">
        <v>12</v>
      </c>
      <c r="J506" s="34">
        <v>1.2909999999999999</v>
      </c>
      <c r="K506" s="43">
        <v>6.3662000000000001</v>
      </c>
    </row>
    <row r="507" spans="1:11">
      <c r="A507" s="34" t="s">
        <v>22</v>
      </c>
      <c r="B507" s="36">
        <v>120</v>
      </c>
      <c r="C507" s="43">
        <v>0.80069999999999997</v>
      </c>
      <c r="D507" s="36">
        <v>9.6600000000000005E-2</v>
      </c>
      <c r="E507" s="36">
        <v>0.13</v>
      </c>
      <c r="F507" s="36">
        <v>1008</v>
      </c>
      <c r="G507" s="42">
        <v>0</v>
      </c>
      <c r="H507" s="34">
        <v>20</v>
      </c>
      <c r="I507" s="34" t="s">
        <v>12</v>
      </c>
      <c r="J507" s="34">
        <v>1.2909999999999999</v>
      </c>
      <c r="K507" s="43">
        <v>6.4660000000000002</v>
      </c>
    </row>
    <row r="508" spans="1:11">
      <c r="A508" s="34" t="s">
        <v>22</v>
      </c>
      <c r="B508" s="36">
        <v>120</v>
      </c>
      <c r="C508" s="43">
        <v>1</v>
      </c>
      <c r="D508" s="36">
        <v>9.6600000000000005E-2</v>
      </c>
      <c r="E508" s="36">
        <v>0.13</v>
      </c>
      <c r="F508" s="36">
        <v>1008</v>
      </c>
      <c r="G508" s="42">
        <v>0</v>
      </c>
      <c r="H508" s="34">
        <v>20</v>
      </c>
      <c r="I508" s="34" t="s">
        <v>12</v>
      </c>
      <c r="J508" s="34">
        <v>1.2909999999999999</v>
      </c>
      <c r="K508" s="43">
        <v>6.5975999999999999</v>
      </c>
    </row>
    <row r="509" spans="1:11">
      <c r="A509" s="34" t="s">
        <v>22</v>
      </c>
      <c r="B509" s="36">
        <v>150</v>
      </c>
      <c r="C509" s="43">
        <v>0.30049999999999999</v>
      </c>
      <c r="D509" s="36">
        <v>9.6600000000000005E-2</v>
      </c>
      <c r="E509" s="36">
        <v>0.13</v>
      </c>
      <c r="F509" s="36">
        <v>1008</v>
      </c>
      <c r="G509" s="42">
        <v>0</v>
      </c>
      <c r="H509" s="34">
        <v>20</v>
      </c>
      <c r="I509" s="34" t="s">
        <v>12</v>
      </c>
      <c r="J509" s="34">
        <v>1.2909999999999999</v>
      </c>
      <c r="K509" s="43">
        <v>6.5884999999999998</v>
      </c>
    </row>
    <row r="510" spans="1:11">
      <c r="A510" s="34" t="s">
        <v>22</v>
      </c>
      <c r="B510" s="36">
        <v>150</v>
      </c>
      <c r="C510" s="43">
        <v>0.40129999999999999</v>
      </c>
      <c r="D510" s="36">
        <v>9.6600000000000005E-2</v>
      </c>
      <c r="E510" s="36">
        <v>0.13</v>
      </c>
      <c r="F510" s="36">
        <v>1008</v>
      </c>
      <c r="G510" s="42">
        <v>0</v>
      </c>
      <c r="H510" s="34">
        <v>20</v>
      </c>
      <c r="I510" s="34" t="s">
        <v>12</v>
      </c>
      <c r="J510" s="34">
        <v>1.2909999999999999</v>
      </c>
      <c r="K510" s="43">
        <v>6.6882999999999999</v>
      </c>
    </row>
    <row r="511" spans="1:11">
      <c r="A511" s="34" t="s">
        <v>22</v>
      </c>
      <c r="B511" s="36">
        <v>150</v>
      </c>
      <c r="C511" s="43">
        <v>0.50049999999999994</v>
      </c>
      <c r="D511" s="36">
        <v>9.6600000000000005E-2</v>
      </c>
      <c r="E511" s="36">
        <v>0.13</v>
      </c>
      <c r="F511" s="36">
        <v>1008</v>
      </c>
      <c r="G511" s="42">
        <v>0</v>
      </c>
      <c r="H511" s="34">
        <v>20</v>
      </c>
      <c r="I511" s="34" t="s">
        <v>12</v>
      </c>
      <c r="J511" s="34">
        <v>1.2909999999999999</v>
      </c>
      <c r="K511" s="43">
        <v>6.6837999999999997</v>
      </c>
    </row>
    <row r="512" spans="1:11">
      <c r="A512" s="34" t="s">
        <v>22</v>
      </c>
      <c r="B512" s="36">
        <v>150</v>
      </c>
      <c r="C512" s="43">
        <v>0.59799999999999998</v>
      </c>
      <c r="D512" s="36">
        <v>9.6600000000000005E-2</v>
      </c>
      <c r="E512" s="36">
        <v>0.13</v>
      </c>
      <c r="F512" s="36">
        <v>1008</v>
      </c>
      <c r="G512" s="42">
        <v>0</v>
      </c>
      <c r="H512" s="34">
        <v>20</v>
      </c>
      <c r="I512" s="34" t="s">
        <v>12</v>
      </c>
      <c r="J512" s="34">
        <v>1.2909999999999999</v>
      </c>
      <c r="K512" s="43">
        <v>6.8108000000000004</v>
      </c>
    </row>
    <row r="513" spans="1:11">
      <c r="A513" s="34" t="s">
        <v>22</v>
      </c>
      <c r="B513" s="36">
        <v>150</v>
      </c>
      <c r="C513" s="43">
        <v>0.80020000000000002</v>
      </c>
      <c r="D513" s="36">
        <v>9.6600000000000005E-2</v>
      </c>
      <c r="E513" s="36">
        <v>0.13</v>
      </c>
      <c r="F513" s="36">
        <v>1008</v>
      </c>
      <c r="G513" s="42">
        <v>0</v>
      </c>
      <c r="H513" s="34">
        <v>20</v>
      </c>
      <c r="I513" s="34" t="s">
        <v>12</v>
      </c>
      <c r="J513" s="34">
        <v>1.2909999999999999</v>
      </c>
      <c r="K513" s="43">
        <v>6.9061000000000003</v>
      </c>
    </row>
    <row r="514" spans="1:11">
      <c r="A514" s="34" t="s">
        <v>22</v>
      </c>
      <c r="B514" s="36">
        <v>150</v>
      </c>
      <c r="C514" s="43">
        <v>1.0009999999999999</v>
      </c>
      <c r="D514" s="36">
        <v>9.6600000000000005E-2</v>
      </c>
      <c r="E514" s="36">
        <v>0.13</v>
      </c>
      <c r="F514" s="36">
        <v>1008</v>
      </c>
      <c r="G514" s="42">
        <v>0</v>
      </c>
      <c r="H514" s="34">
        <v>20</v>
      </c>
      <c r="I514" s="34" t="s">
        <v>12</v>
      </c>
      <c r="J514" s="34">
        <v>1.2909999999999999</v>
      </c>
      <c r="K514" s="43">
        <v>6.9016000000000002</v>
      </c>
    </row>
    <row r="515" spans="1:11">
      <c r="A515" s="34" t="s">
        <v>22</v>
      </c>
      <c r="B515" s="36">
        <v>200</v>
      </c>
      <c r="C515" s="43">
        <v>0.30209999999999998</v>
      </c>
      <c r="D515" s="36">
        <v>9.6600000000000005E-2</v>
      </c>
      <c r="E515" s="36">
        <v>0.13</v>
      </c>
      <c r="F515" s="36">
        <v>1008</v>
      </c>
      <c r="G515" s="42">
        <v>0</v>
      </c>
      <c r="H515" s="34">
        <v>20</v>
      </c>
      <c r="I515" s="34" t="s">
        <v>12</v>
      </c>
      <c r="J515" s="34">
        <v>1.2909999999999999</v>
      </c>
      <c r="K515" s="43">
        <v>7.2373000000000003</v>
      </c>
    </row>
    <row r="516" spans="1:11">
      <c r="A516" s="34" t="s">
        <v>22</v>
      </c>
      <c r="B516" s="36">
        <v>200</v>
      </c>
      <c r="C516" s="43">
        <v>0.40079999999999999</v>
      </c>
      <c r="D516" s="36">
        <v>9.6600000000000005E-2</v>
      </c>
      <c r="E516" s="36">
        <v>0.13</v>
      </c>
      <c r="F516" s="36">
        <v>1008</v>
      </c>
      <c r="G516" s="42">
        <v>0</v>
      </c>
      <c r="H516" s="34">
        <v>20</v>
      </c>
      <c r="I516" s="34" t="s">
        <v>12</v>
      </c>
      <c r="J516" s="34">
        <v>1.2909999999999999</v>
      </c>
      <c r="K516" s="43">
        <v>7.2328000000000001</v>
      </c>
    </row>
    <row r="517" spans="1:11">
      <c r="A517" s="34" t="s">
        <v>22</v>
      </c>
      <c r="B517" s="36">
        <v>200</v>
      </c>
      <c r="C517" s="43">
        <v>0.50209999999999999</v>
      </c>
      <c r="D517" s="36">
        <v>9.6600000000000005E-2</v>
      </c>
      <c r="E517" s="36">
        <v>0.13</v>
      </c>
      <c r="F517" s="36">
        <v>1008</v>
      </c>
      <c r="G517" s="42">
        <v>0</v>
      </c>
      <c r="H517" s="34">
        <v>20</v>
      </c>
      <c r="I517" s="34" t="s">
        <v>12</v>
      </c>
      <c r="J517" s="34">
        <v>1.2909999999999999</v>
      </c>
      <c r="K517" s="43">
        <v>7.3461999999999996</v>
      </c>
    </row>
    <row r="518" spans="1:11">
      <c r="A518" s="34" t="s">
        <v>22</v>
      </c>
      <c r="B518" s="36">
        <v>200</v>
      </c>
      <c r="C518" s="43">
        <v>0.60019999999999996</v>
      </c>
      <c r="D518" s="36">
        <v>9.6600000000000005E-2</v>
      </c>
      <c r="E518" s="36">
        <v>0.13</v>
      </c>
      <c r="F518" s="36">
        <v>1008</v>
      </c>
      <c r="G518" s="42">
        <v>0</v>
      </c>
      <c r="H518" s="34">
        <v>20</v>
      </c>
      <c r="I518" s="34" t="s">
        <v>12</v>
      </c>
      <c r="J518" s="34">
        <v>1.2909999999999999</v>
      </c>
      <c r="K518" s="43">
        <v>7.3461999999999996</v>
      </c>
    </row>
    <row r="519" spans="1:11">
      <c r="A519" s="34" t="s">
        <v>22</v>
      </c>
      <c r="B519" s="36">
        <v>200</v>
      </c>
      <c r="C519" s="43">
        <v>0.79910000000000003</v>
      </c>
      <c r="D519" s="36">
        <v>9.6600000000000005E-2</v>
      </c>
      <c r="E519" s="36">
        <v>0.13</v>
      </c>
      <c r="F519" s="36">
        <v>1008</v>
      </c>
      <c r="G519" s="42">
        <v>0</v>
      </c>
      <c r="H519" s="34">
        <v>20</v>
      </c>
      <c r="I519" s="34" t="s">
        <v>12</v>
      </c>
      <c r="J519" s="34">
        <v>1.2909999999999999</v>
      </c>
      <c r="K519" s="43">
        <v>7.4641999999999999</v>
      </c>
    </row>
    <row r="520" spans="1:11">
      <c r="A520" s="34" t="s">
        <v>22</v>
      </c>
      <c r="B520" s="36">
        <v>200</v>
      </c>
      <c r="C520" s="43">
        <v>1.002</v>
      </c>
      <c r="D520" s="36">
        <v>9.6600000000000005E-2</v>
      </c>
      <c r="E520" s="36">
        <v>0.13</v>
      </c>
      <c r="F520" s="36">
        <v>1008</v>
      </c>
      <c r="G520" s="42">
        <v>0</v>
      </c>
      <c r="H520" s="34">
        <v>20</v>
      </c>
      <c r="I520" s="34" t="s">
        <v>12</v>
      </c>
      <c r="J520" s="34">
        <v>1.2909999999999999</v>
      </c>
      <c r="K520" s="43">
        <v>7.5548999999999999</v>
      </c>
    </row>
    <row r="521" spans="1:11">
      <c r="A521" s="34" t="s">
        <v>22</v>
      </c>
      <c r="B521" s="36">
        <v>50</v>
      </c>
      <c r="C521" s="43">
        <v>0.29830000000000001</v>
      </c>
      <c r="D521" s="36">
        <v>9.6600000000000005E-2</v>
      </c>
      <c r="E521" s="36">
        <v>0.13</v>
      </c>
      <c r="F521" s="36">
        <v>1008</v>
      </c>
      <c r="G521" s="42">
        <v>0</v>
      </c>
      <c r="H521" s="34">
        <v>20</v>
      </c>
      <c r="I521" s="34" t="s">
        <v>12</v>
      </c>
      <c r="J521" s="34">
        <v>1.2909999999999999</v>
      </c>
      <c r="K521" s="43">
        <v>4.3037999999999998</v>
      </c>
    </row>
    <row r="522" spans="1:11">
      <c r="A522" s="34" t="s">
        <v>22</v>
      </c>
      <c r="B522" s="36">
        <v>50</v>
      </c>
      <c r="C522" s="43">
        <v>0.40139999999999998</v>
      </c>
      <c r="D522" s="36">
        <v>9.6600000000000005E-2</v>
      </c>
      <c r="E522" s="36">
        <v>0.13</v>
      </c>
      <c r="F522" s="36">
        <v>1008</v>
      </c>
      <c r="G522" s="42">
        <v>0</v>
      </c>
      <c r="H522" s="34">
        <v>20</v>
      </c>
      <c r="I522" s="34" t="s">
        <v>12</v>
      </c>
      <c r="J522" s="34">
        <v>1.2909999999999999</v>
      </c>
      <c r="K522" s="43">
        <v>4.4577</v>
      </c>
    </row>
    <row r="523" spans="1:11">
      <c r="A523" s="34" t="s">
        <v>22</v>
      </c>
      <c r="B523" s="36">
        <v>50</v>
      </c>
      <c r="C523" s="43">
        <v>0.50109999999999999</v>
      </c>
      <c r="D523" s="36">
        <v>9.6600000000000005E-2</v>
      </c>
      <c r="E523" s="36">
        <v>0.13</v>
      </c>
      <c r="F523" s="36">
        <v>1008</v>
      </c>
      <c r="G523" s="42">
        <v>0</v>
      </c>
      <c r="H523" s="34">
        <v>20</v>
      </c>
      <c r="I523" s="34" t="s">
        <v>12</v>
      </c>
      <c r="J523" s="34">
        <v>1.2909999999999999</v>
      </c>
      <c r="K523" s="43">
        <v>4.5273000000000003</v>
      </c>
    </row>
    <row r="524" spans="1:11">
      <c r="A524" s="34" t="s">
        <v>22</v>
      </c>
      <c r="B524" s="36">
        <v>50</v>
      </c>
      <c r="C524" s="43">
        <v>0.60289999999999999</v>
      </c>
      <c r="D524" s="36">
        <v>9.6600000000000005E-2</v>
      </c>
      <c r="E524" s="36">
        <v>0.13</v>
      </c>
      <c r="F524" s="36">
        <v>1008</v>
      </c>
      <c r="G524" s="42">
        <v>0</v>
      </c>
      <c r="H524" s="34">
        <v>20</v>
      </c>
      <c r="I524" s="34" t="s">
        <v>12</v>
      </c>
      <c r="J524" s="34">
        <v>1.2909999999999999</v>
      </c>
      <c r="K524" s="43">
        <v>4.5819000000000001</v>
      </c>
    </row>
    <row r="525" spans="1:11">
      <c r="A525" s="34" t="s">
        <v>22</v>
      </c>
      <c r="B525" s="36">
        <v>50</v>
      </c>
      <c r="C525" s="43">
        <v>0.80089999999999995</v>
      </c>
      <c r="D525" s="36">
        <v>9.6600000000000005E-2</v>
      </c>
      <c r="E525" s="36">
        <v>0.13</v>
      </c>
      <c r="F525" s="36">
        <v>1008</v>
      </c>
      <c r="G525" s="42">
        <v>0</v>
      </c>
      <c r="H525" s="34">
        <v>20</v>
      </c>
      <c r="I525" s="34" t="s">
        <v>12</v>
      </c>
      <c r="J525" s="34">
        <v>1.2909999999999999</v>
      </c>
      <c r="K525" s="43">
        <v>4.6612999999999998</v>
      </c>
    </row>
    <row r="526" spans="1:11">
      <c r="A526" s="34" t="s">
        <v>22</v>
      </c>
      <c r="B526" s="36">
        <v>50</v>
      </c>
      <c r="C526" s="43">
        <v>1.002</v>
      </c>
      <c r="D526" s="36">
        <v>9.6600000000000005E-2</v>
      </c>
      <c r="E526" s="36">
        <v>0.13</v>
      </c>
      <c r="F526" s="36">
        <v>1008</v>
      </c>
      <c r="G526" s="42">
        <v>0</v>
      </c>
      <c r="H526" s="34">
        <v>20</v>
      </c>
      <c r="I526" s="34" t="s">
        <v>12</v>
      </c>
      <c r="J526" s="34">
        <v>1.2909999999999999</v>
      </c>
      <c r="K526" s="43">
        <v>4.8798000000000004</v>
      </c>
    </row>
    <row r="527" spans="1:11">
      <c r="A527" s="34" t="s">
        <v>22</v>
      </c>
      <c r="B527" s="36">
        <v>80</v>
      </c>
      <c r="C527" s="43">
        <v>0.30099999999999999</v>
      </c>
      <c r="D527" s="36">
        <v>9.6600000000000005E-2</v>
      </c>
      <c r="E527" s="36">
        <v>0.13</v>
      </c>
      <c r="F527" s="36">
        <v>1008</v>
      </c>
      <c r="G527" s="42">
        <v>0</v>
      </c>
      <c r="H527" s="34">
        <v>20</v>
      </c>
      <c r="I527" s="34" t="s">
        <v>12</v>
      </c>
      <c r="J527" s="34">
        <v>1.2909999999999999</v>
      </c>
      <c r="K527" s="43">
        <v>4.8598999999999997</v>
      </c>
    </row>
    <row r="528" spans="1:11">
      <c r="A528" s="34" t="s">
        <v>22</v>
      </c>
      <c r="B528" s="36">
        <v>80</v>
      </c>
      <c r="C528" s="43">
        <v>0.39929999999999999</v>
      </c>
      <c r="D528" s="36">
        <v>9.6600000000000005E-2</v>
      </c>
      <c r="E528" s="36">
        <v>0.13</v>
      </c>
      <c r="F528" s="36">
        <v>1008</v>
      </c>
      <c r="G528" s="42">
        <v>0</v>
      </c>
      <c r="H528" s="34">
        <v>20</v>
      </c>
      <c r="I528" s="34" t="s">
        <v>12</v>
      </c>
      <c r="J528" s="34">
        <v>1.2909999999999999</v>
      </c>
      <c r="K528" s="43">
        <v>4.8848000000000003</v>
      </c>
    </row>
    <row r="529" spans="1:11">
      <c r="A529" s="34" t="s">
        <v>22</v>
      </c>
      <c r="B529" s="36">
        <v>80</v>
      </c>
      <c r="C529" s="43">
        <v>0.49969999999999998</v>
      </c>
      <c r="D529" s="36">
        <v>9.6600000000000005E-2</v>
      </c>
      <c r="E529" s="36">
        <v>0.13</v>
      </c>
      <c r="F529" s="36">
        <v>1008</v>
      </c>
      <c r="G529" s="42">
        <v>0</v>
      </c>
      <c r="H529" s="34">
        <v>20</v>
      </c>
      <c r="I529" s="34" t="s">
        <v>12</v>
      </c>
      <c r="J529" s="34">
        <v>1.2909999999999999</v>
      </c>
      <c r="K529" s="43">
        <v>4.9840999999999998</v>
      </c>
    </row>
    <row r="530" spans="1:11">
      <c r="A530" s="34" t="s">
        <v>22</v>
      </c>
      <c r="B530" s="36">
        <v>80</v>
      </c>
      <c r="C530" s="43">
        <v>0.60009999999999997</v>
      </c>
      <c r="D530" s="36">
        <v>9.6600000000000005E-2</v>
      </c>
      <c r="E530" s="36">
        <v>0.13</v>
      </c>
      <c r="F530" s="36">
        <v>1008</v>
      </c>
      <c r="G530" s="42">
        <v>0</v>
      </c>
      <c r="H530" s="34">
        <v>20</v>
      </c>
      <c r="I530" s="34" t="s">
        <v>12</v>
      </c>
      <c r="J530" s="34">
        <v>1.2909999999999999</v>
      </c>
      <c r="K530" s="43">
        <v>5.0883000000000003</v>
      </c>
    </row>
    <row r="531" spans="1:11">
      <c r="A531" s="34" t="s">
        <v>22</v>
      </c>
      <c r="B531" s="36">
        <v>80</v>
      </c>
      <c r="C531" s="43">
        <v>0.80089999999999995</v>
      </c>
      <c r="D531" s="36">
        <v>9.6600000000000005E-2</v>
      </c>
      <c r="E531" s="36">
        <v>0.13</v>
      </c>
      <c r="F531" s="36">
        <v>1008</v>
      </c>
      <c r="G531" s="42">
        <v>0</v>
      </c>
      <c r="H531" s="34">
        <v>20</v>
      </c>
      <c r="I531" s="34" t="s">
        <v>12</v>
      </c>
      <c r="J531" s="34">
        <v>1.2909999999999999</v>
      </c>
      <c r="K531" s="43">
        <v>5.2125000000000004</v>
      </c>
    </row>
    <row r="532" spans="1:11">
      <c r="A532" s="34" t="s">
        <v>22</v>
      </c>
      <c r="B532" s="36">
        <v>80</v>
      </c>
      <c r="C532" s="43">
        <v>1.0016</v>
      </c>
      <c r="D532" s="36">
        <v>9.6600000000000005E-2</v>
      </c>
      <c r="E532" s="36">
        <v>0.13</v>
      </c>
      <c r="F532" s="36">
        <v>1008</v>
      </c>
      <c r="G532" s="42">
        <v>0</v>
      </c>
      <c r="H532" s="34">
        <v>20</v>
      </c>
      <c r="I532" s="34" t="s">
        <v>12</v>
      </c>
      <c r="J532" s="34">
        <v>1.2909999999999999</v>
      </c>
      <c r="K532" s="43">
        <v>5.3068</v>
      </c>
    </row>
    <row r="533" spans="1:11">
      <c r="A533" s="34" t="s">
        <v>22</v>
      </c>
      <c r="B533" s="36">
        <v>100</v>
      </c>
      <c r="C533" s="43">
        <v>0.29899999999999999</v>
      </c>
      <c r="D533" s="36">
        <v>9.6600000000000005E-2</v>
      </c>
      <c r="E533" s="36">
        <v>0.13</v>
      </c>
      <c r="F533" s="36">
        <v>1008</v>
      </c>
      <c r="G533" s="42">
        <v>0</v>
      </c>
      <c r="H533" s="34">
        <v>20</v>
      </c>
      <c r="I533" s="34" t="s">
        <v>12</v>
      </c>
      <c r="J533" s="34">
        <v>1.2909999999999999</v>
      </c>
      <c r="K533" s="43">
        <v>5.2173999999999996</v>
      </c>
    </row>
    <row r="534" spans="1:11">
      <c r="A534" s="34" t="s">
        <v>22</v>
      </c>
      <c r="B534" s="36">
        <v>100</v>
      </c>
      <c r="C534" s="43">
        <v>0.4</v>
      </c>
      <c r="D534" s="36">
        <v>9.6600000000000005E-2</v>
      </c>
      <c r="E534" s="36">
        <v>0.13</v>
      </c>
      <c r="F534" s="36">
        <v>1008</v>
      </c>
      <c r="G534" s="42">
        <v>0</v>
      </c>
      <c r="H534" s="34">
        <v>20</v>
      </c>
      <c r="I534" s="34" t="s">
        <v>12</v>
      </c>
      <c r="J534" s="34">
        <v>1.2909999999999999</v>
      </c>
      <c r="K534" s="43">
        <v>5.3216999999999999</v>
      </c>
    </row>
    <row r="535" spans="1:11">
      <c r="A535" s="34" t="s">
        <v>22</v>
      </c>
      <c r="B535" s="36">
        <v>100</v>
      </c>
      <c r="C535" s="43">
        <v>0.499</v>
      </c>
      <c r="D535" s="36">
        <v>9.6600000000000005E-2</v>
      </c>
      <c r="E535" s="36">
        <v>0.13</v>
      </c>
      <c r="F535" s="36">
        <v>1008</v>
      </c>
      <c r="G535" s="42">
        <v>0</v>
      </c>
      <c r="H535" s="34">
        <v>20</v>
      </c>
      <c r="I535" s="34" t="s">
        <v>12</v>
      </c>
      <c r="J535" s="34">
        <v>1.2909999999999999</v>
      </c>
      <c r="K535" s="43">
        <v>5.3167</v>
      </c>
    </row>
    <row r="536" spans="1:11">
      <c r="A536" s="34" t="s">
        <v>22</v>
      </c>
      <c r="B536" s="36">
        <v>100</v>
      </c>
      <c r="C536" s="43">
        <v>0.60289999999999999</v>
      </c>
      <c r="D536" s="36">
        <v>9.6600000000000005E-2</v>
      </c>
      <c r="E536" s="36">
        <v>0.13</v>
      </c>
      <c r="F536" s="36">
        <v>1008</v>
      </c>
      <c r="G536" s="42">
        <v>0</v>
      </c>
      <c r="H536" s="34">
        <v>20</v>
      </c>
      <c r="I536" s="34" t="s">
        <v>12</v>
      </c>
      <c r="J536" s="34">
        <v>1.2909999999999999</v>
      </c>
      <c r="K536" s="43">
        <v>5.4260000000000002</v>
      </c>
    </row>
    <row r="537" spans="1:11">
      <c r="A537" s="34" t="s">
        <v>22</v>
      </c>
      <c r="B537" s="36">
        <v>100</v>
      </c>
      <c r="C537" s="43">
        <v>0.79949999999999999</v>
      </c>
      <c r="D537" s="36">
        <v>9.6600000000000005E-2</v>
      </c>
      <c r="E537" s="36">
        <v>0.13</v>
      </c>
      <c r="F537" s="36">
        <v>1008</v>
      </c>
      <c r="G537" s="42">
        <v>0</v>
      </c>
      <c r="H537" s="34">
        <v>20</v>
      </c>
      <c r="I537" s="34" t="s">
        <v>12</v>
      </c>
      <c r="J537" s="34">
        <v>1.2909999999999999</v>
      </c>
      <c r="K537" s="43">
        <v>5.5948000000000002</v>
      </c>
    </row>
    <row r="538" spans="1:11">
      <c r="A538" s="34" t="s">
        <v>22</v>
      </c>
      <c r="B538" s="36">
        <v>100</v>
      </c>
      <c r="C538" s="43">
        <v>1.0008999999999999</v>
      </c>
      <c r="D538" s="36">
        <v>9.6600000000000005E-2</v>
      </c>
      <c r="E538" s="36">
        <v>0.13</v>
      </c>
      <c r="F538" s="36">
        <v>1008</v>
      </c>
      <c r="G538" s="42">
        <v>0</v>
      </c>
      <c r="H538" s="34">
        <v>20</v>
      </c>
      <c r="I538" s="34" t="s">
        <v>12</v>
      </c>
      <c r="J538" s="34">
        <v>1.2909999999999999</v>
      </c>
      <c r="K538" s="43">
        <v>5.6494</v>
      </c>
    </row>
    <row r="539" spans="1:11">
      <c r="A539" s="34" t="s">
        <v>22</v>
      </c>
      <c r="B539" s="36">
        <v>120</v>
      </c>
      <c r="C539" s="43">
        <v>0.30099999999999999</v>
      </c>
      <c r="D539" s="36">
        <v>9.6600000000000005E-2</v>
      </c>
      <c r="E539" s="36">
        <v>0.13</v>
      </c>
      <c r="F539" s="36">
        <v>1008</v>
      </c>
      <c r="G539" s="42">
        <v>0</v>
      </c>
      <c r="H539" s="34">
        <v>20</v>
      </c>
      <c r="I539" s="34" t="s">
        <v>12</v>
      </c>
      <c r="J539" s="34">
        <v>1.2909999999999999</v>
      </c>
      <c r="K539" s="43">
        <v>5.5401999999999996</v>
      </c>
    </row>
    <row r="540" spans="1:11">
      <c r="A540" s="34" t="s">
        <v>22</v>
      </c>
      <c r="B540" s="36">
        <v>120</v>
      </c>
      <c r="C540" s="43">
        <v>0.39800000000000002</v>
      </c>
      <c r="D540" s="36">
        <v>9.6600000000000005E-2</v>
      </c>
      <c r="E540" s="36">
        <v>0.13</v>
      </c>
      <c r="F540" s="36">
        <v>1008</v>
      </c>
      <c r="G540" s="42">
        <v>0</v>
      </c>
      <c r="H540" s="34">
        <v>20</v>
      </c>
      <c r="I540" s="34" t="s">
        <v>12</v>
      </c>
      <c r="J540" s="34">
        <v>1.2909999999999999</v>
      </c>
      <c r="K540" s="43">
        <v>5.6395</v>
      </c>
    </row>
    <row r="541" spans="1:11">
      <c r="A541" s="34" t="s">
        <v>22</v>
      </c>
      <c r="B541" s="36">
        <v>120</v>
      </c>
      <c r="C541" s="43">
        <v>0.49969999999999998</v>
      </c>
      <c r="D541" s="36">
        <v>9.6600000000000005E-2</v>
      </c>
      <c r="E541" s="36">
        <v>0.13</v>
      </c>
      <c r="F541" s="36">
        <v>1008</v>
      </c>
      <c r="G541" s="42">
        <v>0</v>
      </c>
      <c r="H541" s="34">
        <v>20</v>
      </c>
      <c r="I541" s="34" t="s">
        <v>12</v>
      </c>
      <c r="J541" s="34">
        <v>1.2909999999999999</v>
      </c>
      <c r="K541" s="43">
        <v>5.6791999999999998</v>
      </c>
    </row>
    <row r="542" spans="1:11">
      <c r="A542" s="34" t="s">
        <v>22</v>
      </c>
      <c r="B542" s="36">
        <v>120</v>
      </c>
      <c r="C542" s="43">
        <v>0.60150000000000003</v>
      </c>
      <c r="D542" s="36">
        <v>9.6600000000000005E-2</v>
      </c>
      <c r="E542" s="36">
        <v>0.13</v>
      </c>
      <c r="F542" s="36">
        <v>1008</v>
      </c>
      <c r="G542" s="42">
        <v>0</v>
      </c>
      <c r="H542" s="34">
        <v>20</v>
      </c>
      <c r="I542" s="34" t="s">
        <v>12</v>
      </c>
      <c r="J542" s="34">
        <v>1.2909999999999999</v>
      </c>
      <c r="K542" s="43">
        <v>5.7735000000000003</v>
      </c>
    </row>
    <row r="543" spans="1:11">
      <c r="A543" s="34" t="s">
        <v>22</v>
      </c>
      <c r="B543" s="36">
        <v>120</v>
      </c>
      <c r="C543" s="43">
        <v>0.80159999999999998</v>
      </c>
      <c r="D543" s="36">
        <v>9.6600000000000005E-2</v>
      </c>
      <c r="E543" s="36">
        <v>0.13</v>
      </c>
      <c r="F543" s="36">
        <v>1008</v>
      </c>
      <c r="G543" s="42">
        <v>0</v>
      </c>
      <c r="H543" s="34">
        <v>20</v>
      </c>
      <c r="I543" s="34" t="s">
        <v>12</v>
      </c>
      <c r="J543" s="34">
        <v>1.2909999999999999</v>
      </c>
      <c r="K543" s="43">
        <v>5.8977000000000004</v>
      </c>
    </row>
    <row r="544" spans="1:11">
      <c r="A544" s="34" t="s">
        <v>22</v>
      </c>
      <c r="B544" s="36">
        <v>120</v>
      </c>
      <c r="C544" s="43">
        <v>0.99960000000000004</v>
      </c>
      <c r="D544" s="36">
        <v>9.6600000000000005E-2</v>
      </c>
      <c r="E544" s="36">
        <v>0.13</v>
      </c>
      <c r="F544" s="36">
        <v>1008</v>
      </c>
      <c r="G544" s="42">
        <v>0</v>
      </c>
      <c r="H544" s="34">
        <v>20</v>
      </c>
      <c r="I544" s="34" t="s">
        <v>12</v>
      </c>
      <c r="J544" s="34">
        <v>1.2909999999999999</v>
      </c>
      <c r="K544" s="43">
        <v>5.9870000000000001</v>
      </c>
    </row>
    <row r="545" spans="1:11">
      <c r="A545" s="34" t="s">
        <v>22</v>
      </c>
      <c r="B545" s="36">
        <v>150</v>
      </c>
      <c r="C545" s="43">
        <v>0.29620000000000002</v>
      </c>
      <c r="D545" s="36">
        <v>9.6600000000000005E-2</v>
      </c>
      <c r="E545" s="36">
        <v>0.13</v>
      </c>
      <c r="F545" s="36">
        <v>1008</v>
      </c>
      <c r="G545" s="42">
        <v>0</v>
      </c>
      <c r="H545" s="34">
        <v>20</v>
      </c>
      <c r="I545" s="34" t="s">
        <v>12</v>
      </c>
      <c r="J545" s="34">
        <v>1.2909999999999999</v>
      </c>
      <c r="K545" s="43">
        <v>6.1062000000000003</v>
      </c>
    </row>
    <row r="546" spans="1:11">
      <c r="A546" s="34" t="s">
        <v>22</v>
      </c>
      <c r="B546" s="36">
        <v>150</v>
      </c>
      <c r="C546" s="43">
        <v>0.40279999999999999</v>
      </c>
      <c r="D546" s="36">
        <v>9.6600000000000005E-2</v>
      </c>
      <c r="E546" s="36">
        <v>0.13</v>
      </c>
      <c r="F546" s="36">
        <v>1008</v>
      </c>
      <c r="G546" s="42">
        <v>0</v>
      </c>
      <c r="H546" s="34">
        <v>20</v>
      </c>
      <c r="I546" s="34" t="s">
        <v>12</v>
      </c>
      <c r="J546" s="34">
        <v>1.2909999999999999</v>
      </c>
      <c r="K546" s="43">
        <v>6.1012000000000004</v>
      </c>
    </row>
    <row r="547" spans="1:11">
      <c r="A547" s="34" t="s">
        <v>22</v>
      </c>
      <c r="B547" s="36">
        <v>150</v>
      </c>
      <c r="C547" s="43">
        <v>0.50039999999999996</v>
      </c>
      <c r="D547" s="36">
        <v>9.6600000000000005E-2</v>
      </c>
      <c r="E547" s="36">
        <v>0.13</v>
      </c>
      <c r="F547" s="36">
        <v>1008</v>
      </c>
      <c r="G547" s="42">
        <v>0</v>
      </c>
      <c r="H547" s="34">
        <v>20</v>
      </c>
      <c r="I547" s="34" t="s">
        <v>12</v>
      </c>
      <c r="J547" s="34">
        <v>1.2909999999999999</v>
      </c>
      <c r="K547" s="43">
        <v>6.2253999999999996</v>
      </c>
    </row>
    <row r="548" spans="1:11">
      <c r="A548" s="34" t="s">
        <v>22</v>
      </c>
      <c r="B548" s="36">
        <v>150</v>
      </c>
      <c r="C548" s="43">
        <v>0.60009999999999997</v>
      </c>
      <c r="D548" s="36">
        <v>9.6600000000000005E-2</v>
      </c>
      <c r="E548" s="36">
        <v>0.13</v>
      </c>
      <c r="F548" s="36">
        <v>1008</v>
      </c>
      <c r="G548" s="42">
        <v>0</v>
      </c>
      <c r="H548" s="34">
        <v>20</v>
      </c>
      <c r="I548" s="34" t="s">
        <v>12</v>
      </c>
      <c r="J548" s="34">
        <v>1.2909999999999999</v>
      </c>
      <c r="K548" s="43">
        <v>6.2750000000000004</v>
      </c>
    </row>
    <row r="549" spans="1:11">
      <c r="A549" s="34" t="s">
        <v>22</v>
      </c>
      <c r="B549" s="36">
        <v>150</v>
      </c>
      <c r="C549" s="43">
        <v>0.80220000000000002</v>
      </c>
      <c r="D549" s="36">
        <v>9.6600000000000005E-2</v>
      </c>
      <c r="E549" s="36">
        <v>0.13</v>
      </c>
      <c r="F549" s="36">
        <v>1008</v>
      </c>
      <c r="G549" s="42">
        <v>0</v>
      </c>
      <c r="H549" s="34">
        <v>20</v>
      </c>
      <c r="I549" s="34" t="s">
        <v>12</v>
      </c>
      <c r="J549" s="34">
        <v>1.2909999999999999</v>
      </c>
      <c r="K549" s="43">
        <v>6.2949000000000002</v>
      </c>
    </row>
    <row r="550" spans="1:11">
      <c r="A550" s="34" t="s">
        <v>22</v>
      </c>
      <c r="B550" s="36">
        <v>150</v>
      </c>
      <c r="C550" s="43">
        <v>1.0016</v>
      </c>
      <c r="D550" s="36">
        <v>9.6600000000000005E-2</v>
      </c>
      <c r="E550" s="36">
        <v>0.13</v>
      </c>
      <c r="F550" s="36">
        <v>1008</v>
      </c>
      <c r="G550" s="42">
        <v>0</v>
      </c>
      <c r="H550" s="34">
        <v>20</v>
      </c>
      <c r="I550" s="34" t="s">
        <v>12</v>
      </c>
      <c r="J550" s="34">
        <v>1.2909999999999999</v>
      </c>
      <c r="K550" s="43">
        <v>6.4438000000000004</v>
      </c>
    </row>
    <row r="551" spans="1:11">
      <c r="A551" s="34" t="s">
        <v>22</v>
      </c>
      <c r="B551" s="36">
        <v>200</v>
      </c>
      <c r="C551" s="43">
        <v>0.29830000000000001</v>
      </c>
      <c r="D551" s="36">
        <v>9.6600000000000005E-2</v>
      </c>
      <c r="E551" s="36">
        <v>0.13</v>
      </c>
      <c r="F551" s="36">
        <v>1008</v>
      </c>
      <c r="G551" s="42">
        <v>0</v>
      </c>
      <c r="H551" s="34">
        <v>20</v>
      </c>
      <c r="I551" s="34" t="s">
        <v>12</v>
      </c>
      <c r="J551" s="34">
        <v>1.2909999999999999</v>
      </c>
      <c r="K551" s="43">
        <v>6.6673</v>
      </c>
    </row>
    <row r="552" spans="1:11">
      <c r="A552" s="34" t="s">
        <v>22</v>
      </c>
      <c r="B552" s="36">
        <v>200</v>
      </c>
      <c r="C552" s="43">
        <v>0.40210000000000001</v>
      </c>
      <c r="D552" s="36">
        <v>9.6600000000000005E-2</v>
      </c>
      <c r="E552" s="36">
        <v>0.13</v>
      </c>
      <c r="F552" s="36">
        <v>1008</v>
      </c>
      <c r="G552" s="42">
        <v>0</v>
      </c>
      <c r="H552" s="34">
        <v>20</v>
      </c>
      <c r="I552" s="34" t="s">
        <v>12</v>
      </c>
      <c r="J552" s="34">
        <v>1.2909999999999999</v>
      </c>
      <c r="K552" s="43">
        <v>6.7567000000000004</v>
      </c>
    </row>
    <row r="553" spans="1:11">
      <c r="A553" s="34" t="s">
        <v>22</v>
      </c>
      <c r="B553" s="36">
        <v>200</v>
      </c>
      <c r="C553" s="43">
        <v>0.499</v>
      </c>
      <c r="D553" s="36">
        <v>9.6600000000000005E-2</v>
      </c>
      <c r="E553" s="36">
        <v>0.13</v>
      </c>
      <c r="F553" s="36">
        <v>1008</v>
      </c>
      <c r="G553" s="42">
        <v>0</v>
      </c>
      <c r="H553" s="34">
        <v>20</v>
      </c>
      <c r="I553" s="34" t="s">
        <v>12</v>
      </c>
      <c r="J553" s="34">
        <v>1.2909999999999999</v>
      </c>
      <c r="K553" s="43">
        <v>6.7714999999999996</v>
      </c>
    </row>
    <row r="554" spans="1:11">
      <c r="A554" s="34" t="s">
        <v>22</v>
      </c>
      <c r="B554" s="36">
        <v>200</v>
      </c>
      <c r="C554" s="43">
        <v>0.6008</v>
      </c>
      <c r="D554" s="36">
        <v>9.6600000000000005E-2</v>
      </c>
      <c r="E554" s="36">
        <v>0.13</v>
      </c>
      <c r="F554" s="36">
        <v>1008</v>
      </c>
      <c r="G554" s="42">
        <v>0</v>
      </c>
      <c r="H554" s="34">
        <v>20</v>
      </c>
      <c r="I554" s="34" t="s">
        <v>12</v>
      </c>
      <c r="J554" s="34">
        <v>1.2909999999999999</v>
      </c>
      <c r="K554" s="43">
        <v>6.8807999999999998</v>
      </c>
    </row>
    <row r="555" spans="1:11">
      <c r="A555" s="34" t="s">
        <v>22</v>
      </c>
      <c r="B555" s="36">
        <v>200</v>
      </c>
      <c r="C555" s="43">
        <v>0.79810000000000003</v>
      </c>
      <c r="D555" s="36">
        <v>9.6600000000000005E-2</v>
      </c>
      <c r="E555" s="36">
        <v>0.13</v>
      </c>
      <c r="F555" s="36">
        <v>1008</v>
      </c>
      <c r="G555" s="42">
        <v>0</v>
      </c>
      <c r="H555" s="34">
        <v>20</v>
      </c>
      <c r="I555" s="34" t="s">
        <v>12</v>
      </c>
      <c r="J555" s="34">
        <v>1.2909999999999999</v>
      </c>
      <c r="K555" s="43">
        <v>6.8757999999999999</v>
      </c>
    </row>
    <row r="556" spans="1:11">
      <c r="A556" s="34" t="s">
        <v>22</v>
      </c>
      <c r="B556" s="36">
        <v>200</v>
      </c>
      <c r="C556" s="43">
        <v>1</v>
      </c>
      <c r="D556" s="36">
        <v>9.6600000000000005E-2</v>
      </c>
      <c r="E556" s="36">
        <v>0.13</v>
      </c>
      <c r="F556" s="36">
        <v>1008</v>
      </c>
      <c r="G556" s="42">
        <v>0</v>
      </c>
      <c r="H556" s="34">
        <v>20</v>
      </c>
      <c r="I556" s="34" t="s">
        <v>12</v>
      </c>
      <c r="J556" s="34">
        <v>1.2909999999999999</v>
      </c>
      <c r="K556" s="43">
        <v>6.9801000000000002</v>
      </c>
    </row>
    <row r="557" spans="1:11">
      <c r="A557" s="34" t="s">
        <v>22</v>
      </c>
      <c r="B557" s="36">
        <v>50</v>
      </c>
      <c r="C557" s="43">
        <v>0.29799999999999999</v>
      </c>
      <c r="D557" s="36">
        <v>9.6600000000000005E-2</v>
      </c>
      <c r="E557" s="36">
        <v>0.13</v>
      </c>
      <c r="F557" s="36">
        <v>1008</v>
      </c>
      <c r="G557" s="42">
        <v>0</v>
      </c>
      <c r="H557" s="34">
        <v>20</v>
      </c>
      <c r="I557" s="34" t="s">
        <v>12</v>
      </c>
      <c r="J557" s="34">
        <v>1.2909999999999999</v>
      </c>
      <c r="K557" s="43">
        <v>3.6810999999999998</v>
      </c>
    </row>
    <row r="558" spans="1:11">
      <c r="A558" s="34" t="s">
        <v>22</v>
      </c>
      <c r="B558" s="36">
        <v>50</v>
      </c>
      <c r="C558" s="43">
        <v>0.39939999999999998</v>
      </c>
      <c r="D558" s="36">
        <v>9.6600000000000005E-2</v>
      </c>
      <c r="E558" s="36">
        <v>0.13</v>
      </c>
      <c r="F558" s="36">
        <v>1008</v>
      </c>
      <c r="G558" s="42">
        <v>0</v>
      </c>
      <c r="H558" s="34">
        <v>20</v>
      </c>
      <c r="I558" s="34" t="s">
        <v>12</v>
      </c>
      <c r="J558" s="34">
        <v>1.2909999999999999</v>
      </c>
      <c r="K558" s="43">
        <v>3.8094999999999999</v>
      </c>
    </row>
    <row r="559" spans="1:11">
      <c r="A559" s="34" t="s">
        <v>22</v>
      </c>
      <c r="B559" s="36">
        <v>50</v>
      </c>
      <c r="C559" s="43">
        <v>0.50019999999999998</v>
      </c>
      <c r="D559" s="36">
        <v>9.6600000000000005E-2</v>
      </c>
      <c r="E559" s="36">
        <v>0.13</v>
      </c>
      <c r="F559" s="36">
        <v>1008</v>
      </c>
      <c r="G559" s="42">
        <v>0</v>
      </c>
      <c r="H559" s="34">
        <v>20</v>
      </c>
      <c r="I559" s="34" t="s">
        <v>12</v>
      </c>
      <c r="J559" s="34">
        <v>1.2909999999999999</v>
      </c>
      <c r="K559" s="43">
        <v>3.8302</v>
      </c>
    </row>
    <row r="560" spans="1:11">
      <c r="A560" s="34" t="s">
        <v>22</v>
      </c>
      <c r="B560" s="36">
        <v>50</v>
      </c>
      <c r="C560" s="43">
        <v>0.59760000000000002</v>
      </c>
      <c r="D560" s="36">
        <v>9.6600000000000005E-2</v>
      </c>
      <c r="E560" s="36">
        <v>0.13</v>
      </c>
      <c r="F560" s="36">
        <v>1008</v>
      </c>
      <c r="G560" s="42">
        <v>0</v>
      </c>
      <c r="H560" s="34">
        <v>20</v>
      </c>
      <c r="I560" s="34" t="s">
        <v>12</v>
      </c>
      <c r="J560" s="34">
        <v>1.2909999999999999</v>
      </c>
      <c r="K560" s="43">
        <v>3.8799000000000001</v>
      </c>
    </row>
    <row r="561" spans="1:11">
      <c r="A561" s="34" t="s">
        <v>22</v>
      </c>
      <c r="B561" s="36">
        <v>50</v>
      </c>
      <c r="C561" s="43">
        <v>0.8024</v>
      </c>
      <c r="D561" s="36">
        <v>9.6600000000000005E-2</v>
      </c>
      <c r="E561" s="36">
        <v>0.13</v>
      </c>
      <c r="F561" s="36">
        <v>1008</v>
      </c>
      <c r="G561" s="42">
        <v>0</v>
      </c>
      <c r="H561" s="34">
        <v>20</v>
      </c>
      <c r="I561" s="34" t="s">
        <v>12</v>
      </c>
      <c r="J561" s="34">
        <v>1.2909999999999999</v>
      </c>
      <c r="K561" s="43">
        <v>3.9958</v>
      </c>
    </row>
    <row r="562" spans="1:11">
      <c r="A562" s="34" t="s">
        <v>22</v>
      </c>
      <c r="B562" s="36">
        <v>50</v>
      </c>
      <c r="C562" s="43">
        <v>0.99850000000000005</v>
      </c>
      <c r="D562" s="36">
        <v>9.6600000000000005E-2</v>
      </c>
      <c r="E562" s="36">
        <v>0.13</v>
      </c>
      <c r="F562" s="36">
        <v>1008</v>
      </c>
      <c r="G562" s="42">
        <v>0</v>
      </c>
      <c r="H562" s="34">
        <v>20</v>
      </c>
      <c r="I562" s="34" t="s">
        <v>12</v>
      </c>
      <c r="J562" s="34">
        <v>1.2909999999999999</v>
      </c>
      <c r="K562" s="43">
        <v>4.1904000000000003</v>
      </c>
    </row>
    <row r="563" spans="1:11">
      <c r="A563" s="34" t="s">
        <v>22</v>
      </c>
      <c r="B563" s="36">
        <v>80</v>
      </c>
      <c r="C563" s="43">
        <v>0.30070000000000002</v>
      </c>
      <c r="D563" s="36">
        <v>9.6600000000000005E-2</v>
      </c>
      <c r="E563" s="36">
        <v>0.13</v>
      </c>
      <c r="F563" s="36">
        <v>1008</v>
      </c>
      <c r="G563" s="42">
        <v>0</v>
      </c>
      <c r="H563" s="34">
        <v>20</v>
      </c>
      <c r="I563" s="34" t="s">
        <v>12</v>
      </c>
      <c r="J563" s="34">
        <v>1.2909999999999999</v>
      </c>
      <c r="K563" s="43">
        <v>4.0910000000000002</v>
      </c>
    </row>
    <row r="564" spans="1:11">
      <c r="A564" s="34" t="s">
        <v>22</v>
      </c>
      <c r="B564" s="36">
        <v>80</v>
      </c>
      <c r="C564" s="43">
        <v>0.40350000000000003</v>
      </c>
      <c r="D564" s="36">
        <v>9.6600000000000005E-2</v>
      </c>
      <c r="E564" s="36">
        <v>0.13</v>
      </c>
      <c r="F564" s="36">
        <v>1008</v>
      </c>
      <c r="G564" s="42">
        <v>0</v>
      </c>
      <c r="H564" s="34">
        <v>20</v>
      </c>
      <c r="I564" s="34" t="s">
        <v>12</v>
      </c>
      <c r="J564" s="34">
        <v>1.2909999999999999</v>
      </c>
      <c r="K564" s="43">
        <v>4.2027999999999999</v>
      </c>
    </row>
    <row r="565" spans="1:11">
      <c r="A565" s="34" t="s">
        <v>22</v>
      </c>
      <c r="B565" s="36">
        <v>80</v>
      </c>
      <c r="C565" s="43">
        <v>0.50149999999999995</v>
      </c>
      <c r="D565" s="36">
        <v>9.6600000000000005E-2</v>
      </c>
      <c r="E565" s="36">
        <v>0.13</v>
      </c>
      <c r="F565" s="36">
        <v>1008</v>
      </c>
      <c r="G565" s="42">
        <v>0</v>
      </c>
      <c r="H565" s="34">
        <v>20</v>
      </c>
      <c r="I565" s="34" t="s">
        <v>12</v>
      </c>
      <c r="J565" s="34">
        <v>1.2909999999999999</v>
      </c>
      <c r="K565" s="43">
        <v>4.3022</v>
      </c>
    </row>
    <row r="566" spans="1:11">
      <c r="A566" s="34" t="s">
        <v>22</v>
      </c>
      <c r="B566" s="36">
        <v>80</v>
      </c>
      <c r="C566" s="43">
        <v>0.59960000000000002</v>
      </c>
      <c r="D566" s="36">
        <v>9.6600000000000005E-2</v>
      </c>
      <c r="E566" s="36">
        <v>0.13</v>
      </c>
      <c r="F566" s="36">
        <v>1008</v>
      </c>
      <c r="G566" s="42">
        <v>0</v>
      </c>
      <c r="H566" s="34">
        <v>20</v>
      </c>
      <c r="I566" s="34" t="s">
        <v>12</v>
      </c>
      <c r="J566" s="34">
        <v>1.2909999999999999</v>
      </c>
      <c r="K566" s="43">
        <v>4.3105000000000002</v>
      </c>
    </row>
    <row r="567" spans="1:11">
      <c r="A567" s="34" t="s">
        <v>22</v>
      </c>
      <c r="B567" s="36">
        <v>80</v>
      </c>
      <c r="C567" s="43">
        <v>0.79969999999999997</v>
      </c>
      <c r="D567" s="36">
        <v>9.6600000000000005E-2</v>
      </c>
      <c r="E567" s="36">
        <v>0.13</v>
      </c>
      <c r="F567" s="36">
        <v>1008</v>
      </c>
      <c r="G567" s="42">
        <v>0</v>
      </c>
      <c r="H567" s="34">
        <v>20</v>
      </c>
      <c r="I567" s="34" t="s">
        <v>12</v>
      </c>
      <c r="J567" s="34">
        <v>1.2909999999999999</v>
      </c>
      <c r="K567" s="43">
        <v>4.3975</v>
      </c>
    </row>
    <row r="568" spans="1:11">
      <c r="A568" s="34" t="s">
        <v>22</v>
      </c>
      <c r="B568" s="36">
        <v>80</v>
      </c>
      <c r="C568" s="43">
        <v>1.0019</v>
      </c>
      <c r="D568" s="36">
        <v>9.6600000000000005E-2</v>
      </c>
      <c r="E568" s="36">
        <v>0.13</v>
      </c>
      <c r="F568" s="36">
        <v>1008</v>
      </c>
      <c r="G568" s="42">
        <v>0</v>
      </c>
      <c r="H568" s="34">
        <v>20</v>
      </c>
      <c r="I568" s="34" t="s">
        <v>12</v>
      </c>
      <c r="J568" s="34">
        <v>1.2909999999999999</v>
      </c>
      <c r="K568" s="43">
        <v>4.4802999999999997</v>
      </c>
    </row>
    <row r="569" spans="1:11">
      <c r="A569" s="34" t="s">
        <v>22</v>
      </c>
      <c r="B569" s="36">
        <v>100</v>
      </c>
      <c r="C569" s="43">
        <v>0.29870000000000002</v>
      </c>
      <c r="D569" s="36">
        <v>9.6600000000000005E-2</v>
      </c>
      <c r="E569" s="36">
        <v>0.13</v>
      </c>
      <c r="F569" s="36">
        <v>1008</v>
      </c>
      <c r="G569" s="42">
        <v>0</v>
      </c>
      <c r="H569" s="34">
        <v>20</v>
      </c>
      <c r="I569" s="34" t="s">
        <v>12</v>
      </c>
      <c r="J569" s="34">
        <v>1.2909999999999999</v>
      </c>
      <c r="K569" s="43">
        <v>4.5050999999999997</v>
      </c>
    </row>
    <row r="570" spans="1:11">
      <c r="A570" s="34" t="s">
        <v>22</v>
      </c>
      <c r="B570" s="36">
        <v>100</v>
      </c>
      <c r="C570" s="43">
        <v>0.39939999999999998</v>
      </c>
      <c r="D570" s="36">
        <v>9.6600000000000005E-2</v>
      </c>
      <c r="E570" s="36">
        <v>0.13</v>
      </c>
      <c r="F570" s="36">
        <v>1008</v>
      </c>
      <c r="G570" s="42">
        <v>0</v>
      </c>
      <c r="H570" s="34">
        <v>20</v>
      </c>
      <c r="I570" s="34" t="s">
        <v>12</v>
      </c>
      <c r="J570" s="34">
        <v>1.2909999999999999</v>
      </c>
      <c r="K570" s="43">
        <v>4.4927000000000001</v>
      </c>
    </row>
    <row r="571" spans="1:11">
      <c r="A571" s="34" t="s">
        <v>22</v>
      </c>
      <c r="B571" s="36">
        <v>100</v>
      </c>
      <c r="C571" s="43">
        <v>0.4995</v>
      </c>
      <c r="D571" s="36">
        <v>9.6600000000000005E-2</v>
      </c>
      <c r="E571" s="36">
        <v>0.13</v>
      </c>
      <c r="F571" s="36">
        <v>1008</v>
      </c>
      <c r="G571" s="42">
        <v>0</v>
      </c>
      <c r="H571" s="34">
        <v>20</v>
      </c>
      <c r="I571" s="34" t="s">
        <v>12</v>
      </c>
      <c r="J571" s="34">
        <v>1.2909999999999999</v>
      </c>
      <c r="K571" s="43">
        <v>4.6128</v>
      </c>
    </row>
    <row r="572" spans="1:11">
      <c r="A572" s="34" t="s">
        <v>22</v>
      </c>
      <c r="B572" s="36">
        <v>100</v>
      </c>
      <c r="C572" s="43">
        <v>0.59889999999999999</v>
      </c>
      <c r="D572" s="36">
        <v>9.6600000000000005E-2</v>
      </c>
      <c r="E572" s="36">
        <v>0.13</v>
      </c>
      <c r="F572" s="36">
        <v>1008</v>
      </c>
      <c r="G572" s="42">
        <v>0</v>
      </c>
      <c r="H572" s="34">
        <v>20</v>
      </c>
      <c r="I572" s="34" t="s">
        <v>12</v>
      </c>
      <c r="J572" s="34">
        <v>1.2909999999999999</v>
      </c>
      <c r="K572" s="43">
        <v>4.6955999999999998</v>
      </c>
    </row>
    <row r="573" spans="1:11">
      <c r="A573" s="34" t="s">
        <v>22</v>
      </c>
      <c r="B573" s="36">
        <v>100</v>
      </c>
      <c r="C573" s="44">
        <v>0.8</v>
      </c>
      <c r="D573" s="36">
        <v>9.6600000000000005E-2</v>
      </c>
      <c r="E573" s="36">
        <v>0.13</v>
      </c>
      <c r="F573" s="36">
        <v>1008</v>
      </c>
      <c r="G573" s="42">
        <v>0</v>
      </c>
      <c r="H573" s="34">
        <v>20</v>
      </c>
      <c r="I573" s="34" t="s">
        <v>12</v>
      </c>
      <c r="J573" s="34">
        <v>1.2909999999999999</v>
      </c>
      <c r="K573" s="43">
        <v>4.7949999999999999</v>
      </c>
    </row>
    <row r="574" spans="1:11">
      <c r="A574" s="34" t="s">
        <v>22</v>
      </c>
      <c r="B574" s="36">
        <v>100</v>
      </c>
      <c r="C574" s="43">
        <v>1</v>
      </c>
      <c r="D574" s="36">
        <v>9.6600000000000005E-2</v>
      </c>
      <c r="E574" s="36">
        <v>0.13</v>
      </c>
      <c r="F574" s="36">
        <v>1008</v>
      </c>
      <c r="G574" s="42">
        <v>0</v>
      </c>
      <c r="H574" s="34">
        <v>20</v>
      </c>
      <c r="I574" s="34" t="s">
        <v>12</v>
      </c>
      <c r="J574" s="34">
        <v>1.2909999999999999</v>
      </c>
      <c r="K574" s="43">
        <v>4.9067999999999996</v>
      </c>
    </row>
    <row r="575" spans="1:11">
      <c r="A575" s="34" t="s">
        <v>22</v>
      </c>
      <c r="B575" s="36">
        <v>120</v>
      </c>
      <c r="C575" s="43">
        <v>0.3</v>
      </c>
      <c r="D575" s="36">
        <v>9.6600000000000005E-2</v>
      </c>
      <c r="E575" s="36">
        <v>0.13</v>
      </c>
      <c r="F575" s="36">
        <v>1008</v>
      </c>
      <c r="G575" s="42">
        <v>0</v>
      </c>
      <c r="H575" s="34">
        <v>20</v>
      </c>
      <c r="I575" s="34" t="s">
        <v>12</v>
      </c>
      <c r="J575" s="34">
        <v>1.2909999999999999</v>
      </c>
      <c r="K575" s="43">
        <v>4.7866999999999997</v>
      </c>
    </row>
    <row r="576" spans="1:11">
      <c r="A576" s="34" t="s">
        <v>22</v>
      </c>
      <c r="B576" s="36">
        <v>120</v>
      </c>
      <c r="C576" s="43">
        <v>0.40210000000000001</v>
      </c>
      <c r="D576" s="36">
        <v>9.6600000000000005E-2</v>
      </c>
      <c r="E576" s="36">
        <v>0.13</v>
      </c>
      <c r="F576" s="36">
        <v>1008</v>
      </c>
      <c r="G576" s="42">
        <v>0</v>
      </c>
      <c r="H576" s="34">
        <v>20</v>
      </c>
      <c r="I576" s="34" t="s">
        <v>12</v>
      </c>
      <c r="J576" s="34">
        <v>1.2909999999999999</v>
      </c>
      <c r="K576" s="43">
        <v>4.8860999999999999</v>
      </c>
    </row>
    <row r="577" spans="1:11">
      <c r="A577" s="34" t="s">
        <v>22</v>
      </c>
      <c r="B577" s="36">
        <v>120</v>
      </c>
      <c r="C577" s="43">
        <v>0.50219999999999998</v>
      </c>
      <c r="D577" s="36">
        <v>9.6600000000000005E-2</v>
      </c>
      <c r="E577" s="36">
        <v>0.13</v>
      </c>
      <c r="F577" s="36">
        <v>1008</v>
      </c>
      <c r="G577" s="42">
        <v>0</v>
      </c>
      <c r="H577" s="34">
        <v>20</v>
      </c>
      <c r="I577" s="34" t="s">
        <v>12</v>
      </c>
      <c r="J577" s="34">
        <v>1.2909999999999999</v>
      </c>
      <c r="K577" s="43">
        <v>4.8944000000000001</v>
      </c>
    </row>
    <row r="578" spans="1:11">
      <c r="A578" s="34" t="s">
        <v>22</v>
      </c>
      <c r="B578" s="36">
        <v>120</v>
      </c>
      <c r="C578" s="43">
        <v>0.60089999999999999</v>
      </c>
      <c r="D578" s="36">
        <v>9.6600000000000005E-2</v>
      </c>
      <c r="E578" s="36">
        <v>0.13</v>
      </c>
      <c r="F578" s="36">
        <v>1008</v>
      </c>
      <c r="G578" s="42">
        <v>0</v>
      </c>
      <c r="H578" s="34">
        <v>20</v>
      </c>
      <c r="I578" s="34" t="s">
        <v>12</v>
      </c>
      <c r="J578" s="34">
        <v>1.2909999999999999</v>
      </c>
      <c r="K578" s="43">
        <v>4.9978999999999996</v>
      </c>
    </row>
    <row r="579" spans="1:11">
      <c r="A579" s="34" t="s">
        <v>22</v>
      </c>
      <c r="B579" s="36">
        <v>120</v>
      </c>
      <c r="C579" s="43">
        <v>0.80379999999999996</v>
      </c>
      <c r="D579" s="36">
        <v>9.6600000000000005E-2</v>
      </c>
      <c r="E579" s="36">
        <v>0.13</v>
      </c>
      <c r="F579" s="36">
        <v>1008</v>
      </c>
      <c r="G579" s="42">
        <v>0</v>
      </c>
      <c r="H579" s="34">
        <v>20</v>
      </c>
      <c r="I579" s="34" t="s">
        <v>12</v>
      </c>
      <c r="J579" s="34">
        <v>1.2909999999999999</v>
      </c>
      <c r="K579" s="43">
        <v>4.9978999999999996</v>
      </c>
    </row>
    <row r="580" spans="1:11">
      <c r="A580" s="34" t="s">
        <v>22</v>
      </c>
      <c r="B580" s="36">
        <v>120</v>
      </c>
      <c r="C580" s="43">
        <v>0.99850000000000005</v>
      </c>
      <c r="D580" s="36">
        <v>9.6600000000000005E-2</v>
      </c>
      <c r="E580" s="36">
        <v>0.13</v>
      </c>
      <c r="F580" s="36">
        <v>1008</v>
      </c>
      <c r="G580" s="42">
        <v>0</v>
      </c>
      <c r="H580" s="34">
        <v>20</v>
      </c>
      <c r="I580" s="34" t="s">
        <v>12</v>
      </c>
      <c r="J580" s="34">
        <v>1.2909999999999999</v>
      </c>
      <c r="K580" s="43">
        <v>5.0972999999999997</v>
      </c>
    </row>
    <row r="581" spans="1:11">
      <c r="A581" s="34" t="s">
        <v>22</v>
      </c>
      <c r="B581" s="36">
        <v>150</v>
      </c>
      <c r="C581" s="43">
        <v>0.2994</v>
      </c>
      <c r="D581" s="36">
        <v>9.6600000000000005E-2</v>
      </c>
      <c r="E581" s="36">
        <v>0.13</v>
      </c>
      <c r="F581" s="36">
        <v>1008</v>
      </c>
      <c r="G581" s="42">
        <v>0</v>
      </c>
      <c r="H581" s="34">
        <v>20</v>
      </c>
      <c r="I581" s="34" t="s">
        <v>12</v>
      </c>
      <c r="J581" s="34">
        <v>1.2909999999999999</v>
      </c>
      <c r="K581" s="43">
        <v>5.2008000000000001</v>
      </c>
    </row>
    <row r="582" spans="1:11">
      <c r="A582" s="34" t="s">
        <v>22</v>
      </c>
      <c r="B582" s="36">
        <v>150</v>
      </c>
      <c r="C582" s="43">
        <v>0.40010000000000001</v>
      </c>
      <c r="D582" s="36">
        <v>9.6600000000000005E-2</v>
      </c>
      <c r="E582" s="36">
        <v>0.13</v>
      </c>
      <c r="F582" s="36">
        <v>1008</v>
      </c>
      <c r="G582" s="42">
        <v>0</v>
      </c>
      <c r="H582" s="34">
        <v>20</v>
      </c>
      <c r="I582" s="34" t="s">
        <v>12</v>
      </c>
      <c r="J582" s="34">
        <v>1.2909999999999999</v>
      </c>
      <c r="K582" s="43">
        <v>5.3002000000000002</v>
      </c>
    </row>
    <row r="583" spans="1:11">
      <c r="A583" s="34" t="s">
        <v>22</v>
      </c>
      <c r="B583" s="36">
        <v>150</v>
      </c>
      <c r="C583" s="43">
        <v>0.49880000000000002</v>
      </c>
      <c r="D583" s="36">
        <v>9.6600000000000005E-2</v>
      </c>
      <c r="E583" s="36">
        <v>0.13</v>
      </c>
      <c r="F583" s="36">
        <v>1008</v>
      </c>
      <c r="G583" s="42">
        <v>0</v>
      </c>
      <c r="H583" s="34">
        <v>20</v>
      </c>
      <c r="I583" s="34" t="s">
        <v>12</v>
      </c>
      <c r="J583" s="34">
        <v>1.2909999999999999</v>
      </c>
      <c r="K583" s="43">
        <v>5.3042999999999996</v>
      </c>
    </row>
    <row r="584" spans="1:11">
      <c r="A584" s="34" t="s">
        <v>22</v>
      </c>
      <c r="B584" s="36">
        <v>150</v>
      </c>
      <c r="C584" s="43">
        <v>0.60289999999999999</v>
      </c>
      <c r="D584" s="36">
        <v>9.6600000000000005E-2</v>
      </c>
      <c r="E584" s="36">
        <v>0.13</v>
      </c>
      <c r="F584" s="36">
        <v>1008</v>
      </c>
      <c r="G584" s="42">
        <v>0</v>
      </c>
      <c r="H584" s="34">
        <v>20</v>
      </c>
      <c r="I584" s="34" t="s">
        <v>12</v>
      </c>
      <c r="J584" s="34">
        <v>1.2909999999999999</v>
      </c>
      <c r="K584" s="43">
        <v>5.4077999999999999</v>
      </c>
    </row>
    <row r="585" spans="1:11">
      <c r="A585" s="34" t="s">
        <v>22</v>
      </c>
      <c r="B585" s="36">
        <v>150</v>
      </c>
      <c r="C585" s="43">
        <v>0.8004</v>
      </c>
      <c r="D585" s="36">
        <v>9.6600000000000005E-2</v>
      </c>
      <c r="E585" s="36">
        <v>0.13</v>
      </c>
      <c r="F585" s="36">
        <v>1008</v>
      </c>
      <c r="G585" s="42">
        <v>0</v>
      </c>
      <c r="H585" s="34">
        <v>20</v>
      </c>
      <c r="I585" s="34" t="s">
        <v>12</v>
      </c>
      <c r="J585" s="34">
        <v>1.2909999999999999</v>
      </c>
      <c r="K585" s="43">
        <v>5.3994999999999997</v>
      </c>
    </row>
    <row r="586" spans="1:11">
      <c r="A586" s="34" t="s">
        <v>22</v>
      </c>
      <c r="B586" s="36">
        <v>150</v>
      </c>
      <c r="C586" s="43">
        <v>1.0012000000000001</v>
      </c>
      <c r="D586" s="36">
        <v>9.6600000000000005E-2</v>
      </c>
      <c r="E586" s="36">
        <v>0.13</v>
      </c>
      <c r="F586" s="36">
        <v>1008</v>
      </c>
      <c r="G586" s="42">
        <v>0</v>
      </c>
      <c r="H586" s="34">
        <v>20</v>
      </c>
      <c r="I586" s="34" t="s">
        <v>12</v>
      </c>
      <c r="J586" s="34">
        <v>1.2909999999999999</v>
      </c>
      <c r="K586" s="43">
        <v>5.4824000000000002</v>
      </c>
    </row>
    <row r="587" spans="1:11">
      <c r="A587" s="34" t="s">
        <v>22</v>
      </c>
      <c r="B587" s="36">
        <v>200</v>
      </c>
      <c r="C587" s="43">
        <v>0.3</v>
      </c>
      <c r="D587" s="36">
        <v>9.6600000000000005E-2</v>
      </c>
      <c r="E587" s="36">
        <v>0.13</v>
      </c>
      <c r="F587" s="36">
        <v>1008</v>
      </c>
      <c r="G587" s="42">
        <v>0</v>
      </c>
      <c r="H587" s="34">
        <v>20</v>
      </c>
      <c r="I587" s="34" t="s">
        <v>12</v>
      </c>
      <c r="J587" s="34">
        <v>1.2909999999999999</v>
      </c>
      <c r="K587" s="43">
        <v>5.8052999999999999</v>
      </c>
    </row>
    <row r="588" spans="1:11">
      <c r="A588" s="34" t="s">
        <v>22</v>
      </c>
      <c r="B588" s="36">
        <v>200</v>
      </c>
      <c r="C588" s="43">
        <v>0.40079999999999999</v>
      </c>
      <c r="D588" s="36">
        <v>9.6600000000000005E-2</v>
      </c>
      <c r="E588" s="36">
        <v>0.13</v>
      </c>
      <c r="F588" s="36">
        <v>1008</v>
      </c>
      <c r="G588" s="42">
        <v>0</v>
      </c>
      <c r="H588" s="34">
        <v>20</v>
      </c>
      <c r="I588" s="34" t="s">
        <v>12</v>
      </c>
      <c r="J588" s="34">
        <v>1.2909999999999999</v>
      </c>
      <c r="K588" s="43">
        <v>5.8922999999999996</v>
      </c>
    </row>
    <row r="589" spans="1:11">
      <c r="A589" s="34" t="s">
        <v>22</v>
      </c>
      <c r="B589" s="36">
        <v>200</v>
      </c>
      <c r="C589" s="43">
        <v>0.50219999999999998</v>
      </c>
      <c r="D589" s="36">
        <v>9.6600000000000005E-2</v>
      </c>
      <c r="E589" s="36">
        <v>0.13</v>
      </c>
      <c r="F589" s="36">
        <v>1008</v>
      </c>
      <c r="G589" s="42">
        <v>0</v>
      </c>
      <c r="H589" s="34">
        <v>20</v>
      </c>
      <c r="I589" s="34" t="s">
        <v>12</v>
      </c>
      <c r="J589" s="34">
        <v>1.2909999999999999</v>
      </c>
      <c r="K589" s="43">
        <v>5.9005999999999998</v>
      </c>
    </row>
    <row r="590" spans="1:11">
      <c r="A590" s="34" t="s">
        <v>22</v>
      </c>
      <c r="B590" s="36">
        <v>200</v>
      </c>
      <c r="C590" s="43">
        <v>0.60229999999999995</v>
      </c>
      <c r="D590" s="36">
        <v>9.6600000000000005E-2</v>
      </c>
      <c r="E590" s="36">
        <v>0.13</v>
      </c>
      <c r="F590" s="36">
        <v>1008</v>
      </c>
      <c r="G590" s="42">
        <v>0</v>
      </c>
      <c r="H590" s="34">
        <v>20</v>
      </c>
      <c r="I590" s="34" t="s">
        <v>12</v>
      </c>
      <c r="J590" s="34">
        <v>1.2909999999999999</v>
      </c>
      <c r="K590" s="43">
        <v>5.9047000000000001</v>
      </c>
    </row>
    <row r="591" spans="1:11">
      <c r="A591" s="34" t="s">
        <v>22</v>
      </c>
      <c r="B591" s="36">
        <v>200</v>
      </c>
      <c r="C591" s="43">
        <v>0.80110000000000003</v>
      </c>
      <c r="D591" s="36">
        <v>9.6600000000000005E-2</v>
      </c>
      <c r="E591" s="36">
        <v>0.13</v>
      </c>
      <c r="F591" s="36">
        <v>1008</v>
      </c>
      <c r="G591" s="42">
        <v>0</v>
      </c>
      <c r="H591" s="34">
        <v>20</v>
      </c>
      <c r="I591" s="34" t="s">
        <v>12</v>
      </c>
      <c r="J591" s="34">
        <v>1.2909999999999999</v>
      </c>
      <c r="K591" s="43">
        <v>6.0082000000000004</v>
      </c>
    </row>
    <row r="592" spans="1:11">
      <c r="A592" s="34" t="s">
        <v>22</v>
      </c>
      <c r="B592" s="36">
        <v>200</v>
      </c>
      <c r="C592" s="43">
        <v>0.99990000000000001</v>
      </c>
      <c r="D592" s="36">
        <v>9.6600000000000005E-2</v>
      </c>
      <c r="E592" s="36">
        <v>0.13</v>
      </c>
      <c r="F592" s="36">
        <v>1008</v>
      </c>
      <c r="G592" s="42">
        <v>0</v>
      </c>
      <c r="H592" s="34">
        <v>20</v>
      </c>
      <c r="I592" s="34" t="s">
        <v>12</v>
      </c>
      <c r="J592" s="34">
        <v>1.2909999999999999</v>
      </c>
      <c r="K592" s="43">
        <v>6.0910000000000002</v>
      </c>
    </row>
    <row r="593" spans="1:11">
      <c r="A593" s="32" t="s">
        <v>23</v>
      </c>
      <c r="B593" s="32">
        <v>50</v>
      </c>
      <c r="C593" s="33">
        <v>0.5</v>
      </c>
      <c r="D593" s="32">
        <v>7.1999999999999995E-2</v>
      </c>
      <c r="E593" s="32">
        <v>9.5E-4</v>
      </c>
      <c r="F593" s="32">
        <v>997</v>
      </c>
      <c r="G593" s="32">
        <v>0</v>
      </c>
      <c r="H593" s="32">
        <v>22.1</v>
      </c>
      <c r="I593" s="32" t="s">
        <v>12</v>
      </c>
      <c r="J593" s="32">
        <v>1.2</v>
      </c>
      <c r="K593" s="35">
        <v>6.4</v>
      </c>
    </row>
    <row r="594" spans="1:11">
      <c r="A594" s="32" t="s">
        <v>23</v>
      </c>
      <c r="B594" s="32">
        <v>75</v>
      </c>
      <c r="C594" s="33">
        <v>0.5</v>
      </c>
      <c r="D594" s="32">
        <v>7.1999999999999995E-2</v>
      </c>
      <c r="E594" s="32">
        <v>9.5E-4</v>
      </c>
      <c r="F594" s="32">
        <v>997</v>
      </c>
      <c r="G594" s="32">
        <v>0</v>
      </c>
      <c r="H594" s="32">
        <v>22.1</v>
      </c>
      <c r="I594" s="32" t="s">
        <v>12</v>
      </c>
      <c r="J594" s="32">
        <v>1.2</v>
      </c>
      <c r="K594" s="35">
        <v>6.64</v>
      </c>
    </row>
    <row r="595" spans="1:11">
      <c r="A595" s="32" t="s">
        <v>23</v>
      </c>
      <c r="B595" s="32">
        <v>100.2</v>
      </c>
      <c r="C595" s="33">
        <v>0.5</v>
      </c>
      <c r="D595" s="32">
        <v>7.1999999999999995E-2</v>
      </c>
      <c r="E595" s="32">
        <v>9.5E-4</v>
      </c>
      <c r="F595" s="32">
        <v>997</v>
      </c>
      <c r="G595" s="32">
        <v>0</v>
      </c>
      <c r="H595" s="32">
        <v>22.1</v>
      </c>
      <c r="I595" s="32" t="s">
        <v>12</v>
      </c>
      <c r="J595" s="32">
        <v>1.2</v>
      </c>
      <c r="K595" s="35">
        <v>6.65</v>
      </c>
    </row>
    <row r="596" spans="1:11">
      <c r="A596" s="32" t="s">
        <v>23</v>
      </c>
      <c r="B596" s="32">
        <v>124.8</v>
      </c>
      <c r="C596" s="33">
        <v>0.5</v>
      </c>
      <c r="D596" s="32">
        <v>7.1999999999999995E-2</v>
      </c>
      <c r="E596" s="32">
        <v>9.5E-4</v>
      </c>
      <c r="F596" s="32">
        <v>997</v>
      </c>
      <c r="G596" s="32">
        <v>0</v>
      </c>
      <c r="H596" s="32">
        <v>22.1</v>
      </c>
      <c r="I596" s="32" t="s">
        <v>12</v>
      </c>
      <c r="J596" s="32">
        <v>1.2</v>
      </c>
      <c r="K596" s="35">
        <v>7.01</v>
      </c>
    </row>
    <row r="597" spans="1:11">
      <c r="A597" s="32" t="s">
        <v>23</v>
      </c>
      <c r="B597" s="32">
        <v>175.2</v>
      </c>
      <c r="C597" s="33">
        <v>0.5</v>
      </c>
      <c r="D597" s="32">
        <v>7.1999999999999995E-2</v>
      </c>
      <c r="E597" s="32">
        <v>9.5E-4</v>
      </c>
      <c r="F597" s="32">
        <v>997</v>
      </c>
      <c r="G597" s="32">
        <v>0</v>
      </c>
      <c r="H597" s="32">
        <v>22.1</v>
      </c>
      <c r="I597" s="32" t="s">
        <v>12</v>
      </c>
      <c r="J597" s="32">
        <v>1.2</v>
      </c>
      <c r="K597" s="35">
        <v>7.3</v>
      </c>
    </row>
    <row r="598" spans="1:11">
      <c r="A598" s="32" t="s">
        <v>23</v>
      </c>
      <c r="B598" s="32">
        <v>250.2</v>
      </c>
      <c r="C598" s="33">
        <v>0.5</v>
      </c>
      <c r="D598" s="32">
        <v>7.1999999999999995E-2</v>
      </c>
      <c r="E598" s="32">
        <v>9.5E-4</v>
      </c>
      <c r="F598" s="32">
        <v>997</v>
      </c>
      <c r="G598" s="32">
        <v>0</v>
      </c>
      <c r="H598" s="32">
        <v>22.1</v>
      </c>
      <c r="I598" s="32" t="s">
        <v>12</v>
      </c>
      <c r="J598" s="32">
        <v>1.2</v>
      </c>
      <c r="K598" s="35">
        <v>6.7</v>
      </c>
    </row>
    <row r="599" spans="1:11">
      <c r="A599" s="32" t="s">
        <v>23</v>
      </c>
      <c r="B599" s="32">
        <v>325.2</v>
      </c>
      <c r="C599" s="33">
        <v>0.5</v>
      </c>
      <c r="D599" s="32">
        <v>7.1999999999999995E-2</v>
      </c>
      <c r="E599" s="32">
        <v>9.5E-4</v>
      </c>
      <c r="F599" s="32">
        <v>997</v>
      </c>
      <c r="G599" s="32">
        <v>0</v>
      </c>
      <c r="H599" s="32">
        <v>22.1</v>
      </c>
      <c r="I599" s="32" t="s">
        <v>12</v>
      </c>
      <c r="J599" s="32">
        <v>1.2</v>
      </c>
      <c r="K599" s="35">
        <v>6.47</v>
      </c>
    </row>
    <row r="600" spans="1:11">
      <c r="A600" s="32" t="s">
        <v>23</v>
      </c>
      <c r="B600" s="32">
        <v>375</v>
      </c>
      <c r="C600" s="33">
        <v>0.5</v>
      </c>
      <c r="D600" s="32">
        <v>7.1999999999999995E-2</v>
      </c>
      <c r="E600" s="32">
        <v>9.5E-4</v>
      </c>
      <c r="F600" s="32">
        <v>997</v>
      </c>
      <c r="G600" s="32">
        <v>0</v>
      </c>
      <c r="H600" s="32">
        <v>22.1</v>
      </c>
      <c r="I600" s="32" t="s">
        <v>12</v>
      </c>
      <c r="J600" s="32">
        <v>1.2</v>
      </c>
      <c r="K600" s="35">
        <v>6.31</v>
      </c>
    </row>
    <row r="601" spans="1:11">
      <c r="A601" s="32" t="s">
        <v>23</v>
      </c>
      <c r="B601" s="32">
        <v>424.8</v>
      </c>
      <c r="C601" s="33">
        <v>0.5</v>
      </c>
      <c r="D601" s="32">
        <v>7.1999999999999995E-2</v>
      </c>
      <c r="E601" s="32">
        <v>9.5E-4</v>
      </c>
      <c r="F601" s="32">
        <v>997</v>
      </c>
      <c r="G601" s="32">
        <v>0</v>
      </c>
      <c r="H601" s="32">
        <v>22.1</v>
      </c>
      <c r="I601" s="32" t="s">
        <v>12</v>
      </c>
      <c r="J601" s="32">
        <v>1.2</v>
      </c>
      <c r="K601" s="35">
        <v>6.42</v>
      </c>
    </row>
    <row r="602" spans="1:11">
      <c r="A602" s="32" t="s">
        <v>23</v>
      </c>
      <c r="B602" s="32">
        <v>499.8</v>
      </c>
      <c r="C602" s="33">
        <v>0.5</v>
      </c>
      <c r="D602" s="32">
        <v>7.1999999999999995E-2</v>
      </c>
      <c r="E602" s="32">
        <v>9.5E-4</v>
      </c>
      <c r="F602" s="32">
        <v>997</v>
      </c>
      <c r="G602" s="32">
        <v>0</v>
      </c>
      <c r="H602" s="32">
        <v>22.1</v>
      </c>
      <c r="I602" s="32" t="s">
        <v>12</v>
      </c>
      <c r="J602" s="32">
        <v>1.2</v>
      </c>
      <c r="K602" s="35">
        <v>6.44</v>
      </c>
    </row>
    <row r="603" spans="1:11">
      <c r="A603" s="32" t="s">
        <v>23</v>
      </c>
      <c r="B603" s="32">
        <v>50</v>
      </c>
      <c r="C603" s="33">
        <v>0.5</v>
      </c>
      <c r="D603" s="32">
        <v>7.0900000000000005E-2</v>
      </c>
      <c r="E603" s="32">
        <v>1.1299999999999999E-3</v>
      </c>
      <c r="F603" s="32">
        <v>1007</v>
      </c>
      <c r="G603" s="32">
        <v>0</v>
      </c>
      <c r="H603" s="32">
        <v>23.2</v>
      </c>
      <c r="I603" s="32" t="s">
        <v>12</v>
      </c>
      <c r="J603" s="32">
        <v>1.2</v>
      </c>
      <c r="K603" s="35">
        <v>6.31</v>
      </c>
    </row>
    <row r="604" spans="1:11">
      <c r="A604" s="32" t="s">
        <v>23</v>
      </c>
      <c r="B604" s="32">
        <v>75</v>
      </c>
      <c r="C604" s="33">
        <v>0.5</v>
      </c>
      <c r="D604" s="32">
        <v>7.0900000000000005E-2</v>
      </c>
      <c r="E604" s="32">
        <v>1.1299999999999999E-3</v>
      </c>
      <c r="F604" s="32">
        <v>1007</v>
      </c>
      <c r="G604" s="32">
        <v>0</v>
      </c>
      <c r="H604" s="32">
        <v>23.2</v>
      </c>
      <c r="I604" s="32" t="s">
        <v>12</v>
      </c>
      <c r="J604" s="32">
        <v>1.2</v>
      </c>
      <c r="K604" s="35">
        <v>6.28</v>
      </c>
    </row>
    <row r="605" spans="1:11">
      <c r="A605" s="32" t="s">
        <v>23</v>
      </c>
      <c r="B605" s="32">
        <v>100.2</v>
      </c>
      <c r="C605" s="33">
        <v>0.5</v>
      </c>
      <c r="D605" s="32">
        <v>7.0900000000000005E-2</v>
      </c>
      <c r="E605" s="32">
        <v>1.1299999999999999E-3</v>
      </c>
      <c r="F605" s="32">
        <v>1007</v>
      </c>
      <c r="G605" s="32">
        <v>0</v>
      </c>
      <c r="H605" s="32">
        <v>23.2</v>
      </c>
      <c r="I605" s="32" t="s">
        <v>12</v>
      </c>
      <c r="J605" s="32">
        <v>1.2</v>
      </c>
      <c r="K605" s="35">
        <v>6.46</v>
      </c>
    </row>
    <row r="606" spans="1:11">
      <c r="A606" s="32" t="s">
        <v>23</v>
      </c>
      <c r="B606" s="32">
        <v>124.8</v>
      </c>
      <c r="C606" s="33">
        <v>0.5</v>
      </c>
      <c r="D606" s="32">
        <v>7.0900000000000005E-2</v>
      </c>
      <c r="E606" s="32">
        <v>1.1299999999999999E-3</v>
      </c>
      <c r="F606" s="32">
        <v>1007</v>
      </c>
      <c r="G606" s="32">
        <v>0</v>
      </c>
      <c r="H606" s="32">
        <v>23.2</v>
      </c>
      <c r="I606" s="32" t="s">
        <v>12</v>
      </c>
      <c r="J606" s="32">
        <v>1.2</v>
      </c>
      <c r="K606" s="35">
        <v>6.7</v>
      </c>
    </row>
    <row r="607" spans="1:11">
      <c r="A607" s="32" t="s">
        <v>23</v>
      </c>
      <c r="B607" s="32">
        <v>175.2</v>
      </c>
      <c r="C607" s="33">
        <v>0.5</v>
      </c>
      <c r="D607" s="32">
        <v>7.0900000000000005E-2</v>
      </c>
      <c r="E607" s="32">
        <v>1.1299999999999999E-3</v>
      </c>
      <c r="F607" s="32">
        <v>1007</v>
      </c>
      <c r="G607" s="32">
        <v>0</v>
      </c>
      <c r="H607" s="32">
        <v>23.2</v>
      </c>
      <c r="I607" s="32" t="s">
        <v>12</v>
      </c>
      <c r="J607" s="32">
        <v>1.2</v>
      </c>
      <c r="K607" s="35">
        <v>7.26</v>
      </c>
    </row>
    <row r="608" spans="1:11">
      <c r="A608" s="32" t="s">
        <v>23</v>
      </c>
      <c r="B608" s="32">
        <v>250.2</v>
      </c>
      <c r="C608" s="33">
        <v>0.5</v>
      </c>
      <c r="D608" s="32">
        <v>7.0900000000000005E-2</v>
      </c>
      <c r="E608" s="32">
        <v>1.1299999999999999E-3</v>
      </c>
      <c r="F608" s="32">
        <v>1007</v>
      </c>
      <c r="G608" s="32">
        <v>0</v>
      </c>
      <c r="H608" s="32">
        <v>23.2</v>
      </c>
      <c r="I608" s="32" t="s">
        <v>12</v>
      </c>
      <c r="J608" s="32">
        <v>1.2</v>
      </c>
      <c r="K608" s="35">
        <v>6.42</v>
      </c>
    </row>
    <row r="609" spans="1:11">
      <c r="A609" s="32" t="s">
        <v>23</v>
      </c>
      <c r="B609" s="32">
        <v>325.2</v>
      </c>
      <c r="C609" s="33">
        <v>0.5</v>
      </c>
      <c r="D609" s="32">
        <v>7.0900000000000005E-2</v>
      </c>
      <c r="E609" s="32">
        <v>1.1299999999999999E-3</v>
      </c>
      <c r="F609" s="32">
        <v>1007</v>
      </c>
      <c r="G609" s="32">
        <v>0</v>
      </c>
      <c r="H609" s="32">
        <v>23.2</v>
      </c>
      <c r="I609" s="32" t="s">
        <v>12</v>
      </c>
      <c r="J609" s="32">
        <v>1.2</v>
      </c>
      <c r="K609" s="35">
        <v>6.18</v>
      </c>
    </row>
    <row r="610" spans="1:11">
      <c r="A610" s="32" t="s">
        <v>23</v>
      </c>
      <c r="B610" s="32">
        <v>375</v>
      </c>
      <c r="C610" s="33">
        <v>0.5</v>
      </c>
      <c r="D610" s="32">
        <v>7.0900000000000005E-2</v>
      </c>
      <c r="E610" s="32">
        <v>1.1299999999999999E-3</v>
      </c>
      <c r="F610" s="32">
        <v>1007</v>
      </c>
      <c r="G610" s="32">
        <v>0</v>
      </c>
      <c r="H610" s="32">
        <v>23.2</v>
      </c>
      <c r="I610" s="32" t="s">
        <v>12</v>
      </c>
      <c r="J610" s="32">
        <v>1.2</v>
      </c>
      <c r="K610" s="35">
        <v>6.06</v>
      </c>
    </row>
    <row r="611" spans="1:11">
      <c r="A611" s="32" t="s">
        <v>23</v>
      </c>
      <c r="B611" s="32">
        <v>424.8</v>
      </c>
      <c r="C611" s="33">
        <v>0.5</v>
      </c>
      <c r="D611" s="32">
        <v>7.0900000000000005E-2</v>
      </c>
      <c r="E611" s="32">
        <v>1.1299999999999999E-3</v>
      </c>
      <c r="F611" s="32">
        <v>1007</v>
      </c>
      <c r="G611" s="32">
        <v>0</v>
      </c>
      <c r="H611" s="32">
        <v>23.2</v>
      </c>
      <c r="I611" s="32" t="s">
        <v>12</v>
      </c>
      <c r="J611" s="32">
        <v>1.2</v>
      </c>
      <c r="K611" s="35">
        <v>5.94</v>
      </c>
    </row>
    <row r="612" spans="1:11">
      <c r="A612" s="32" t="s">
        <v>23</v>
      </c>
      <c r="B612" s="32">
        <v>499.8</v>
      </c>
      <c r="C612" s="33">
        <v>0.5</v>
      </c>
      <c r="D612" s="32">
        <v>7.0900000000000005E-2</v>
      </c>
      <c r="E612" s="32">
        <v>1.1299999999999999E-3</v>
      </c>
      <c r="F612" s="32">
        <v>1007</v>
      </c>
      <c r="G612" s="32">
        <v>0</v>
      </c>
      <c r="H612" s="32">
        <v>23.2</v>
      </c>
      <c r="I612" s="32" t="s">
        <v>12</v>
      </c>
      <c r="J612" s="32">
        <v>1.2</v>
      </c>
      <c r="K612" s="35">
        <v>5.92</v>
      </c>
    </row>
    <row r="613" spans="1:11">
      <c r="A613" s="32" t="s">
        <v>23</v>
      </c>
      <c r="B613" s="32">
        <v>50</v>
      </c>
      <c r="C613" s="33">
        <v>0.5</v>
      </c>
      <c r="D613" s="32">
        <v>7.0599999999999996E-2</v>
      </c>
      <c r="E613" s="32">
        <v>1.16E-3</v>
      </c>
      <c r="F613" s="32">
        <v>1019</v>
      </c>
      <c r="G613" s="32">
        <v>0</v>
      </c>
      <c r="H613" s="32">
        <v>24</v>
      </c>
      <c r="I613" s="32" t="s">
        <v>12</v>
      </c>
      <c r="J613" s="32">
        <v>1.2</v>
      </c>
      <c r="K613" s="35">
        <v>6.4</v>
      </c>
    </row>
    <row r="614" spans="1:11">
      <c r="A614" s="32" t="s">
        <v>23</v>
      </c>
      <c r="B614" s="32">
        <v>75</v>
      </c>
      <c r="C614" s="33">
        <v>0.5</v>
      </c>
      <c r="D614" s="32">
        <v>7.0599999999999996E-2</v>
      </c>
      <c r="E614" s="32">
        <v>1.16E-3</v>
      </c>
      <c r="F614" s="32">
        <v>1019</v>
      </c>
      <c r="G614" s="32">
        <v>0</v>
      </c>
      <c r="H614" s="32">
        <v>24</v>
      </c>
      <c r="I614" s="32" t="s">
        <v>12</v>
      </c>
      <c r="J614" s="32">
        <v>1.2</v>
      </c>
      <c r="K614" s="35">
        <v>6.49</v>
      </c>
    </row>
    <row r="615" spans="1:11">
      <c r="A615" s="32" t="s">
        <v>23</v>
      </c>
      <c r="B615" s="32">
        <v>100.2</v>
      </c>
      <c r="C615" s="33">
        <v>0.5</v>
      </c>
      <c r="D615" s="32">
        <v>7.0599999999999996E-2</v>
      </c>
      <c r="E615" s="32">
        <v>1.16E-3</v>
      </c>
      <c r="F615" s="32">
        <v>1019</v>
      </c>
      <c r="G615" s="32">
        <v>0</v>
      </c>
      <c r="H615" s="32">
        <v>24</v>
      </c>
      <c r="I615" s="32" t="s">
        <v>12</v>
      </c>
      <c r="J615" s="32">
        <v>1.2</v>
      </c>
      <c r="K615" s="35">
        <v>6.54</v>
      </c>
    </row>
    <row r="616" spans="1:11">
      <c r="A616" s="32" t="s">
        <v>23</v>
      </c>
      <c r="B616" s="32">
        <v>124.8</v>
      </c>
      <c r="C616" s="33">
        <v>0.5</v>
      </c>
      <c r="D616" s="32">
        <v>7.0599999999999996E-2</v>
      </c>
      <c r="E616" s="32">
        <v>1.16E-3</v>
      </c>
      <c r="F616" s="32">
        <v>1019</v>
      </c>
      <c r="G616" s="32">
        <v>0</v>
      </c>
      <c r="H616" s="32">
        <v>24</v>
      </c>
      <c r="I616" s="32" t="s">
        <v>12</v>
      </c>
      <c r="J616" s="32">
        <v>1.2</v>
      </c>
      <c r="K616" s="35">
        <v>6.79</v>
      </c>
    </row>
    <row r="617" spans="1:11">
      <c r="A617" s="32" t="s">
        <v>23</v>
      </c>
      <c r="B617" s="32">
        <v>175.2</v>
      </c>
      <c r="C617" s="33">
        <v>0.5</v>
      </c>
      <c r="D617" s="32">
        <v>7.0599999999999996E-2</v>
      </c>
      <c r="E617" s="32">
        <v>1.16E-3</v>
      </c>
      <c r="F617" s="32">
        <v>1019</v>
      </c>
      <c r="G617" s="32">
        <v>0</v>
      </c>
      <c r="H617" s="32">
        <v>24</v>
      </c>
      <c r="I617" s="32" t="s">
        <v>12</v>
      </c>
      <c r="J617" s="32">
        <v>1.2</v>
      </c>
      <c r="K617" s="35">
        <v>7.47</v>
      </c>
    </row>
    <row r="618" spans="1:11">
      <c r="A618" s="32" t="s">
        <v>23</v>
      </c>
      <c r="B618" s="32">
        <v>250.2</v>
      </c>
      <c r="C618" s="33">
        <v>0.5</v>
      </c>
      <c r="D618" s="32">
        <v>7.0599999999999996E-2</v>
      </c>
      <c r="E618" s="32">
        <v>1.16E-3</v>
      </c>
      <c r="F618" s="32">
        <v>1019</v>
      </c>
      <c r="G618" s="32">
        <v>0</v>
      </c>
      <c r="H618" s="32">
        <v>24</v>
      </c>
      <c r="I618" s="32" t="s">
        <v>12</v>
      </c>
      <c r="J618" s="32">
        <v>1.2</v>
      </c>
      <c r="K618" s="35">
        <v>6.86</v>
      </c>
    </row>
    <row r="619" spans="1:11">
      <c r="A619" s="32" t="s">
        <v>23</v>
      </c>
      <c r="B619" s="32">
        <v>325.2</v>
      </c>
      <c r="C619" s="33">
        <v>0.5</v>
      </c>
      <c r="D619" s="32">
        <v>7.0599999999999996E-2</v>
      </c>
      <c r="E619" s="32">
        <v>1.16E-3</v>
      </c>
      <c r="F619" s="32">
        <v>1019</v>
      </c>
      <c r="G619" s="32">
        <v>0</v>
      </c>
      <c r="H619" s="32">
        <v>24</v>
      </c>
      <c r="I619" s="32" t="s">
        <v>12</v>
      </c>
      <c r="J619" s="32">
        <v>1.2</v>
      </c>
      <c r="K619" s="35">
        <v>6.48</v>
      </c>
    </row>
    <row r="620" spans="1:11">
      <c r="A620" s="32" t="s">
        <v>23</v>
      </c>
      <c r="B620" s="32">
        <v>375</v>
      </c>
      <c r="C620" s="33">
        <v>0.5</v>
      </c>
      <c r="D620" s="32">
        <v>7.0599999999999996E-2</v>
      </c>
      <c r="E620" s="32">
        <v>1.16E-3</v>
      </c>
      <c r="F620" s="32">
        <v>1019</v>
      </c>
      <c r="G620" s="32">
        <v>0</v>
      </c>
      <c r="H620" s="32">
        <v>24</v>
      </c>
      <c r="I620" s="32" t="s">
        <v>12</v>
      </c>
      <c r="J620" s="32">
        <v>1.2</v>
      </c>
      <c r="K620" s="35">
        <v>6.23</v>
      </c>
    </row>
    <row r="621" spans="1:11">
      <c r="A621" s="32" t="s">
        <v>23</v>
      </c>
      <c r="B621" s="32">
        <v>424.8</v>
      </c>
      <c r="C621" s="33">
        <v>0.5</v>
      </c>
      <c r="D621" s="32">
        <v>7.0599999999999996E-2</v>
      </c>
      <c r="E621" s="32">
        <v>1.16E-3</v>
      </c>
      <c r="F621" s="32">
        <v>1019</v>
      </c>
      <c r="G621" s="32">
        <v>0</v>
      </c>
      <c r="H621" s="32">
        <v>24</v>
      </c>
      <c r="I621" s="32" t="s">
        <v>12</v>
      </c>
      <c r="J621" s="32">
        <v>1.2</v>
      </c>
      <c r="K621" s="35">
        <v>6.36</v>
      </c>
    </row>
    <row r="622" spans="1:11">
      <c r="A622" s="32" t="s">
        <v>23</v>
      </c>
      <c r="B622" s="32">
        <v>499.8</v>
      </c>
      <c r="C622" s="33">
        <v>0.5</v>
      </c>
      <c r="D622" s="32">
        <v>7.0599999999999996E-2</v>
      </c>
      <c r="E622" s="32">
        <v>1.16E-3</v>
      </c>
      <c r="F622" s="32">
        <v>1019</v>
      </c>
      <c r="G622" s="32">
        <v>0</v>
      </c>
      <c r="H622" s="32">
        <v>24</v>
      </c>
      <c r="I622" s="32" t="s">
        <v>12</v>
      </c>
      <c r="J622" s="32">
        <v>1.2</v>
      </c>
      <c r="K622" s="35">
        <v>6.7</v>
      </c>
    </row>
    <row r="623" spans="1:11">
      <c r="A623" s="32" t="s">
        <v>23</v>
      </c>
      <c r="B623" s="32">
        <v>50</v>
      </c>
      <c r="C623" s="33">
        <v>0.5</v>
      </c>
      <c r="D623" s="32">
        <v>7.0099999999999996E-2</v>
      </c>
      <c r="E623" s="32">
        <v>1.2800000000000001E-3</v>
      </c>
      <c r="F623" s="32">
        <v>1034</v>
      </c>
      <c r="G623" s="32">
        <v>0</v>
      </c>
      <c r="H623" s="32">
        <v>24.8</v>
      </c>
      <c r="I623" s="32" t="s">
        <v>12</v>
      </c>
      <c r="J623" s="32">
        <v>1.2</v>
      </c>
      <c r="K623" s="35">
        <v>6.26</v>
      </c>
    </row>
    <row r="624" spans="1:11">
      <c r="A624" s="32" t="s">
        <v>23</v>
      </c>
      <c r="B624" s="32">
        <v>75</v>
      </c>
      <c r="C624" s="33">
        <v>0.5</v>
      </c>
      <c r="D624" s="32">
        <v>7.0099999999999996E-2</v>
      </c>
      <c r="E624" s="32">
        <v>1.2800000000000001E-3</v>
      </c>
      <c r="F624" s="32">
        <v>1034</v>
      </c>
      <c r="G624" s="32">
        <v>0</v>
      </c>
      <c r="H624" s="32">
        <v>24.8</v>
      </c>
      <c r="I624" s="32" t="s">
        <v>12</v>
      </c>
      <c r="J624" s="32">
        <v>1.2</v>
      </c>
      <c r="K624" s="35">
        <v>6.44</v>
      </c>
    </row>
    <row r="625" spans="1:11">
      <c r="A625" s="32" t="s">
        <v>23</v>
      </c>
      <c r="B625" s="32">
        <v>100.2</v>
      </c>
      <c r="C625" s="33">
        <v>0.5</v>
      </c>
      <c r="D625" s="32">
        <v>7.0099999999999996E-2</v>
      </c>
      <c r="E625" s="32">
        <v>1.2800000000000001E-3</v>
      </c>
      <c r="F625" s="32">
        <v>1034</v>
      </c>
      <c r="G625" s="32">
        <v>0</v>
      </c>
      <c r="H625" s="32">
        <v>24.8</v>
      </c>
      <c r="I625" s="32" t="s">
        <v>12</v>
      </c>
      <c r="J625" s="32">
        <v>1.2</v>
      </c>
      <c r="K625" s="35">
        <v>6.56</v>
      </c>
    </row>
    <row r="626" spans="1:11">
      <c r="A626" s="32" t="s">
        <v>23</v>
      </c>
      <c r="B626" s="32">
        <v>124.8</v>
      </c>
      <c r="C626" s="33">
        <v>0.5</v>
      </c>
      <c r="D626" s="32">
        <v>7.0099999999999996E-2</v>
      </c>
      <c r="E626" s="32">
        <v>1.2800000000000001E-3</v>
      </c>
      <c r="F626" s="32">
        <v>1034</v>
      </c>
      <c r="G626" s="32">
        <v>0</v>
      </c>
      <c r="H626" s="32">
        <v>24.8</v>
      </c>
      <c r="I626" s="32" t="s">
        <v>12</v>
      </c>
      <c r="J626" s="32">
        <v>1.2</v>
      </c>
      <c r="K626" s="35">
        <v>6.82</v>
      </c>
    </row>
    <row r="627" spans="1:11">
      <c r="A627" s="32" t="s">
        <v>23</v>
      </c>
      <c r="B627" s="32">
        <v>175.2</v>
      </c>
      <c r="C627" s="33">
        <v>0.5</v>
      </c>
      <c r="D627" s="32">
        <v>7.0099999999999996E-2</v>
      </c>
      <c r="E627" s="32">
        <v>1.2800000000000001E-3</v>
      </c>
      <c r="F627" s="32">
        <v>1034</v>
      </c>
      <c r="G627" s="32">
        <v>0</v>
      </c>
      <c r="H627" s="32">
        <v>24.8</v>
      </c>
      <c r="I627" s="32" t="s">
        <v>12</v>
      </c>
      <c r="J627" s="32">
        <v>1.2</v>
      </c>
      <c r="K627" s="35">
        <v>7.66</v>
      </c>
    </row>
    <row r="628" spans="1:11">
      <c r="A628" s="32" t="s">
        <v>23</v>
      </c>
      <c r="B628" s="32">
        <v>250.2</v>
      </c>
      <c r="C628" s="33">
        <v>0.5</v>
      </c>
      <c r="D628" s="32">
        <v>7.0099999999999996E-2</v>
      </c>
      <c r="E628" s="32">
        <v>1.2800000000000001E-3</v>
      </c>
      <c r="F628" s="32">
        <v>1034</v>
      </c>
      <c r="G628" s="32">
        <v>0</v>
      </c>
      <c r="H628" s="32">
        <v>24.8</v>
      </c>
      <c r="I628" s="32" t="s">
        <v>12</v>
      </c>
      <c r="J628" s="32">
        <v>1.2</v>
      </c>
      <c r="K628" s="35">
        <v>6.63</v>
      </c>
    </row>
    <row r="629" spans="1:11">
      <c r="A629" s="32" t="s">
        <v>23</v>
      </c>
      <c r="B629" s="32">
        <v>325.2</v>
      </c>
      <c r="C629" s="33">
        <v>0.5</v>
      </c>
      <c r="D629" s="32">
        <v>7.0099999999999996E-2</v>
      </c>
      <c r="E629" s="32">
        <v>1.2800000000000001E-3</v>
      </c>
      <c r="F629" s="32">
        <v>1034</v>
      </c>
      <c r="G629" s="32">
        <v>0</v>
      </c>
      <c r="H629" s="32">
        <v>24.8</v>
      </c>
      <c r="I629" s="32" t="s">
        <v>12</v>
      </c>
      <c r="J629" s="32">
        <v>1.2</v>
      </c>
      <c r="K629" s="35">
        <v>6.3</v>
      </c>
    </row>
    <row r="630" spans="1:11">
      <c r="A630" s="32" t="s">
        <v>23</v>
      </c>
      <c r="B630" s="32">
        <v>375</v>
      </c>
      <c r="C630" s="33">
        <v>0.5</v>
      </c>
      <c r="D630" s="32">
        <v>7.0099999999999996E-2</v>
      </c>
      <c r="E630" s="32">
        <v>1.2800000000000001E-3</v>
      </c>
      <c r="F630" s="32">
        <v>1034</v>
      </c>
      <c r="G630" s="32">
        <v>0</v>
      </c>
      <c r="H630" s="32">
        <v>24.8</v>
      </c>
      <c r="I630" s="32" t="s">
        <v>12</v>
      </c>
      <c r="J630" s="32">
        <v>1.2</v>
      </c>
      <c r="K630" s="35">
        <v>6.37</v>
      </c>
    </row>
    <row r="631" spans="1:11">
      <c r="A631" s="32" t="s">
        <v>23</v>
      </c>
      <c r="B631" s="32">
        <v>424.8</v>
      </c>
      <c r="C631" s="33">
        <v>0.5</v>
      </c>
      <c r="D631" s="32">
        <v>7.0099999999999996E-2</v>
      </c>
      <c r="E631" s="32">
        <v>1.2800000000000001E-3</v>
      </c>
      <c r="F631" s="32">
        <v>1034</v>
      </c>
      <c r="G631" s="32">
        <v>0</v>
      </c>
      <c r="H631" s="32">
        <v>24.8</v>
      </c>
      <c r="I631" s="32" t="s">
        <v>12</v>
      </c>
      <c r="J631" s="32">
        <v>1.2</v>
      </c>
      <c r="K631" s="35">
        <v>6.43</v>
      </c>
    </row>
    <row r="632" spans="1:11">
      <c r="A632" s="32" t="s">
        <v>23</v>
      </c>
      <c r="B632" s="32">
        <v>499.8</v>
      </c>
      <c r="C632" s="33">
        <v>0.5</v>
      </c>
      <c r="D632" s="32">
        <v>7.0099999999999996E-2</v>
      </c>
      <c r="E632" s="32">
        <v>1.2800000000000001E-3</v>
      </c>
      <c r="F632" s="32">
        <v>1034</v>
      </c>
      <c r="G632" s="32">
        <v>0</v>
      </c>
      <c r="H632" s="32">
        <v>24.8</v>
      </c>
      <c r="I632" s="32" t="s">
        <v>12</v>
      </c>
      <c r="J632" s="32">
        <v>1.2</v>
      </c>
      <c r="K632" s="35">
        <v>6.4</v>
      </c>
    </row>
    <row r="633" spans="1:11">
      <c r="A633" s="32" t="s">
        <v>23</v>
      </c>
      <c r="B633" s="32">
        <v>50</v>
      </c>
      <c r="C633" s="33">
        <v>0.5</v>
      </c>
      <c r="D633" s="32">
        <v>6.9900000000000004E-2</v>
      </c>
      <c r="E633" s="32">
        <v>1.89E-3</v>
      </c>
      <c r="F633" s="32">
        <v>1057</v>
      </c>
      <c r="G633" s="32">
        <v>0</v>
      </c>
      <c r="H633" s="32">
        <v>25.6</v>
      </c>
      <c r="I633" s="32" t="s">
        <v>12</v>
      </c>
      <c r="J633" s="32">
        <v>1.2</v>
      </c>
      <c r="K633" s="35">
        <v>6.03</v>
      </c>
    </row>
    <row r="634" spans="1:11">
      <c r="A634" s="32" t="s">
        <v>23</v>
      </c>
      <c r="B634" s="32">
        <v>75</v>
      </c>
      <c r="C634" s="33">
        <v>0.5</v>
      </c>
      <c r="D634" s="32">
        <v>6.9900000000000004E-2</v>
      </c>
      <c r="E634" s="32">
        <v>1.89E-3</v>
      </c>
      <c r="F634" s="32">
        <v>1057</v>
      </c>
      <c r="G634" s="32">
        <v>0</v>
      </c>
      <c r="H634" s="32">
        <v>25.6</v>
      </c>
      <c r="I634" s="32" t="s">
        <v>12</v>
      </c>
      <c r="J634" s="32">
        <v>1.2</v>
      </c>
      <c r="K634" s="35">
        <v>6.13</v>
      </c>
    </row>
    <row r="635" spans="1:11">
      <c r="A635" s="32" t="s">
        <v>23</v>
      </c>
      <c r="B635" s="32">
        <v>100.2</v>
      </c>
      <c r="C635" s="33">
        <v>0.5</v>
      </c>
      <c r="D635" s="32">
        <v>6.9900000000000004E-2</v>
      </c>
      <c r="E635" s="32">
        <v>1.89E-3</v>
      </c>
      <c r="F635" s="32">
        <v>1057</v>
      </c>
      <c r="G635" s="32">
        <v>0</v>
      </c>
      <c r="H635" s="32">
        <v>25.6</v>
      </c>
      <c r="I635" s="32" t="s">
        <v>12</v>
      </c>
      <c r="J635" s="32">
        <v>1.2</v>
      </c>
      <c r="K635" s="35">
        <v>6.21</v>
      </c>
    </row>
    <row r="636" spans="1:11">
      <c r="A636" s="32" t="s">
        <v>23</v>
      </c>
      <c r="B636" s="32">
        <v>124.8</v>
      </c>
      <c r="C636" s="33">
        <v>0.5</v>
      </c>
      <c r="D636" s="32">
        <v>6.9900000000000004E-2</v>
      </c>
      <c r="E636" s="32">
        <v>1.89E-3</v>
      </c>
      <c r="F636" s="32">
        <v>1057</v>
      </c>
      <c r="G636" s="32">
        <v>0</v>
      </c>
      <c r="H636" s="32">
        <v>25.6</v>
      </c>
      <c r="I636" s="32" t="s">
        <v>12</v>
      </c>
      <c r="J636" s="32">
        <v>1.2</v>
      </c>
      <c r="K636" s="35">
        <v>6.61</v>
      </c>
    </row>
    <row r="637" spans="1:11">
      <c r="A637" s="32" t="s">
        <v>23</v>
      </c>
      <c r="B637" s="32">
        <v>175.2</v>
      </c>
      <c r="C637" s="33">
        <v>0.5</v>
      </c>
      <c r="D637" s="32">
        <v>6.9900000000000004E-2</v>
      </c>
      <c r="E637" s="32">
        <v>1.89E-3</v>
      </c>
      <c r="F637" s="32">
        <v>1057</v>
      </c>
      <c r="G637" s="32">
        <v>0</v>
      </c>
      <c r="H637" s="32">
        <v>25.6</v>
      </c>
      <c r="I637" s="32" t="s">
        <v>12</v>
      </c>
      <c r="J637" s="32">
        <v>1.2</v>
      </c>
      <c r="K637" s="35">
        <v>7.17</v>
      </c>
    </row>
    <row r="638" spans="1:11">
      <c r="A638" s="32" t="s">
        <v>23</v>
      </c>
      <c r="B638" s="32">
        <v>250.2</v>
      </c>
      <c r="C638" s="33">
        <v>0.5</v>
      </c>
      <c r="D638" s="32">
        <v>6.9900000000000004E-2</v>
      </c>
      <c r="E638" s="32">
        <v>1.89E-3</v>
      </c>
      <c r="F638" s="32">
        <v>1057</v>
      </c>
      <c r="G638" s="32">
        <v>0</v>
      </c>
      <c r="H638" s="32">
        <v>25.6</v>
      </c>
      <c r="I638" s="32" t="s">
        <v>12</v>
      </c>
      <c r="J638" s="32">
        <v>1.2</v>
      </c>
      <c r="K638" s="35">
        <v>6.58</v>
      </c>
    </row>
    <row r="639" spans="1:11">
      <c r="A639" s="32" t="s">
        <v>23</v>
      </c>
      <c r="B639" s="32">
        <v>325.2</v>
      </c>
      <c r="C639" s="33">
        <v>0.5</v>
      </c>
      <c r="D639" s="32">
        <v>6.9900000000000004E-2</v>
      </c>
      <c r="E639" s="32">
        <v>1.89E-3</v>
      </c>
      <c r="F639" s="32">
        <v>1057</v>
      </c>
      <c r="G639" s="32">
        <v>0</v>
      </c>
      <c r="H639" s="32">
        <v>25.6</v>
      </c>
      <c r="I639" s="32" t="s">
        <v>12</v>
      </c>
      <c r="J639" s="32">
        <v>1.2</v>
      </c>
      <c r="K639" s="35">
        <v>6.14</v>
      </c>
    </row>
    <row r="640" spans="1:11">
      <c r="A640" s="32" t="s">
        <v>23</v>
      </c>
      <c r="B640" s="32">
        <v>375</v>
      </c>
      <c r="C640" s="33">
        <v>0.5</v>
      </c>
      <c r="D640" s="32">
        <v>6.9900000000000004E-2</v>
      </c>
      <c r="E640" s="32">
        <v>1.89E-3</v>
      </c>
      <c r="F640" s="32">
        <v>1057</v>
      </c>
      <c r="G640" s="32">
        <v>0</v>
      </c>
      <c r="H640" s="32">
        <v>25.6</v>
      </c>
      <c r="I640" s="32" t="s">
        <v>12</v>
      </c>
      <c r="J640" s="32">
        <v>1.2</v>
      </c>
      <c r="K640" s="35">
        <v>6.2</v>
      </c>
    </row>
    <row r="641" spans="1:11">
      <c r="A641" s="32" t="s">
        <v>23</v>
      </c>
      <c r="B641" s="32">
        <v>424.8</v>
      </c>
      <c r="C641" s="33">
        <v>0.5</v>
      </c>
      <c r="D641" s="32">
        <v>6.9900000000000004E-2</v>
      </c>
      <c r="E641" s="32">
        <v>1.89E-3</v>
      </c>
      <c r="F641" s="32">
        <v>1057</v>
      </c>
      <c r="G641" s="32">
        <v>0</v>
      </c>
      <c r="H641" s="32">
        <v>25.6</v>
      </c>
      <c r="I641" s="32" t="s">
        <v>12</v>
      </c>
      <c r="J641" s="32">
        <v>1.2</v>
      </c>
      <c r="K641" s="35">
        <v>6.23</v>
      </c>
    </row>
    <row r="642" spans="1:11">
      <c r="A642" s="32" t="s">
        <v>23</v>
      </c>
      <c r="B642" s="32">
        <v>499.8</v>
      </c>
      <c r="C642" s="33">
        <v>0.5</v>
      </c>
      <c r="D642" s="32">
        <v>6.9900000000000004E-2</v>
      </c>
      <c r="E642" s="32">
        <v>1.89E-3</v>
      </c>
      <c r="F642" s="32">
        <v>1057</v>
      </c>
      <c r="G642" s="32">
        <v>0</v>
      </c>
      <c r="H642" s="32">
        <v>25.6</v>
      </c>
      <c r="I642" s="32" t="s">
        <v>12</v>
      </c>
      <c r="J642" s="32">
        <v>1.2</v>
      </c>
      <c r="K642" s="35">
        <v>6.22</v>
      </c>
    </row>
    <row r="643" spans="1:11">
      <c r="A643" s="32" t="s">
        <v>23</v>
      </c>
      <c r="B643" s="32">
        <v>50</v>
      </c>
      <c r="C643" s="33">
        <v>0.5</v>
      </c>
      <c r="D643" s="32">
        <v>6.7699999999999996E-2</v>
      </c>
      <c r="E643" s="32">
        <v>2.6700000000000001E-3</v>
      </c>
      <c r="F643" s="32">
        <v>1097</v>
      </c>
      <c r="G643" s="32">
        <v>0</v>
      </c>
      <c r="H643" s="32">
        <v>24.8</v>
      </c>
      <c r="I643" s="32" t="s">
        <v>12</v>
      </c>
      <c r="J643" s="32">
        <v>1.2</v>
      </c>
      <c r="K643" s="35">
        <v>5.35</v>
      </c>
    </row>
    <row r="644" spans="1:11">
      <c r="A644" s="32" t="s">
        <v>23</v>
      </c>
      <c r="B644" s="32">
        <v>75</v>
      </c>
      <c r="C644" s="33">
        <v>0.5</v>
      </c>
      <c r="D644" s="32">
        <v>6.7699999999999996E-2</v>
      </c>
      <c r="E644" s="32">
        <v>2.6700000000000001E-3</v>
      </c>
      <c r="F644" s="32">
        <v>1097</v>
      </c>
      <c r="G644" s="32">
        <v>0</v>
      </c>
      <c r="H644" s="32">
        <v>24.8</v>
      </c>
      <c r="I644" s="32" t="s">
        <v>12</v>
      </c>
      <c r="J644" s="32">
        <v>1.2</v>
      </c>
      <c r="K644" s="35">
        <v>5.21</v>
      </c>
    </row>
    <row r="645" spans="1:11">
      <c r="A645" s="32" t="s">
        <v>23</v>
      </c>
      <c r="B645" s="32">
        <v>100.2</v>
      </c>
      <c r="C645" s="33">
        <v>0.5</v>
      </c>
      <c r="D645" s="32">
        <v>6.7699999999999996E-2</v>
      </c>
      <c r="E645" s="32">
        <v>2.6700000000000001E-3</v>
      </c>
      <c r="F645" s="32">
        <v>1097</v>
      </c>
      <c r="G645" s="32">
        <v>0</v>
      </c>
      <c r="H645" s="32">
        <v>24.8</v>
      </c>
      <c r="I645" s="32" t="s">
        <v>12</v>
      </c>
      <c r="J645" s="32">
        <v>1.2</v>
      </c>
      <c r="K645" s="35">
        <v>5.47</v>
      </c>
    </row>
    <row r="646" spans="1:11">
      <c r="A646" s="32" t="s">
        <v>23</v>
      </c>
      <c r="B646" s="32">
        <v>124.8</v>
      </c>
      <c r="C646" s="33">
        <v>0.5</v>
      </c>
      <c r="D646" s="32">
        <v>6.7699999999999996E-2</v>
      </c>
      <c r="E646" s="32">
        <v>2.6700000000000001E-3</v>
      </c>
      <c r="F646" s="32">
        <v>1097</v>
      </c>
      <c r="G646" s="32">
        <v>0</v>
      </c>
      <c r="H646" s="32">
        <v>24.8</v>
      </c>
      <c r="I646" s="32" t="s">
        <v>12</v>
      </c>
      <c r="J646" s="32">
        <v>1.2</v>
      </c>
      <c r="K646" s="35">
        <v>6.03</v>
      </c>
    </row>
    <row r="647" spans="1:11">
      <c r="A647" s="32" t="s">
        <v>23</v>
      </c>
      <c r="B647" s="32">
        <v>175.2</v>
      </c>
      <c r="C647" s="33">
        <v>0.5</v>
      </c>
      <c r="D647" s="32">
        <v>6.7699999999999996E-2</v>
      </c>
      <c r="E647" s="32">
        <v>2.6700000000000001E-3</v>
      </c>
      <c r="F647" s="32">
        <v>1097</v>
      </c>
      <c r="G647" s="32">
        <v>0</v>
      </c>
      <c r="H647" s="32">
        <v>24.8</v>
      </c>
      <c r="I647" s="32" t="s">
        <v>12</v>
      </c>
      <c r="J647" s="32">
        <v>1.2</v>
      </c>
      <c r="K647" s="35">
        <v>7.11</v>
      </c>
    </row>
    <row r="648" spans="1:11">
      <c r="A648" s="32" t="s">
        <v>23</v>
      </c>
      <c r="B648" s="32">
        <v>250.2</v>
      </c>
      <c r="C648" s="33">
        <v>0.5</v>
      </c>
      <c r="D648" s="32">
        <v>6.7699999999999996E-2</v>
      </c>
      <c r="E648" s="32">
        <v>2.6700000000000001E-3</v>
      </c>
      <c r="F648" s="32">
        <v>1097</v>
      </c>
      <c r="G648" s="32">
        <v>0</v>
      </c>
      <c r="H648" s="32">
        <v>24.8</v>
      </c>
      <c r="I648" s="32" t="s">
        <v>12</v>
      </c>
      <c r="J648" s="32">
        <v>1.2</v>
      </c>
      <c r="K648" s="35">
        <v>5.81</v>
      </c>
    </row>
    <row r="649" spans="1:11">
      <c r="A649" s="32" t="s">
        <v>23</v>
      </c>
      <c r="B649" s="32">
        <v>325.2</v>
      </c>
      <c r="C649" s="33">
        <v>0.5</v>
      </c>
      <c r="D649" s="32">
        <v>6.7699999999999996E-2</v>
      </c>
      <c r="E649" s="32">
        <v>2.6700000000000001E-3</v>
      </c>
      <c r="F649" s="32">
        <v>1097</v>
      </c>
      <c r="G649" s="32">
        <v>0</v>
      </c>
      <c r="H649" s="32">
        <v>24.8</v>
      </c>
      <c r="I649" s="32" t="s">
        <v>12</v>
      </c>
      <c r="J649" s="32">
        <v>1.2</v>
      </c>
      <c r="K649" s="35">
        <v>5.77</v>
      </c>
    </row>
    <row r="650" spans="1:11">
      <c r="A650" s="32" t="s">
        <v>23</v>
      </c>
      <c r="B650" s="32">
        <v>375</v>
      </c>
      <c r="C650" s="33">
        <v>0.5</v>
      </c>
      <c r="D650" s="32">
        <v>6.7699999999999996E-2</v>
      </c>
      <c r="E650" s="32">
        <v>2.6700000000000001E-3</v>
      </c>
      <c r="F650" s="32">
        <v>1097</v>
      </c>
      <c r="G650" s="32">
        <v>0</v>
      </c>
      <c r="H650" s="32">
        <v>24.8</v>
      </c>
      <c r="I650" s="32" t="s">
        <v>12</v>
      </c>
      <c r="J650" s="32">
        <v>1.2</v>
      </c>
      <c r="K650" s="35">
        <v>5.84</v>
      </c>
    </row>
    <row r="651" spans="1:11">
      <c r="A651" s="32" t="s">
        <v>23</v>
      </c>
      <c r="B651" s="32">
        <v>424.8</v>
      </c>
      <c r="C651" s="33">
        <v>0.5</v>
      </c>
      <c r="D651" s="32">
        <v>6.7699999999999996E-2</v>
      </c>
      <c r="E651" s="32">
        <v>2.6700000000000001E-3</v>
      </c>
      <c r="F651" s="32">
        <v>1097</v>
      </c>
      <c r="G651" s="32">
        <v>0</v>
      </c>
      <c r="H651" s="32">
        <v>24.8</v>
      </c>
      <c r="I651" s="32" t="s">
        <v>12</v>
      </c>
      <c r="J651" s="32">
        <v>1.2</v>
      </c>
      <c r="K651" s="35">
        <v>5.74</v>
      </c>
    </row>
    <row r="652" spans="1:11">
      <c r="A652" s="32" t="s">
        <v>23</v>
      </c>
      <c r="B652" s="32">
        <v>499.8</v>
      </c>
      <c r="C652" s="33">
        <v>0.5</v>
      </c>
      <c r="D652" s="32">
        <v>6.7699999999999996E-2</v>
      </c>
      <c r="E652" s="32">
        <v>2.6700000000000001E-3</v>
      </c>
      <c r="F652" s="32">
        <v>1097</v>
      </c>
      <c r="G652" s="32">
        <v>0</v>
      </c>
      <c r="H652" s="32">
        <v>24.8</v>
      </c>
      <c r="I652" s="32" t="s">
        <v>12</v>
      </c>
      <c r="J652" s="32">
        <v>1.2</v>
      </c>
      <c r="K652" s="35">
        <v>5.81</v>
      </c>
    </row>
    <row r="653" spans="1:11">
      <c r="A653" s="32" t="s">
        <v>23</v>
      </c>
      <c r="B653" s="32">
        <v>50</v>
      </c>
      <c r="C653" s="33">
        <v>0.5</v>
      </c>
      <c r="D653" s="32">
        <v>6.7299999999999999E-2</v>
      </c>
      <c r="E653" s="32">
        <v>4.15E-3</v>
      </c>
      <c r="F653" s="32">
        <v>1124</v>
      </c>
      <c r="G653" s="32">
        <v>0</v>
      </c>
      <c r="H653" s="32">
        <v>25.6</v>
      </c>
      <c r="I653" s="32" t="s">
        <v>12</v>
      </c>
      <c r="J653" s="32">
        <v>1.2</v>
      </c>
      <c r="K653" s="35">
        <v>5.74</v>
      </c>
    </row>
    <row r="654" spans="1:11">
      <c r="A654" s="32" t="s">
        <v>23</v>
      </c>
      <c r="B654" s="32">
        <v>75</v>
      </c>
      <c r="C654" s="33">
        <v>0.5</v>
      </c>
      <c r="D654" s="32">
        <v>6.7299999999999999E-2</v>
      </c>
      <c r="E654" s="32">
        <v>4.15E-3</v>
      </c>
      <c r="F654" s="32">
        <v>1124</v>
      </c>
      <c r="G654" s="32">
        <v>0</v>
      </c>
      <c r="H654" s="32">
        <v>25.6</v>
      </c>
      <c r="I654" s="32" t="s">
        <v>12</v>
      </c>
      <c r="J654" s="32">
        <v>1.2</v>
      </c>
      <c r="K654" s="35">
        <v>5.69</v>
      </c>
    </row>
    <row r="655" spans="1:11">
      <c r="A655" s="32" t="s">
        <v>23</v>
      </c>
      <c r="B655" s="32">
        <v>100.2</v>
      </c>
      <c r="C655" s="33">
        <v>0.5</v>
      </c>
      <c r="D655" s="32">
        <v>6.7299999999999999E-2</v>
      </c>
      <c r="E655" s="32">
        <v>4.15E-3</v>
      </c>
      <c r="F655" s="32">
        <v>1124</v>
      </c>
      <c r="G655" s="32">
        <v>0</v>
      </c>
      <c r="H655" s="32">
        <v>25.6</v>
      </c>
      <c r="I655" s="32" t="s">
        <v>12</v>
      </c>
      <c r="J655" s="32">
        <v>1.2</v>
      </c>
      <c r="K655" s="35">
        <v>5.69</v>
      </c>
    </row>
    <row r="656" spans="1:11">
      <c r="A656" s="32" t="s">
        <v>23</v>
      </c>
      <c r="B656" s="32">
        <v>124.8</v>
      </c>
      <c r="C656" s="33">
        <v>0.5</v>
      </c>
      <c r="D656" s="32">
        <v>6.7299999999999999E-2</v>
      </c>
      <c r="E656" s="32">
        <v>4.15E-3</v>
      </c>
      <c r="F656" s="32">
        <v>1124</v>
      </c>
      <c r="G656" s="32">
        <v>0</v>
      </c>
      <c r="H656" s="32">
        <v>25.6</v>
      </c>
      <c r="I656" s="32" t="s">
        <v>12</v>
      </c>
      <c r="J656" s="32">
        <v>1.2</v>
      </c>
      <c r="K656" s="35">
        <v>6</v>
      </c>
    </row>
    <row r="657" spans="1:11">
      <c r="A657" s="32" t="s">
        <v>23</v>
      </c>
      <c r="B657" s="32">
        <v>175.2</v>
      </c>
      <c r="C657" s="33">
        <v>0.5</v>
      </c>
      <c r="D657" s="32">
        <v>6.7299999999999999E-2</v>
      </c>
      <c r="E657" s="32">
        <v>4.15E-3</v>
      </c>
      <c r="F657" s="32">
        <v>1124</v>
      </c>
      <c r="G657" s="32">
        <v>0</v>
      </c>
      <c r="H657" s="32">
        <v>25.6</v>
      </c>
      <c r="I657" s="32" t="s">
        <v>12</v>
      </c>
      <c r="J657" s="32">
        <v>1.2</v>
      </c>
      <c r="K657" s="35">
        <v>6.99</v>
      </c>
    </row>
    <row r="658" spans="1:11">
      <c r="A658" s="32" t="s">
        <v>23</v>
      </c>
      <c r="B658" s="32">
        <v>250.2</v>
      </c>
      <c r="C658" s="33">
        <v>0.5</v>
      </c>
      <c r="D658" s="32">
        <v>6.7299999999999999E-2</v>
      </c>
      <c r="E658" s="32">
        <v>4.15E-3</v>
      </c>
      <c r="F658" s="32">
        <v>1124</v>
      </c>
      <c r="G658" s="32">
        <v>0</v>
      </c>
      <c r="H658" s="32">
        <v>25.6</v>
      </c>
      <c r="I658" s="32" t="s">
        <v>12</v>
      </c>
      <c r="J658" s="32">
        <v>1.2</v>
      </c>
      <c r="K658" s="35">
        <v>7.05</v>
      </c>
    </row>
    <row r="659" spans="1:11">
      <c r="A659" s="32" t="s">
        <v>23</v>
      </c>
      <c r="B659" s="32">
        <v>325.2</v>
      </c>
      <c r="C659" s="33">
        <v>0.5</v>
      </c>
      <c r="D659" s="32">
        <v>6.7299999999999999E-2</v>
      </c>
      <c r="E659" s="32">
        <v>4.15E-3</v>
      </c>
      <c r="F659" s="32">
        <v>1124</v>
      </c>
      <c r="G659" s="32">
        <v>0</v>
      </c>
      <c r="H659" s="32">
        <v>25.6</v>
      </c>
      <c r="I659" s="32" t="s">
        <v>12</v>
      </c>
      <c r="J659" s="32">
        <v>1.2</v>
      </c>
      <c r="K659" s="35">
        <v>6.1</v>
      </c>
    </row>
    <row r="660" spans="1:11">
      <c r="A660" s="32" t="s">
        <v>23</v>
      </c>
      <c r="B660" s="32">
        <v>375</v>
      </c>
      <c r="C660" s="33">
        <v>0.5</v>
      </c>
      <c r="D660" s="32">
        <v>6.7299999999999999E-2</v>
      </c>
      <c r="E660" s="32">
        <v>4.15E-3</v>
      </c>
      <c r="F660" s="32">
        <v>1124</v>
      </c>
      <c r="G660" s="32">
        <v>0</v>
      </c>
      <c r="H660" s="32">
        <v>25.6</v>
      </c>
      <c r="I660" s="32" t="s">
        <v>12</v>
      </c>
      <c r="J660" s="32">
        <v>1.2</v>
      </c>
      <c r="K660" s="35">
        <v>6.02</v>
      </c>
    </row>
    <row r="661" spans="1:11">
      <c r="A661" s="32" t="s">
        <v>23</v>
      </c>
      <c r="B661" s="32">
        <v>424.8</v>
      </c>
      <c r="C661" s="33">
        <v>0.5</v>
      </c>
      <c r="D661" s="32">
        <v>6.7299999999999999E-2</v>
      </c>
      <c r="E661" s="32">
        <v>4.15E-3</v>
      </c>
      <c r="F661" s="32">
        <v>1124</v>
      </c>
      <c r="G661" s="32">
        <v>0</v>
      </c>
      <c r="H661" s="32">
        <v>25.6</v>
      </c>
      <c r="I661" s="32" t="s">
        <v>12</v>
      </c>
      <c r="J661" s="32">
        <v>1.2</v>
      </c>
      <c r="K661" s="35">
        <v>6.11</v>
      </c>
    </row>
    <row r="662" spans="1:11">
      <c r="A662" s="32" t="s">
        <v>23</v>
      </c>
      <c r="B662" s="32">
        <v>499.8</v>
      </c>
      <c r="C662" s="33">
        <v>0.5</v>
      </c>
      <c r="D662" s="32">
        <v>6.7299999999999999E-2</v>
      </c>
      <c r="E662" s="32">
        <v>4.15E-3</v>
      </c>
      <c r="F662" s="32">
        <v>1124</v>
      </c>
      <c r="G662" s="32">
        <v>0</v>
      </c>
      <c r="H662" s="32">
        <v>25.6</v>
      </c>
      <c r="I662" s="32" t="s">
        <v>12</v>
      </c>
      <c r="J662" s="32">
        <v>1.2</v>
      </c>
      <c r="K662" s="35">
        <v>6.21</v>
      </c>
    </row>
    <row r="663" spans="1:11">
      <c r="A663" s="32" t="s">
        <v>23</v>
      </c>
      <c r="B663" s="32">
        <v>50</v>
      </c>
      <c r="C663" s="33">
        <v>0.5</v>
      </c>
      <c r="D663" s="32">
        <v>6.59E-2</v>
      </c>
      <c r="E663" s="32">
        <v>1.0699999999999999E-2</v>
      </c>
      <c r="F663" s="32">
        <v>1159</v>
      </c>
      <c r="G663" s="32">
        <v>0</v>
      </c>
      <c r="H663" s="32">
        <v>24.8</v>
      </c>
      <c r="I663" s="32" t="s">
        <v>12</v>
      </c>
      <c r="J663" s="32">
        <v>1.2</v>
      </c>
      <c r="K663" s="35">
        <v>6.15</v>
      </c>
    </row>
    <row r="664" spans="1:11">
      <c r="A664" s="32" t="s">
        <v>23</v>
      </c>
      <c r="B664" s="32">
        <v>75</v>
      </c>
      <c r="C664" s="33">
        <v>0.5</v>
      </c>
      <c r="D664" s="32">
        <v>6.59E-2</v>
      </c>
      <c r="E664" s="32">
        <v>1.0699999999999999E-2</v>
      </c>
      <c r="F664" s="32">
        <v>1159</v>
      </c>
      <c r="G664" s="32">
        <v>0</v>
      </c>
      <c r="H664" s="32">
        <v>24.8</v>
      </c>
      <c r="I664" s="32" t="s">
        <v>12</v>
      </c>
      <c r="J664" s="32">
        <v>1.2</v>
      </c>
      <c r="K664" s="35">
        <v>6.19</v>
      </c>
    </row>
    <row r="665" spans="1:11">
      <c r="A665" s="32" t="s">
        <v>23</v>
      </c>
      <c r="B665" s="32">
        <v>100.2</v>
      </c>
      <c r="C665" s="33">
        <v>0.5</v>
      </c>
      <c r="D665" s="32">
        <v>6.59E-2</v>
      </c>
      <c r="E665" s="32">
        <v>1.0699999999999999E-2</v>
      </c>
      <c r="F665" s="32">
        <v>1159</v>
      </c>
      <c r="G665" s="32">
        <v>0</v>
      </c>
      <c r="H665" s="32">
        <v>24.8</v>
      </c>
      <c r="I665" s="32" t="s">
        <v>12</v>
      </c>
      <c r="J665" s="32">
        <v>1.2</v>
      </c>
      <c r="K665" s="35">
        <v>6.18</v>
      </c>
    </row>
    <row r="666" spans="1:11">
      <c r="A666" s="32" t="s">
        <v>23</v>
      </c>
      <c r="B666" s="32">
        <v>124.8</v>
      </c>
      <c r="C666" s="33">
        <v>0.5</v>
      </c>
      <c r="D666" s="32">
        <v>6.59E-2</v>
      </c>
      <c r="E666" s="32">
        <v>1.0699999999999999E-2</v>
      </c>
      <c r="F666" s="32">
        <v>1159</v>
      </c>
      <c r="G666" s="32">
        <v>0</v>
      </c>
      <c r="H666" s="32">
        <v>24.8</v>
      </c>
      <c r="I666" s="32" t="s">
        <v>12</v>
      </c>
      <c r="J666" s="32">
        <v>1.2</v>
      </c>
      <c r="K666" s="35">
        <v>6.02</v>
      </c>
    </row>
    <row r="667" spans="1:11">
      <c r="A667" s="32" t="s">
        <v>23</v>
      </c>
      <c r="B667" s="32">
        <v>175.2</v>
      </c>
      <c r="C667" s="33">
        <v>0.5</v>
      </c>
      <c r="D667" s="32">
        <v>6.59E-2</v>
      </c>
      <c r="E667" s="32">
        <v>1.0699999999999999E-2</v>
      </c>
      <c r="F667" s="32">
        <v>1159</v>
      </c>
      <c r="G667" s="32">
        <v>0</v>
      </c>
      <c r="H667" s="32">
        <v>24.8</v>
      </c>
      <c r="I667" s="32" t="s">
        <v>12</v>
      </c>
      <c r="J667" s="32">
        <v>1.2</v>
      </c>
      <c r="K667" s="35">
        <v>7.41</v>
      </c>
    </row>
    <row r="668" spans="1:11">
      <c r="A668" s="32" t="s">
        <v>23</v>
      </c>
      <c r="B668" s="32">
        <v>250.2</v>
      </c>
      <c r="C668" s="33">
        <v>0.5</v>
      </c>
      <c r="D668" s="32">
        <v>6.59E-2</v>
      </c>
      <c r="E668" s="32">
        <v>1.0699999999999999E-2</v>
      </c>
      <c r="F668" s="32">
        <v>1159</v>
      </c>
      <c r="G668" s="32">
        <v>0</v>
      </c>
      <c r="H668" s="32">
        <v>24.8</v>
      </c>
      <c r="I668" s="32" t="s">
        <v>12</v>
      </c>
      <c r="J668" s="32">
        <v>1.2</v>
      </c>
      <c r="K668" s="35">
        <v>6.91</v>
      </c>
    </row>
    <row r="669" spans="1:11">
      <c r="A669" s="32" t="s">
        <v>23</v>
      </c>
      <c r="B669" s="32">
        <v>325.2</v>
      </c>
      <c r="C669" s="33">
        <v>0.5</v>
      </c>
      <c r="D669" s="32">
        <v>6.59E-2</v>
      </c>
      <c r="E669" s="32">
        <v>1.0699999999999999E-2</v>
      </c>
      <c r="F669" s="32">
        <v>1159</v>
      </c>
      <c r="G669" s="32">
        <v>0</v>
      </c>
      <c r="H669" s="32">
        <v>24.8</v>
      </c>
      <c r="I669" s="32" t="s">
        <v>12</v>
      </c>
      <c r="J669" s="32">
        <v>1.2</v>
      </c>
      <c r="K669" s="35">
        <v>6.12</v>
      </c>
    </row>
    <row r="670" spans="1:11">
      <c r="A670" s="32" t="s">
        <v>23</v>
      </c>
      <c r="B670" s="32">
        <v>375</v>
      </c>
      <c r="C670" s="33">
        <v>0.5</v>
      </c>
      <c r="D670" s="32">
        <v>6.59E-2</v>
      </c>
      <c r="E670" s="32">
        <v>1.0699999999999999E-2</v>
      </c>
      <c r="F670" s="32">
        <v>1159</v>
      </c>
      <c r="G670" s="32">
        <v>0</v>
      </c>
      <c r="H670" s="32">
        <v>24.8</v>
      </c>
      <c r="I670" s="32" t="s">
        <v>12</v>
      </c>
      <c r="J670" s="32">
        <v>1.2</v>
      </c>
      <c r="K670" s="35">
        <v>6.13</v>
      </c>
    </row>
    <row r="671" spans="1:11">
      <c r="A671" s="32" t="s">
        <v>23</v>
      </c>
      <c r="B671" s="32">
        <v>424.8</v>
      </c>
      <c r="C671" s="33">
        <v>0.5</v>
      </c>
      <c r="D671" s="32">
        <v>6.59E-2</v>
      </c>
      <c r="E671" s="32">
        <v>1.0699999999999999E-2</v>
      </c>
      <c r="F671" s="32">
        <v>1159</v>
      </c>
      <c r="G671" s="32">
        <v>0</v>
      </c>
      <c r="H671" s="32">
        <v>24.8</v>
      </c>
      <c r="I671" s="32" t="s">
        <v>12</v>
      </c>
      <c r="J671" s="32">
        <v>1.2</v>
      </c>
      <c r="K671" s="35">
        <v>6.16</v>
      </c>
    </row>
    <row r="672" spans="1:11">
      <c r="A672" s="32" t="s">
        <v>23</v>
      </c>
      <c r="B672" s="32">
        <v>499.8</v>
      </c>
      <c r="C672" s="33">
        <v>0.5</v>
      </c>
      <c r="D672" s="32">
        <v>6.59E-2</v>
      </c>
      <c r="E672" s="32">
        <v>1.0699999999999999E-2</v>
      </c>
      <c r="F672" s="32">
        <v>1159</v>
      </c>
      <c r="G672" s="32">
        <v>0</v>
      </c>
      <c r="H672" s="32">
        <v>24.8</v>
      </c>
      <c r="I672" s="32" t="s">
        <v>12</v>
      </c>
      <c r="J672" s="32">
        <v>1.2</v>
      </c>
      <c r="K672" s="35">
        <v>6.51</v>
      </c>
    </row>
    <row r="673" spans="1:11">
      <c r="A673" s="45" t="s">
        <v>24</v>
      </c>
      <c r="B673" s="46"/>
      <c r="C673" s="47">
        <v>0.25</v>
      </c>
      <c r="D673" s="45">
        <v>7.1999999999999995E-2</v>
      </c>
      <c r="E673" s="45">
        <v>1.003E-3</v>
      </c>
      <c r="F673" s="45">
        <v>998.2</v>
      </c>
      <c r="G673" s="46"/>
      <c r="H673" s="45">
        <v>25</v>
      </c>
      <c r="I673" s="45" t="s">
        <v>12</v>
      </c>
      <c r="J673" s="46"/>
      <c r="K673" s="48">
        <v>2.9</v>
      </c>
    </row>
    <row r="674" spans="1:11">
      <c r="A674" s="45" t="s">
        <v>24</v>
      </c>
      <c r="B674" s="46"/>
      <c r="C674" s="47">
        <v>0.25</v>
      </c>
      <c r="D674" s="45">
        <v>7.1999999999999995E-2</v>
      </c>
      <c r="E674" s="45">
        <v>1.003E-3</v>
      </c>
      <c r="F674" s="45">
        <v>998.2</v>
      </c>
      <c r="G674" s="46"/>
      <c r="H674" s="45">
        <v>25</v>
      </c>
      <c r="I674" s="45" t="s">
        <v>12</v>
      </c>
      <c r="J674" s="46"/>
      <c r="K674" s="48">
        <v>3.37</v>
      </c>
    </row>
    <row r="675" spans="1:11">
      <c r="A675" s="45" t="s">
        <v>24</v>
      </c>
      <c r="B675" s="46"/>
      <c r="C675" s="47">
        <v>0.25</v>
      </c>
      <c r="D675" s="45">
        <v>7.1999999999999995E-2</v>
      </c>
      <c r="E675" s="45">
        <v>1.003E-3</v>
      </c>
      <c r="F675" s="45">
        <v>998.2</v>
      </c>
      <c r="G675" s="46"/>
      <c r="H675" s="45">
        <v>25</v>
      </c>
      <c r="I675" s="45" t="s">
        <v>12</v>
      </c>
      <c r="J675" s="46"/>
      <c r="K675" s="48">
        <v>3.98</v>
      </c>
    </row>
    <row r="676" spans="1:11">
      <c r="A676" s="45" t="s">
        <v>24</v>
      </c>
      <c r="B676" s="46"/>
      <c r="C676" s="47">
        <v>0.25</v>
      </c>
      <c r="D676" s="45">
        <v>7.1999999999999995E-2</v>
      </c>
      <c r="E676" s="45">
        <v>1.003E-3</v>
      </c>
      <c r="F676" s="45">
        <v>998.2</v>
      </c>
      <c r="G676" s="46"/>
      <c r="H676" s="45">
        <v>25</v>
      </c>
      <c r="I676" s="45" t="s">
        <v>12</v>
      </c>
      <c r="J676" s="46"/>
      <c r="K676" s="48">
        <v>4.1500000000000004</v>
      </c>
    </row>
    <row r="677" spans="1:11">
      <c r="A677" s="45" t="s">
        <v>24</v>
      </c>
      <c r="B677" s="46"/>
      <c r="C677" s="47">
        <v>0.25</v>
      </c>
      <c r="D677" s="45">
        <v>7.1999999999999995E-2</v>
      </c>
      <c r="E677" s="45">
        <v>1.003E-3</v>
      </c>
      <c r="F677" s="45">
        <v>998.2</v>
      </c>
      <c r="G677" s="46"/>
      <c r="H677" s="45">
        <v>25</v>
      </c>
      <c r="I677" s="45" t="s">
        <v>12</v>
      </c>
      <c r="J677" s="46"/>
      <c r="K677" s="48">
        <v>4.32</v>
      </c>
    </row>
    <row r="678" spans="1:11">
      <c r="A678" s="45" t="s">
        <v>24</v>
      </c>
      <c r="B678" s="46"/>
      <c r="C678" s="47">
        <v>0.25</v>
      </c>
      <c r="D678" s="45">
        <v>7.1999999999999995E-2</v>
      </c>
      <c r="E678" s="45">
        <v>1.003E-3</v>
      </c>
      <c r="F678" s="45">
        <v>998.2</v>
      </c>
      <c r="G678" s="46"/>
      <c r="H678" s="45">
        <v>25</v>
      </c>
      <c r="I678" s="45" t="s">
        <v>12</v>
      </c>
      <c r="J678" s="46"/>
      <c r="K678" s="48">
        <v>4.2699999999999996</v>
      </c>
    </row>
    <row r="679" spans="1:11">
      <c r="A679" s="45" t="s">
        <v>24</v>
      </c>
      <c r="B679" s="46"/>
      <c r="C679" s="47">
        <v>0.25</v>
      </c>
      <c r="D679" s="45">
        <v>7.1999999999999995E-2</v>
      </c>
      <c r="E679" s="45">
        <v>1.003E-3</v>
      </c>
      <c r="F679" s="45">
        <v>998.2</v>
      </c>
      <c r="G679" s="46"/>
      <c r="H679" s="45">
        <v>25</v>
      </c>
      <c r="I679" s="45" t="s">
        <v>12</v>
      </c>
      <c r="J679" s="46"/>
      <c r="K679" s="48">
        <v>4.25</v>
      </c>
    </row>
    <row r="680" spans="1:11">
      <c r="A680" s="45" t="s">
        <v>24</v>
      </c>
      <c r="B680" s="46"/>
      <c r="C680" s="47">
        <v>0.25</v>
      </c>
      <c r="D680" s="45">
        <v>7.1999999999999995E-2</v>
      </c>
      <c r="E680" s="45">
        <v>1.003E-3</v>
      </c>
      <c r="F680" s="45">
        <v>998.2</v>
      </c>
      <c r="G680" s="46"/>
      <c r="H680" s="45">
        <v>25</v>
      </c>
      <c r="I680" s="45" t="s">
        <v>12</v>
      </c>
      <c r="J680" s="46"/>
      <c r="K680" s="48">
        <v>4.1100000000000003</v>
      </c>
    </row>
    <row r="681" spans="1:11">
      <c r="A681" s="45" t="s">
        <v>24</v>
      </c>
      <c r="B681" s="46"/>
      <c r="C681" s="47">
        <v>0.34</v>
      </c>
      <c r="D681" s="45">
        <v>7.1999999999999995E-2</v>
      </c>
      <c r="E681" s="45">
        <v>1.003E-3</v>
      </c>
      <c r="F681" s="45">
        <v>998.2</v>
      </c>
      <c r="G681" s="46"/>
      <c r="H681" s="45">
        <v>25</v>
      </c>
      <c r="I681" s="45" t="s">
        <v>12</v>
      </c>
      <c r="J681" s="46"/>
      <c r="K681" s="48">
        <v>3.16</v>
      </c>
    </row>
    <row r="682" spans="1:11">
      <c r="A682" s="45" t="s">
        <v>24</v>
      </c>
      <c r="B682" s="46"/>
      <c r="C682" s="47">
        <v>0.34</v>
      </c>
      <c r="D682" s="45">
        <v>7.1999999999999995E-2</v>
      </c>
      <c r="E682" s="45">
        <v>1.003E-3</v>
      </c>
      <c r="F682" s="45">
        <v>998.2</v>
      </c>
      <c r="G682" s="46"/>
      <c r="H682" s="45">
        <v>25</v>
      </c>
      <c r="I682" s="45" t="s">
        <v>12</v>
      </c>
      <c r="J682" s="46"/>
      <c r="K682" s="48">
        <v>3.84</v>
      </c>
    </row>
    <row r="683" spans="1:11">
      <c r="A683" s="45" t="s">
        <v>24</v>
      </c>
      <c r="B683" s="46"/>
      <c r="C683" s="47">
        <v>0.34</v>
      </c>
      <c r="D683" s="45">
        <v>7.1999999999999995E-2</v>
      </c>
      <c r="E683" s="45">
        <v>1.003E-3</v>
      </c>
      <c r="F683" s="45">
        <v>998.2</v>
      </c>
      <c r="G683" s="46"/>
      <c r="H683" s="45">
        <v>25</v>
      </c>
      <c r="I683" s="45" t="s">
        <v>12</v>
      </c>
      <c r="J683" s="46"/>
      <c r="K683" s="48">
        <v>4.57</v>
      </c>
    </row>
    <row r="684" spans="1:11">
      <c r="A684" s="45" t="s">
        <v>24</v>
      </c>
      <c r="B684" s="46"/>
      <c r="C684" s="47">
        <v>0.34</v>
      </c>
      <c r="D684" s="45">
        <v>7.1999999999999995E-2</v>
      </c>
      <c r="E684" s="45">
        <v>1.003E-3</v>
      </c>
      <c r="F684" s="45">
        <v>998.2</v>
      </c>
      <c r="G684" s="46"/>
      <c r="H684" s="45">
        <v>25</v>
      </c>
      <c r="I684" s="45" t="s">
        <v>12</v>
      </c>
      <c r="J684" s="46"/>
      <c r="K684" s="48">
        <v>4.51</v>
      </c>
    </row>
    <row r="685" spans="1:11">
      <c r="A685" s="45" t="s">
        <v>24</v>
      </c>
      <c r="B685" s="46"/>
      <c r="C685" s="47">
        <v>0.34</v>
      </c>
      <c r="D685" s="45">
        <v>7.1999999999999995E-2</v>
      </c>
      <c r="E685" s="45">
        <v>1.003E-3</v>
      </c>
      <c r="F685" s="45">
        <v>998.2</v>
      </c>
      <c r="G685" s="46"/>
      <c r="H685" s="45">
        <v>25</v>
      </c>
      <c r="I685" s="45" t="s">
        <v>12</v>
      </c>
      <c r="J685" s="46"/>
      <c r="K685" s="48">
        <v>4.46</v>
      </c>
    </row>
    <row r="686" spans="1:11">
      <c r="A686" s="45" t="s">
        <v>24</v>
      </c>
      <c r="B686" s="46"/>
      <c r="C686" s="47">
        <v>0.34</v>
      </c>
      <c r="D686" s="45">
        <v>7.1999999999999995E-2</v>
      </c>
      <c r="E686" s="45">
        <v>1.003E-3</v>
      </c>
      <c r="F686" s="45">
        <v>998.2</v>
      </c>
      <c r="G686" s="46"/>
      <c r="H686" s="45">
        <v>25</v>
      </c>
      <c r="I686" s="45" t="s">
        <v>12</v>
      </c>
      <c r="J686" s="46"/>
      <c r="K686" s="48">
        <v>4.3899999999999997</v>
      </c>
    </row>
    <row r="687" spans="1:11">
      <c r="A687" s="45" t="s">
        <v>24</v>
      </c>
      <c r="B687" s="46"/>
      <c r="C687" s="47">
        <v>0.34</v>
      </c>
      <c r="D687" s="45">
        <v>7.1999999999999995E-2</v>
      </c>
      <c r="E687" s="45">
        <v>1.003E-3</v>
      </c>
      <c r="F687" s="45">
        <v>998.2</v>
      </c>
      <c r="G687" s="46"/>
      <c r="H687" s="45">
        <v>25</v>
      </c>
      <c r="I687" s="45" t="s">
        <v>12</v>
      </c>
      <c r="J687" s="46"/>
      <c r="K687" s="48">
        <v>4.3899999999999997</v>
      </c>
    </row>
    <row r="688" spans="1:11">
      <c r="A688" s="45" t="s">
        <v>24</v>
      </c>
      <c r="B688" s="46"/>
      <c r="C688" s="47">
        <v>0.34</v>
      </c>
      <c r="D688" s="45">
        <v>7.1999999999999995E-2</v>
      </c>
      <c r="E688" s="45">
        <v>1.003E-3</v>
      </c>
      <c r="F688" s="45">
        <v>998.2</v>
      </c>
      <c r="G688" s="46"/>
      <c r="H688" s="45">
        <v>25</v>
      </c>
      <c r="I688" s="45" t="s">
        <v>12</v>
      </c>
      <c r="J688" s="46"/>
      <c r="K688" s="48">
        <v>4.3899999999999997</v>
      </c>
    </row>
    <row r="689" spans="1:11">
      <c r="A689" s="45" t="s">
        <v>24</v>
      </c>
      <c r="B689" s="46"/>
      <c r="C689" s="47">
        <v>0.41</v>
      </c>
      <c r="D689" s="45">
        <v>7.1999999999999995E-2</v>
      </c>
      <c r="E689" s="45">
        <v>1.003E-3</v>
      </c>
      <c r="F689" s="45">
        <v>998.2</v>
      </c>
      <c r="G689" s="46"/>
      <c r="H689" s="45">
        <v>25</v>
      </c>
      <c r="I689" s="45" t="s">
        <v>12</v>
      </c>
      <c r="J689" s="46"/>
      <c r="K689" s="48">
        <v>3.57</v>
      </c>
    </row>
    <row r="690" spans="1:11">
      <c r="A690" s="45" t="s">
        <v>24</v>
      </c>
      <c r="B690" s="46"/>
      <c r="C690" s="47">
        <v>0.41</v>
      </c>
      <c r="D690" s="45">
        <v>7.1999999999999995E-2</v>
      </c>
      <c r="E690" s="45">
        <v>1.003E-3</v>
      </c>
      <c r="F690" s="45">
        <v>998.2</v>
      </c>
      <c r="G690" s="46"/>
      <c r="H690" s="45">
        <v>25</v>
      </c>
      <c r="I690" s="45" t="s">
        <v>12</v>
      </c>
      <c r="J690" s="46"/>
      <c r="K690" s="48">
        <v>4.6100000000000003</v>
      </c>
    </row>
    <row r="691" spans="1:11">
      <c r="A691" s="45" t="s">
        <v>24</v>
      </c>
      <c r="B691" s="46"/>
      <c r="C691" s="47">
        <v>0.41</v>
      </c>
      <c r="D691" s="45">
        <v>7.1999999999999995E-2</v>
      </c>
      <c r="E691" s="45">
        <v>1.003E-3</v>
      </c>
      <c r="F691" s="45">
        <v>998.2</v>
      </c>
      <c r="G691" s="46"/>
      <c r="H691" s="45">
        <v>25</v>
      </c>
      <c r="I691" s="45" t="s">
        <v>12</v>
      </c>
      <c r="J691" s="46"/>
      <c r="K691" s="48">
        <v>4.72</v>
      </c>
    </row>
    <row r="692" spans="1:11">
      <c r="A692" s="45" t="s">
        <v>24</v>
      </c>
      <c r="B692" s="46"/>
      <c r="C692" s="47">
        <v>0.41</v>
      </c>
      <c r="D692" s="45">
        <v>7.1999999999999995E-2</v>
      </c>
      <c r="E692" s="45">
        <v>1.003E-3</v>
      </c>
      <c r="F692" s="45">
        <v>998.2</v>
      </c>
      <c r="G692" s="46"/>
      <c r="H692" s="45">
        <v>25</v>
      </c>
      <c r="I692" s="45" t="s">
        <v>12</v>
      </c>
      <c r="J692" s="46"/>
      <c r="K692" s="48">
        <v>4.88</v>
      </c>
    </row>
    <row r="693" spans="1:11">
      <c r="A693" s="45" t="s">
        <v>24</v>
      </c>
      <c r="B693" s="46"/>
      <c r="C693" s="47">
        <v>0.41</v>
      </c>
      <c r="D693" s="45">
        <v>7.1999999999999995E-2</v>
      </c>
      <c r="E693" s="45">
        <v>1.003E-3</v>
      </c>
      <c r="F693" s="45">
        <v>998.2</v>
      </c>
      <c r="G693" s="46"/>
      <c r="H693" s="45">
        <v>25</v>
      </c>
      <c r="I693" s="45" t="s">
        <v>12</v>
      </c>
      <c r="J693" s="46"/>
      <c r="K693" s="48">
        <v>4.7699999999999996</v>
      </c>
    </row>
    <row r="694" spans="1:11">
      <c r="A694" s="45" t="s">
        <v>24</v>
      </c>
      <c r="B694" s="46"/>
      <c r="C694" s="47">
        <v>0.41</v>
      </c>
      <c r="D694" s="45">
        <v>7.1999999999999995E-2</v>
      </c>
      <c r="E694" s="45">
        <v>1.003E-3</v>
      </c>
      <c r="F694" s="45">
        <v>998.2</v>
      </c>
      <c r="G694" s="46"/>
      <c r="H694" s="45">
        <v>25</v>
      </c>
      <c r="I694" s="45" t="s">
        <v>12</v>
      </c>
      <c r="J694" s="46"/>
      <c r="K694" s="48">
        <v>4.72</v>
      </c>
    </row>
    <row r="695" spans="1:11">
      <c r="A695" s="45" t="s">
        <v>24</v>
      </c>
      <c r="B695" s="46"/>
      <c r="C695" s="47">
        <v>0.41</v>
      </c>
      <c r="D695" s="45">
        <v>7.1999999999999995E-2</v>
      </c>
      <c r="E695" s="45">
        <v>1.003E-3</v>
      </c>
      <c r="F695" s="45">
        <v>998.2</v>
      </c>
      <c r="G695" s="46"/>
      <c r="H695" s="45">
        <v>25</v>
      </c>
      <c r="I695" s="45" t="s">
        <v>12</v>
      </c>
      <c r="J695" s="46"/>
      <c r="K695" s="48">
        <v>4.8099999999999996</v>
      </c>
    </row>
    <row r="696" spans="1:11">
      <c r="A696" s="45" t="s">
        <v>24</v>
      </c>
      <c r="B696" s="46"/>
      <c r="C696" s="47">
        <v>0.41</v>
      </c>
      <c r="D696" s="45">
        <v>7.1999999999999995E-2</v>
      </c>
      <c r="E696" s="45">
        <v>1.003E-3</v>
      </c>
      <c r="F696" s="45">
        <v>998.2</v>
      </c>
      <c r="G696" s="46"/>
      <c r="H696" s="45">
        <v>25</v>
      </c>
      <c r="I696" s="45" t="s">
        <v>12</v>
      </c>
      <c r="J696" s="46"/>
      <c r="K696" s="48">
        <v>4.8600000000000003</v>
      </c>
    </row>
    <row r="697" spans="1:11">
      <c r="A697" s="45" t="s">
        <v>24</v>
      </c>
      <c r="B697" s="46"/>
      <c r="C697" s="47">
        <v>0.51</v>
      </c>
      <c r="D697" s="45">
        <v>7.1999999999999995E-2</v>
      </c>
      <c r="E697" s="45">
        <v>1.003E-3</v>
      </c>
      <c r="F697" s="45">
        <v>998.2</v>
      </c>
      <c r="G697" s="46"/>
      <c r="H697" s="45">
        <v>25</v>
      </c>
      <c r="I697" s="45" t="s">
        <v>12</v>
      </c>
      <c r="J697" s="46"/>
      <c r="K697" s="48">
        <v>4.62</v>
      </c>
    </row>
    <row r="698" spans="1:11">
      <c r="A698" s="45" t="s">
        <v>24</v>
      </c>
      <c r="B698" s="46"/>
      <c r="C698" s="47">
        <v>0.51</v>
      </c>
      <c r="D698" s="45">
        <v>7.1999999999999995E-2</v>
      </c>
      <c r="E698" s="45">
        <v>1.003E-3</v>
      </c>
      <c r="F698" s="45">
        <v>998.2</v>
      </c>
      <c r="G698" s="46"/>
      <c r="H698" s="45">
        <v>25</v>
      </c>
      <c r="I698" s="45" t="s">
        <v>12</v>
      </c>
      <c r="J698" s="46"/>
      <c r="K698" s="48">
        <v>5.32</v>
      </c>
    </row>
    <row r="699" spans="1:11">
      <c r="A699" s="45" t="s">
        <v>24</v>
      </c>
      <c r="B699" s="46"/>
      <c r="C699" s="47">
        <v>0.51</v>
      </c>
      <c r="D699" s="45">
        <v>7.1999999999999995E-2</v>
      </c>
      <c r="E699" s="45">
        <v>1.003E-3</v>
      </c>
      <c r="F699" s="45">
        <v>998.2</v>
      </c>
      <c r="G699" s="46"/>
      <c r="H699" s="45">
        <v>25</v>
      </c>
      <c r="I699" s="45" t="s">
        <v>12</v>
      </c>
      <c r="J699" s="46"/>
      <c r="K699" s="48">
        <v>5.0999999999999996</v>
      </c>
    </row>
    <row r="700" spans="1:11">
      <c r="A700" s="45" t="s">
        <v>24</v>
      </c>
      <c r="B700" s="46"/>
      <c r="C700" s="47">
        <v>0.51</v>
      </c>
      <c r="D700" s="45">
        <v>7.1999999999999995E-2</v>
      </c>
      <c r="E700" s="45">
        <v>1.003E-3</v>
      </c>
      <c r="F700" s="45">
        <v>998.2</v>
      </c>
      <c r="G700" s="46"/>
      <c r="H700" s="45">
        <v>25</v>
      </c>
      <c r="I700" s="45" t="s">
        <v>12</v>
      </c>
      <c r="J700" s="46"/>
      <c r="K700" s="48">
        <v>5.22</v>
      </c>
    </row>
    <row r="701" spans="1:11">
      <c r="A701" s="45" t="s">
        <v>24</v>
      </c>
      <c r="B701" s="46"/>
      <c r="C701" s="47">
        <v>0.51</v>
      </c>
      <c r="D701" s="45">
        <v>7.1999999999999995E-2</v>
      </c>
      <c r="E701" s="45">
        <v>1.003E-3</v>
      </c>
      <c r="F701" s="45">
        <v>998.2</v>
      </c>
      <c r="G701" s="46"/>
      <c r="H701" s="45">
        <v>25</v>
      </c>
      <c r="I701" s="45" t="s">
        <v>12</v>
      </c>
      <c r="J701" s="46"/>
      <c r="K701" s="48">
        <v>5.16</v>
      </c>
    </row>
    <row r="702" spans="1:11">
      <c r="A702" s="45" t="s">
        <v>24</v>
      </c>
      <c r="B702" s="46"/>
      <c r="C702" s="47">
        <v>0.51</v>
      </c>
      <c r="D702" s="45">
        <v>7.1999999999999995E-2</v>
      </c>
      <c r="E702" s="45">
        <v>1.003E-3</v>
      </c>
      <c r="F702" s="45">
        <v>998.2</v>
      </c>
      <c r="G702" s="46"/>
      <c r="H702" s="45">
        <v>25</v>
      </c>
      <c r="I702" s="45" t="s">
        <v>12</v>
      </c>
      <c r="J702" s="46"/>
      <c r="K702" s="48">
        <v>5.23</v>
      </c>
    </row>
    <row r="703" spans="1:11">
      <c r="A703" s="45" t="s">
        <v>24</v>
      </c>
      <c r="B703" s="46"/>
      <c r="C703" s="47">
        <v>0.51</v>
      </c>
      <c r="D703" s="45">
        <v>7.1999999999999995E-2</v>
      </c>
      <c r="E703" s="45">
        <v>1.003E-3</v>
      </c>
      <c r="F703" s="45">
        <v>998.2</v>
      </c>
      <c r="G703" s="46"/>
      <c r="H703" s="45">
        <v>25</v>
      </c>
      <c r="I703" s="45" t="s">
        <v>12</v>
      </c>
      <c r="J703" s="46"/>
      <c r="K703" s="48">
        <v>5.21</v>
      </c>
    </row>
    <row r="704" spans="1:11">
      <c r="A704" s="45" t="s">
        <v>24</v>
      </c>
      <c r="B704" s="46"/>
      <c r="C704" s="47">
        <v>0.25</v>
      </c>
      <c r="D704" s="45">
        <v>5.8500000000000003E-2</v>
      </c>
      <c r="E704" s="45">
        <v>1.003E-3</v>
      </c>
      <c r="F704" s="45">
        <v>998.2</v>
      </c>
      <c r="G704" s="46"/>
      <c r="H704" s="45">
        <v>25</v>
      </c>
      <c r="I704" s="45" t="s">
        <v>12</v>
      </c>
      <c r="J704" s="46"/>
      <c r="K704" s="48">
        <v>2.4500000000000002</v>
      </c>
    </row>
    <row r="705" spans="1:11">
      <c r="A705" s="45" t="s">
        <v>24</v>
      </c>
      <c r="B705" s="46"/>
      <c r="C705" s="47">
        <v>0.25</v>
      </c>
      <c r="D705" s="45">
        <v>5.8500000000000003E-2</v>
      </c>
      <c r="E705" s="45">
        <v>1.003E-3</v>
      </c>
      <c r="F705" s="45">
        <v>998.2</v>
      </c>
      <c r="G705" s="46"/>
      <c r="H705" s="45">
        <v>25</v>
      </c>
      <c r="I705" s="45" t="s">
        <v>12</v>
      </c>
      <c r="J705" s="46"/>
      <c r="K705" s="48">
        <v>3.29</v>
      </c>
    </row>
    <row r="706" spans="1:11">
      <c r="A706" s="45" t="s">
        <v>24</v>
      </c>
      <c r="B706" s="46"/>
      <c r="C706" s="47">
        <v>0.25</v>
      </c>
      <c r="D706" s="45">
        <v>5.8500000000000003E-2</v>
      </c>
      <c r="E706" s="45">
        <v>1.003E-3</v>
      </c>
      <c r="F706" s="45">
        <v>998.2</v>
      </c>
      <c r="G706" s="46"/>
      <c r="H706" s="45">
        <v>25</v>
      </c>
      <c r="I706" s="45" t="s">
        <v>12</v>
      </c>
      <c r="J706" s="46"/>
      <c r="K706" s="48">
        <v>3.59</v>
      </c>
    </row>
    <row r="707" spans="1:11">
      <c r="A707" s="45" t="s">
        <v>24</v>
      </c>
      <c r="B707" s="46"/>
      <c r="C707" s="47">
        <v>0.25</v>
      </c>
      <c r="D707" s="45">
        <v>5.8500000000000003E-2</v>
      </c>
      <c r="E707" s="45">
        <v>1.003E-3</v>
      </c>
      <c r="F707" s="45">
        <v>998.2</v>
      </c>
      <c r="G707" s="46"/>
      <c r="H707" s="45">
        <v>25</v>
      </c>
      <c r="I707" s="45" t="s">
        <v>12</v>
      </c>
      <c r="J707" s="46"/>
      <c r="K707" s="48">
        <v>3.8</v>
      </c>
    </row>
    <row r="708" spans="1:11">
      <c r="A708" s="45" t="s">
        <v>24</v>
      </c>
      <c r="B708" s="46"/>
      <c r="C708" s="47">
        <v>0.25</v>
      </c>
      <c r="D708" s="45">
        <v>5.8500000000000003E-2</v>
      </c>
      <c r="E708" s="45">
        <v>1.003E-3</v>
      </c>
      <c r="F708" s="45">
        <v>998.2</v>
      </c>
      <c r="G708" s="46"/>
      <c r="H708" s="45">
        <v>25</v>
      </c>
      <c r="I708" s="45" t="s">
        <v>12</v>
      </c>
      <c r="J708" s="46"/>
      <c r="K708" s="48">
        <v>3.83</v>
      </c>
    </row>
    <row r="709" spans="1:11">
      <c r="A709" s="45" t="s">
        <v>24</v>
      </c>
      <c r="B709" s="46"/>
      <c r="C709" s="47">
        <v>0.25</v>
      </c>
      <c r="D709" s="45">
        <v>5.8500000000000003E-2</v>
      </c>
      <c r="E709" s="45">
        <v>1.003E-3</v>
      </c>
      <c r="F709" s="45">
        <v>998.2</v>
      </c>
      <c r="G709" s="46"/>
      <c r="H709" s="45">
        <v>25</v>
      </c>
      <c r="I709" s="45" t="s">
        <v>12</v>
      </c>
      <c r="J709" s="46"/>
      <c r="K709" s="48">
        <v>3.78</v>
      </c>
    </row>
    <row r="710" spans="1:11">
      <c r="A710" s="45" t="s">
        <v>24</v>
      </c>
      <c r="B710" s="46"/>
      <c r="C710" s="47">
        <v>0.25</v>
      </c>
      <c r="D710" s="45">
        <v>5.0700000000000002E-2</v>
      </c>
      <c r="E710" s="45">
        <v>1.003E-3</v>
      </c>
      <c r="F710" s="45">
        <v>998.2</v>
      </c>
      <c r="G710" s="46"/>
      <c r="H710" s="45">
        <v>25</v>
      </c>
      <c r="I710" s="45" t="s">
        <v>12</v>
      </c>
      <c r="J710" s="46"/>
      <c r="K710" s="48">
        <v>2.65</v>
      </c>
    </row>
    <row r="711" spans="1:11">
      <c r="A711" s="45" t="s">
        <v>24</v>
      </c>
      <c r="B711" s="46"/>
      <c r="C711" s="47">
        <v>0.25</v>
      </c>
      <c r="D711" s="45">
        <v>5.0700000000000002E-2</v>
      </c>
      <c r="E711" s="45">
        <v>1.003E-3</v>
      </c>
      <c r="F711" s="45">
        <v>998.2</v>
      </c>
      <c r="G711" s="46"/>
      <c r="H711" s="45">
        <v>25</v>
      </c>
      <c r="I711" s="45" t="s">
        <v>12</v>
      </c>
      <c r="J711" s="46"/>
      <c r="K711" s="48">
        <v>3.17</v>
      </c>
    </row>
    <row r="712" spans="1:11">
      <c r="A712" s="45" t="s">
        <v>24</v>
      </c>
      <c r="B712" s="46"/>
      <c r="C712" s="47">
        <v>0.25</v>
      </c>
      <c r="D712" s="45">
        <v>5.0700000000000002E-2</v>
      </c>
      <c r="E712" s="45">
        <v>1.003E-3</v>
      </c>
      <c r="F712" s="45">
        <v>998.2</v>
      </c>
      <c r="G712" s="46"/>
      <c r="H712" s="45">
        <v>25</v>
      </c>
      <c r="I712" s="45" t="s">
        <v>12</v>
      </c>
      <c r="J712" s="46"/>
      <c r="K712" s="48">
        <v>3.58</v>
      </c>
    </row>
    <row r="713" spans="1:11">
      <c r="A713" s="45" t="s">
        <v>24</v>
      </c>
      <c r="B713" s="46"/>
      <c r="C713" s="47">
        <v>0.25</v>
      </c>
      <c r="D713" s="45">
        <v>5.0700000000000002E-2</v>
      </c>
      <c r="E713" s="45">
        <v>1.003E-3</v>
      </c>
      <c r="F713" s="45">
        <v>998.2</v>
      </c>
      <c r="G713" s="46"/>
      <c r="H713" s="45">
        <v>25</v>
      </c>
      <c r="I713" s="45" t="s">
        <v>12</v>
      </c>
      <c r="J713" s="46"/>
      <c r="K713" s="48">
        <v>3.51</v>
      </c>
    </row>
    <row r="714" spans="1:11">
      <c r="A714" s="45" t="s">
        <v>24</v>
      </c>
      <c r="B714" s="46"/>
      <c r="C714" s="47">
        <v>0.25</v>
      </c>
      <c r="D714" s="45">
        <v>5.0700000000000002E-2</v>
      </c>
      <c r="E714" s="45">
        <v>1.003E-3</v>
      </c>
      <c r="F714" s="45">
        <v>998.2</v>
      </c>
      <c r="G714" s="46"/>
      <c r="H714" s="45">
        <v>25</v>
      </c>
      <c r="I714" s="45" t="s">
        <v>12</v>
      </c>
      <c r="J714" s="46"/>
      <c r="K714" s="48">
        <v>3.78</v>
      </c>
    </row>
    <row r="715" spans="1:11">
      <c r="A715" s="45" t="s">
        <v>24</v>
      </c>
      <c r="B715" s="46"/>
      <c r="C715" s="47">
        <v>0.25</v>
      </c>
      <c r="D715" s="45">
        <v>5.0700000000000002E-2</v>
      </c>
      <c r="E715" s="45">
        <v>1.003E-3</v>
      </c>
      <c r="F715" s="45">
        <v>998.2</v>
      </c>
      <c r="G715" s="46"/>
      <c r="H715" s="45">
        <v>25</v>
      </c>
      <c r="I715" s="45" t="s">
        <v>12</v>
      </c>
      <c r="J715" s="46"/>
      <c r="K715" s="48">
        <v>3.81</v>
      </c>
    </row>
    <row r="716" spans="1:11">
      <c r="A716" s="45" t="s">
        <v>24</v>
      </c>
      <c r="B716" s="46"/>
      <c r="C716" s="47">
        <v>0.25</v>
      </c>
      <c r="D716" s="45">
        <v>4.7800000000000002E-2</v>
      </c>
      <c r="E716" s="45">
        <v>1.003E-3</v>
      </c>
      <c r="F716" s="45">
        <v>998.2</v>
      </c>
      <c r="G716" s="46"/>
      <c r="H716" s="45">
        <v>25</v>
      </c>
      <c r="I716" s="45" t="s">
        <v>12</v>
      </c>
      <c r="J716" s="46"/>
      <c r="K716" s="48">
        <v>2.33</v>
      </c>
    </row>
    <row r="717" spans="1:11">
      <c r="A717" s="45" t="s">
        <v>24</v>
      </c>
      <c r="B717" s="46"/>
      <c r="C717" s="47">
        <v>0.25</v>
      </c>
      <c r="D717" s="45">
        <v>4.7800000000000002E-2</v>
      </c>
      <c r="E717" s="45">
        <v>1.003E-3</v>
      </c>
      <c r="F717" s="45">
        <v>998.2</v>
      </c>
      <c r="G717" s="46"/>
      <c r="H717" s="45">
        <v>25</v>
      </c>
      <c r="I717" s="45" t="s">
        <v>12</v>
      </c>
      <c r="J717" s="46"/>
      <c r="K717" s="48">
        <v>3.27</v>
      </c>
    </row>
    <row r="718" spans="1:11">
      <c r="A718" s="45" t="s">
        <v>24</v>
      </c>
      <c r="B718" s="46"/>
      <c r="C718" s="47">
        <v>0.25</v>
      </c>
      <c r="D718" s="45">
        <v>4.7800000000000002E-2</v>
      </c>
      <c r="E718" s="45">
        <v>1.003E-3</v>
      </c>
      <c r="F718" s="45">
        <v>998.2</v>
      </c>
      <c r="G718" s="46"/>
      <c r="H718" s="45">
        <v>25</v>
      </c>
      <c r="I718" s="45" t="s">
        <v>12</v>
      </c>
      <c r="J718" s="46"/>
      <c r="K718" s="48">
        <v>3.56</v>
      </c>
    </row>
    <row r="719" spans="1:11">
      <c r="A719" s="45" t="s">
        <v>24</v>
      </c>
      <c r="B719" s="46"/>
      <c r="C719" s="47">
        <v>0.25</v>
      </c>
      <c r="D719" s="45">
        <v>4.7800000000000002E-2</v>
      </c>
      <c r="E719" s="45">
        <v>1.003E-3</v>
      </c>
      <c r="F719" s="45">
        <v>998.2</v>
      </c>
      <c r="G719" s="46"/>
      <c r="H719" s="45">
        <v>25</v>
      </c>
      <c r="I719" s="45" t="s">
        <v>12</v>
      </c>
      <c r="J719" s="46"/>
      <c r="K719" s="48">
        <v>3.68</v>
      </c>
    </row>
    <row r="720" spans="1:11">
      <c r="A720" s="45" t="s">
        <v>24</v>
      </c>
      <c r="B720" s="46"/>
      <c r="C720" s="47">
        <v>0.25</v>
      </c>
      <c r="D720" s="45">
        <v>4.7800000000000002E-2</v>
      </c>
      <c r="E720" s="45">
        <v>1.003E-3</v>
      </c>
      <c r="F720" s="45">
        <v>998.2</v>
      </c>
      <c r="G720" s="46"/>
      <c r="H720" s="45">
        <v>25</v>
      </c>
      <c r="I720" s="45" t="s">
        <v>12</v>
      </c>
      <c r="J720" s="46"/>
      <c r="K720" s="48">
        <v>3.97</v>
      </c>
    </row>
    <row r="721" spans="1:11">
      <c r="A721" s="45" t="s">
        <v>24</v>
      </c>
      <c r="B721" s="46"/>
      <c r="C721" s="47">
        <v>0.25</v>
      </c>
      <c r="D721" s="45">
        <v>4.7800000000000002E-2</v>
      </c>
      <c r="E721" s="45">
        <v>1.003E-3</v>
      </c>
      <c r="F721" s="45">
        <v>998.2</v>
      </c>
      <c r="G721" s="46"/>
      <c r="H721" s="45">
        <v>25</v>
      </c>
      <c r="I721" s="45" t="s">
        <v>12</v>
      </c>
      <c r="J721" s="46"/>
      <c r="K721" s="48">
        <v>3.83</v>
      </c>
    </row>
    <row r="722" spans="1:11">
      <c r="A722" s="45" t="s">
        <v>24</v>
      </c>
      <c r="B722" s="46"/>
      <c r="C722" s="47">
        <v>0.34</v>
      </c>
      <c r="D722" s="45">
        <v>5.8500000000000003E-2</v>
      </c>
      <c r="E722" s="45">
        <v>1.003E-3</v>
      </c>
      <c r="F722" s="45">
        <v>998.2</v>
      </c>
      <c r="G722" s="46"/>
      <c r="H722" s="45">
        <v>25</v>
      </c>
      <c r="I722" s="45" t="s">
        <v>12</v>
      </c>
      <c r="J722" s="46"/>
      <c r="K722" s="48">
        <v>2.71</v>
      </c>
    </row>
    <row r="723" spans="1:11">
      <c r="A723" s="45" t="s">
        <v>24</v>
      </c>
      <c r="B723" s="46"/>
      <c r="C723" s="47">
        <v>0.34</v>
      </c>
      <c r="D723" s="45">
        <v>5.8500000000000003E-2</v>
      </c>
      <c r="E723" s="45">
        <v>1.003E-3</v>
      </c>
      <c r="F723" s="45">
        <v>998.2</v>
      </c>
      <c r="G723" s="46"/>
      <c r="H723" s="45">
        <v>25</v>
      </c>
      <c r="I723" s="45" t="s">
        <v>12</v>
      </c>
      <c r="J723" s="46"/>
      <c r="K723" s="48">
        <v>3.82</v>
      </c>
    </row>
    <row r="724" spans="1:11">
      <c r="A724" s="45" t="s">
        <v>24</v>
      </c>
      <c r="B724" s="46"/>
      <c r="C724" s="47">
        <v>0.34</v>
      </c>
      <c r="D724" s="45">
        <v>5.8500000000000003E-2</v>
      </c>
      <c r="E724" s="45">
        <v>1.003E-3</v>
      </c>
      <c r="F724" s="45">
        <v>998.2</v>
      </c>
      <c r="G724" s="46"/>
      <c r="H724" s="45">
        <v>25</v>
      </c>
      <c r="I724" s="45" t="s">
        <v>12</v>
      </c>
      <c r="J724" s="46"/>
      <c r="K724" s="48">
        <v>4.16</v>
      </c>
    </row>
    <row r="725" spans="1:11">
      <c r="A725" s="45" t="s">
        <v>24</v>
      </c>
      <c r="B725" s="46"/>
      <c r="C725" s="47">
        <v>0.34</v>
      </c>
      <c r="D725" s="45">
        <v>5.8500000000000003E-2</v>
      </c>
      <c r="E725" s="45">
        <v>1.003E-3</v>
      </c>
      <c r="F725" s="45">
        <v>998.2</v>
      </c>
      <c r="G725" s="46"/>
      <c r="H725" s="45">
        <v>25</v>
      </c>
      <c r="I725" s="45" t="s">
        <v>12</v>
      </c>
      <c r="J725" s="46"/>
      <c r="K725" s="48">
        <v>4.12</v>
      </c>
    </row>
    <row r="726" spans="1:11">
      <c r="A726" s="45" t="s">
        <v>24</v>
      </c>
      <c r="B726" s="46"/>
      <c r="C726" s="47">
        <v>0.34</v>
      </c>
      <c r="D726" s="45">
        <v>5.8500000000000003E-2</v>
      </c>
      <c r="E726" s="45">
        <v>1.003E-3</v>
      </c>
      <c r="F726" s="45">
        <v>998.2</v>
      </c>
      <c r="G726" s="46"/>
      <c r="H726" s="45">
        <v>25</v>
      </c>
      <c r="I726" s="45" t="s">
        <v>12</v>
      </c>
      <c r="J726" s="46"/>
      <c r="K726" s="48">
        <v>4.03</v>
      </c>
    </row>
    <row r="727" spans="1:11">
      <c r="A727" s="45" t="s">
        <v>24</v>
      </c>
      <c r="B727" s="46"/>
      <c r="C727" s="47">
        <v>0.34</v>
      </c>
      <c r="D727" s="45">
        <v>5.8500000000000003E-2</v>
      </c>
      <c r="E727" s="45">
        <v>1.003E-3</v>
      </c>
      <c r="F727" s="45">
        <v>998.2</v>
      </c>
      <c r="G727" s="46"/>
      <c r="H727" s="45">
        <v>25</v>
      </c>
      <c r="I727" s="45" t="s">
        <v>12</v>
      </c>
      <c r="J727" s="46"/>
      <c r="K727" s="48">
        <v>4.05</v>
      </c>
    </row>
    <row r="728" spans="1:11">
      <c r="A728" s="45" t="s">
        <v>24</v>
      </c>
      <c r="B728" s="46"/>
      <c r="C728" s="47">
        <v>0.34</v>
      </c>
      <c r="D728" s="45">
        <v>5.0700000000000002E-2</v>
      </c>
      <c r="E728" s="45">
        <v>1.003E-3</v>
      </c>
      <c r="F728" s="45">
        <v>998.2</v>
      </c>
      <c r="G728" s="46"/>
      <c r="H728" s="45">
        <v>25</v>
      </c>
      <c r="I728" s="45" t="s">
        <v>12</v>
      </c>
      <c r="J728" s="46"/>
      <c r="K728" s="48">
        <v>2.72</v>
      </c>
    </row>
    <row r="729" spans="1:11">
      <c r="A729" s="45" t="s">
        <v>24</v>
      </c>
      <c r="B729" s="46"/>
      <c r="C729" s="47">
        <v>0.34</v>
      </c>
      <c r="D729" s="45">
        <v>5.0700000000000002E-2</v>
      </c>
      <c r="E729" s="45">
        <v>1.003E-3</v>
      </c>
      <c r="F729" s="45">
        <v>998.2</v>
      </c>
      <c r="G729" s="46"/>
      <c r="H729" s="45">
        <v>25</v>
      </c>
      <c r="I729" s="45" t="s">
        <v>12</v>
      </c>
      <c r="J729" s="46"/>
      <c r="K729" s="48">
        <v>3.72</v>
      </c>
    </row>
    <row r="730" spans="1:11">
      <c r="A730" s="45" t="s">
        <v>24</v>
      </c>
      <c r="B730" s="46"/>
      <c r="C730" s="47">
        <v>0.34</v>
      </c>
      <c r="D730" s="45">
        <v>5.0700000000000002E-2</v>
      </c>
      <c r="E730" s="45">
        <v>1.003E-3</v>
      </c>
      <c r="F730" s="45">
        <v>998.2</v>
      </c>
      <c r="G730" s="46"/>
      <c r="H730" s="45">
        <v>25</v>
      </c>
      <c r="I730" s="45" t="s">
        <v>12</v>
      </c>
      <c r="J730" s="46"/>
      <c r="K730" s="48">
        <v>4.1500000000000004</v>
      </c>
    </row>
    <row r="731" spans="1:11">
      <c r="A731" s="45" t="s">
        <v>24</v>
      </c>
      <c r="B731" s="46"/>
      <c r="C731" s="47">
        <v>0.34</v>
      </c>
      <c r="D731" s="45">
        <v>5.0700000000000002E-2</v>
      </c>
      <c r="E731" s="45">
        <v>1.003E-3</v>
      </c>
      <c r="F731" s="45">
        <v>998.2</v>
      </c>
      <c r="G731" s="46"/>
      <c r="H731" s="45">
        <v>25</v>
      </c>
      <c r="I731" s="45" t="s">
        <v>12</v>
      </c>
      <c r="J731" s="46"/>
      <c r="K731" s="48">
        <v>4.04</v>
      </c>
    </row>
    <row r="732" spans="1:11">
      <c r="A732" s="45" t="s">
        <v>24</v>
      </c>
      <c r="B732" s="46"/>
      <c r="C732" s="47">
        <v>0.34</v>
      </c>
      <c r="D732" s="45">
        <v>5.0700000000000002E-2</v>
      </c>
      <c r="E732" s="45">
        <v>1.003E-3</v>
      </c>
      <c r="F732" s="45">
        <v>998.2</v>
      </c>
      <c r="G732" s="46"/>
      <c r="H732" s="45">
        <v>25</v>
      </c>
      <c r="I732" s="45" t="s">
        <v>12</v>
      </c>
      <c r="J732" s="46"/>
      <c r="K732" s="48">
        <v>4.0599999999999996</v>
      </c>
    </row>
    <row r="733" spans="1:11">
      <c r="A733" s="45" t="s">
        <v>24</v>
      </c>
      <c r="B733" s="46"/>
      <c r="C733" s="47">
        <v>0.34</v>
      </c>
      <c r="D733" s="45">
        <v>5.0700000000000002E-2</v>
      </c>
      <c r="E733" s="45">
        <v>1.003E-3</v>
      </c>
      <c r="F733" s="45">
        <v>998.2</v>
      </c>
      <c r="G733" s="46"/>
      <c r="H733" s="45">
        <v>25</v>
      </c>
      <c r="I733" s="45" t="s">
        <v>12</v>
      </c>
      <c r="J733" s="46"/>
      <c r="K733" s="48">
        <v>4.03</v>
      </c>
    </row>
    <row r="734" spans="1:11">
      <c r="A734" s="45" t="s">
        <v>24</v>
      </c>
      <c r="B734" s="46"/>
      <c r="C734" s="47">
        <v>0.34</v>
      </c>
      <c r="D734" s="45">
        <v>4.7800000000000002E-2</v>
      </c>
      <c r="E734" s="45">
        <v>1.003E-3</v>
      </c>
      <c r="F734" s="45">
        <v>998.2</v>
      </c>
      <c r="G734" s="46"/>
      <c r="H734" s="45">
        <v>25</v>
      </c>
      <c r="I734" s="45" t="s">
        <v>12</v>
      </c>
      <c r="J734" s="46"/>
      <c r="K734" s="48">
        <v>2.69</v>
      </c>
    </row>
    <row r="735" spans="1:11">
      <c r="A735" s="45" t="s">
        <v>24</v>
      </c>
      <c r="B735" s="46"/>
      <c r="C735" s="47">
        <v>0.34</v>
      </c>
      <c r="D735" s="45">
        <v>4.7800000000000002E-2</v>
      </c>
      <c r="E735" s="45">
        <v>1.003E-3</v>
      </c>
      <c r="F735" s="45">
        <v>998.2</v>
      </c>
      <c r="G735" s="46"/>
      <c r="H735" s="45">
        <v>25</v>
      </c>
      <c r="I735" s="45" t="s">
        <v>12</v>
      </c>
      <c r="J735" s="46"/>
      <c r="K735" s="48">
        <v>3.86</v>
      </c>
    </row>
    <row r="736" spans="1:11">
      <c r="A736" s="45" t="s">
        <v>24</v>
      </c>
      <c r="B736" s="46"/>
      <c r="C736" s="47">
        <v>0.34</v>
      </c>
      <c r="D736" s="45">
        <v>4.7800000000000002E-2</v>
      </c>
      <c r="E736" s="45">
        <v>1.003E-3</v>
      </c>
      <c r="F736" s="45">
        <v>998.2</v>
      </c>
      <c r="G736" s="46"/>
      <c r="H736" s="45">
        <v>25</v>
      </c>
      <c r="I736" s="45" t="s">
        <v>12</v>
      </c>
      <c r="J736" s="46"/>
      <c r="K736" s="48">
        <v>4.03</v>
      </c>
    </row>
    <row r="737" spans="1:11">
      <c r="A737" s="45" t="s">
        <v>24</v>
      </c>
      <c r="B737" s="46"/>
      <c r="C737" s="47">
        <v>0.34</v>
      </c>
      <c r="D737" s="45">
        <v>4.7800000000000002E-2</v>
      </c>
      <c r="E737" s="45">
        <v>1.003E-3</v>
      </c>
      <c r="F737" s="45">
        <v>998.2</v>
      </c>
      <c r="G737" s="46"/>
      <c r="H737" s="45">
        <v>25</v>
      </c>
      <c r="I737" s="45" t="s">
        <v>12</v>
      </c>
      <c r="J737" s="46"/>
      <c r="K737" s="48">
        <v>4.03</v>
      </c>
    </row>
    <row r="738" spans="1:11">
      <c r="A738" s="45" t="s">
        <v>24</v>
      </c>
      <c r="B738" s="46"/>
      <c r="C738" s="47">
        <v>0.34</v>
      </c>
      <c r="D738" s="45">
        <v>4.7800000000000002E-2</v>
      </c>
      <c r="E738" s="45">
        <v>1.003E-3</v>
      </c>
      <c r="F738" s="45">
        <v>998.2</v>
      </c>
      <c r="G738" s="46"/>
      <c r="H738" s="45">
        <v>25</v>
      </c>
      <c r="I738" s="45" t="s">
        <v>12</v>
      </c>
      <c r="J738" s="46"/>
      <c r="K738" s="48">
        <v>4</v>
      </c>
    </row>
    <row r="739" spans="1:11">
      <c r="A739" s="45" t="s">
        <v>24</v>
      </c>
      <c r="B739" s="46"/>
      <c r="C739" s="47">
        <v>0.34</v>
      </c>
      <c r="D739" s="45">
        <v>4.7800000000000002E-2</v>
      </c>
      <c r="E739" s="45">
        <v>1.003E-3</v>
      </c>
      <c r="F739" s="45">
        <v>998.2</v>
      </c>
      <c r="G739" s="46"/>
      <c r="H739" s="45">
        <v>25</v>
      </c>
      <c r="I739" s="45" t="s">
        <v>12</v>
      </c>
      <c r="J739" s="46"/>
      <c r="K739" s="48">
        <v>3.96</v>
      </c>
    </row>
    <row r="740" spans="1:11">
      <c r="A740" s="45" t="s">
        <v>24</v>
      </c>
      <c r="B740" s="46"/>
      <c r="C740" s="47">
        <v>0.41</v>
      </c>
      <c r="D740" s="45">
        <v>5.8500000000000003E-2</v>
      </c>
      <c r="E740" s="45">
        <v>1.003E-3</v>
      </c>
      <c r="F740" s="45">
        <v>998.2</v>
      </c>
      <c r="G740" s="46"/>
      <c r="H740" s="45">
        <v>25</v>
      </c>
      <c r="I740" s="45" t="s">
        <v>12</v>
      </c>
      <c r="J740" s="46"/>
      <c r="K740" s="48">
        <v>3.2</v>
      </c>
    </row>
    <row r="741" spans="1:11">
      <c r="A741" s="45" t="s">
        <v>24</v>
      </c>
      <c r="B741" s="46"/>
      <c r="C741" s="47">
        <v>0.41</v>
      </c>
      <c r="D741" s="45">
        <v>5.8500000000000003E-2</v>
      </c>
      <c r="E741" s="45">
        <v>1.003E-3</v>
      </c>
      <c r="F741" s="45">
        <v>998.2</v>
      </c>
      <c r="G741" s="46"/>
      <c r="H741" s="45">
        <v>25</v>
      </c>
      <c r="I741" s="45" t="s">
        <v>12</v>
      </c>
      <c r="J741" s="46"/>
      <c r="K741" s="48">
        <v>4.55</v>
      </c>
    </row>
    <row r="742" spans="1:11">
      <c r="A742" s="45" t="s">
        <v>24</v>
      </c>
      <c r="B742" s="46"/>
      <c r="C742" s="47">
        <v>0.41</v>
      </c>
      <c r="D742" s="45">
        <v>5.8500000000000003E-2</v>
      </c>
      <c r="E742" s="45">
        <v>1.003E-3</v>
      </c>
      <c r="F742" s="45">
        <v>998.2</v>
      </c>
      <c r="G742" s="46"/>
      <c r="H742" s="45">
        <v>25</v>
      </c>
      <c r="I742" s="45" t="s">
        <v>12</v>
      </c>
      <c r="J742" s="46"/>
      <c r="K742" s="48">
        <v>4.51</v>
      </c>
    </row>
    <row r="743" spans="1:11">
      <c r="A743" s="45" t="s">
        <v>24</v>
      </c>
      <c r="B743" s="46"/>
      <c r="C743" s="47">
        <v>0.41</v>
      </c>
      <c r="D743" s="45">
        <v>5.8500000000000003E-2</v>
      </c>
      <c r="E743" s="45">
        <v>1.003E-3</v>
      </c>
      <c r="F743" s="45">
        <v>998.2</v>
      </c>
      <c r="G743" s="46"/>
      <c r="H743" s="45">
        <v>25</v>
      </c>
      <c r="I743" s="45" t="s">
        <v>12</v>
      </c>
      <c r="J743" s="46"/>
      <c r="K743" s="48">
        <v>4.41</v>
      </c>
    </row>
    <row r="744" spans="1:11">
      <c r="A744" s="45" t="s">
        <v>24</v>
      </c>
      <c r="B744" s="46"/>
      <c r="C744" s="47">
        <v>0.41</v>
      </c>
      <c r="D744" s="45">
        <v>5.8500000000000003E-2</v>
      </c>
      <c r="E744" s="45">
        <v>1.003E-3</v>
      </c>
      <c r="F744" s="45">
        <v>998.2</v>
      </c>
      <c r="G744" s="46"/>
      <c r="H744" s="45">
        <v>25</v>
      </c>
      <c r="I744" s="45" t="s">
        <v>12</v>
      </c>
      <c r="J744" s="46"/>
      <c r="K744" s="48">
        <v>4.5</v>
      </c>
    </row>
    <row r="745" spans="1:11">
      <c r="A745" s="45" t="s">
        <v>24</v>
      </c>
      <c r="B745" s="46"/>
      <c r="C745" s="47">
        <v>0.41</v>
      </c>
      <c r="D745" s="45">
        <v>5.8500000000000003E-2</v>
      </c>
      <c r="E745" s="45">
        <v>1.003E-3</v>
      </c>
      <c r="F745" s="45">
        <v>998.2</v>
      </c>
      <c r="G745" s="46"/>
      <c r="H745" s="45">
        <v>25</v>
      </c>
      <c r="I745" s="45" t="s">
        <v>12</v>
      </c>
      <c r="J745" s="46"/>
      <c r="K745" s="48">
        <v>4.3499999999999996</v>
      </c>
    </row>
    <row r="746" spans="1:11">
      <c r="A746" s="45" t="s">
        <v>24</v>
      </c>
      <c r="B746" s="46"/>
      <c r="C746" s="47">
        <v>0.41</v>
      </c>
      <c r="D746" s="45">
        <v>5.0700000000000002E-2</v>
      </c>
      <c r="E746" s="45">
        <v>1.003E-3</v>
      </c>
      <c r="F746" s="45">
        <v>998.2</v>
      </c>
      <c r="G746" s="46"/>
      <c r="H746" s="45">
        <v>25</v>
      </c>
      <c r="I746" s="45" t="s">
        <v>12</v>
      </c>
      <c r="J746" s="46"/>
      <c r="K746" s="48">
        <v>3.08</v>
      </c>
    </row>
    <row r="747" spans="1:11">
      <c r="A747" s="45" t="s">
        <v>24</v>
      </c>
      <c r="B747" s="46"/>
      <c r="C747" s="47">
        <v>0.41</v>
      </c>
      <c r="D747" s="45">
        <v>5.0700000000000002E-2</v>
      </c>
      <c r="E747" s="45">
        <v>1.003E-3</v>
      </c>
      <c r="F747" s="45">
        <v>998.2</v>
      </c>
      <c r="G747" s="46"/>
      <c r="H747" s="45">
        <v>25</v>
      </c>
      <c r="I747" s="45" t="s">
        <v>12</v>
      </c>
      <c r="J747" s="46"/>
      <c r="K747" s="48">
        <v>4.5</v>
      </c>
    </row>
    <row r="748" spans="1:11">
      <c r="A748" s="45" t="s">
        <v>24</v>
      </c>
      <c r="B748" s="46"/>
      <c r="C748" s="47">
        <v>0.41</v>
      </c>
      <c r="D748" s="45">
        <v>5.0700000000000002E-2</v>
      </c>
      <c r="E748" s="45">
        <v>1.003E-3</v>
      </c>
      <c r="F748" s="45">
        <v>998.2</v>
      </c>
      <c r="G748" s="46"/>
      <c r="H748" s="45">
        <v>25</v>
      </c>
      <c r="I748" s="45" t="s">
        <v>12</v>
      </c>
      <c r="J748" s="46"/>
      <c r="K748" s="48">
        <v>4.22</v>
      </c>
    </row>
    <row r="749" spans="1:11">
      <c r="A749" s="45" t="s">
        <v>24</v>
      </c>
      <c r="B749" s="46"/>
      <c r="C749" s="47">
        <v>0.41</v>
      </c>
      <c r="D749" s="45">
        <v>5.0700000000000002E-2</v>
      </c>
      <c r="E749" s="45">
        <v>1.003E-3</v>
      </c>
      <c r="F749" s="45">
        <v>998.2</v>
      </c>
      <c r="G749" s="46"/>
      <c r="H749" s="45">
        <v>25</v>
      </c>
      <c r="I749" s="45" t="s">
        <v>12</v>
      </c>
      <c r="J749" s="46"/>
      <c r="K749" s="48">
        <v>4.2699999999999996</v>
      </c>
    </row>
    <row r="750" spans="1:11">
      <c r="A750" s="45" t="s">
        <v>24</v>
      </c>
      <c r="B750" s="46"/>
      <c r="C750" s="47">
        <v>0.41</v>
      </c>
      <c r="D750" s="45">
        <v>5.0700000000000002E-2</v>
      </c>
      <c r="E750" s="45">
        <v>1.003E-3</v>
      </c>
      <c r="F750" s="45">
        <v>998.2</v>
      </c>
      <c r="G750" s="46"/>
      <c r="H750" s="45">
        <v>25</v>
      </c>
      <c r="I750" s="45" t="s">
        <v>12</v>
      </c>
      <c r="J750" s="46"/>
      <c r="K750" s="48">
        <v>4.2300000000000004</v>
      </c>
    </row>
    <row r="751" spans="1:11">
      <c r="A751" s="45" t="s">
        <v>24</v>
      </c>
      <c r="B751" s="46"/>
      <c r="C751" s="47">
        <v>0.41</v>
      </c>
      <c r="D751" s="45">
        <v>5.0700000000000002E-2</v>
      </c>
      <c r="E751" s="45">
        <v>1.003E-3</v>
      </c>
      <c r="F751" s="45">
        <v>998.2</v>
      </c>
      <c r="G751" s="46"/>
      <c r="H751" s="45">
        <v>25</v>
      </c>
      <c r="I751" s="45" t="s">
        <v>12</v>
      </c>
      <c r="J751" s="46"/>
      <c r="K751" s="48">
        <v>4.21</v>
      </c>
    </row>
    <row r="752" spans="1:11">
      <c r="A752" s="45" t="s">
        <v>24</v>
      </c>
      <c r="B752" s="46"/>
      <c r="C752" s="47">
        <v>0.41</v>
      </c>
      <c r="D752" s="45">
        <v>4.7800000000000002E-2</v>
      </c>
      <c r="E752" s="45">
        <v>1.003E-3</v>
      </c>
      <c r="F752" s="45">
        <v>998.2</v>
      </c>
      <c r="G752" s="46"/>
      <c r="H752" s="45">
        <v>25</v>
      </c>
      <c r="I752" s="45" t="s">
        <v>12</v>
      </c>
      <c r="J752" s="46"/>
      <c r="K752" s="48">
        <v>2.94</v>
      </c>
    </row>
    <row r="753" spans="1:11">
      <c r="A753" s="45" t="s">
        <v>24</v>
      </c>
      <c r="B753" s="46"/>
      <c r="C753" s="47">
        <v>0.41</v>
      </c>
      <c r="D753" s="45">
        <v>4.7800000000000002E-2</v>
      </c>
      <c r="E753" s="45">
        <v>1.003E-3</v>
      </c>
      <c r="F753" s="45">
        <v>998.2</v>
      </c>
      <c r="G753" s="46"/>
      <c r="H753" s="45">
        <v>25</v>
      </c>
      <c r="I753" s="45" t="s">
        <v>12</v>
      </c>
      <c r="J753" s="46"/>
      <c r="K753" s="48">
        <v>4.46</v>
      </c>
    </row>
    <row r="754" spans="1:11">
      <c r="A754" s="45" t="s">
        <v>24</v>
      </c>
      <c r="B754" s="46"/>
      <c r="C754" s="47">
        <v>0.41</v>
      </c>
      <c r="D754" s="45">
        <v>4.7800000000000002E-2</v>
      </c>
      <c r="E754" s="45">
        <v>1.003E-3</v>
      </c>
      <c r="F754" s="45">
        <v>998.2</v>
      </c>
      <c r="G754" s="46"/>
      <c r="H754" s="45">
        <v>25</v>
      </c>
      <c r="I754" s="45" t="s">
        <v>12</v>
      </c>
      <c r="J754" s="46"/>
      <c r="K754" s="48">
        <v>4.2699999999999996</v>
      </c>
    </row>
    <row r="755" spans="1:11">
      <c r="A755" s="45" t="s">
        <v>24</v>
      </c>
      <c r="B755" s="46"/>
      <c r="C755" s="47">
        <v>0.41</v>
      </c>
      <c r="D755" s="45">
        <v>4.7800000000000002E-2</v>
      </c>
      <c r="E755" s="45">
        <v>1.003E-3</v>
      </c>
      <c r="F755" s="45">
        <v>998.2</v>
      </c>
      <c r="G755" s="46"/>
      <c r="H755" s="45">
        <v>25</v>
      </c>
      <c r="I755" s="45" t="s">
        <v>12</v>
      </c>
      <c r="J755" s="46"/>
      <c r="K755" s="48">
        <v>4.1900000000000004</v>
      </c>
    </row>
    <row r="756" spans="1:11">
      <c r="A756" s="45" t="s">
        <v>24</v>
      </c>
      <c r="B756" s="46"/>
      <c r="C756" s="47">
        <v>0.41</v>
      </c>
      <c r="D756" s="45">
        <v>4.7800000000000002E-2</v>
      </c>
      <c r="E756" s="45">
        <v>1.003E-3</v>
      </c>
      <c r="F756" s="45">
        <v>998.2</v>
      </c>
      <c r="G756" s="46"/>
      <c r="H756" s="45">
        <v>25</v>
      </c>
      <c r="I756" s="45" t="s">
        <v>12</v>
      </c>
      <c r="J756" s="46"/>
      <c r="K756" s="48">
        <v>4.28</v>
      </c>
    </row>
    <row r="757" spans="1:11">
      <c r="A757" s="45" t="s">
        <v>24</v>
      </c>
      <c r="B757" s="46"/>
      <c r="C757" s="47">
        <v>0.41</v>
      </c>
      <c r="D757" s="45">
        <v>4.7800000000000002E-2</v>
      </c>
      <c r="E757" s="45">
        <v>1.003E-3</v>
      </c>
      <c r="F757" s="45">
        <v>998.2</v>
      </c>
      <c r="G757" s="46"/>
      <c r="H757" s="45">
        <v>25</v>
      </c>
      <c r="I757" s="45" t="s">
        <v>12</v>
      </c>
      <c r="J757" s="46"/>
      <c r="K757" s="48">
        <v>4.33</v>
      </c>
    </row>
    <row r="758" spans="1:11">
      <c r="A758" s="45" t="s">
        <v>24</v>
      </c>
      <c r="B758" s="46"/>
      <c r="C758" s="47">
        <v>0.51</v>
      </c>
      <c r="D758" s="45">
        <v>5.8500000000000003E-2</v>
      </c>
      <c r="E758" s="45">
        <v>1.003E-3</v>
      </c>
      <c r="F758" s="45">
        <v>998.2</v>
      </c>
      <c r="G758" s="46"/>
      <c r="H758" s="45">
        <v>25</v>
      </c>
      <c r="I758" s="45" t="s">
        <v>12</v>
      </c>
      <c r="J758" s="46"/>
      <c r="K758" s="48">
        <v>3.32</v>
      </c>
    </row>
    <row r="759" spans="1:11">
      <c r="A759" s="45" t="s">
        <v>24</v>
      </c>
      <c r="B759" s="46"/>
      <c r="C759" s="47">
        <v>0.51</v>
      </c>
      <c r="D759" s="45">
        <v>5.8500000000000003E-2</v>
      </c>
      <c r="E759" s="45">
        <v>1.003E-3</v>
      </c>
      <c r="F759" s="45">
        <v>998.2</v>
      </c>
      <c r="G759" s="46"/>
      <c r="H759" s="45">
        <v>25</v>
      </c>
      <c r="I759" s="45" t="s">
        <v>12</v>
      </c>
      <c r="J759" s="46"/>
      <c r="K759" s="48">
        <v>4.6399999999999997</v>
      </c>
    </row>
    <row r="760" spans="1:11">
      <c r="A760" s="45" t="s">
        <v>24</v>
      </c>
      <c r="B760" s="46"/>
      <c r="C760" s="47">
        <v>0.51</v>
      </c>
      <c r="D760" s="45">
        <v>5.8500000000000003E-2</v>
      </c>
      <c r="E760" s="45">
        <v>1.003E-3</v>
      </c>
      <c r="F760" s="45">
        <v>998.2</v>
      </c>
      <c r="G760" s="46"/>
      <c r="H760" s="45">
        <v>25</v>
      </c>
      <c r="I760" s="45" t="s">
        <v>12</v>
      </c>
      <c r="J760" s="46"/>
      <c r="K760" s="48">
        <v>4.49</v>
      </c>
    </row>
    <row r="761" spans="1:11">
      <c r="A761" s="45" t="s">
        <v>24</v>
      </c>
      <c r="B761" s="46"/>
      <c r="C761" s="47">
        <v>0.51</v>
      </c>
      <c r="D761" s="45">
        <v>5.8500000000000003E-2</v>
      </c>
      <c r="E761" s="45">
        <v>1.003E-3</v>
      </c>
      <c r="F761" s="45">
        <v>998.2</v>
      </c>
      <c r="G761" s="46"/>
      <c r="H761" s="45">
        <v>25</v>
      </c>
      <c r="I761" s="45" t="s">
        <v>12</v>
      </c>
      <c r="J761" s="46"/>
      <c r="K761" s="48">
        <v>4.53</v>
      </c>
    </row>
    <row r="762" spans="1:11">
      <c r="A762" s="45" t="s">
        <v>24</v>
      </c>
      <c r="B762" s="46"/>
      <c r="C762" s="47">
        <v>0.51</v>
      </c>
      <c r="D762" s="45">
        <v>5.8500000000000003E-2</v>
      </c>
      <c r="E762" s="45">
        <v>1.003E-3</v>
      </c>
      <c r="F762" s="45">
        <v>998.2</v>
      </c>
      <c r="G762" s="46"/>
      <c r="H762" s="45">
        <v>25</v>
      </c>
      <c r="I762" s="45" t="s">
        <v>12</v>
      </c>
      <c r="J762" s="46"/>
      <c r="K762" s="48">
        <v>4.47</v>
      </c>
    </row>
    <row r="763" spans="1:11">
      <c r="A763" s="45" t="s">
        <v>24</v>
      </c>
      <c r="B763" s="46"/>
      <c r="C763" s="47">
        <v>0.51</v>
      </c>
      <c r="D763" s="45">
        <v>5.8500000000000003E-2</v>
      </c>
      <c r="E763" s="45">
        <v>1.003E-3</v>
      </c>
      <c r="F763" s="45">
        <v>998.2</v>
      </c>
      <c r="G763" s="46"/>
      <c r="H763" s="45">
        <v>25</v>
      </c>
      <c r="I763" s="45" t="s">
        <v>12</v>
      </c>
      <c r="J763" s="46"/>
      <c r="K763" s="48">
        <v>4.4400000000000004</v>
      </c>
    </row>
    <row r="764" spans="1:11">
      <c r="A764" s="45" t="s">
        <v>24</v>
      </c>
      <c r="B764" s="46"/>
      <c r="C764" s="47">
        <v>0.51</v>
      </c>
      <c r="D764" s="45">
        <v>5.0700000000000002E-2</v>
      </c>
      <c r="E764" s="45">
        <v>1.003E-3</v>
      </c>
      <c r="F764" s="45">
        <v>998.2</v>
      </c>
      <c r="G764" s="46"/>
      <c r="H764" s="45">
        <v>25</v>
      </c>
      <c r="I764" s="45" t="s">
        <v>12</v>
      </c>
      <c r="J764" s="46"/>
      <c r="K764" s="48">
        <v>3.48</v>
      </c>
    </row>
    <row r="765" spans="1:11">
      <c r="A765" s="45" t="s">
        <v>24</v>
      </c>
      <c r="B765" s="46"/>
      <c r="C765" s="47">
        <v>0.51</v>
      </c>
      <c r="D765" s="45">
        <v>5.0700000000000002E-2</v>
      </c>
      <c r="E765" s="45">
        <v>1.003E-3</v>
      </c>
      <c r="F765" s="45">
        <v>998.2</v>
      </c>
      <c r="G765" s="46"/>
      <c r="H765" s="45">
        <v>25</v>
      </c>
      <c r="I765" s="45" t="s">
        <v>12</v>
      </c>
      <c r="J765" s="46"/>
      <c r="K765" s="48">
        <v>4.5999999999999996</v>
      </c>
    </row>
    <row r="766" spans="1:11">
      <c r="A766" s="45" t="s">
        <v>24</v>
      </c>
      <c r="B766" s="46"/>
      <c r="C766" s="47">
        <v>0.51</v>
      </c>
      <c r="D766" s="45">
        <v>5.0700000000000002E-2</v>
      </c>
      <c r="E766" s="45">
        <v>1.003E-3</v>
      </c>
      <c r="F766" s="45">
        <v>998.2</v>
      </c>
      <c r="G766" s="46"/>
      <c r="H766" s="45">
        <v>25</v>
      </c>
      <c r="I766" s="45" t="s">
        <v>12</v>
      </c>
      <c r="J766" s="46"/>
      <c r="K766" s="48">
        <v>4.4800000000000004</v>
      </c>
    </row>
    <row r="767" spans="1:11">
      <c r="A767" s="45" t="s">
        <v>24</v>
      </c>
      <c r="B767" s="46"/>
      <c r="C767" s="47">
        <v>0.51</v>
      </c>
      <c r="D767" s="45">
        <v>5.0700000000000002E-2</v>
      </c>
      <c r="E767" s="45">
        <v>1.003E-3</v>
      </c>
      <c r="F767" s="45">
        <v>998.2</v>
      </c>
      <c r="G767" s="46"/>
      <c r="H767" s="45">
        <v>25</v>
      </c>
      <c r="I767" s="45" t="s">
        <v>12</v>
      </c>
      <c r="J767" s="46"/>
      <c r="K767" s="48">
        <v>4.6100000000000003</v>
      </c>
    </row>
    <row r="768" spans="1:11">
      <c r="A768" s="45" t="s">
        <v>24</v>
      </c>
      <c r="B768" s="46"/>
      <c r="C768" s="47">
        <v>0.51</v>
      </c>
      <c r="D768" s="45">
        <v>5.0700000000000002E-2</v>
      </c>
      <c r="E768" s="45">
        <v>1.003E-3</v>
      </c>
      <c r="F768" s="45">
        <v>998.2</v>
      </c>
      <c r="G768" s="46"/>
      <c r="H768" s="45">
        <v>25</v>
      </c>
      <c r="I768" s="45" t="s">
        <v>12</v>
      </c>
      <c r="J768" s="46"/>
      <c r="K768" s="48">
        <v>4.53</v>
      </c>
    </row>
    <row r="769" spans="1:11">
      <c r="A769" s="45" t="s">
        <v>24</v>
      </c>
      <c r="B769" s="46"/>
      <c r="C769" s="47">
        <v>0.51</v>
      </c>
      <c r="D769" s="45">
        <v>5.0700000000000002E-2</v>
      </c>
      <c r="E769" s="45">
        <v>1.003E-3</v>
      </c>
      <c r="F769" s="45">
        <v>998.2</v>
      </c>
      <c r="G769" s="46"/>
      <c r="H769" s="45">
        <v>25</v>
      </c>
      <c r="I769" s="45" t="s">
        <v>12</v>
      </c>
      <c r="J769" s="46"/>
      <c r="K769" s="48">
        <v>4.34</v>
      </c>
    </row>
    <row r="770" spans="1:11">
      <c r="A770" s="45" t="s">
        <v>24</v>
      </c>
      <c r="B770" s="46"/>
      <c r="C770" s="47">
        <v>0.51</v>
      </c>
      <c r="D770" s="45">
        <v>4.7800000000000002E-2</v>
      </c>
      <c r="E770" s="45">
        <v>1.003E-3</v>
      </c>
      <c r="F770" s="45">
        <v>998.2</v>
      </c>
      <c r="G770" s="46"/>
      <c r="H770" s="45">
        <v>25</v>
      </c>
      <c r="I770" s="45" t="s">
        <v>12</v>
      </c>
      <c r="J770" s="46"/>
      <c r="K770" s="48">
        <v>4</v>
      </c>
    </row>
    <row r="771" spans="1:11">
      <c r="A771" s="45" t="s">
        <v>24</v>
      </c>
      <c r="B771" s="46"/>
      <c r="C771" s="47">
        <v>0.51</v>
      </c>
      <c r="D771" s="45">
        <v>4.7800000000000002E-2</v>
      </c>
      <c r="E771" s="45">
        <v>1.003E-3</v>
      </c>
      <c r="F771" s="45">
        <v>998.2</v>
      </c>
      <c r="G771" s="46"/>
      <c r="H771" s="45">
        <v>25</v>
      </c>
      <c r="I771" s="45" t="s">
        <v>12</v>
      </c>
      <c r="J771" s="46"/>
      <c r="K771" s="48">
        <v>4.42</v>
      </c>
    </row>
    <row r="772" spans="1:11">
      <c r="A772" s="45" t="s">
        <v>24</v>
      </c>
      <c r="B772" s="46"/>
      <c r="C772" s="47">
        <v>0.51</v>
      </c>
      <c r="D772" s="45">
        <v>4.7800000000000002E-2</v>
      </c>
      <c r="E772" s="45">
        <v>1.003E-3</v>
      </c>
      <c r="F772" s="45">
        <v>998.2</v>
      </c>
      <c r="G772" s="46"/>
      <c r="H772" s="45">
        <v>25</v>
      </c>
      <c r="I772" s="45" t="s">
        <v>12</v>
      </c>
      <c r="J772" s="46"/>
      <c r="K772" s="48">
        <v>4.5599999999999996</v>
      </c>
    </row>
    <row r="773" spans="1:11">
      <c r="A773" s="45" t="s">
        <v>24</v>
      </c>
      <c r="B773" s="46"/>
      <c r="C773" s="47">
        <v>0.51</v>
      </c>
      <c r="D773" s="45">
        <v>4.7800000000000002E-2</v>
      </c>
      <c r="E773" s="45">
        <v>1.003E-3</v>
      </c>
      <c r="F773" s="45">
        <v>998.2</v>
      </c>
      <c r="G773" s="46"/>
      <c r="H773" s="45">
        <v>25</v>
      </c>
      <c r="I773" s="45" t="s">
        <v>12</v>
      </c>
      <c r="J773" s="46"/>
      <c r="K773" s="48">
        <v>4.5999999999999996</v>
      </c>
    </row>
    <row r="774" spans="1:11">
      <c r="A774" s="45" t="s">
        <v>24</v>
      </c>
      <c r="B774" s="46"/>
      <c r="C774" s="47">
        <v>0.51</v>
      </c>
      <c r="D774" s="45">
        <v>4.7800000000000002E-2</v>
      </c>
      <c r="E774" s="45">
        <v>1.003E-3</v>
      </c>
      <c r="F774" s="45">
        <v>998.2</v>
      </c>
      <c r="G774" s="46"/>
      <c r="H774" s="45">
        <v>25</v>
      </c>
      <c r="I774" s="45" t="s">
        <v>12</v>
      </c>
      <c r="J774" s="46"/>
      <c r="K774" s="48">
        <v>4.59</v>
      </c>
    </row>
    <row r="775" spans="1:11">
      <c r="A775" s="45" t="s">
        <v>24</v>
      </c>
      <c r="B775" s="46"/>
      <c r="C775" s="47">
        <v>0.51</v>
      </c>
      <c r="D775" s="45">
        <v>4.7800000000000002E-2</v>
      </c>
      <c r="E775" s="45">
        <v>1.003E-3</v>
      </c>
      <c r="F775" s="45">
        <v>998.2</v>
      </c>
      <c r="G775" s="46"/>
      <c r="H775" s="45">
        <v>25</v>
      </c>
      <c r="I775" s="45" t="s">
        <v>12</v>
      </c>
      <c r="J775" s="46"/>
      <c r="K775" s="48">
        <v>4.3600000000000003</v>
      </c>
    </row>
    <row r="776" spans="1:11">
      <c r="A776" s="45" t="s">
        <v>24</v>
      </c>
      <c r="B776" s="46"/>
      <c r="C776" s="47">
        <v>0.25</v>
      </c>
      <c r="D776" s="45">
        <v>6.4000000000000001E-2</v>
      </c>
      <c r="E776" s="45">
        <v>5.6899999999999999E-2</v>
      </c>
      <c r="F776" s="45">
        <v>1214.5</v>
      </c>
      <c r="G776" s="46"/>
      <c r="H776" s="45">
        <v>25</v>
      </c>
      <c r="I776" s="45" t="s">
        <v>12</v>
      </c>
      <c r="J776" s="46"/>
      <c r="K776" s="48">
        <v>2.13</v>
      </c>
    </row>
    <row r="777" spans="1:11">
      <c r="A777" s="45" t="s">
        <v>24</v>
      </c>
      <c r="B777" s="46"/>
      <c r="C777" s="47">
        <v>0.25</v>
      </c>
      <c r="D777" s="45">
        <v>6.4000000000000001E-2</v>
      </c>
      <c r="E777" s="45">
        <v>5.6899999999999999E-2</v>
      </c>
      <c r="F777" s="45">
        <v>1214.5</v>
      </c>
      <c r="G777" s="46"/>
      <c r="H777" s="45">
        <v>25</v>
      </c>
      <c r="I777" s="45" t="s">
        <v>12</v>
      </c>
      <c r="J777" s="46"/>
      <c r="K777" s="48">
        <v>2.74</v>
      </c>
    </row>
    <row r="778" spans="1:11">
      <c r="A778" s="45" t="s">
        <v>24</v>
      </c>
      <c r="B778" s="46"/>
      <c r="C778" s="47">
        <v>0.25</v>
      </c>
      <c r="D778" s="45">
        <v>6.4000000000000001E-2</v>
      </c>
      <c r="E778" s="45">
        <v>5.6899999999999999E-2</v>
      </c>
      <c r="F778" s="45">
        <v>1214.5</v>
      </c>
      <c r="G778" s="46"/>
      <c r="H778" s="45">
        <v>25</v>
      </c>
      <c r="I778" s="45" t="s">
        <v>12</v>
      </c>
      <c r="J778" s="46"/>
      <c r="K778" s="48">
        <v>3.17</v>
      </c>
    </row>
    <row r="779" spans="1:11">
      <c r="A779" s="45" t="s">
        <v>24</v>
      </c>
      <c r="B779" s="46"/>
      <c r="C779" s="47">
        <v>0.25</v>
      </c>
      <c r="D779" s="45">
        <v>6.4000000000000001E-2</v>
      </c>
      <c r="E779" s="45">
        <v>5.6899999999999999E-2</v>
      </c>
      <c r="F779" s="45">
        <v>1214.5</v>
      </c>
      <c r="G779" s="46"/>
      <c r="H779" s="45">
        <v>25</v>
      </c>
      <c r="I779" s="45" t="s">
        <v>12</v>
      </c>
      <c r="J779" s="46"/>
      <c r="K779" s="48">
        <v>3.37</v>
      </c>
    </row>
    <row r="780" spans="1:11">
      <c r="A780" s="45" t="s">
        <v>24</v>
      </c>
      <c r="B780" s="46"/>
      <c r="C780" s="47">
        <v>0.25</v>
      </c>
      <c r="D780" s="45">
        <v>6.4000000000000001E-2</v>
      </c>
      <c r="E780" s="45">
        <v>5.6899999999999999E-2</v>
      </c>
      <c r="F780" s="45">
        <v>1214.5</v>
      </c>
      <c r="G780" s="46"/>
      <c r="H780" s="45">
        <v>25</v>
      </c>
      <c r="I780" s="45" t="s">
        <v>12</v>
      </c>
      <c r="J780" s="46"/>
      <c r="K780" s="48">
        <v>3.36</v>
      </c>
    </row>
    <row r="781" spans="1:11">
      <c r="A781" s="45" t="s">
        <v>24</v>
      </c>
      <c r="B781" s="46"/>
      <c r="C781" s="47">
        <v>0.25</v>
      </c>
      <c r="D781" s="45">
        <v>6.4000000000000001E-2</v>
      </c>
      <c r="E781" s="45">
        <v>5.6899999999999999E-2</v>
      </c>
      <c r="F781" s="45">
        <v>1214.5</v>
      </c>
      <c r="G781" s="46"/>
      <c r="H781" s="45">
        <v>25</v>
      </c>
      <c r="I781" s="45" t="s">
        <v>12</v>
      </c>
      <c r="J781" s="46"/>
      <c r="K781" s="48">
        <v>3.34</v>
      </c>
    </row>
    <row r="782" spans="1:11">
      <c r="A782" s="45" t="s">
        <v>24</v>
      </c>
      <c r="B782" s="46"/>
      <c r="C782" s="47">
        <v>0.25</v>
      </c>
      <c r="D782" s="45">
        <v>6.3E-2</v>
      </c>
      <c r="E782" s="45">
        <v>0.32700000000000001</v>
      </c>
      <c r="F782" s="45">
        <v>1245.5999999999999</v>
      </c>
      <c r="G782" s="46"/>
      <c r="H782" s="45">
        <v>25</v>
      </c>
      <c r="I782" s="45" t="s">
        <v>12</v>
      </c>
      <c r="J782" s="46"/>
      <c r="K782" s="48">
        <v>3.3</v>
      </c>
    </row>
    <row r="783" spans="1:11">
      <c r="A783" s="45" t="s">
        <v>24</v>
      </c>
      <c r="B783" s="46"/>
      <c r="C783" s="47">
        <v>0.25</v>
      </c>
      <c r="D783" s="45">
        <v>6.3E-2</v>
      </c>
      <c r="E783" s="45">
        <v>0.32700000000000001</v>
      </c>
      <c r="F783" s="45">
        <v>1245.5999999999999</v>
      </c>
      <c r="G783" s="46"/>
      <c r="H783" s="45">
        <v>25</v>
      </c>
      <c r="I783" s="45" t="s">
        <v>12</v>
      </c>
      <c r="J783" s="46"/>
      <c r="K783" s="48">
        <v>3.47</v>
      </c>
    </row>
    <row r="784" spans="1:11">
      <c r="A784" s="45" t="s">
        <v>24</v>
      </c>
      <c r="B784" s="46"/>
      <c r="C784" s="47">
        <v>0.25</v>
      </c>
      <c r="D784" s="45">
        <v>6.3E-2</v>
      </c>
      <c r="E784" s="45">
        <v>0.32700000000000001</v>
      </c>
      <c r="F784" s="45">
        <v>1245.5999999999999</v>
      </c>
      <c r="G784" s="46"/>
      <c r="H784" s="45">
        <v>25</v>
      </c>
      <c r="I784" s="45" t="s">
        <v>12</v>
      </c>
      <c r="J784" s="46"/>
      <c r="K784" s="48">
        <v>4.58</v>
      </c>
    </row>
    <row r="785" spans="1:11">
      <c r="A785" s="45" t="s">
        <v>24</v>
      </c>
      <c r="B785" s="46"/>
      <c r="C785" s="47">
        <v>0.25</v>
      </c>
      <c r="D785" s="45">
        <v>6.3E-2</v>
      </c>
      <c r="E785" s="45">
        <v>0.32700000000000001</v>
      </c>
      <c r="F785" s="45">
        <v>1245.5999999999999</v>
      </c>
      <c r="G785" s="46"/>
      <c r="H785" s="45">
        <v>25</v>
      </c>
      <c r="I785" s="45" t="s">
        <v>12</v>
      </c>
      <c r="J785" s="46"/>
      <c r="K785" s="48">
        <v>5.24</v>
      </c>
    </row>
    <row r="786" spans="1:11">
      <c r="A786" s="45" t="s">
        <v>24</v>
      </c>
      <c r="B786" s="46"/>
      <c r="C786" s="47">
        <v>0.25</v>
      </c>
      <c r="D786" s="45">
        <v>6.3E-2</v>
      </c>
      <c r="E786" s="45">
        <v>0.32700000000000001</v>
      </c>
      <c r="F786" s="45">
        <v>1245.5999999999999</v>
      </c>
      <c r="G786" s="46"/>
      <c r="H786" s="45">
        <v>25</v>
      </c>
      <c r="I786" s="45" t="s">
        <v>12</v>
      </c>
      <c r="J786" s="49"/>
      <c r="K786" s="48">
        <v>5.55</v>
      </c>
    </row>
    <row r="787" spans="1:11">
      <c r="A787" s="45" t="s">
        <v>24</v>
      </c>
      <c r="B787" s="46"/>
      <c r="C787" s="47">
        <v>0.25</v>
      </c>
      <c r="D787" s="45">
        <v>6.3E-2</v>
      </c>
      <c r="E787" s="45">
        <v>0.32700000000000001</v>
      </c>
      <c r="F787" s="45">
        <v>1245.5999999999999</v>
      </c>
      <c r="G787" s="46"/>
      <c r="H787" s="45">
        <v>25</v>
      </c>
      <c r="I787" s="45" t="s">
        <v>12</v>
      </c>
      <c r="J787" s="49"/>
      <c r="K787" s="48">
        <v>5.51</v>
      </c>
    </row>
    <row r="788" spans="1:11">
      <c r="A788" s="45" t="s">
        <v>24</v>
      </c>
      <c r="B788" s="46"/>
      <c r="C788" s="47">
        <v>0.25</v>
      </c>
      <c r="D788" s="45">
        <v>6.25E-2</v>
      </c>
      <c r="E788" s="45">
        <v>0.77500000000000002</v>
      </c>
      <c r="F788" s="45">
        <v>1260</v>
      </c>
      <c r="G788" s="46"/>
      <c r="H788" s="45">
        <v>25</v>
      </c>
      <c r="I788" s="45" t="s">
        <v>12</v>
      </c>
      <c r="J788" s="49"/>
      <c r="K788" s="48">
        <v>3.77</v>
      </c>
    </row>
    <row r="789" spans="1:11">
      <c r="A789" s="45" t="s">
        <v>24</v>
      </c>
      <c r="B789" s="46"/>
      <c r="C789" s="47">
        <v>0.25</v>
      </c>
      <c r="D789" s="45">
        <v>6.25E-2</v>
      </c>
      <c r="E789" s="45">
        <v>0.77500000000000002</v>
      </c>
      <c r="F789" s="45">
        <v>1260</v>
      </c>
      <c r="G789" s="46"/>
      <c r="H789" s="45">
        <v>25</v>
      </c>
      <c r="I789" s="45" t="s">
        <v>12</v>
      </c>
      <c r="J789" s="46"/>
      <c r="K789" s="48">
        <v>4.5999999999999996</v>
      </c>
    </row>
    <row r="790" spans="1:11">
      <c r="A790" s="45" t="s">
        <v>24</v>
      </c>
      <c r="B790" s="46"/>
      <c r="C790" s="47">
        <v>0.25</v>
      </c>
      <c r="D790" s="45">
        <v>6.25E-2</v>
      </c>
      <c r="E790" s="45">
        <v>0.77500000000000002</v>
      </c>
      <c r="F790" s="45">
        <v>1260</v>
      </c>
      <c r="G790" s="46"/>
      <c r="H790" s="45">
        <v>25</v>
      </c>
      <c r="I790" s="45" t="s">
        <v>12</v>
      </c>
      <c r="J790" s="46"/>
      <c r="K790" s="48">
        <v>5.63</v>
      </c>
    </row>
    <row r="791" spans="1:11">
      <c r="A791" s="45" t="s">
        <v>24</v>
      </c>
      <c r="B791" s="46"/>
      <c r="C791" s="47">
        <v>0.25</v>
      </c>
      <c r="D791" s="45">
        <v>6.25E-2</v>
      </c>
      <c r="E791" s="45">
        <v>0.77500000000000002</v>
      </c>
      <c r="F791" s="45">
        <v>1260</v>
      </c>
      <c r="G791" s="46"/>
      <c r="H791" s="45">
        <v>25</v>
      </c>
      <c r="I791" s="45" t="s">
        <v>12</v>
      </c>
      <c r="J791" s="46"/>
      <c r="K791" s="48">
        <v>5.93</v>
      </c>
    </row>
    <row r="792" spans="1:11">
      <c r="A792" s="45" t="s">
        <v>24</v>
      </c>
      <c r="B792" s="46"/>
      <c r="C792" s="47">
        <v>0.25</v>
      </c>
      <c r="D792" s="45">
        <v>6.25E-2</v>
      </c>
      <c r="E792" s="45">
        <v>0.77500000000000002</v>
      </c>
      <c r="F792" s="45">
        <v>1260</v>
      </c>
      <c r="G792" s="46"/>
      <c r="H792" s="45">
        <v>25</v>
      </c>
      <c r="I792" s="45" t="s">
        <v>12</v>
      </c>
      <c r="J792" s="46"/>
      <c r="K792" s="48">
        <v>6.85</v>
      </c>
    </row>
    <row r="793" spans="1:11">
      <c r="A793" s="45" t="s">
        <v>24</v>
      </c>
      <c r="B793" s="46"/>
      <c r="C793" s="47">
        <v>0.25</v>
      </c>
      <c r="D793" s="45">
        <v>6.25E-2</v>
      </c>
      <c r="E793" s="45">
        <v>0.77500000000000002</v>
      </c>
      <c r="F793" s="45">
        <v>1260</v>
      </c>
      <c r="G793" s="46"/>
      <c r="H793" s="45">
        <v>25</v>
      </c>
      <c r="I793" s="45" t="s">
        <v>12</v>
      </c>
      <c r="J793" s="46"/>
      <c r="K793" s="48">
        <v>7.18</v>
      </c>
    </row>
    <row r="794" spans="1:11">
      <c r="A794" s="45" t="s">
        <v>24</v>
      </c>
      <c r="B794" s="46"/>
      <c r="C794" s="47">
        <v>0.34</v>
      </c>
      <c r="D794" s="45">
        <v>6.4000000000000001E-2</v>
      </c>
      <c r="E794" s="45">
        <v>5.6899999999999999E-2</v>
      </c>
      <c r="F794" s="45">
        <v>1214.5</v>
      </c>
      <c r="G794" s="46"/>
      <c r="H794" s="45">
        <v>25</v>
      </c>
      <c r="I794" s="45" t="s">
        <v>12</v>
      </c>
      <c r="J794" s="46"/>
      <c r="K794" s="48">
        <v>3</v>
      </c>
    </row>
    <row r="795" spans="1:11">
      <c r="A795" s="45" t="s">
        <v>24</v>
      </c>
      <c r="B795" s="46"/>
      <c r="C795" s="47">
        <v>0.34</v>
      </c>
      <c r="D795" s="45">
        <v>6.4000000000000001E-2</v>
      </c>
      <c r="E795" s="45">
        <v>5.6899999999999999E-2</v>
      </c>
      <c r="F795" s="45">
        <v>1214.5</v>
      </c>
      <c r="G795" s="46"/>
      <c r="H795" s="45">
        <v>25</v>
      </c>
      <c r="I795" s="45" t="s">
        <v>12</v>
      </c>
      <c r="J795" s="46"/>
      <c r="K795" s="48">
        <v>3.72</v>
      </c>
    </row>
    <row r="796" spans="1:11">
      <c r="A796" s="45" t="s">
        <v>24</v>
      </c>
      <c r="B796" s="46"/>
      <c r="C796" s="47">
        <v>0.34</v>
      </c>
      <c r="D796" s="45">
        <v>6.4000000000000001E-2</v>
      </c>
      <c r="E796" s="45">
        <v>5.6899999999999999E-2</v>
      </c>
      <c r="F796" s="45">
        <v>1214.5</v>
      </c>
      <c r="G796" s="46"/>
      <c r="H796" s="45">
        <v>25</v>
      </c>
      <c r="I796" s="45" t="s">
        <v>12</v>
      </c>
      <c r="J796" s="46"/>
      <c r="K796" s="48">
        <v>4.05</v>
      </c>
    </row>
    <row r="797" spans="1:11">
      <c r="A797" s="45" t="s">
        <v>24</v>
      </c>
      <c r="B797" s="46"/>
      <c r="C797" s="47">
        <v>0.34</v>
      </c>
      <c r="D797" s="45">
        <v>6.4000000000000001E-2</v>
      </c>
      <c r="E797" s="45">
        <v>5.6899999999999999E-2</v>
      </c>
      <c r="F797" s="45">
        <v>1214.5</v>
      </c>
      <c r="G797" s="46"/>
      <c r="H797" s="45">
        <v>25</v>
      </c>
      <c r="I797" s="45" t="s">
        <v>12</v>
      </c>
      <c r="J797" s="46"/>
      <c r="K797" s="48">
        <v>4.04</v>
      </c>
    </row>
    <row r="798" spans="1:11">
      <c r="A798" s="45" t="s">
        <v>24</v>
      </c>
      <c r="B798" s="46"/>
      <c r="C798" s="47">
        <v>0.34</v>
      </c>
      <c r="D798" s="45">
        <v>6.4000000000000001E-2</v>
      </c>
      <c r="E798" s="45">
        <v>5.6899999999999999E-2</v>
      </c>
      <c r="F798" s="45">
        <v>1214.5</v>
      </c>
      <c r="G798" s="46"/>
      <c r="H798" s="45">
        <v>25</v>
      </c>
      <c r="I798" s="45" t="s">
        <v>12</v>
      </c>
      <c r="J798" s="46"/>
      <c r="K798" s="48">
        <v>3.81</v>
      </c>
    </row>
    <row r="799" spans="1:11">
      <c r="A799" s="45" t="s">
        <v>24</v>
      </c>
      <c r="B799" s="46"/>
      <c r="C799" s="47">
        <v>0.34</v>
      </c>
      <c r="D799" s="45">
        <v>6.4000000000000001E-2</v>
      </c>
      <c r="E799" s="45">
        <v>5.6899999999999999E-2</v>
      </c>
      <c r="F799" s="45">
        <v>1214.5</v>
      </c>
      <c r="G799" s="46"/>
      <c r="H799" s="45">
        <v>25</v>
      </c>
      <c r="I799" s="45" t="s">
        <v>12</v>
      </c>
      <c r="J799" s="46"/>
      <c r="K799" s="48">
        <v>3.79</v>
      </c>
    </row>
    <row r="800" spans="1:11">
      <c r="A800" s="45" t="s">
        <v>24</v>
      </c>
      <c r="B800" s="46"/>
      <c r="C800" s="47">
        <v>0.34</v>
      </c>
      <c r="D800" s="45">
        <v>6.3E-2</v>
      </c>
      <c r="E800" s="45">
        <v>0.32700000000000001</v>
      </c>
      <c r="F800" s="45">
        <v>1245.5999999999999</v>
      </c>
      <c r="G800" s="46"/>
      <c r="H800" s="45">
        <v>25</v>
      </c>
      <c r="I800" s="45" t="s">
        <v>12</v>
      </c>
      <c r="J800" s="46"/>
      <c r="K800" s="48">
        <v>4.0999999999999996</v>
      </c>
    </row>
    <row r="801" spans="1:11">
      <c r="A801" s="45" t="s">
        <v>24</v>
      </c>
      <c r="B801" s="46"/>
      <c r="C801" s="47">
        <v>0.34</v>
      </c>
      <c r="D801" s="45">
        <v>6.3E-2</v>
      </c>
      <c r="E801" s="45">
        <v>0.32700000000000001</v>
      </c>
      <c r="F801" s="45">
        <v>1245.5999999999999</v>
      </c>
      <c r="G801" s="46"/>
      <c r="H801" s="45">
        <v>25</v>
      </c>
      <c r="I801" s="45" t="s">
        <v>12</v>
      </c>
      <c r="J801" s="46"/>
      <c r="K801" s="48">
        <v>4.76</v>
      </c>
    </row>
    <row r="802" spans="1:11">
      <c r="A802" s="45" t="s">
        <v>24</v>
      </c>
      <c r="B802" s="46"/>
      <c r="C802" s="47">
        <v>0.34</v>
      </c>
      <c r="D802" s="45">
        <v>6.3E-2</v>
      </c>
      <c r="E802" s="45">
        <v>0.32700000000000001</v>
      </c>
      <c r="F802" s="45">
        <v>1245.5999999999999</v>
      </c>
      <c r="G802" s="46"/>
      <c r="H802" s="45">
        <v>25</v>
      </c>
      <c r="I802" s="45" t="s">
        <v>12</v>
      </c>
      <c r="J802" s="46"/>
      <c r="K802" s="48">
        <v>5.63</v>
      </c>
    </row>
    <row r="803" spans="1:11">
      <c r="A803" s="45" t="s">
        <v>24</v>
      </c>
      <c r="B803" s="46"/>
      <c r="C803" s="47">
        <v>0.34</v>
      </c>
      <c r="D803" s="45">
        <v>6.3E-2</v>
      </c>
      <c r="E803" s="45">
        <v>0.32700000000000001</v>
      </c>
      <c r="F803" s="45">
        <v>1245.5999999999999</v>
      </c>
      <c r="G803" s="46"/>
      <c r="H803" s="45">
        <v>25</v>
      </c>
      <c r="I803" s="45" t="s">
        <v>12</v>
      </c>
      <c r="J803" s="46"/>
      <c r="K803" s="48">
        <v>6.84</v>
      </c>
    </row>
    <row r="804" spans="1:11">
      <c r="A804" s="45" t="s">
        <v>24</v>
      </c>
      <c r="B804" s="46"/>
      <c r="C804" s="47">
        <v>0.34</v>
      </c>
      <c r="D804" s="45">
        <v>6.3E-2</v>
      </c>
      <c r="E804" s="45">
        <v>0.32700000000000001</v>
      </c>
      <c r="F804" s="45">
        <v>1245.5999999999999</v>
      </c>
      <c r="G804" s="46"/>
      <c r="H804" s="45">
        <v>25</v>
      </c>
      <c r="I804" s="45" t="s">
        <v>12</v>
      </c>
      <c r="J804" s="46"/>
      <c r="K804" s="48">
        <v>6.86</v>
      </c>
    </row>
    <row r="805" spans="1:11">
      <c r="A805" s="45" t="s">
        <v>24</v>
      </c>
      <c r="B805" s="46"/>
      <c r="C805" s="47">
        <v>0.34</v>
      </c>
      <c r="D805" s="45">
        <v>6.3E-2</v>
      </c>
      <c r="E805" s="45">
        <v>0.32700000000000001</v>
      </c>
      <c r="F805" s="45">
        <v>1245.5999999999999</v>
      </c>
      <c r="G805" s="46"/>
      <c r="H805" s="45">
        <v>25</v>
      </c>
      <c r="I805" s="45" t="s">
        <v>12</v>
      </c>
      <c r="J805" s="46"/>
      <c r="K805" s="48">
        <v>6.84</v>
      </c>
    </row>
    <row r="806" spans="1:11">
      <c r="A806" s="45" t="s">
        <v>24</v>
      </c>
      <c r="B806" s="46"/>
      <c r="C806" s="47">
        <v>0.34</v>
      </c>
      <c r="D806" s="45">
        <v>6.25E-2</v>
      </c>
      <c r="E806" s="45">
        <v>0.77500000000000002</v>
      </c>
      <c r="F806" s="45">
        <v>1260</v>
      </c>
      <c r="G806" s="46"/>
      <c r="H806" s="45">
        <v>25</v>
      </c>
      <c r="I806" s="45" t="s">
        <v>12</v>
      </c>
      <c r="J806" s="46"/>
      <c r="K806" s="48">
        <v>4.66</v>
      </c>
    </row>
    <row r="807" spans="1:11">
      <c r="A807" s="45" t="s">
        <v>24</v>
      </c>
      <c r="B807" s="46"/>
      <c r="C807" s="47">
        <v>0.34</v>
      </c>
      <c r="D807" s="45">
        <v>6.25E-2</v>
      </c>
      <c r="E807" s="45">
        <v>0.77500000000000002</v>
      </c>
      <c r="F807" s="45">
        <v>1260</v>
      </c>
      <c r="G807" s="46"/>
      <c r="H807" s="45">
        <v>25</v>
      </c>
      <c r="I807" s="45" t="s">
        <v>12</v>
      </c>
      <c r="J807" s="46"/>
      <c r="K807" s="48">
        <v>5.68</v>
      </c>
    </row>
    <row r="808" spans="1:11">
      <c r="A808" s="45" t="s">
        <v>24</v>
      </c>
      <c r="B808" s="46"/>
      <c r="C808" s="47">
        <v>0.34</v>
      </c>
      <c r="D808" s="45">
        <v>6.25E-2</v>
      </c>
      <c r="E808" s="45">
        <v>0.77500000000000002</v>
      </c>
      <c r="F808" s="45">
        <v>1260</v>
      </c>
      <c r="G808" s="46"/>
      <c r="H808" s="45">
        <v>25</v>
      </c>
      <c r="I808" s="45" t="s">
        <v>12</v>
      </c>
      <c r="J808" s="46"/>
      <c r="K808" s="48">
        <v>6.64</v>
      </c>
    </row>
    <row r="809" spans="1:11">
      <c r="A809" s="45" t="s">
        <v>24</v>
      </c>
      <c r="B809" s="46"/>
      <c r="C809" s="47">
        <v>0.34</v>
      </c>
      <c r="D809" s="45">
        <v>6.25E-2</v>
      </c>
      <c r="E809" s="45">
        <v>0.77500000000000002</v>
      </c>
      <c r="F809" s="45">
        <v>1260</v>
      </c>
      <c r="G809" s="46"/>
      <c r="H809" s="45">
        <v>25</v>
      </c>
      <c r="I809" s="45" t="s">
        <v>12</v>
      </c>
      <c r="J809" s="46"/>
      <c r="K809" s="48">
        <v>8.1</v>
      </c>
    </row>
    <row r="810" spans="1:11">
      <c r="A810" s="45" t="s">
        <v>24</v>
      </c>
      <c r="B810" s="46"/>
      <c r="C810" s="47">
        <v>0.34</v>
      </c>
      <c r="D810" s="45">
        <v>6.25E-2</v>
      </c>
      <c r="E810" s="45">
        <v>0.77500000000000002</v>
      </c>
      <c r="F810" s="45">
        <v>1260</v>
      </c>
      <c r="G810" s="46"/>
      <c r="H810" s="45">
        <v>25</v>
      </c>
      <c r="I810" s="45" t="s">
        <v>12</v>
      </c>
      <c r="J810" s="46"/>
      <c r="K810" s="48">
        <v>8.4700000000000006</v>
      </c>
    </row>
    <row r="811" spans="1:11">
      <c r="A811" s="45" t="s">
        <v>24</v>
      </c>
      <c r="B811" s="46"/>
      <c r="C811" s="47">
        <v>0.34</v>
      </c>
      <c r="D811" s="45">
        <v>6.25E-2</v>
      </c>
      <c r="E811" s="45">
        <v>0.77500000000000002</v>
      </c>
      <c r="F811" s="45">
        <v>1260</v>
      </c>
      <c r="G811" s="46"/>
      <c r="H811" s="45">
        <v>25</v>
      </c>
      <c r="I811" s="45" t="s">
        <v>12</v>
      </c>
      <c r="J811" s="46"/>
      <c r="K811" s="48">
        <v>9.02</v>
      </c>
    </row>
    <row r="812" spans="1:11">
      <c r="A812" s="45" t="s">
        <v>24</v>
      </c>
      <c r="B812" s="46"/>
      <c r="C812" s="47">
        <v>0.41</v>
      </c>
      <c r="D812" s="45">
        <v>6.4000000000000001E-2</v>
      </c>
      <c r="E812" s="45">
        <v>5.6899999999999999E-2</v>
      </c>
      <c r="F812" s="45">
        <v>1214.5</v>
      </c>
      <c r="G812" s="46"/>
      <c r="H812" s="45">
        <v>25</v>
      </c>
      <c r="I812" s="45" t="s">
        <v>12</v>
      </c>
      <c r="J812" s="46"/>
      <c r="K812" s="48">
        <v>0.97</v>
      </c>
    </row>
    <row r="813" spans="1:11">
      <c r="A813" s="45" t="s">
        <v>24</v>
      </c>
      <c r="B813" s="46"/>
      <c r="C813" s="47">
        <v>0.41</v>
      </c>
      <c r="D813" s="45">
        <v>6.4000000000000001E-2</v>
      </c>
      <c r="E813" s="45">
        <v>5.6899999999999999E-2</v>
      </c>
      <c r="F813" s="45">
        <v>1214.5</v>
      </c>
      <c r="G813" s="46"/>
      <c r="H813" s="45">
        <v>25</v>
      </c>
      <c r="I813" s="45" t="s">
        <v>12</v>
      </c>
      <c r="J813" s="46"/>
      <c r="K813" s="48">
        <v>1.37</v>
      </c>
    </row>
    <row r="814" spans="1:11">
      <c r="A814" s="45" t="s">
        <v>24</v>
      </c>
      <c r="B814" s="46"/>
      <c r="C814" s="47">
        <v>0.41</v>
      </c>
      <c r="D814" s="45">
        <v>6.4000000000000001E-2</v>
      </c>
      <c r="E814" s="45">
        <v>5.6899999999999999E-2</v>
      </c>
      <c r="F814" s="45">
        <v>1214.5</v>
      </c>
      <c r="G814" s="46"/>
      <c r="H814" s="45">
        <v>25</v>
      </c>
      <c r="I814" s="45" t="s">
        <v>12</v>
      </c>
      <c r="J814" s="46"/>
      <c r="K814" s="48">
        <v>2.08</v>
      </c>
    </row>
    <row r="815" spans="1:11">
      <c r="A815" s="45" t="s">
        <v>24</v>
      </c>
      <c r="B815" s="46"/>
      <c r="C815" s="47">
        <v>0.41</v>
      </c>
      <c r="D815" s="45">
        <v>6.4000000000000001E-2</v>
      </c>
      <c r="E815" s="45">
        <v>5.6899999999999999E-2</v>
      </c>
      <c r="F815" s="45">
        <v>1214.5</v>
      </c>
      <c r="G815" s="46"/>
      <c r="H815" s="45">
        <v>25</v>
      </c>
      <c r="I815" s="45" t="s">
        <v>12</v>
      </c>
      <c r="J815" s="46"/>
      <c r="K815" s="48">
        <v>2.1</v>
      </c>
    </row>
    <row r="816" spans="1:11">
      <c r="A816" s="45" t="s">
        <v>24</v>
      </c>
      <c r="B816" s="46"/>
      <c r="C816" s="47">
        <v>0.41</v>
      </c>
      <c r="D816" s="45">
        <v>6.4000000000000001E-2</v>
      </c>
      <c r="E816" s="45">
        <v>5.6899999999999999E-2</v>
      </c>
      <c r="F816" s="45">
        <v>1214.5</v>
      </c>
      <c r="G816" s="46"/>
      <c r="H816" s="45">
        <v>25</v>
      </c>
      <c r="I816" s="45" t="s">
        <v>12</v>
      </c>
      <c r="J816" s="46"/>
      <c r="K816" s="48">
        <v>2.0299999999999998</v>
      </c>
    </row>
    <row r="817" spans="1:11">
      <c r="A817" s="45" t="s">
        <v>24</v>
      </c>
      <c r="B817" s="46"/>
      <c r="C817" s="47">
        <v>0.41</v>
      </c>
      <c r="D817" s="45">
        <v>6.4000000000000001E-2</v>
      </c>
      <c r="E817" s="45">
        <v>5.6899999999999999E-2</v>
      </c>
      <c r="F817" s="45">
        <v>1214.5</v>
      </c>
      <c r="G817" s="46"/>
      <c r="H817" s="45">
        <v>25</v>
      </c>
      <c r="I817" s="45" t="s">
        <v>12</v>
      </c>
      <c r="J817" s="46"/>
      <c r="K817" s="48">
        <v>1.85</v>
      </c>
    </row>
    <row r="818" spans="1:11">
      <c r="A818" s="45" t="s">
        <v>24</v>
      </c>
      <c r="B818" s="46"/>
      <c r="C818" s="47">
        <v>0.41</v>
      </c>
      <c r="D818" s="45">
        <v>6.3E-2</v>
      </c>
      <c r="E818" s="45">
        <v>0.32700000000000001</v>
      </c>
      <c r="F818" s="45">
        <v>1245.5999999999999</v>
      </c>
      <c r="G818" s="46"/>
      <c r="H818" s="45">
        <v>25</v>
      </c>
      <c r="I818" s="45" t="s">
        <v>12</v>
      </c>
      <c r="J818" s="46"/>
      <c r="K818" s="48">
        <v>1.84</v>
      </c>
    </row>
    <row r="819" spans="1:11">
      <c r="A819" s="45" t="s">
        <v>24</v>
      </c>
      <c r="B819" s="46"/>
      <c r="C819" s="47">
        <v>0.41</v>
      </c>
      <c r="D819" s="45">
        <v>6.3E-2</v>
      </c>
      <c r="E819" s="45">
        <v>0.32700000000000001</v>
      </c>
      <c r="F819" s="45">
        <v>1245.5999999999999</v>
      </c>
      <c r="G819" s="46"/>
      <c r="H819" s="45">
        <v>25</v>
      </c>
      <c r="I819" s="45" t="s">
        <v>12</v>
      </c>
      <c r="J819" s="46"/>
      <c r="K819" s="48">
        <v>3.2</v>
      </c>
    </row>
    <row r="820" spans="1:11">
      <c r="A820" s="45" t="s">
        <v>24</v>
      </c>
      <c r="B820" s="46"/>
      <c r="C820" s="47">
        <v>0.41</v>
      </c>
      <c r="D820" s="45">
        <v>6.3E-2</v>
      </c>
      <c r="E820" s="45">
        <v>0.32700000000000001</v>
      </c>
      <c r="F820" s="45">
        <v>1245.5999999999999</v>
      </c>
      <c r="G820" s="46"/>
      <c r="H820" s="45">
        <v>25</v>
      </c>
      <c r="I820" s="45" t="s">
        <v>12</v>
      </c>
      <c r="J820" s="46"/>
      <c r="K820" s="48">
        <v>5.23</v>
      </c>
    </row>
    <row r="821" spans="1:11">
      <c r="A821" s="45" t="s">
        <v>24</v>
      </c>
      <c r="B821" s="46"/>
      <c r="C821" s="47">
        <v>0.41</v>
      </c>
      <c r="D821" s="45">
        <v>6.3E-2</v>
      </c>
      <c r="E821" s="45">
        <v>0.32700000000000001</v>
      </c>
      <c r="F821" s="45">
        <v>1245.5999999999999</v>
      </c>
      <c r="G821" s="46"/>
      <c r="H821" s="45">
        <v>25</v>
      </c>
      <c r="I821" s="45" t="s">
        <v>12</v>
      </c>
      <c r="J821" s="46"/>
      <c r="K821" s="48">
        <v>5.86</v>
      </c>
    </row>
    <row r="822" spans="1:11">
      <c r="A822" s="45" t="s">
        <v>24</v>
      </c>
      <c r="B822" s="46"/>
      <c r="C822" s="47">
        <v>0.41</v>
      </c>
      <c r="D822" s="45">
        <v>6.3E-2</v>
      </c>
      <c r="E822" s="45">
        <v>0.32700000000000001</v>
      </c>
      <c r="F822" s="45">
        <v>1245.5999999999999</v>
      </c>
      <c r="G822" s="46"/>
      <c r="H822" s="45">
        <v>25</v>
      </c>
      <c r="I822" s="45" t="s">
        <v>12</v>
      </c>
      <c r="J822" s="46"/>
      <c r="K822" s="48">
        <v>6.89</v>
      </c>
    </row>
    <row r="823" spans="1:11">
      <c r="A823" s="45" t="s">
        <v>24</v>
      </c>
      <c r="B823" s="46"/>
      <c r="C823" s="47">
        <v>0.41</v>
      </c>
      <c r="D823" s="45">
        <v>6.3E-2</v>
      </c>
      <c r="E823" s="45">
        <v>0.32700000000000001</v>
      </c>
      <c r="F823" s="45">
        <v>1245.5999999999999</v>
      </c>
      <c r="G823" s="46"/>
      <c r="H823" s="45">
        <v>25</v>
      </c>
      <c r="I823" s="45" t="s">
        <v>12</v>
      </c>
      <c r="J823" s="46"/>
      <c r="K823" s="48">
        <v>6.88</v>
      </c>
    </row>
    <row r="824" spans="1:11">
      <c r="A824" s="45" t="s">
        <v>24</v>
      </c>
      <c r="B824" s="46"/>
      <c r="C824" s="47">
        <v>0.41</v>
      </c>
      <c r="D824" s="45">
        <v>6.25E-2</v>
      </c>
      <c r="E824" s="45">
        <v>0.77500000000000002</v>
      </c>
      <c r="F824" s="45">
        <v>1260</v>
      </c>
      <c r="G824" s="46"/>
      <c r="H824" s="45">
        <v>25</v>
      </c>
      <c r="I824" s="45" t="s">
        <v>12</v>
      </c>
      <c r="J824" s="46"/>
      <c r="K824" s="48">
        <v>3.21</v>
      </c>
    </row>
    <row r="825" spans="1:11">
      <c r="A825" s="45" t="s">
        <v>24</v>
      </c>
      <c r="B825" s="46"/>
      <c r="C825" s="47">
        <v>0.41</v>
      </c>
      <c r="D825" s="45">
        <v>6.25E-2</v>
      </c>
      <c r="E825" s="45">
        <v>0.77500000000000002</v>
      </c>
      <c r="F825" s="45">
        <v>1260</v>
      </c>
      <c r="G825" s="46"/>
      <c r="H825" s="45">
        <v>25</v>
      </c>
      <c r="I825" s="45" t="s">
        <v>12</v>
      </c>
      <c r="J825" s="46"/>
      <c r="K825" s="48">
        <v>5.52</v>
      </c>
    </row>
    <row r="826" spans="1:11">
      <c r="A826" s="45" t="s">
        <v>24</v>
      </c>
      <c r="B826" s="46"/>
      <c r="C826" s="47">
        <v>0.41</v>
      </c>
      <c r="D826" s="45">
        <v>6.25E-2</v>
      </c>
      <c r="E826" s="45">
        <v>0.77500000000000002</v>
      </c>
      <c r="F826" s="45">
        <v>1260</v>
      </c>
      <c r="G826" s="46"/>
      <c r="H826" s="45">
        <v>25</v>
      </c>
      <c r="I826" s="45" t="s">
        <v>12</v>
      </c>
      <c r="J826" s="46"/>
      <c r="K826" s="48">
        <v>8.17</v>
      </c>
    </row>
    <row r="827" spans="1:11">
      <c r="A827" s="45" t="s">
        <v>24</v>
      </c>
      <c r="B827" s="46"/>
      <c r="C827" s="47">
        <v>0.41</v>
      </c>
      <c r="D827" s="45">
        <v>6.25E-2</v>
      </c>
      <c r="E827" s="45">
        <v>0.77500000000000002</v>
      </c>
      <c r="F827" s="45">
        <v>1260</v>
      </c>
      <c r="G827" s="46"/>
      <c r="H827" s="45">
        <v>25</v>
      </c>
      <c r="I827" s="45" t="s">
        <v>12</v>
      </c>
      <c r="J827" s="46"/>
      <c r="K827" s="48">
        <v>8.9</v>
      </c>
    </row>
    <row r="828" spans="1:11">
      <c r="A828" s="45" t="s">
        <v>24</v>
      </c>
      <c r="B828" s="46"/>
      <c r="C828" s="47">
        <v>0.41</v>
      </c>
      <c r="D828" s="45">
        <v>6.25E-2</v>
      </c>
      <c r="E828" s="45">
        <v>0.77500000000000002</v>
      </c>
      <c r="F828" s="45">
        <v>1260</v>
      </c>
      <c r="G828" s="46"/>
      <c r="H828" s="45">
        <v>25</v>
      </c>
      <c r="I828" s="45" t="s">
        <v>12</v>
      </c>
      <c r="J828" s="46"/>
      <c r="K828" s="48">
        <v>9.17</v>
      </c>
    </row>
    <row r="829" spans="1:11">
      <c r="A829" s="45" t="s">
        <v>24</v>
      </c>
      <c r="B829" s="46"/>
      <c r="C829" s="47">
        <v>0.41</v>
      </c>
      <c r="D829" s="45">
        <v>6.25E-2</v>
      </c>
      <c r="E829" s="45">
        <v>0.77500000000000002</v>
      </c>
      <c r="F829" s="45">
        <v>1260</v>
      </c>
      <c r="G829" s="46"/>
      <c r="H829" s="45">
        <v>25</v>
      </c>
      <c r="I829" s="45" t="s">
        <v>12</v>
      </c>
      <c r="J829" s="46"/>
      <c r="K829" s="48">
        <v>9.5399999999999991</v>
      </c>
    </row>
    <row r="830" spans="1:11">
      <c r="A830" s="45" t="s">
        <v>24</v>
      </c>
      <c r="B830" s="46"/>
      <c r="C830" s="47">
        <v>0.51</v>
      </c>
      <c r="D830" s="45">
        <v>6.4000000000000001E-2</v>
      </c>
      <c r="E830" s="45">
        <v>5.6899999999999999E-2</v>
      </c>
      <c r="F830" s="45">
        <v>1214.5</v>
      </c>
      <c r="G830" s="46"/>
      <c r="H830" s="45">
        <v>25</v>
      </c>
      <c r="I830" s="45" t="s">
        <v>12</v>
      </c>
      <c r="J830" s="46"/>
      <c r="K830" s="48">
        <v>1.33</v>
      </c>
    </row>
    <row r="831" spans="1:11">
      <c r="A831" s="45" t="s">
        <v>24</v>
      </c>
      <c r="B831" s="46"/>
      <c r="C831" s="47">
        <v>0.51</v>
      </c>
      <c r="D831" s="45">
        <v>6.4000000000000001E-2</v>
      </c>
      <c r="E831" s="45">
        <v>5.6899999999999999E-2</v>
      </c>
      <c r="F831" s="45">
        <v>1214.5</v>
      </c>
      <c r="G831" s="46"/>
      <c r="H831" s="45">
        <v>25</v>
      </c>
      <c r="I831" s="45" t="s">
        <v>12</v>
      </c>
      <c r="J831" s="46"/>
      <c r="K831" s="48">
        <v>1.97</v>
      </c>
    </row>
    <row r="832" spans="1:11">
      <c r="A832" s="45" t="s">
        <v>24</v>
      </c>
      <c r="B832" s="46"/>
      <c r="C832" s="47">
        <v>0.51</v>
      </c>
      <c r="D832" s="45">
        <v>6.4000000000000001E-2</v>
      </c>
      <c r="E832" s="45">
        <v>5.6899999999999999E-2</v>
      </c>
      <c r="F832" s="45">
        <v>1214.5</v>
      </c>
      <c r="G832" s="46"/>
      <c r="H832" s="45">
        <v>25</v>
      </c>
      <c r="I832" s="45" t="s">
        <v>12</v>
      </c>
      <c r="J832" s="46"/>
      <c r="K832" s="48">
        <v>2.57</v>
      </c>
    </row>
    <row r="833" spans="1:11">
      <c r="A833" s="45" t="s">
        <v>24</v>
      </c>
      <c r="B833" s="46"/>
      <c r="C833" s="47">
        <v>0.51</v>
      </c>
      <c r="D833" s="45">
        <v>6.4000000000000001E-2</v>
      </c>
      <c r="E833" s="45">
        <v>5.6899999999999999E-2</v>
      </c>
      <c r="F833" s="45">
        <v>1214.5</v>
      </c>
      <c r="G833" s="46"/>
      <c r="H833" s="45">
        <v>25</v>
      </c>
      <c r="I833" s="45" t="s">
        <v>12</v>
      </c>
      <c r="J833" s="46"/>
      <c r="K833" s="48">
        <v>2.2599999999999998</v>
      </c>
    </row>
    <row r="834" spans="1:11">
      <c r="A834" s="45" t="s">
        <v>24</v>
      </c>
      <c r="B834" s="46"/>
      <c r="C834" s="47">
        <v>0.51</v>
      </c>
      <c r="D834" s="45">
        <v>6.4000000000000001E-2</v>
      </c>
      <c r="E834" s="45">
        <v>5.6899999999999999E-2</v>
      </c>
      <c r="F834" s="45">
        <v>1214.5</v>
      </c>
      <c r="G834" s="46"/>
      <c r="H834" s="45">
        <v>25</v>
      </c>
      <c r="I834" s="45" t="s">
        <v>12</v>
      </c>
      <c r="J834" s="46"/>
      <c r="K834" s="48">
        <v>2.17</v>
      </c>
    </row>
    <row r="835" spans="1:11">
      <c r="A835" s="45" t="s">
        <v>24</v>
      </c>
      <c r="B835" s="46"/>
      <c r="C835" s="47">
        <v>0.51</v>
      </c>
      <c r="D835" s="45">
        <v>6.4000000000000001E-2</v>
      </c>
      <c r="E835" s="45">
        <v>5.6899999999999999E-2</v>
      </c>
      <c r="F835" s="45">
        <v>1214.5</v>
      </c>
      <c r="G835" s="46"/>
      <c r="H835" s="45">
        <v>25</v>
      </c>
      <c r="I835" s="45" t="s">
        <v>12</v>
      </c>
      <c r="J835" s="46"/>
      <c r="K835" s="48">
        <v>2.23</v>
      </c>
    </row>
    <row r="836" spans="1:11">
      <c r="A836" s="45" t="s">
        <v>24</v>
      </c>
      <c r="B836" s="46"/>
      <c r="C836" s="47">
        <v>0.51</v>
      </c>
      <c r="D836" s="45">
        <v>6.3E-2</v>
      </c>
      <c r="E836" s="45">
        <v>0.32700000000000001</v>
      </c>
      <c r="F836" s="45">
        <v>1245.5999999999999</v>
      </c>
      <c r="G836" s="46"/>
      <c r="H836" s="45">
        <v>25</v>
      </c>
      <c r="I836" s="45" t="s">
        <v>12</v>
      </c>
      <c r="J836" s="46"/>
      <c r="K836" s="48">
        <v>2.3199999999999998</v>
      </c>
    </row>
    <row r="837" spans="1:11">
      <c r="A837" s="45" t="s">
        <v>24</v>
      </c>
      <c r="B837" s="46"/>
      <c r="C837" s="47">
        <v>0.51</v>
      </c>
      <c r="D837" s="45">
        <v>6.3E-2</v>
      </c>
      <c r="E837" s="45">
        <v>0.32700000000000001</v>
      </c>
      <c r="F837" s="45">
        <v>1245.5999999999999</v>
      </c>
      <c r="G837" s="46"/>
      <c r="H837" s="45">
        <v>25</v>
      </c>
      <c r="I837" s="45" t="s">
        <v>12</v>
      </c>
      <c r="J837" s="46"/>
      <c r="K837" s="48">
        <v>3.66</v>
      </c>
    </row>
    <row r="838" spans="1:11">
      <c r="A838" s="45" t="s">
        <v>24</v>
      </c>
      <c r="B838" s="46"/>
      <c r="C838" s="47">
        <v>0.51</v>
      </c>
      <c r="D838" s="45">
        <v>6.3E-2</v>
      </c>
      <c r="E838" s="45">
        <v>0.32700000000000001</v>
      </c>
      <c r="F838" s="45">
        <v>1245.5999999999999</v>
      </c>
      <c r="G838" s="46"/>
      <c r="H838" s="45">
        <v>25</v>
      </c>
      <c r="I838" s="45" t="s">
        <v>12</v>
      </c>
      <c r="J838" s="46"/>
      <c r="K838" s="48">
        <v>5.68</v>
      </c>
    </row>
    <row r="839" spans="1:11">
      <c r="A839" s="45" t="s">
        <v>24</v>
      </c>
      <c r="B839" s="46"/>
      <c r="C839" s="47">
        <v>0.51</v>
      </c>
      <c r="D839" s="45">
        <v>6.3E-2</v>
      </c>
      <c r="E839" s="45">
        <v>0.32700000000000001</v>
      </c>
      <c r="F839" s="45">
        <v>1245.5999999999999</v>
      </c>
      <c r="G839" s="46"/>
      <c r="H839" s="45">
        <v>25</v>
      </c>
      <c r="I839" s="45" t="s">
        <v>12</v>
      </c>
      <c r="J839" s="46"/>
      <c r="K839" s="48">
        <v>6.03</v>
      </c>
    </row>
    <row r="840" spans="1:11">
      <c r="A840" s="45" t="s">
        <v>24</v>
      </c>
      <c r="B840" s="46"/>
      <c r="C840" s="47">
        <v>0.51</v>
      </c>
      <c r="D840" s="45">
        <v>6.3E-2</v>
      </c>
      <c r="E840" s="45">
        <v>0.32700000000000001</v>
      </c>
      <c r="F840" s="45">
        <v>1245.5999999999999</v>
      </c>
      <c r="G840" s="46"/>
      <c r="H840" s="45">
        <v>25</v>
      </c>
      <c r="I840" s="45" t="s">
        <v>12</v>
      </c>
      <c r="J840" s="46"/>
      <c r="K840" s="48">
        <v>7.34</v>
      </c>
    </row>
    <row r="841" spans="1:11">
      <c r="A841" s="45" t="s">
        <v>24</v>
      </c>
      <c r="B841" s="46"/>
      <c r="C841" s="47">
        <v>0.51</v>
      </c>
      <c r="D841" s="45">
        <v>6.3E-2</v>
      </c>
      <c r="E841" s="45">
        <v>0.32700000000000001</v>
      </c>
      <c r="F841" s="45">
        <v>1245.5999999999999</v>
      </c>
      <c r="G841" s="46"/>
      <c r="H841" s="45">
        <v>25</v>
      </c>
      <c r="I841" s="45" t="s">
        <v>12</v>
      </c>
      <c r="J841" s="46"/>
      <c r="K841" s="48">
        <v>7.32</v>
      </c>
    </row>
    <row r="842" spans="1:11">
      <c r="A842" s="45" t="s">
        <v>24</v>
      </c>
      <c r="B842" s="46"/>
      <c r="C842" s="47">
        <v>0.51</v>
      </c>
      <c r="D842" s="45">
        <v>6.25E-2</v>
      </c>
      <c r="E842" s="45">
        <v>0.77500000000000002</v>
      </c>
      <c r="F842" s="45">
        <v>1260</v>
      </c>
      <c r="G842" s="46"/>
      <c r="H842" s="45">
        <v>25</v>
      </c>
      <c r="I842" s="45" t="s">
        <v>12</v>
      </c>
      <c r="J842" s="46"/>
      <c r="K842" s="48">
        <v>4.0599999999999996</v>
      </c>
    </row>
    <row r="843" spans="1:11">
      <c r="A843" s="45" t="s">
        <v>24</v>
      </c>
      <c r="B843" s="46"/>
      <c r="C843" s="47">
        <v>0.51</v>
      </c>
      <c r="D843" s="45">
        <v>6.25E-2</v>
      </c>
      <c r="E843" s="45">
        <v>0.77500000000000002</v>
      </c>
      <c r="F843" s="45">
        <v>1260</v>
      </c>
      <c r="G843" s="46"/>
      <c r="H843" s="45">
        <v>25</v>
      </c>
      <c r="I843" s="45" t="s">
        <v>12</v>
      </c>
      <c r="J843" s="46"/>
      <c r="K843" s="48">
        <v>6.18</v>
      </c>
    </row>
    <row r="844" spans="1:11">
      <c r="A844" s="45" t="s">
        <v>24</v>
      </c>
      <c r="B844" s="46"/>
      <c r="C844" s="47">
        <v>0.51</v>
      </c>
      <c r="D844" s="45">
        <v>6.25E-2</v>
      </c>
      <c r="E844" s="45">
        <v>0.77500000000000002</v>
      </c>
      <c r="F844" s="45">
        <v>1260</v>
      </c>
      <c r="G844" s="46"/>
      <c r="H844" s="45">
        <v>25</v>
      </c>
      <c r="I844" s="45" t="s">
        <v>12</v>
      </c>
      <c r="J844" s="46"/>
      <c r="K844" s="48">
        <v>8.74</v>
      </c>
    </row>
    <row r="845" spans="1:11">
      <c r="A845" s="45" t="s">
        <v>24</v>
      </c>
      <c r="B845" s="46"/>
      <c r="C845" s="47">
        <v>0.51</v>
      </c>
      <c r="D845" s="45">
        <v>6.25E-2</v>
      </c>
      <c r="E845" s="45">
        <v>0.77500000000000002</v>
      </c>
      <c r="F845" s="45">
        <v>1260</v>
      </c>
      <c r="G845" s="46"/>
      <c r="H845" s="45">
        <v>25</v>
      </c>
      <c r="I845" s="45" t="s">
        <v>12</v>
      </c>
      <c r="J845" s="46"/>
      <c r="K845" s="48">
        <v>9.76</v>
      </c>
    </row>
    <row r="846" spans="1:11">
      <c r="A846" s="45" t="s">
        <v>24</v>
      </c>
      <c r="B846" s="46"/>
      <c r="C846" s="47">
        <v>0.51</v>
      </c>
      <c r="D846" s="45">
        <v>6.25E-2</v>
      </c>
      <c r="E846" s="45">
        <v>0.77500000000000002</v>
      </c>
      <c r="F846" s="45">
        <v>1260</v>
      </c>
      <c r="G846" s="46"/>
      <c r="H846" s="45">
        <v>25</v>
      </c>
      <c r="I846" s="45" t="s">
        <v>12</v>
      </c>
      <c r="J846" s="46"/>
      <c r="K846" s="48">
        <v>10.45</v>
      </c>
    </row>
    <row r="847" spans="1:11">
      <c r="A847" s="45" t="s">
        <v>24</v>
      </c>
      <c r="B847" s="46"/>
      <c r="C847" s="47">
        <v>0.51</v>
      </c>
      <c r="D847" s="45">
        <v>6.25E-2</v>
      </c>
      <c r="E847" s="45">
        <v>0.77500000000000002</v>
      </c>
      <c r="F847" s="45">
        <v>1260</v>
      </c>
      <c r="G847" s="46"/>
      <c r="H847" s="45">
        <v>25</v>
      </c>
      <c r="I847" s="45" t="s">
        <v>12</v>
      </c>
      <c r="J847" s="46"/>
      <c r="K847" s="48">
        <v>10.58</v>
      </c>
    </row>
    <row r="848" spans="1:11">
      <c r="A848" s="103"/>
      <c r="B848" s="103"/>
      <c r="C848" s="104"/>
      <c r="D848" s="131"/>
      <c r="E848" s="111"/>
      <c r="F848" s="103"/>
      <c r="G848" s="132"/>
      <c r="H848" s="103"/>
      <c r="I848" s="103"/>
      <c r="J848" s="103"/>
      <c r="K848" s="133"/>
    </row>
    <row r="849" spans="1:11">
      <c r="A849" s="103"/>
      <c r="B849" s="103"/>
      <c r="C849" s="104"/>
      <c r="D849" s="131"/>
      <c r="E849" s="131"/>
      <c r="F849" s="103"/>
      <c r="G849" s="132"/>
      <c r="H849" s="103"/>
      <c r="I849" s="103"/>
      <c r="J849" s="103"/>
      <c r="K849" s="134"/>
    </row>
    <row r="850" spans="1:11">
      <c r="A850" s="103"/>
      <c r="B850" s="103"/>
      <c r="C850" s="104"/>
      <c r="D850" s="131"/>
      <c r="E850" s="131"/>
      <c r="F850" s="103"/>
      <c r="G850" s="132"/>
      <c r="H850" s="103"/>
      <c r="I850" s="103"/>
      <c r="J850" s="103"/>
      <c r="K850" s="134"/>
    </row>
    <row r="851" spans="1:11">
      <c r="A851" s="103"/>
      <c r="B851" s="103"/>
      <c r="C851" s="104"/>
      <c r="D851" s="131"/>
      <c r="E851" s="131"/>
      <c r="F851" s="103"/>
      <c r="G851" s="132"/>
      <c r="H851" s="103"/>
      <c r="I851" s="103"/>
      <c r="J851" s="103"/>
      <c r="K851" s="134"/>
    </row>
    <row r="852" spans="1:11">
      <c r="A852" s="103"/>
      <c r="B852" s="103"/>
      <c r="C852" s="104"/>
      <c r="D852" s="131"/>
      <c r="E852" s="131"/>
      <c r="F852" s="103"/>
      <c r="G852" s="132"/>
      <c r="H852" s="103"/>
      <c r="I852" s="103"/>
      <c r="J852" s="103"/>
      <c r="K852" s="134"/>
    </row>
    <row r="853" spans="1:11">
      <c r="A853" s="103"/>
      <c r="B853" s="103"/>
      <c r="C853" s="104"/>
      <c r="D853" s="131"/>
      <c r="E853" s="131"/>
      <c r="F853" s="103"/>
      <c r="G853" s="132"/>
      <c r="H853" s="103"/>
      <c r="I853" s="103"/>
      <c r="J853" s="103"/>
      <c r="K853" s="134"/>
    </row>
    <row r="854" spans="1:11">
      <c r="A854" s="103"/>
      <c r="B854" s="103"/>
      <c r="C854" s="104"/>
      <c r="D854" s="131"/>
      <c r="E854" s="131"/>
      <c r="F854" s="103"/>
      <c r="G854" s="132"/>
      <c r="H854" s="103"/>
      <c r="I854" s="103"/>
      <c r="J854" s="103"/>
      <c r="K854" s="134"/>
    </row>
    <row r="855" spans="1:11">
      <c r="A855" s="103"/>
      <c r="B855" s="103"/>
      <c r="C855" s="104"/>
      <c r="D855" s="131"/>
      <c r="E855" s="131"/>
      <c r="F855" s="103"/>
      <c r="G855" s="132"/>
      <c r="H855" s="103"/>
      <c r="I855" s="103"/>
      <c r="J855" s="103"/>
      <c r="K855" s="134"/>
    </row>
    <row r="856" spans="1:11">
      <c r="A856" s="103"/>
      <c r="B856" s="103"/>
      <c r="C856" s="104"/>
      <c r="D856" s="131"/>
      <c r="E856" s="131"/>
      <c r="F856" s="103"/>
      <c r="G856" s="132"/>
      <c r="H856" s="103"/>
      <c r="I856" s="103"/>
      <c r="J856" s="103"/>
      <c r="K856" s="134"/>
    </row>
    <row r="857" spans="1:11">
      <c r="A857" s="103"/>
      <c r="B857" s="103"/>
      <c r="C857" s="104"/>
      <c r="D857" s="131"/>
      <c r="E857" s="131"/>
      <c r="F857" s="103"/>
      <c r="G857" s="132"/>
      <c r="H857" s="103"/>
      <c r="I857" s="103"/>
      <c r="J857" s="103"/>
      <c r="K857" s="134"/>
    </row>
    <row r="858" spans="1:11">
      <c r="A858" s="103"/>
      <c r="B858" s="103"/>
      <c r="C858" s="104"/>
      <c r="D858" s="135"/>
      <c r="E858" s="136"/>
      <c r="F858" s="103"/>
      <c r="G858" s="132"/>
      <c r="H858" s="111"/>
      <c r="I858" s="103"/>
      <c r="J858" s="103"/>
      <c r="K858" s="133"/>
    </row>
    <row r="859" spans="1:11">
      <c r="A859" s="103"/>
      <c r="B859" s="103"/>
      <c r="C859" s="104"/>
      <c r="D859" s="103"/>
      <c r="E859" s="137"/>
      <c r="F859" s="103"/>
      <c r="G859" s="132"/>
      <c r="H859" s="131"/>
      <c r="I859" s="103"/>
      <c r="J859" s="103"/>
      <c r="K859" s="133"/>
    </row>
    <row r="860" spans="1:11">
      <c r="A860" s="103"/>
      <c r="B860" s="103"/>
      <c r="C860" s="104"/>
      <c r="D860" s="103"/>
      <c r="E860" s="137"/>
      <c r="F860" s="103"/>
      <c r="G860" s="132"/>
      <c r="H860" s="131"/>
      <c r="I860" s="103"/>
      <c r="J860" s="103"/>
      <c r="K860" s="133"/>
    </row>
    <row r="861" spans="1:11">
      <c r="A861" s="103"/>
      <c r="B861" s="103"/>
      <c r="C861" s="104"/>
      <c r="D861" s="103"/>
      <c r="E861" s="137"/>
      <c r="F861" s="103"/>
      <c r="G861" s="132"/>
      <c r="H861" s="131"/>
      <c r="I861" s="103"/>
      <c r="J861" s="103"/>
      <c r="K861" s="133"/>
    </row>
    <row r="862" spans="1:11">
      <c r="A862" s="103"/>
      <c r="B862" s="103"/>
      <c r="C862" s="104"/>
      <c r="D862" s="103"/>
      <c r="E862" s="137"/>
      <c r="F862" s="103"/>
      <c r="G862" s="132"/>
      <c r="H862" s="131"/>
      <c r="I862" s="103"/>
      <c r="J862" s="103"/>
      <c r="K862" s="133"/>
    </row>
    <row r="863" spans="1:11">
      <c r="A863" s="103"/>
      <c r="B863" s="103"/>
      <c r="C863" s="104"/>
      <c r="D863" s="103"/>
      <c r="E863" s="137"/>
      <c r="F863" s="103"/>
      <c r="G863" s="132"/>
      <c r="H863" s="131"/>
      <c r="I863" s="103"/>
      <c r="J863" s="103"/>
      <c r="K863" s="133"/>
    </row>
    <row r="864" spans="1:11">
      <c r="A864" s="103"/>
      <c r="B864" s="103"/>
      <c r="C864" s="104"/>
      <c r="D864" s="103"/>
      <c r="E864" s="137"/>
      <c r="F864" s="103"/>
      <c r="G864" s="132"/>
      <c r="H864" s="131"/>
      <c r="I864" s="103"/>
      <c r="J864" s="103"/>
      <c r="K864" s="133"/>
    </row>
    <row r="865" spans="1:11">
      <c r="A865" s="103"/>
      <c r="B865" s="103"/>
      <c r="C865" s="104"/>
      <c r="D865" s="103"/>
      <c r="E865" s="137"/>
      <c r="F865" s="103"/>
      <c r="G865" s="132"/>
      <c r="H865" s="131"/>
      <c r="I865" s="103"/>
      <c r="J865" s="103"/>
      <c r="K865" s="133"/>
    </row>
    <row r="866" spans="1:11">
      <c r="A866" s="103"/>
      <c r="B866" s="103"/>
      <c r="C866" s="104"/>
      <c r="D866" s="103"/>
      <c r="E866" s="137"/>
      <c r="F866" s="103"/>
      <c r="G866" s="132"/>
      <c r="H866" s="131"/>
      <c r="I866" s="103"/>
      <c r="J866" s="103"/>
      <c r="K866" s="133"/>
    </row>
    <row r="867" spans="1:11">
      <c r="A867" s="103"/>
      <c r="B867" s="103"/>
      <c r="C867" s="104"/>
      <c r="D867" s="103"/>
      <c r="E867" s="137"/>
      <c r="F867" s="103"/>
      <c r="G867" s="132"/>
      <c r="H867" s="138"/>
      <c r="I867" s="103"/>
      <c r="J867" s="132"/>
      <c r="K867" s="133"/>
    </row>
    <row r="868" spans="1:11">
      <c r="A868" s="107"/>
      <c r="B868" s="103"/>
      <c r="C868" s="109"/>
      <c r="D868" s="103"/>
      <c r="E868" s="103"/>
      <c r="F868" s="103"/>
      <c r="G868" s="103"/>
      <c r="H868" s="107"/>
      <c r="I868" s="107"/>
      <c r="J868" s="107"/>
      <c r="K868" s="139"/>
    </row>
    <row r="869" spans="1:11">
      <c r="A869" s="107"/>
      <c r="B869" s="103"/>
      <c r="C869" s="109"/>
      <c r="D869" s="103"/>
      <c r="E869" s="103"/>
      <c r="F869" s="103"/>
      <c r="G869" s="103"/>
      <c r="H869" s="107"/>
      <c r="I869" s="107"/>
      <c r="J869" s="107"/>
      <c r="K869" s="139"/>
    </row>
    <row r="870" spans="1:11">
      <c r="A870" s="107"/>
      <c r="B870" s="103"/>
      <c r="C870" s="109"/>
      <c r="D870" s="103"/>
      <c r="E870" s="103"/>
      <c r="F870" s="103"/>
      <c r="G870" s="103"/>
      <c r="H870" s="107"/>
      <c r="I870" s="107"/>
      <c r="J870" s="107"/>
      <c r="K870" s="139"/>
    </row>
    <row r="871" spans="1:11">
      <c r="A871" s="107"/>
      <c r="B871" s="103"/>
      <c r="C871" s="109"/>
      <c r="D871" s="103"/>
      <c r="E871" s="103"/>
      <c r="F871" s="103"/>
      <c r="G871" s="103"/>
      <c r="H871" s="107"/>
      <c r="I871" s="107"/>
      <c r="J871" s="107"/>
      <c r="K871" s="139"/>
    </row>
    <row r="872" spans="1:11">
      <c r="A872" s="107"/>
      <c r="B872" s="103"/>
      <c r="C872" s="109"/>
      <c r="D872" s="103"/>
      <c r="E872" s="103"/>
      <c r="F872" s="103"/>
      <c r="G872" s="103"/>
      <c r="H872" s="107"/>
      <c r="I872" s="107"/>
      <c r="J872" s="107"/>
      <c r="K872" s="139"/>
    </row>
    <row r="873" spans="1:11">
      <c r="A873" s="107"/>
      <c r="B873" s="103"/>
      <c r="C873" s="109"/>
      <c r="D873" s="103"/>
      <c r="E873" s="103"/>
      <c r="F873" s="103"/>
      <c r="G873" s="103"/>
      <c r="H873" s="107"/>
      <c r="I873" s="107"/>
      <c r="J873" s="107"/>
      <c r="K873" s="139"/>
    </row>
    <row r="874" spans="1:11">
      <c r="A874" s="107"/>
      <c r="B874" s="103"/>
      <c r="C874" s="109"/>
      <c r="D874" s="103"/>
      <c r="E874" s="103"/>
      <c r="F874" s="103"/>
      <c r="G874" s="103"/>
      <c r="H874" s="107"/>
      <c r="I874" s="107"/>
      <c r="J874" s="107"/>
      <c r="K874" s="139"/>
    </row>
    <row r="875" spans="1:11">
      <c r="A875" s="107"/>
      <c r="B875" s="103"/>
      <c r="C875" s="109"/>
      <c r="D875" s="103"/>
      <c r="E875" s="103"/>
      <c r="F875" s="103"/>
      <c r="G875" s="103"/>
      <c r="H875" s="107"/>
      <c r="I875" s="107"/>
      <c r="J875" s="107"/>
      <c r="K875" s="139"/>
    </row>
    <row r="876" spans="1:11">
      <c r="A876" s="107"/>
      <c r="B876" s="103"/>
      <c r="C876" s="109"/>
      <c r="D876" s="103"/>
      <c r="E876" s="103"/>
      <c r="F876" s="103"/>
      <c r="G876" s="103"/>
      <c r="H876" s="107"/>
      <c r="I876" s="107"/>
      <c r="J876" s="107"/>
      <c r="K876" s="139"/>
    </row>
    <row r="877" spans="1:11">
      <c r="A877" s="107"/>
      <c r="B877" s="103"/>
      <c r="C877" s="109"/>
      <c r="D877" s="103"/>
      <c r="E877" s="103"/>
      <c r="F877" s="103"/>
      <c r="G877" s="103"/>
      <c r="H877" s="107"/>
      <c r="I877" s="107"/>
      <c r="J877" s="107"/>
      <c r="K877" s="139"/>
    </row>
    <row r="878" spans="1:11">
      <c r="A878" s="107"/>
      <c r="B878" s="103"/>
      <c r="C878" s="109"/>
      <c r="D878" s="103"/>
      <c r="E878" s="103"/>
      <c r="F878" s="103"/>
      <c r="G878" s="103"/>
      <c r="H878" s="107"/>
      <c r="I878" s="107"/>
      <c r="J878" s="107"/>
      <c r="K878" s="139"/>
    </row>
    <row r="879" spans="1:11">
      <c r="A879" s="107"/>
      <c r="B879" s="103"/>
      <c r="C879" s="109"/>
      <c r="D879" s="103"/>
      <c r="E879" s="103"/>
      <c r="F879" s="103"/>
      <c r="G879" s="103"/>
      <c r="H879" s="107"/>
      <c r="I879" s="107"/>
      <c r="J879" s="107"/>
      <c r="K879" s="139"/>
    </row>
    <row r="880" spans="1:11">
      <c r="A880" s="107"/>
      <c r="B880" s="103"/>
      <c r="C880" s="109"/>
      <c r="D880" s="103"/>
      <c r="E880" s="103"/>
      <c r="F880" s="103"/>
      <c r="G880" s="103"/>
      <c r="H880" s="107"/>
      <c r="I880" s="107"/>
      <c r="J880" s="107"/>
      <c r="K880" s="139"/>
    </row>
    <row r="881" spans="1:11">
      <c r="A881" s="107"/>
      <c r="B881" s="103"/>
      <c r="C881" s="109"/>
      <c r="D881" s="103"/>
      <c r="E881" s="103"/>
      <c r="F881" s="103"/>
      <c r="G881" s="103"/>
      <c r="H881" s="107"/>
      <c r="I881" s="107"/>
      <c r="J881" s="107"/>
      <c r="K881" s="139"/>
    </row>
    <row r="882" spans="1:11">
      <c r="A882" s="107"/>
      <c r="B882" s="103"/>
      <c r="C882" s="109"/>
      <c r="D882" s="103"/>
      <c r="E882" s="103"/>
      <c r="F882" s="103"/>
      <c r="G882" s="103"/>
      <c r="H882" s="107"/>
      <c r="I882" s="107"/>
      <c r="J882" s="107"/>
      <c r="K882" s="139"/>
    </row>
    <row r="883" spans="1:11">
      <c r="A883" s="107"/>
      <c r="B883" s="103"/>
      <c r="C883" s="109"/>
      <c r="D883" s="103"/>
      <c r="E883" s="103"/>
      <c r="F883" s="103"/>
      <c r="G883" s="103"/>
      <c r="H883" s="107"/>
      <c r="I883" s="107"/>
      <c r="J883" s="107"/>
      <c r="K883" s="139"/>
    </row>
    <row r="884" spans="1:11">
      <c r="A884" s="107"/>
      <c r="B884" s="103"/>
      <c r="C884" s="109"/>
      <c r="D884" s="103"/>
      <c r="E884" s="103"/>
      <c r="F884" s="103"/>
      <c r="G884" s="103"/>
      <c r="H884" s="107"/>
      <c r="I884" s="107"/>
      <c r="J884" s="107"/>
      <c r="K884" s="139"/>
    </row>
    <row r="885" spans="1:11">
      <c r="A885" s="107"/>
      <c r="B885" s="103"/>
      <c r="C885" s="109"/>
      <c r="D885" s="103"/>
      <c r="E885" s="103"/>
      <c r="F885" s="103"/>
      <c r="G885" s="103"/>
      <c r="H885" s="107"/>
      <c r="I885" s="107"/>
      <c r="J885" s="107"/>
      <c r="K885" s="139"/>
    </row>
    <row r="886" spans="1:11">
      <c r="A886" s="107"/>
      <c r="B886" s="103"/>
      <c r="C886" s="109"/>
      <c r="D886" s="103"/>
      <c r="E886" s="103"/>
      <c r="F886" s="103"/>
      <c r="G886" s="103"/>
      <c r="H886" s="107"/>
      <c r="I886" s="107"/>
      <c r="J886" s="107"/>
      <c r="K886" s="139"/>
    </row>
    <row r="887" spans="1:11">
      <c r="A887" s="107"/>
      <c r="B887" s="103"/>
      <c r="C887" s="109"/>
      <c r="D887" s="103"/>
      <c r="E887" s="103"/>
      <c r="F887" s="103"/>
      <c r="G887" s="103"/>
      <c r="H887" s="107"/>
      <c r="I887" s="107"/>
      <c r="J887" s="107"/>
      <c r="K887" s="139"/>
    </row>
    <row r="888" spans="1:11">
      <c r="A888" s="107"/>
      <c r="B888" s="103"/>
      <c r="C888" s="109"/>
      <c r="D888" s="103"/>
      <c r="E888" s="103"/>
      <c r="F888" s="103"/>
      <c r="G888" s="103"/>
      <c r="H888" s="107"/>
      <c r="I888" s="107"/>
      <c r="J888" s="107"/>
      <c r="K888" s="139"/>
    </row>
    <row r="889" spans="1:11">
      <c r="A889" s="107"/>
      <c r="B889" s="103"/>
      <c r="C889" s="109"/>
      <c r="D889" s="103"/>
      <c r="E889" s="103"/>
      <c r="F889" s="103"/>
      <c r="G889" s="103"/>
      <c r="H889" s="107"/>
      <c r="I889" s="107"/>
      <c r="J889" s="107"/>
      <c r="K889" s="139"/>
    </row>
    <row r="890" spans="1:11">
      <c r="A890" s="107"/>
      <c r="B890" s="103"/>
      <c r="C890" s="109"/>
      <c r="D890" s="103"/>
      <c r="E890" s="103"/>
      <c r="F890" s="103"/>
      <c r="G890" s="103"/>
      <c r="H890" s="107"/>
      <c r="I890" s="107"/>
      <c r="J890" s="107"/>
      <c r="K890" s="139"/>
    </row>
    <row r="891" spans="1:11">
      <c r="A891" s="107"/>
      <c r="B891" s="103"/>
      <c r="C891" s="109"/>
      <c r="D891" s="103"/>
      <c r="E891" s="103"/>
      <c r="F891" s="103"/>
      <c r="G891" s="103"/>
      <c r="H891" s="107"/>
      <c r="I891" s="107"/>
      <c r="J891" s="107"/>
      <c r="K891" s="139"/>
    </row>
    <row r="892" spans="1:11">
      <c r="A892" s="107"/>
      <c r="B892" s="103"/>
      <c r="C892" s="109"/>
      <c r="D892" s="103"/>
      <c r="E892" s="103"/>
      <c r="F892" s="103"/>
      <c r="G892" s="103"/>
      <c r="H892" s="107"/>
      <c r="I892" s="107"/>
      <c r="J892" s="107"/>
      <c r="K892" s="139"/>
    </row>
    <row r="893" spans="1:11">
      <c r="A893" s="107"/>
      <c r="B893" s="103"/>
      <c r="C893" s="109"/>
      <c r="D893" s="103"/>
      <c r="E893" s="103"/>
      <c r="F893" s="103"/>
      <c r="G893" s="103"/>
      <c r="H893" s="107"/>
      <c r="I893" s="107"/>
      <c r="J893" s="107"/>
      <c r="K893" s="139"/>
    </row>
    <row r="894" spans="1:11">
      <c r="A894" s="107"/>
      <c r="B894" s="103"/>
      <c r="C894" s="109"/>
      <c r="D894" s="103"/>
      <c r="E894" s="103"/>
      <c r="F894" s="103"/>
      <c r="G894" s="103"/>
      <c r="H894" s="107"/>
      <c r="I894" s="107"/>
      <c r="J894" s="107"/>
      <c r="K894" s="139"/>
    </row>
    <row r="895" spans="1:11">
      <c r="A895" s="107"/>
      <c r="B895" s="103"/>
      <c r="C895" s="109"/>
      <c r="D895" s="103"/>
      <c r="E895" s="103"/>
      <c r="F895" s="103"/>
      <c r="G895" s="103"/>
      <c r="H895" s="107"/>
      <c r="I895" s="107"/>
      <c r="J895" s="107"/>
      <c r="K895" s="139"/>
    </row>
    <row r="896" spans="1:11">
      <c r="A896" s="107"/>
      <c r="B896" s="103"/>
      <c r="C896" s="109"/>
      <c r="D896" s="103"/>
      <c r="E896" s="103"/>
      <c r="F896" s="103"/>
      <c r="G896" s="103"/>
      <c r="H896" s="107"/>
      <c r="I896" s="107"/>
      <c r="J896" s="107"/>
      <c r="K896" s="139"/>
    </row>
    <row r="897" spans="1:11">
      <c r="A897" s="107"/>
      <c r="B897" s="103"/>
      <c r="C897" s="109"/>
      <c r="D897" s="103"/>
      <c r="E897" s="103"/>
      <c r="F897" s="103"/>
      <c r="G897" s="103"/>
      <c r="H897" s="107"/>
      <c r="I897" s="107"/>
      <c r="J897" s="107"/>
      <c r="K897" s="139"/>
    </row>
    <row r="898" spans="1:11">
      <c r="A898" s="107"/>
      <c r="B898" s="103"/>
      <c r="C898" s="109"/>
      <c r="D898" s="103"/>
      <c r="E898" s="103"/>
      <c r="F898" s="103"/>
      <c r="G898" s="103"/>
      <c r="H898" s="107"/>
      <c r="I898" s="107"/>
      <c r="J898" s="107"/>
      <c r="K898" s="139"/>
    </row>
    <row r="899" spans="1:11">
      <c r="A899" s="107"/>
      <c r="B899" s="103"/>
      <c r="C899" s="109"/>
      <c r="D899" s="103"/>
      <c r="E899" s="103"/>
      <c r="F899" s="103"/>
      <c r="G899" s="103"/>
      <c r="H899" s="107"/>
      <c r="I899" s="107"/>
      <c r="J899" s="107"/>
      <c r="K899" s="139"/>
    </row>
    <row r="900" spans="1:11">
      <c r="A900" s="107"/>
      <c r="B900" s="103"/>
      <c r="C900" s="109"/>
      <c r="D900" s="103"/>
      <c r="E900" s="103"/>
      <c r="F900" s="103"/>
      <c r="G900" s="103"/>
      <c r="H900" s="107"/>
      <c r="I900" s="107"/>
      <c r="J900" s="107"/>
      <c r="K900" s="139"/>
    </row>
    <row r="901" spans="1:11">
      <c r="A901" s="107"/>
      <c r="B901" s="103"/>
      <c r="C901" s="109"/>
      <c r="D901" s="103"/>
      <c r="E901" s="103"/>
      <c r="F901" s="103"/>
      <c r="G901" s="103"/>
      <c r="H901" s="107"/>
      <c r="I901" s="107"/>
      <c r="J901" s="107"/>
      <c r="K901" s="139"/>
    </row>
    <row r="902" spans="1:11">
      <c r="A902" s="107"/>
      <c r="B902" s="103"/>
      <c r="C902" s="109"/>
      <c r="D902" s="103"/>
      <c r="E902" s="103"/>
      <c r="F902" s="103"/>
      <c r="G902" s="103"/>
      <c r="H902" s="107"/>
      <c r="I902" s="107"/>
      <c r="J902" s="107"/>
      <c r="K902" s="139"/>
    </row>
    <row r="903" spans="1:11">
      <c r="A903" s="107"/>
      <c r="B903" s="103"/>
      <c r="C903" s="109"/>
      <c r="D903" s="103"/>
      <c r="E903" s="103"/>
      <c r="F903" s="103"/>
      <c r="G903" s="103"/>
      <c r="H903" s="107"/>
      <c r="I903" s="107"/>
      <c r="J903" s="107"/>
      <c r="K903" s="139"/>
    </row>
    <row r="904" spans="1:11">
      <c r="A904" s="107"/>
      <c r="B904" s="103"/>
      <c r="C904" s="109"/>
      <c r="D904" s="103"/>
      <c r="E904" s="103"/>
      <c r="F904" s="103"/>
      <c r="G904" s="103"/>
      <c r="H904" s="107"/>
      <c r="I904" s="107"/>
      <c r="J904" s="107"/>
      <c r="K904" s="139"/>
    </row>
    <row r="905" spans="1:11">
      <c r="A905" s="107"/>
      <c r="B905" s="103"/>
      <c r="C905" s="109"/>
      <c r="D905" s="103"/>
      <c r="E905" s="103"/>
      <c r="F905" s="103"/>
      <c r="G905" s="103"/>
      <c r="H905" s="107"/>
      <c r="I905" s="107"/>
      <c r="J905" s="107"/>
      <c r="K905" s="139"/>
    </row>
    <row r="906" spans="1:11">
      <c r="A906" s="107"/>
      <c r="B906" s="103"/>
      <c r="C906" s="109"/>
      <c r="D906" s="103"/>
      <c r="E906" s="103"/>
      <c r="F906" s="103"/>
      <c r="G906" s="103"/>
      <c r="H906" s="107"/>
      <c r="I906" s="107"/>
      <c r="J906" s="107"/>
      <c r="K906" s="139"/>
    </row>
    <row r="907" spans="1:11">
      <c r="A907" s="107"/>
      <c r="B907" s="103"/>
      <c r="C907" s="109"/>
      <c r="D907" s="103"/>
      <c r="E907" s="103"/>
      <c r="F907" s="103"/>
      <c r="G907" s="103"/>
      <c r="H907" s="107"/>
      <c r="I907" s="107"/>
      <c r="J907" s="107"/>
      <c r="K907" s="139"/>
    </row>
    <row r="908" spans="1:11">
      <c r="A908" s="107"/>
      <c r="B908" s="103"/>
      <c r="C908" s="109"/>
      <c r="D908" s="103"/>
      <c r="E908" s="103"/>
      <c r="F908" s="103"/>
      <c r="G908" s="103"/>
      <c r="H908" s="107"/>
      <c r="I908" s="107"/>
      <c r="J908" s="107"/>
      <c r="K908" s="139"/>
    </row>
    <row r="909" spans="1:11">
      <c r="A909" s="107"/>
      <c r="B909" s="103"/>
      <c r="C909" s="109"/>
      <c r="D909" s="103"/>
      <c r="E909" s="103"/>
      <c r="F909" s="103"/>
      <c r="G909" s="103"/>
      <c r="H909" s="107"/>
      <c r="I909" s="107"/>
      <c r="J909" s="107"/>
      <c r="K909" s="139"/>
    </row>
    <row r="910" spans="1:11">
      <c r="A910" s="107"/>
      <c r="B910" s="103"/>
      <c r="C910" s="109"/>
      <c r="D910" s="103"/>
      <c r="E910" s="103"/>
      <c r="F910" s="103"/>
      <c r="G910" s="103"/>
      <c r="H910" s="107"/>
      <c r="I910" s="107"/>
      <c r="J910" s="107"/>
      <c r="K910" s="139"/>
    </row>
    <row r="911" spans="1:11">
      <c r="A911" s="107"/>
      <c r="B911" s="103"/>
      <c r="C911" s="109"/>
      <c r="D911" s="103"/>
      <c r="E911" s="103"/>
      <c r="F911" s="103"/>
      <c r="G911" s="103"/>
      <c r="H911" s="107"/>
      <c r="I911" s="107"/>
      <c r="J911" s="107"/>
      <c r="K911" s="139"/>
    </row>
    <row r="912" spans="1:11">
      <c r="A912" s="107"/>
      <c r="B912" s="103"/>
      <c r="C912" s="109"/>
      <c r="D912" s="103"/>
      <c r="E912" s="103"/>
      <c r="F912" s="103"/>
      <c r="G912" s="103"/>
      <c r="H912" s="107"/>
      <c r="I912" s="107"/>
      <c r="J912" s="107"/>
      <c r="K912" s="139"/>
    </row>
    <row r="913" spans="1:11">
      <c r="A913" s="107"/>
      <c r="B913" s="103"/>
      <c r="C913" s="109"/>
      <c r="D913" s="103"/>
      <c r="E913" s="103"/>
      <c r="F913" s="103"/>
      <c r="G913" s="103"/>
      <c r="H913" s="107"/>
      <c r="I913" s="107"/>
      <c r="J913" s="107"/>
      <c r="K913" s="139"/>
    </row>
    <row r="914" spans="1:11">
      <c r="A914" s="107"/>
      <c r="B914" s="103"/>
      <c r="C914" s="109"/>
      <c r="D914" s="103"/>
      <c r="E914" s="103"/>
      <c r="F914" s="103"/>
      <c r="G914" s="103"/>
      <c r="H914" s="107"/>
      <c r="I914" s="107"/>
      <c r="J914" s="107"/>
      <c r="K914" s="139"/>
    </row>
    <row r="915" spans="1:11">
      <c r="A915" s="107"/>
      <c r="B915" s="103"/>
      <c r="C915" s="109"/>
      <c r="D915" s="103"/>
      <c r="E915" s="103"/>
      <c r="F915" s="103"/>
      <c r="G915" s="103"/>
      <c r="H915" s="107"/>
      <c r="I915" s="107"/>
      <c r="J915" s="107"/>
      <c r="K915" s="139"/>
    </row>
    <row r="916" spans="1:11">
      <c r="A916" s="107"/>
      <c r="B916" s="103"/>
      <c r="C916" s="109"/>
      <c r="D916" s="103"/>
      <c r="E916" s="103"/>
      <c r="F916" s="103"/>
      <c r="G916" s="103"/>
      <c r="H916" s="107"/>
      <c r="I916" s="107"/>
      <c r="J916" s="107"/>
      <c r="K916" s="139"/>
    </row>
    <row r="917" spans="1:11">
      <c r="A917" s="107"/>
      <c r="B917" s="103"/>
      <c r="C917" s="109"/>
      <c r="D917" s="103"/>
      <c r="E917" s="103"/>
      <c r="F917" s="103"/>
      <c r="G917" s="103"/>
      <c r="H917" s="107"/>
      <c r="I917" s="107"/>
      <c r="J917" s="107"/>
      <c r="K917" s="139"/>
    </row>
    <row r="918" spans="1:11">
      <c r="A918" s="107"/>
      <c r="B918" s="103"/>
      <c r="C918" s="109"/>
      <c r="D918" s="103"/>
      <c r="E918" s="103"/>
      <c r="F918" s="103"/>
      <c r="G918" s="103"/>
      <c r="H918" s="107"/>
      <c r="I918" s="107"/>
      <c r="J918" s="107"/>
      <c r="K918" s="139"/>
    </row>
    <row r="919" spans="1:11">
      <c r="A919" s="107"/>
      <c r="B919" s="103"/>
      <c r="C919" s="109"/>
      <c r="D919" s="103"/>
      <c r="E919" s="103"/>
      <c r="F919" s="103"/>
      <c r="G919" s="103"/>
      <c r="H919" s="107"/>
      <c r="I919" s="107"/>
      <c r="J919" s="107"/>
      <c r="K919" s="139"/>
    </row>
    <row r="920" spans="1:11">
      <c r="A920" s="107"/>
      <c r="B920" s="103"/>
      <c r="C920" s="109"/>
      <c r="D920" s="103"/>
      <c r="E920" s="103"/>
      <c r="F920" s="103"/>
      <c r="G920" s="103"/>
      <c r="H920" s="107"/>
      <c r="I920" s="107"/>
      <c r="J920" s="107"/>
      <c r="K920" s="139"/>
    </row>
    <row r="921" spans="1:11">
      <c r="A921" s="107"/>
      <c r="B921" s="103"/>
      <c r="C921" s="109"/>
      <c r="D921" s="103"/>
      <c r="E921" s="103"/>
      <c r="F921" s="103"/>
      <c r="G921" s="103"/>
      <c r="H921" s="107"/>
      <c r="I921" s="107"/>
      <c r="J921" s="107"/>
      <c r="K921" s="139"/>
    </row>
    <row r="922" spans="1:11">
      <c r="A922" s="107"/>
      <c r="B922" s="103"/>
      <c r="C922" s="109"/>
      <c r="D922" s="103"/>
      <c r="E922" s="103"/>
      <c r="F922" s="103"/>
      <c r="G922" s="103"/>
      <c r="H922" s="107"/>
      <c r="I922" s="107"/>
      <c r="J922" s="107"/>
      <c r="K922" s="139"/>
    </row>
    <row r="923" spans="1:11">
      <c r="A923" s="107"/>
      <c r="B923" s="103"/>
      <c r="C923" s="109"/>
      <c r="D923" s="103"/>
      <c r="E923" s="103"/>
      <c r="F923" s="103"/>
      <c r="G923" s="103"/>
      <c r="H923" s="107"/>
      <c r="I923" s="107"/>
      <c r="J923" s="107"/>
      <c r="K923" s="139"/>
    </row>
    <row r="924" spans="1:11">
      <c r="A924" s="107"/>
      <c r="B924" s="103"/>
      <c r="C924" s="109"/>
      <c r="D924" s="103"/>
      <c r="E924" s="103"/>
      <c r="F924" s="103"/>
      <c r="G924" s="103"/>
      <c r="H924" s="107"/>
      <c r="I924" s="107"/>
      <c r="J924" s="107"/>
      <c r="K924" s="139"/>
    </row>
    <row r="925" spans="1:11">
      <c r="A925" s="107"/>
      <c r="B925" s="103"/>
      <c r="C925" s="109"/>
      <c r="D925" s="103"/>
      <c r="E925" s="103"/>
      <c r="F925" s="103"/>
      <c r="G925" s="103"/>
      <c r="H925" s="107"/>
      <c r="I925" s="107"/>
      <c r="J925" s="107"/>
      <c r="K925" s="139"/>
    </row>
    <row r="926" spans="1:11">
      <c r="A926" s="107"/>
      <c r="B926" s="103"/>
      <c r="C926" s="109"/>
      <c r="D926" s="103"/>
      <c r="E926" s="103"/>
      <c r="F926" s="103"/>
      <c r="G926" s="103"/>
      <c r="H926" s="107"/>
      <c r="I926" s="107"/>
      <c r="J926" s="107"/>
      <c r="K926" s="139"/>
    </row>
    <row r="927" spans="1:11">
      <c r="A927" s="107"/>
      <c r="B927" s="103"/>
      <c r="C927" s="109"/>
      <c r="D927" s="103"/>
      <c r="E927" s="103"/>
      <c r="F927" s="103"/>
      <c r="G927" s="103"/>
      <c r="H927" s="107"/>
      <c r="I927" s="107"/>
      <c r="J927" s="107"/>
      <c r="K927" s="139"/>
    </row>
    <row r="928" spans="1:11">
      <c r="A928" s="107"/>
      <c r="B928" s="103"/>
      <c r="C928" s="109"/>
      <c r="D928" s="103"/>
      <c r="E928" s="103"/>
      <c r="F928" s="103"/>
      <c r="G928" s="103"/>
      <c r="H928" s="107"/>
      <c r="I928" s="107"/>
      <c r="J928" s="107"/>
      <c r="K928" s="139"/>
    </row>
    <row r="929" spans="1:11">
      <c r="A929" s="107"/>
      <c r="B929" s="103"/>
      <c r="C929" s="109"/>
      <c r="D929" s="103"/>
      <c r="E929" s="103"/>
      <c r="F929" s="103"/>
      <c r="G929" s="103"/>
      <c r="H929" s="107"/>
      <c r="I929" s="107"/>
      <c r="J929" s="107"/>
      <c r="K929" s="139"/>
    </row>
    <row r="930" spans="1:11">
      <c r="A930" s="107"/>
      <c r="B930" s="103"/>
      <c r="C930" s="109"/>
      <c r="D930" s="103"/>
      <c r="E930" s="103"/>
      <c r="F930" s="103"/>
      <c r="G930" s="103"/>
      <c r="H930" s="107"/>
      <c r="I930" s="107"/>
      <c r="J930" s="107"/>
      <c r="K930" s="139"/>
    </row>
    <row r="931" spans="1:11">
      <c r="A931" s="107"/>
      <c r="B931" s="103"/>
      <c r="C931" s="109"/>
      <c r="D931" s="103"/>
      <c r="E931" s="103"/>
      <c r="F931" s="103"/>
      <c r="G931" s="103"/>
      <c r="H931" s="107"/>
      <c r="I931" s="107"/>
      <c r="J931" s="107"/>
      <c r="K931" s="139"/>
    </row>
    <row r="932" spans="1:11">
      <c r="A932" s="107"/>
      <c r="B932" s="103"/>
      <c r="C932" s="109"/>
      <c r="D932" s="103"/>
      <c r="E932" s="103"/>
      <c r="F932" s="103"/>
      <c r="G932" s="103"/>
      <c r="H932" s="107"/>
      <c r="I932" s="107"/>
      <c r="J932" s="107"/>
      <c r="K932" s="139"/>
    </row>
    <row r="933" spans="1:11">
      <c r="A933" s="107"/>
      <c r="B933" s="103"/>
      <c r="C933" s="109"/>
      <c r="D933" s="103"/>
      <c r="E933" s="103"/>
      <c r="F933" s="103"/>
      <c r="G933" s="103"/>
      <c r="H933" s="107"/>
      <c r="I933" s="107"/>
      <c r="J933" s="107"/>
      <c r="K933" s="139"/>
    </row>
    <row r="934" spans="1:11">
      <c r="A934" s="107"/>
      <c r="B934" s="103"/>
      <c r="C934" s="109"/>
      <c r="D934" s="103"/>
      <c r="E934" s="103"/>
      <c r="F934" s="103"/>
      <c r="G934" s="103"/>
      <c r="H934" s="107"/>
      <c r="I934" s="107"/>
      <c r="J934" s="107"/>
      <c r="K934" s="139"/>
    </row>
    <row r="935" spans="1:11">
      <c r="A935" s="107"/>
      <c r="B935" s="103"/>
      <c r="C935" s="109"/>
      <c r="D935" s="103"/>
      <c r="E935" s="103"/>
      <c r="F935" s="103"/>
      <c r="G935" s="103"/>
      <c r="H935" s="107"/>
      <c r="I935" s="107"/>
      <c r="J935" s="107"/>
      <c r="K935" s="139"/>
    </row>
    <row r="936" spans="1:11">
      <c r="A936" s="107"/>
      <c r="B936" s="103"/>
      <c r="C936" s="109"/>
      <c r="D936" s="103"/>
      <c r="E936" s="103"/>
      <c r="F936" s="103"/>
      <c r="G936" s="103"/>
      <c r="H936" s="107"/>
      <c r="I936" s="107"/>
      <c r="J936" s="107"/>
      <c r="K936" s="139"/>
    </row>
    <row r="937" spans="1:11">
      <c r="A937" s="107"/>
      <c r="B937" s="103"/>
      <c r="C937" s="109"/>
      <c r="D937" s="103"/>
      <c r="E937" s="103"/>
      <c r="F937" s="103"/>
      <c r="G937" s="103"/>
      <c r="H937" s="107"/>
      <c r="I937" s="107"/>
      <c r="J937" s="107"/>
      <c r="K937" s="139"/>
    </row>
    <row r="938" spans="1:11">
      <c r="A938" s="107"/>
      <c r="B938" s="103"/>
      <c r="C938" s="109"/>
      <c r="D938" s="103"/>
      <c r="E938" s="103"/>
      <c r="F938" s="103"/>
      <c r="G938" s="103"/>
      <c r="H938" s="107"/>
      <c r="I938" s="107"/>
      <c r="J938" s="107"/>
      <c r="K938" s="139"/>
    </row>
    <row r="939" spans="1:11">
      <c r="A939" s="107"/>
      <c r="B939" s="103"/>
      <c r="C939" s="109"/>
      <c r="D939" s="103"/>
      <c r="E939" s="103"/>
      <c r="F939" s="103"/>
      <c r="G939" s="103"/>
      <c r="H939" s="107"/>
      <c r="I939" s="107"/>
      <c r="J939" s="107"/>
      <c r="K939" s="139"/>
    </row>
    <row r="940" spans="1:11">
      <c r="A940" s="107"/>
      <c r="B940" s="103"/>
      <c r="C940" s="109"/>
      <c r="D940" s="103"/>
      <c r="E940" s="103"/>
      <c r="F940" s="103"/>
      <c r="G940" s="103"/>
      <c r="H940" s="107"/>
      <c r="I940" s="107"/>
      <c r="J940" s="107"/>
      <c r="K940" s="139"/>
    </row>
    <row r="941" spans="1:11">
      <c r="A941" s="107"/>
      <c r="B941" s="103"/>
      <c r="C941" s="109"/>
      <c r="D941" s="103"/>
      <c r="E941" s="103"/>
      <c r="F941" s="103"/>
      <c r="G941" s="103"/>
      <c r="H941" s="107"/>
      <c r="I941" s="107"/>
      <c r="J941" s="107"/>
      <c r="K941" s="139"/>
    </row>
    <row r="942" spans="1:11">
      <c r="A942" s="107"/>
      <c r="B942" s="103"/>
      <c r="C942" s="109"/>
      <c r="D942" s="103"/>
      <c r="E942" s="103"/>
      <c r="F942" s="103"/>
      <c r="G942" s="103"/>
      <c r="H942" s="107"/>
      <c r="I942" s="107"/>
      <c r="J942" s="107"/>
      <c r="K942" s="139"/>
    </row>
    <row r="943" spans="1:11">
      <c r="A943" s="107"/>
      <c r="B943" s="103"/>
      <c r="C943" s="109"/>
      <c r="D943" s="103"/>
      <c r="E943" s="103"/>
      <c r="F943" s="103"/>
      <c r="G943" s="103"/>
      <c r="H943" s="107"/>
      <c r="I943" s="107"/>
      <c r="J943" s="107"/>
      <c r="K943" s="139"/>
    </row>
    <row r="944" spans="1:11">
      <c r="A944" s="107"/>
      <c r="B944" s="103"/>
      <c r="C944" s="109"/>
      <c r="D944" s="103"/>
      <c r="E944" s="103"/>
      <c r="F944" s="103"/>
      <c r="G944" s="103"/>
      <c r="H944" s="107"/>
      <c r="I944" s="107"/>
      <c r="J944" s="107"/>
      <c r="K944" s="139"/>
    </row>
    <row r="945" spans="1:11">
      <c r="A945" s="107"/>
      <c r="B945" s="103"/>
      <c r="C945" s="109"/>
      <c r="D945" s="103"/>
      <c r="E945" s="103"/>
      <c r="F945" s="103"/>
      <c r="G945" s="103"/>
      <c r="H945" s="107"/>
      <c r="I945" s="107"/>
      <c r="J945" s="107"/>
      <c r="K945" s="139"/>
    </row>
    <row r="946" spans="1:11">
      <c r="A946" s="107"/>
      <c r="B946" s="103"/>
      <c r="C946" s="109"/>
      <c r="D946" s="103"/>
      <c r="E946" s="103"/>
      <c r="F946" s="103"/>
      <c r="G946" s="103"/>
      <c r="H946" s="107"/>
      <c r="I946" s="107"/>
      <c r="J946" s="107"/>
      <c r="K946" s="139"/>
    </row>
    <row r="947" spans="1:11">
      <c r="A947" s="107"/>
      <c r="B947" s="103"/>
      <c r="C947" s="109"/>
      <c r="D947" s="103"/>
      <c r="E947" s="103"/>
      <c r="F947" s="103"/>
      <c r="G947" s="103"/>
      <c r="H947" s="107"/>
      <c r="I947" s="107"/>
      <c r="J947" s="107"/>
      <c r="K947" s="139"/>
    </row>
    <row r="948" spans="1:11">
      <c r="A948" s="107"/>
      <c r="B948" s="103"/>
      <c r="C948" s="109"/>
      <c r="D948" s="103"/>
      <c r="E948" s="103"/>
      <c r="F948" s="103"/>
      <c r="G948" s="103"/>
      <c r="H948" s="107"/>
      <c r="I948" s="107"/>
      <c r="J948" s="107"/>
      <c r="K948" s="139"/>
    </row>
    <row r="949" spans="1:11">
      <c r="A949" s="107"/>
      <c r="B949" s="103"/>
      <c r="C949" s="109"/>
      <c r="D949" s="103"/>
      <c r="E949" s="103"/>
      <c r="F949" s="103"/>
      <c r="G949" s="103"/>
      <c r="H949" s="107"/>
      <c r="I949" s="107"/>
      <c r="J949" s="107"/>
      <c r="K949" s="139"/>
    </row>
    <row r="950" spans="1:11">
      <c r="A950" s="107"/>
      <c r="B950" s="103"/>
      <c r="C950" s="109"/>
      <c r="D950" s="103"/>
      <c r="E950" s="103"/>
      <c r="F950" s="103"/>
      <c r="G950" s="103"/>
      <c r="H950" s="107"/>
      <c r="I950" s="107"/>
      <c r="J950" s="107"/>
      <c r="K950" s="139"/>
    </row>
    <row r="951" spans="1:11">
      <c r="A951" s="107"/>
      <c r="B951" s="103"/>
      <c r="C951" s="109"/>
      <c r="D951" s="103"/>
      <c r="E951" s="103"/>
      <c r="F951" s="103"/>
      <c r="G951" s="103"/>
      <c r="H951" s="107"/>
      <c r="I951" s="107"/>
      <c r="J951" s="107"/>
      <c r="K951" s="139"/>
    </row>
    <row r="952" spans="1:11">
      <c r="A952" s="107"/>
      <c r="B952" s="103"/>
      <c r="C952" s="109"/>
      <c r="D952" s="103"/>
      <c r="E952" s="103"/>
      <c r="F952" s="103"/>
      <c r="G952" s="103"/>
      <c r="H952" s="107"/>
      <c r="I952" s="107"/>
      <c r="J952" s="107"/>
      <c r="K952" s="139"/>
    </row>
    <row r="953" spans="1:11">
      <c r="A953" s="107"/>
      <c r="B953" s="103"/>
      <c r="C953" s="109"/>
      <c r="D953" s="103"/>
      <c r="E953" s="103"/>
      <c r="F953" s="103"/>
      <c r="G953" s="103"/>
      <c r="H953" s="107"/>
      <c r="I953" s="107"/>
      <c r="J953" s="107"/>
      <c r="K953" s="139"/>
    </row>
    <row r="954" spans="1:11">
      <c r="A954" s="107"/>
      <c r="B954" s="103"/>
      <c r="C954" s="109"/>
      <c r="D954" s="103"/>
      <c r="E954" s="103"/>
      <c r="F954" s="103"/>
      <c r="G954" s="103"/>
      <c r="H954" s="107"/>
      <c r="I954" s="107"/>
      <c r="J954" s="107"/>
      <c r="K954" s="139"/>
    </row>
    <row r="955" spans="1:11">
      <c r="A955" s="107"/>
      <c r="B955" s="103"/>
      <c r="C955" s="109"/>
      <c r="D955" s="103"/>
      <c r="E955" s="103"/>
      <c r="F955" s="103"/>
      <c r="G955" s="103"/>
      <c r="H955" s="107"/>
      <c r="I955" s="107"/>
      <c r="J955" s="107"/>
      <c r="K955" s="139"/>
    </row>
    <row r="956" spans="1:11">
      <c r="A956" s="107"/>
      <c r="B956" s="103"/>
      <c r="C956" s="109"/>
      <c r="D956" s="103"/>
      <c r="E956" s="103"/>
      <c r="F956" s="103"/>
      <c r="G956" s="103"/>
      <c r="H956" s="107"/>
      <c r="I956" s="107"/>
      <c r="J956" s="107"/>
      <c r="K956" s="139"/>
    </row>
    <row r="957" spans="1:11">
      <c r="A957" s="107"/>
      <c r="B957" s="103"/>
      <c r="C957" s="109"/>
      <c r="D957" s="103"/>
      <c r="E957" s="103"/>
      <c r="F957" s="103"/>
      <c r="G957" s="103"/>
      <c r="H957" s="107"/>
      <c r="I957" s="107"/>
      <c r="J957" s="107"/>
      <c r="K957" s="139"/>
    </row>
    <row r="958" spans="1:11">
      <c r="A958" s="107"/>
      <c r="B958" s="103"/>
      <c r="C958" s="109"/>
      <c r="D958" s="103"/>
      <c r="E958" s="103"/>
      <c r="F958" s="103"/>
      <c r="G958" s="103"/>
      <c r="H958" s="107"/>
      <c r="I958" s="107"/>
      <c r="J958" s="107"/>
      <c r="K958" s="139"/>
    </row>
    <row r="959" spans="1:11">
      <c r="A959" s="107"/>
      <c r="B959" s="103"/>
      <c r="C959" s="109"/>
      <c r="D959" s="103"/>
      <c r="E959" s="103"/>
      <c r="F959" s="103"/>
      <c r="G959" s="103"/>
      <c r="H959" s="107"/>
      <c r="I959" s="107"/>
      <c r="J959" s="107"/>
      <c r="K959" s="139"/>
    </row>
    <row r="960" spans="1:11">
      <c r="A960" s="107"/>
      <c r="B960" s="103"/>
      <c r="C960" s="109"/>
      <c r="D960" s="103"/>
      <c r="E960" s="103"/>
      <c r="F960" s="103"/>
      <c r="G960" s="103"/>
      <c r="H960" s="107"/>
      <c r="I960" s="107"/>
      <c r="J960" s="107"/>
      <c r="K960" s="139"/>
    </row>
    <row r="961" spans="1:11">
      <c r="A961" s="107"/>
      <c r="B961" s="103"/>
      <c r="C961" s="109"/>
      <c r="D961" s="103"/>
      <c r="E961" s="103"/>
      <c r="F961" s="103"/>
      <c r="G961" s="103"/>
      <c r="H961" s="107"/>
      <c r="I961" s="107"/>
      <c r="J961" s="107"/>
      <c r="K961" s="139"/>
    </row>
    <row r="962" spans="1:11">
      <c r="A962" s="107"/>
      <c r="B962" s="103"/>
      <c r="C962" s="109"/>
      <c r="D962" s="103"/>
      <c r="E962" s="103"/>
      <c r="F962" s="103"/>
      <c r="G962" s="103"/>
      <c r="H962" s="107"/>
      <c r="I962" s="107"/>
      <c r="J962" s="107"/>
      <c r="K962" s="139"/>
    </row>
    <row r="963" spans="1:11">
      <c r="A963" s="107"/>
      <c r="B963" s="103"/>
      <c r="C963" s="109"/>
      <c r="D963" s="103"/>
      <c r="E963" s="103"/>
      <c r="F963" s="103"/>
      <c r="G963" s="103"/>
      <c r="H963" s="107"/>
      <c r="I963" s="107"/>
      <c r="J963" s="107"/>
      <c r="K963" s="139"/>
    </row>
    <row r="964" spans="1:11">
      <c r="A964" s="107"/>
      <c r="B964" s="103"/>
      <c r="C964" s="109"/>
      <c r="D964" s="103"/>
      <c r="E964" s="103"/>
      <c r="F964" s="103"/>
      <c r="G964" s="103"/>
      <c r="H964" s="107"/>
      <c r="I964" s="107"/>
      <c r="J964" s="107"/>
      <c r="K964" s="139"/>
    </row>
    <row r="965" spans="1:11">
      <c r="A965" s="107"/>
      <c r="B965" s="103"/>
      <c r="C965" s="109"/>
      <c r="D965" s="103"/>
      <c r="E965" s="103"/>
      <c r="F965" s="103"/>
      <c r="G965" s="103"/>
      <c r="H965" s="107"/>
      <c r="I965" s="107"/>
      <c r="J965" s="107"/>
      <c r="K965" s="139"/>
    </row>
    <row r="966" spans="1:11">
      <c r="A966" s="107"/>
      <c r="B966" s="103"/>
      <c r="C966" s="109"/>
      <c r="D966" s="103"/>
      <c r="E966" s="103"/>
      <c r="F966" s="103"/>
      <c r="G966" s="103"/>
      <c r="H966" s="107"/>
      <c r="I966" s="107"/>
      <c r="J966" s="107"/>
      <c r="K966" s="139"/>
    </row>
    <row r="967" spans="1:11">
      <c r="A967" s="107"/>
      <c r="B967" s="103"/>
      <c r="C967" s="109"/>
      <c r="D967" s="103"/>
      <c r="E967" s="103"/>
      <c r="F967" s="103"/>
      <c r="G967" s="103"/>
      <c r="H967" s="107"/>
      <c r="I967" s="107"/>
      <c r="J967" s="107"/>
      <c r="K967" s="139"/>
    </row>
    <row r="968" spans="1:11">
      <c r="A968" s="107"/>
      <c r="B968" s="103"/>
      <c r="C968" s="109"/>
      <c r="D968" s="103"/>
      <c r="E968" s="103"/>
      <c r="F968" s="103"/>
      <c r="G968" s="103"/>
      <c r="H968" s="107"/>
      <c r="I968" s="107"/>
      <c r="J968" s="107"/>
      <c r="K968" s="139"/>
    </row>
    <row r="969" spans="1:11">
      <c r="A969" s="107"/>
      <c r="B969" s="103"/>
      <c r="C969" s="109"/>
      <c r="D969" s="103"/>
      <c r="E969" s="103"/>
      <c r="F969" s="103"/>
      <c r="G969" s="103"/>
      <c r="H969" s="107"/>
      <c r="I969" s="107"/>
      <c r="J969" s="107"/>
      <c r="K969" s="139"/>
    </row>
    <row r="970" spans="1:11">
      <c r="A970" s="107"/>
      <c r="B970" s="103"/>
      <c r="C970" s="109"/>
      <c r="D970" s="103"/>
      <c r="E970" s="103"/>
      <c r="F970" s="103"/>
      <c r="G970" s="103"/>
      <c r="H970" s="107"/>
      <c r="I970" s="107"/>
      <c r="J970" s="107"/>
      <c r="K970" s="139"/>
    </row>
    <row r="971" spans="1:11">
      <c r="A971" s="107"/>
      <c r="B971" s="103"/>
      <c r="C971" s="109"/>
      <c r="D971" s="103"/>
      <c r="E971" s="103"/>
      <c r="F971" s="103"/>
      <c r="G971" s="103"/>
      <c r="H971" s="107"/>
      <c r="I971" s="107"/>
      <c r="J971" s="107"/>
      <c r="K971" s="139"/>
    </row>
    <row r="972" spans="1:11">
      <c r="A972" s="107"/>
      <c r="B972" s="103"/>
      <c r="C972" s="109"/>
      <c r="D972" s="103"/>
      <c r="E972" s="103"/>
      <c r="F972" s="103"/>
      <c r="G972" s="103"/>
      <c r="H972" s="107"/>
      <c r="I972" s="107"/>
      <c r="J972" s="107"/>
      <c r="K972" s="139"/>
    </row>
    <row r="973" spans="1:11">
      <c r="A973" s="107"/>
      <c r="B973" s="103"/>
      <c r="C973" s="109"/>
      <c r="D973" s="103"/>
      <c r="E973" s="103"/>
      <c r="F973" s="103"/>
      <c r="G973" s="103"/>
      <c r="H973" s="107"/>
      <c r="I973" s="107"/>
      <c r="J973" s="107"/>
      <c r="K973" s="139"/>
    </row>
    <row r="974" spans="1:11">
      <c r="A974" s="107"/>
      <c r="B974" s="103"/>
      <c r="C974" s="109"/>
      <c r="D974" s="103"/>
      <c r="E974" s="103"/>
      <c r="F974" s="103"/>
      <c r="G974" s="103"/>
      <c r="H974" s="107"/>
      <c r="I974" s="107"/>
      <c r="J974" s="107"/>
      <c r="K974" s="139"/>
    </row>
    <row r="975" spans="1:11">
      <c r="A975" s="107"/>
      <c r="B975" s="103"/>
      <c r="C975" s="109"/>
      <c r="D975" s="103"/>
      <c r="E975" s="103"/>
      <c r="F975" s="103"/>
      <c r="G975" s="103"/>
      <c r="H975" s="107"/>
      <c r="I975" s="107"/>
      <c r="J975" s="107"/>
      <c r="K975" s="139"/>
    </row>
    <row r="976" spans="1:11">
      <c r="A976" s="107"/>
      <c r="B976" s="103"/>
      <c r="C976" s="109"/>
      <c r="D976" s="103"/>
      <c r="E976" s="103"/>
      <c r="F976" s="103"/>
      <c r="G976" s="103"/>
      <c r="H976" s="107"/>
      <c r="I976" s="107"/>
      <c r="J976" s="107"/>
      <c r="K976" s="139"/>
    </row>
    <row r="977" spans="1:11">
      <c r="A977" s="107"/>
      <c r="B977" s="103"/>
      <c r="C977" s="109"/>
      <c r="D977" s="103"/>
      <c r="E977" s="103"/>
      <c r="F977" s="103"/>
      <c r="G977" s="103"/>
      <c r="H977" s="107"/>
      <c r="I977" s="107"/>
      <c r="J977" s="107"/>
      <c r="K977" s="139"/>
    </row>
    <row r="978" spans="1:11">
      <c r="A978" s="107"/>
      <c r="B978" s="103"/>
      <c r="C978" s="109"/>
      <c r="D978" s="103"/>
      <c r="E978" s="103"/>
      <c r="F978" s="103"/>
      <c r="G978" s="103"/>
      <c r="H978" s="107"/>
      <c r="I978" s="107"/>
      <c r="J978" s="107"/>
      <c r="K978" s="139"/>
    </row>
    <row r="979" spans="1:11">
      <c r="A979" s="107"/>
      <c r="B979" s="103"/>
      <c r="C979" s="109"/>
      <c r="D979" s="103"/>
      <c r="E979" s="103"/>
      <c r="F979" s="103"/>
      <c r="G979" s="103"/>
      <c r="H979" s="107"/>
      <c r="I979" s="107"/>
      <c r="J979" s="107"/>
      <c r="K979" s="139"/>
    </row>
    <row r="980" spans="1:11">
      <c r="A980" s="107"/>
      <c r="B980" s="103"/>
      <c r="C980" s="109"/>
      <c r="D980" s="103"/>
      <c r="E980" s="103"/>
      <c r="F980" s="103"/>
      <c r="G980" s="103"/>
      <c r="H980" s="107"/>
      <c r="I980" s="107"/>
      <c r="J980" s="107"/>
      <c r="K980" s="139"/>
    </row>
    <row r="981" spans="1:11">
      <c r="A981" s="107"/>
      <c r="B981" s="103"/>
      <c r="C981" s="109"/>
      <c r="D981" s="103"/>
      <c r="E981" s="103"/>
      <c r="F981" s="103"/>
      <c r="G981" s="103"/>
      <c r="H981" s="107"/>
      <c r="I981" s="107"/>
      <c r="J981" s="107"/>
      <c r="K981" s="139"/>
    </row>
    <row r="982" spans="1:11">
      <c r="A982" s="107"/>
      <c r="B982" s="103"/>
      <c r="C982" s="109"/>
      <c r="D982" s="103"/>
      <c r="E982" s="103"/>
      <c r="F982" s="103"/>
      <c r="G982" s="103"/>
      <c r="H982" s="107"/>
      <c r="I982" s="107"/>
      <c r="J982" s="107"/>
      <c r="K982" s="139"/>
    </row>
    <row r="983" spans="1:11">
      <c r="A983" s="107"/>
      <c r="B983" s="103"/>
      <c r="C983" s="109"/>
      <c r="D983" s="103"/>
      <c r="E983" s="103"/>
      <c r="F983" s="103"/>
      <c r="G983" s="103"/>
      <c r="H983" s="107"/>
      <c r="I983" s="107"/>
      <c r="J983" s="107"/>
      <c r="K983" s="139"/>
    </row>
    <row r="984" spans="1:11">
      <c r="A984" s="107"/>
      <c r="B984" s="103"/>
      <c r="C984" s="109"/>
      <c r="D984" s="103"/>
      <c r="E984" s="103"/>
      <c r="F984" s="103"/>
      <c r="G984" s="103"/>
      <c r="H984" s="107"/>
      <c r="I984" s="107"/>
      <c r="J984" s="107"/>
      <c r="K984" s="139"/>
    </row>
    <row r="985" spans="1:11">
      <c r="A985" s="107"/>
      <c r="B985" s="103"/>
      <c r="C985" s="109"/>
      <c r="D985" s="103"/>
      <c r="E985" s="103"/>
      <c r="F985" s="103"/>
      <c r="G985" s="103"/>
      <c r="H985" s="107"/>
      <c r="I985" s="107"/>
      <c r="J985" s="107"/>
      <c r="K985" s="139"/>
    </row>
    <row r="986" spans="1:11">
      <c r="A986" s="107"/>
      <c r="B986" s="103"/>
      <c r="C986" s="109"/>
      <c r="D986" s="103"/>
      <c r="E986" s="103"/>
      <c r="F986" s="103"/>
      <c r="G986" s="103"/>
      <c r="H986" s="107"/>
      <c r="I986" s="107"/>
      <c r="J986" s="107"/>
      <c r="K986" s="139"/>
    </row>
    <row r="987" spans="1:11">
      <c r="A987" s="107"/>
      <c r="B987" s="103"/>
      <c r="C987" s="109"/>
      <c r="D987" s="103"/>
      <c r="E987" s="103"/>
      <c r="F987" s="103"/>
      <c r="G987" s="103"/>
      <c r="H987" s="107"/>
      <c r="I987" s="107"/>
      <c r="J987" s="107"/>
      <c r="K987" s="139"/>
    </row>
    <row r="988" spans="1:11">
      <c r="A988" s="107"/>
      <c r="B988" s="103"/>
      <c r="C988" s="109"/>
      <c r="D988" s="103"/>
      <c r="E988" s="103"/>
      <c r="F988" s="103"/>
      <c r="G988" s="103"/>
      <c r="H988" s="107"/>
      <c r="I988" s="107"/>
      <c r="J988" s="107"/>
      <c r="K988" s="139"/>
    </row>
    <row r="989" spans="1:11">
      <c r="A989" s="107"/>
      <c r="B989" s="103"/>
      <c r="C989" s="109"/>
      <c r="D989" s="103"/>
      <c r="E989" s="103"/>
      <c r="F989" s="103"/>
      <c r="G989" s="103"/>
      <c r="H989" s="107"/>
      <c r="I989" s="107"/>
      <c r="J989" s="107"/>
      <c r="K989" s="139"/>
    </row>
    <row r="990" spans="1:11">
      <c r="A990" s="107"/>
      <c r="B990" s="103"/>
      <c r="C990" s="109"/>
      <c r="D990" s="103"/>
      <c r="E990" s="103"/>
      <c r="F990" s="103"/>
      <c r="G990" s="103"/>
      <c r="H990" s="107"/>
      <c r="I990" s="107"/>
      <c r="J990" s="107"/>
      <c r="K990" s="139"/>
    </row>
    <row r="991" spans="1:11">
      <c r="A991" s="107"/>
      <c r="B991" s="103"/>
      <c r="C991" s="109"/>
      <c r="D991" s="103"/>
      <c r="E991" s="103"/>
      <c r="F991" s="103"/>
      <c r="G991" s="103"/>
      <c r="H991" s="107"/>
      <c r="I991" s="107"/>
      <c r="J991" s="107"/>
      <c r="K991" s="139"/>
    </row>
    <row r="992" spans="1:11">
      <c r="A992" s="107"/>
      <c r="B992" s="103"/>
      <c r="C992" s="109"/>
      <c r="D992" s="103"/>
      <c r="E992" s="103"/>
      <c r="F992" s="103"/>
      <c r="G992" s="103"/>
      <c r="H992" s="107"/>
      <c r="I992" s="107"/>
      <c r="J992" s="107"/>
      <c r="K992" s="139"/>
    </row>
    <row r="993" spans="1:11">
      <c r="A993" s="107"/>
      <c r="B993" s="103"/>
      <c r="C993" s="109"/>
      <c r="D993" s="103"/>
      <c r="E993" s="103"/>
      <c r="F993" s="103"/>
      <c r="G993" s="103"/>
      <c r="H993" s="107"/>
      <c r="I993" s="107"/>
      <c r="J993" s="107"/>
      <c r="K993" s="139"/>
    </row>
    <row r="994" spans="1:11">
      <c r="A994" s="107"/>
      <c r="B994" s="103"/>
      <c r="C994" s="109"/>
      <c r="D994" s="103"/>
      <c r="E994" s="103"/>
      <c r="F994" s="103"/>
      <c r="G994" s="103"/>
      <c r="H994" s="107"/>
      <c r="I994" s="107"/>
      <c r="J994" s="107"/>
      <c r="K994" s="139"/>
    </row>
    <row r="995" spans="1:11">
      <c r="A995" s="107"/>
      <c r="B995" s="103"/>
      <c r="C995" s="109"/>
      <c r="D995" s="103"/>
      <c r="E995" s="103"/>
      <c r="F995" s="103"/>
      <c r="G995" s="103"/>
      <c r="H995" s="107"/>
      <c r="I995" s="107"/>
      <c r="J995" s="107"/>
      <c r="K995" s="139"/>
    </row>
    <row r="996" spans="1:11">
      <c r="A996" s="107"/>
      <c r="B996" s="103"/>
      <c r="C996" s="109"/>
      <c r="D996" s="103"/>
      <c r="E996" s="103"/>
      <c r="F996" s="103"/>
      <c r="G996" s="103"/>
      <c r="H996" s="107"/>
      <c r="I996" s="107"/>
      <c r="J996" s="107"/>
      <c r="K996" s="139"/>
    </row>
    <row r="997" spans="1:11">
      <c r="A997" s="107"/>
      <c r="B997" s="103"/>
      <c r="C997" s="109"/>
      <c r="D997" s="103"/>
      <c r="E997" s="103"/>
      <c r="F997" s="103"/>
      <c r="G997" s="103"/>
      <c r="H997" s="107"/>
      <c r="I997" s="107"/>
      <c r="J997" s="107"/>
      <c r="K997" s="139"/>
    </row>
    <row r="998" spans="1:11">
      <c r="A998" s="107"/>
      <c r="B998" s="103"/>
      <c r="C998" s="109"/>
      <c r="D998" s="103"/>
      <c r="E998" s="103"/>
      <c r="F998" s="103"/>
      <c r="G998" s="103"/>
      <c r="H998" s="107"/>
      <c r="I998" s="107"/>
      <c r="J998" s="107"/>
      <c r="K998" s="139"/>
    </row>
    <row r="999" spans="1:11">
      <c r="A999" s="107"/>
      <c r="B999" s="103"/>
      <c r="C999" s="109"/>
      <c r="D999" s="103"/>
      <c r="E999" s="103"/>
      <c r="F999" s="103"/>
      <c r="G999" s="103"/>
      <c r="H999" s="107"/>
      <c r="I999" s="107"/>
      <c r="J999" s="107"/>
      <c r="K999" s="139"/>
    </row>
    <row r="1000" spans="1:11">
      <c r="A1000" s="107"/>
      <c r="B1000" s="103"/>
      <c r="C1000" s="109"/>
      <c r="D1000" s="103"/>
      <c r="E1000" s="103"/>
      <c r="F1000" s="103"/>
      <c r="G1000" s="103"/>
      <c r="H1000" s="107"/>
      <c r="I1000" s="107"/>
      <c r="J1000" s="107"/>
      <c r="K1000" s="139"/>
    </row>
    <row r="1001" spans="1:11">
      <c r="A1001" s="107"/>
      <c r="B1001" s="103"/>
      <c r="C1001" s="109"/>
      <c r="D1001" s="103"/>
      <c r="E1001" s="103"/>
      <c r="F1001" s="103"/>
      <c r="G1001" s="103"/>
      <c r="H1001" s="107"/>
      <c r="I1001" s="107"/>
      <c r="J1001" s="107"/>
      <c r="K1001" s="139"/>
    </row>
    <row r="1002" spans="1:11">
      <c r="A1002" s="107"/>
      <c r="B1002" s="103"/>
      <c r="C1002" s="109"/>
      <c r="D1002" s="103"/>
      <c r="E1002" s="103"/>
      <c r="F1002" s="103"/>
      <c r="G1002" s="103"/>
      <c r="H1002" s="107"/>
      <c r="I1002" s="107"/>
      <c r="J1002" s="107"/>
      <c r="K1002" s="139"/>
    </row>
    <row r="1003" spans="1:11">
      <c r="A1003" s="107"/>
      <c r="B1003" s="103"/>
      <c r="C1003" s="109"/>
      <c r="D1003" s="103"/>
      <c r="E1003" s="103"/>
      <c r="F1003" s="103"/>
      <c r="G1003" s="103"/>
      <c r="H1003" s="107"/>
      <c r="I1003" s="107"/>
      <c r="J1003" s="107"/>
      <c r="K1003" s="139"/>
    </row>
    <row r="1004" spans="1:11">
      <c r="A1004" s="107"/>
      <c r="B1004" s="103"/>
      <c r="C1004" s="109"/>
      <c r="D1004" s="103"/>
      <c r="E1004" s="103"/>
      <c r="F1004" s="103"/>
      <c r="G1004" s="103"/>
      <c r="H1004" s="107"/>
      <c r="I1004" s="107"/>
      <c r="J1004" s="107"/>
      <c r="K1004" s="139"/>
    </row>
    <row r="1005" spans="1:11">
      <c r="A1005" s="107"/>
      <c r="B1005" s="103"/>
      <c r="C1005" s="109"/>
      <c r="D1005" s="103"/>
      <c r="E1005" s="103"/>
      <c r="F1005" s="103"/>
      <c r="G1005" s="103"/>
      <c r="H1005" s="107"/>
      <c r="I1005" s="107"/>
      <c r="J1005" s="107"/>
      <c r="K1005" s="139"/>
    </row>
    <row r="1006" spans="1:11">
      <c r="A1006" s="107"/>
      <c r="B1006" s="103"/>
      <c r="C1006" s="109"/>
      <c r="D1006" s="103"/>
      <c r="E1006" s="103"/>
      <c r="F1006" s="103"/>
      <c r="G1006" s="103"/>
      <c r="H1006" s="107"/>
      <c r="I1006" s="107"/>
      <c r="J1006" s="107"/>
      <c r="K1006" s="139"/>
    </row>
    <row r="1007" spans="1:11">
      <c r="A1007" s="107"/>
      <c r="B1007" s="103"/>
      <c r="C1007" s="109"/>
      <c r="D1007" s="103"/>
      <c r="E1007" s="103"/>
      <c r="F1007" s="103"/>
      <c r="G1007" s="103"/>
      <c r="H1007" s="107"/>
      <c r="I1007" s="107"/>
      <c r="J1007" s="107"/>
      <c r="K1007" s="139"/>
    </row>
    <row r="1008" spans="1:11">
      <c r="A1008" s="107"/>
      <c r="B1008" s="103"/>
      <c r="C1008" s="109"/>
      <c r="D1008" s="103"/>
      <c r="E1008" s="103"/>
      <c r="F1008" s="103"/>
      <c r="G1008" s="103"/>
      <c r="H1008" s="107"/>
      <c r="I1008" s="107"/>
      <c r="J1008" s="107"/>
      <c r="K1008" s="139"/>
    </row>
    <row r="1009" spans="1:11">
      <c r="A1009" s="107"/>
      <c r="B1009" s="103"/>
      <c r="C1009" s="109"/>
      <c r="D1009" s="103"/>
      <c r="E1009" s="103"/>
      <c r="F1009" s="103"/>
      <c r="G1009" s="103"/>
      <c r="H1009" s="107"/>
      <c r="I1009" s="107"/>
      <c r="J1009" s="107"/>
      <c r="K1009" s="139"/>
    </row>
    <row r="1010" spans="1:11">
      <c r="A1010" s="107"/>
      <c r="B1010" s="103"/>
      <c r="C1010" s="109"/>
      <c r="D1010" s="103"/>
      <c r="E1010" s="103"/>
      <c r="F1010" s="103"/>
      <c r="G1010" s="103"/>
      <c r="H1010" s="107"/>
      <c r="I1010" s="107"/>
      <c r="J1010" s="107"/>
      <c r="K1010" s="139"/>
    </row>
    <row r="1011" spans="1:11">
      <c r="A1011" s="107"/>
      <c r="B1011" s="103"/>
      <c r="C1011" s="109"/>
      <c r="D1011" s="103"/>
      <c r="E1011" s="103"/>
      <c r="F1011" s="103"/>
      <c r="G1011" s="103"/>
      <c r="H1011" s="107"/>
      <c r="I1011" s="107"/>
      <c r="J1011" s="107"/>
      <c r="K1011" s="139"/>
    </row>
    <row r="1012" spans="1:11">
      <c r="A1012" s="107"/>
      <c r="B1012" s="103"/>
      <c r="C1012" s="109"/>
      <c r="D1012" s="103"/>
      <c r="E1012" s="103"/>
      <c r="F1012" s="103"/>
      <c r="G1012" s="103"/>
      <c r="H1012" s="107"/>
      <c r="I1012" s="107"/>
      <c r="J1012" s="107"/>
      <c r="K1012" s="139"/>
    </row>
    <row r="1013" spans="1:11">
      <c r="A1013" s="107"/>
      <c r="B1013" s="103"/>
      <c r="C1013" s="109"/>
      <c r="D1013" s="103"/>
      <c r="E1013" s="103"/>
      <c r="F1013" s="103"/>
      <c r="G1013" s="103"/>
      <c r="H1013" s="107"/>
      <c r="I1013" s="107"/>
      <c r="J1013" s="107"/>
      <c r="K1013" s="139"/>
    </row>
    <row r="1014" spans="1:11">
      <c r="A1014" s="107"/>
      <c r="B1014" s="103"/>
      <c r="C1014" s="109"/>
      <c r="D1014" s="103"/>
      <c r="E1014" s="103"/>
      <c r="F1014" s="103"/>
      <c r="G1014" s="103"/>
      <c r="H1014" s="107"/>
      <c r="I1014" s="107"/>
      <c r="J1014" s="107"/>
      <c r="K1014" s="139"/>
    </row>
    <row r="1015" spans="1:11">
      <c r="A1015" s="107"/>
      <c r="B1015" s="103"/>
      <c r="C1015" s="109"/>
      <c r="D1015" s="103"/>
      <c r="E1015" s="103"/>
      <c r="F1015" s="103"/>
      <c r="G1015" s="103"/>
      <c r="H1015" s="107"/>
      <c r="I1015" s="107"/>
      <c r="J1015" s="107"/>
      <c r="K1015" s="139"/>
    </row>
    <row r="1016" spans="1:11">
      <c r="A1016" s="107"/>
      <c r="B1016" s="103"/>
      <c r="C1016" s="109"/>
      <c r="D1016" s="103"/>
      <c r="E1016" s="103"/>
      <c r="F1016" s="103"/>
      <c r="G1016" s="103"/>
      <c r="H1016" s="107"/>
      <c r="I1016" s="107"/>
      <c r="J1016" s="107"/>
      <c r="K1016" s="139"/>
    </row>
    <row r="1017" spans="1:11">
      <c r="A1017" s="107"/>
      <c r="B1017" s="103"/>
      <c r="C1017" s="109"/>
      <c r="D1017" s="103"/>
      <c r="E1017" s="103"/>
      <c r="F1017" s="103"/>
      <c r="G1017" s="103"/>
      <c r="H1017" s="107"/>
      <c r="I1017" s="107"/>
      <c r="J1017" s="107"/>
      <c r="K1017" s="139"/>
    </row>
    <row r="1018" spans="1:11">
      <c r="A1018" s="107"/>
      <c r="B1018" s="103"/>
      <c r="C1018" s="109"/>
      <c r="D1018" s="103"/>
      <c r="E1018" s="103"/>
      <c r="F1018" s="103"/>
      <c r="G1018" s="103"/>
      <c r="H1018" s="107"/>
      <c r="I1018" s="107"/>
      <c r="J1018" s="107"/>
      <c r="K1018" s="139"/>
    </row>
    <row r="1019" spans="1:11">
      <c r="A1019" s="107"/>
      <c r="B1019" s="103"/>
      <c r="C1019" s="109"/>
      <c r="D1019" s="103"/>
      <c r="E1019" s="103"/>
      <c r="F1019" s="103"/>
      <c r="G1019" s="103"/>
      <c r="H1019" s="107"/>
      <c r="I1019" s="107"/>
      <c r="J1019" s="107"/>
      <c r="K1019" s="139"/>
    </row>
    <row r="1020" spans="1:11">
      <c r="A1020" s="107"/>
      <c r="B1020" s="103"/>
      <c r="C1020" s="109"/>
      <c r="D1020" s="103"/>
      <c r="E1020" s="103"/>
      <c r="F1020" s="103"/>
      <c r="G1020" s="103"/>
      <c r="H1020" s="107"/>
      <c r="I1020" s="107"/>
      <c r="J1020" s="107"/>
      <c r="K1020" s="139"/>
    </row>
    <row r="1021" spans="1:11">
      <c r="A1021" s="107"/>
      <c r="B1021" s="103"/>
      <c r="C1021" s="109"/>
      <c r="D1021" s="103"/>
      <c r="E1021" s="103"/>
      <c r="F1021" s="103"/>
      <c r="G1021" s="103"/>
      <c r="H1021" s="107"/>
      <c r="I1021" s="107"/>
      <c r="J1021" s="107"/>
      <c r="K1021" s="139"/>
    </row>
    <row r="1022" spans="1:11">
      <c r="A1022" s="107"/>
      <c r="B1022" s="103"/>
      <c r="C1022" s="109"/>
      <c r="D1022" s="103"/>
      <c r="E1022" s="103"/>
      <c r="F1022" s="103"/>
      <c r="G1022" s="103"/>
      <c r="H1022" s="107"/>
      <c r="I1022" s="107"/>
      <c r="J1022" s="107"/>
      <c r="K1022" s="139"/>
    </row>
    <row r="1023" spans="1:11">
      <c r="A1023" s="107"/>
      <c r="B1023" s="103"/>
      <c r="C1023" s="109"/>
      <c r="D1023" s="103"/>
      <c r="E1023" s="103"/>
      <c r="F1023" s="103"/>
      <c r="G1023" s="103"/>
      <c r="H1023" s="107"/>
      <c r="I1023" s="107"/>
      <c r="J1023" s="107"/>
      <c r="K1023" s="139"/>
    </row>
    <row r="1024" spans="1:11">
      <c r="A1024" s="107"/>
      <c r="B1024" s="103"/>
      <c r="C1024" s="109"/>
      <c r="D1024" s="103"/>
      <c r="E1024" s="103"/>
      <c r="F1024" s="103"/>
      <c r="G1024" s="103"/>
      <c r="H1024" s="107"/>
      <c r="I1024" s="107"/>
      <c r="J1024" s="107"/>
      <c r="K1024" s="139"/>
    </row>
    <row r="1025" spans="1:11">
      <c r="A1025" s="107"/>
      <c r="B1025" s="103"/>
      <c r="C1025" s="109"/>
      <c r="D1025" s="103"/>
      <c r="E1025" s="103"/>
      <c r="F1025" s="103"/>
      <c r="G1025" s="103"/>
      <c r="H1025" s="107"/>
      <c r="I1025" s="107"/>
      <c r="J1025" s="107"/>
      <c r="K1025" s="139"/>
    </row>
    <row r="1026" spans="1:11">
      <c r="A1026" s="107"/>
      <c r="B1026" s="103"/>
      <c r="C1026" s="109"/>
      <c r="D1026" s="103"/>
      <c r="E1026" s="103"/>
      <c r="F1026" s="103"/>
      <c r="G1026" s="103"/>
      <c r="H1026" s="107"/>
      <c r="I1026" s="107"/>
      <c r="J1026" s="107"/>
      <c r="K1026" s="139"/>
    </row>
    <row r="1027" spans="1:11">
      <c r="A1027" s="107"/>
      <c r="B1027" s="103"/>
      <c r="C1027" s="109"/>
      <c r="D1027" s="103"/>
      <c r="E1027" s="103"/>
      <c r="F1027" s="103"/>
      <c r="G1027" s="103"/>
      <c r="H1027" s="107"/>
      <c r="I1027" s="107"/>
      <c r="J1027" s="107"/>
      <c r="K1027" s="139"/>
    </row>
    <row r="1028" spans="1:11">
      <c r="A1028" s="107"/>
      <c r="B1028" s="103"/>
      <c r="C1028" s="109"/>
      <c r="D1028" s="103"/>
      <c r="E1028" s="103"/>
      <c r="F1028" s="103"/>
      <c r="G1028" s="103"/>
      <c r="H1028" s="107"/>
      <c r="I1028" s="107"/>
      <c r="J1028" s="107"/>
      <c r="K1028" s="139"/>
    </row>
    <row r="1029" spans="1:11">
      <c r="A1029" s="107"/>
      <c r="B1029" s="103"/>
      <c r="C1029" s="109"/>
      <c r="D1029" s="103"/>
      <c r="E1029" s="103"/>
      <c r="F1029" s="103"/>
      <c r="G1029" s="103"/>
      <c r="H1029" s="107"/>
      <c r="I1029" s="107"/>
      <c r="J1029" s="107"/>
      <c r="K1029" s="139"/>
    </row>
    <row r="1030" spans="1:11">
      <c r="A1030" s="107"/>
      <c r="B1030" s="103"/>
      <c r="C1030" s="109"/>
      <c r="D1030" s="103"/>
      <c r="E1030" s="103"/>
      <c r="F1030" s="103"/>
      <c r="G1030" s="103"/>
      <c r="H1030" s="107"/>
      <c r="I1030" s="107"/>
      <c r="J1030" s="107"/>
      <c r="K1030" s="139"/>
    </row>
    <row r="1031" spans="1:11">
      <c r="A1031" s="107"/>
      <c r="B1031" s="103"/>
      <c r="C1031" s="109"/>
      <c r="D1031" s="103"/>
      <c r="E1031" s="103"/>
      <c r="F1031" s="103"/>
      <c r="G1031" s="103"/>
      <c r="H1031" s="107"/>
      <c r="I1031" s="107"/>
      <c r="J1031" s="107"/>
      <c r="K1031" s="139"/>
    </row>
    <row r="1032" spans="1:11">
      <c r="A1032" s="107"/>
      <c r="B1032" s="103"/>
      <c r="C1032" s="109"/>
      <c r="D1032" s="103"/>
      <c r="E1032" s="103"/>
      <c r="F1032" s="103"/>
      <c r="G1032" s="103"/>
      <c r="H1032" s="107"/>
      <c r="I1032" s="107"/>
      <c r="J1032" s="107"/>
      <c r="K1032" s="139"/>
    </row>
    <row r="1033" spans="1:11">
      <c r="A1033" s="107"/>
      <c r="B1033" s="103"/>
      <c r="C1033" s="109"/>
      <c r="D1033" s="103"/>
      <c r="E1033" s="103"/>
      <c r="F1033" s="103"/>
      <c r="G1033" s="103"/>
      <c r="H1033" s="107"/>
      <c r="I1033" s="107"/>
      <c r="J1033" s="107"/>
      <c r="K1033" s="139"/>
    </row>
    <row r="1034" spans="1:11">
      <c r="A1034" s="107"/>
      <c r="B1034" s="103"/>
      <c r="C1034" s="109"/>
      <c r="D1034" s="103"/>
      <c r="E1034" s="103"/>
      <c r="F1034" s="103"/>
      <c r="G1034" s="103"/>
      <c r="H1034" s="107"/>
      <c r="I1034" s="107"/>
      <c r="J1034" s="107"/>
      <c r="K1034" s="139"/>
    </row>
    <row r="1035" spans="1:11">
      <c r="A1035" s="107"/>
      <c r="B1035" s="103"/>
      <c r="C1035" s="109"/>
      <c r="D1035" s="103"/>
      <c r="E1035" s="103"/>
      <c r="F1035" s="103"/>
      <c r="G1035" s="103"/>
      <c r="H1035" s="107"/>
      <c r="I1035" s="107"/>
      <c r="J1035" s="107"/>
      <c r="K1035" s="139"/>
    </row>
    <row r="1036" spans="1:11">
      <c r="A1036" s="107"/>
      <c r="B1036" s="103"/>
      <c r="C1036" s="109"/>
      <c r="D1036" s="103"/>
      <c r="E1036" s="103"/>
      <c r="F1036" s="103"/>
      <c r="G1036" s="103"/>
      <c r="H1036" s="107"/>
      <c r="I1036" s="107"/>
      <c r="J1036" s="107"/>
      <c r="K1036" s="139"/>
    </row>
    <row r="1037" spans="1:11">
      <c r="A1037" s="107"/>
      <c r="B1037" s="103"/>
      <c r="C1037" s="109"/>
      <c r="D1037" s="103"/>
      <c r="E1037" s="103"/>
      <c r="F1037" s="103"/>
      <c r="G1037" s="103"/>
      <c r="H1037" s="107"/>
      <c r="I1037" s="107"/>
      <c r="J1037" s="107"/>
      <c r="K1037" s="139"/>
    </row>
    <row r="1038" spans="1:11">
      <c r="A1038" s="107"/>
      <c r="B1038" s="103"/>
      <c r="C1038" s="109"/>
      <c r="D1038" s="103"/>
      <c r="E1038" s="103"/>
      <c r="F1038" s="103"/>
      <c r="G1038" s="103"/>
      <c r="H1038" s="107"/>
      <c r="I1038" s="107"/>
      <c r="J1038" s="107"/>
      <c r="K1038" s="139"/>
    </row>
    <row r="1039" spans="1:11">
      <c r="A1039" s="107"/>
      <c r="B1039" s="103"/>
      <c r="C1039" s="109"/>
      <c r="D1039" s="103"/>
      <c r="E1039" s="103"/>
      <c r="F1039" s="103"/>
      <c r="G1039" s="103"/>
      <c r="H1039" s="107"/>
      <c r="I1039" s="107"/>
      <c r="J1039" s="107"/>
      <c r="K1039" s="139"/>
    </row>
    <row r="1040" spans="1:11">
      <c r="A1040" s="107"/>
      <c r="B1040" s="103"/>
      <c r="C1040" s="109"/>
      <c r="D1040" s="103"/>
      <c r="E1040" s="103"/>
      <c r="F1040" s="103"/>
      <c r="G1040" s="103"/>
      <c r="H1040" s="107"/>
      <c r="I1040" s="107"/>
      <c r="J1040" s="107"/>
      <c r="K1040" s="139"/>
    </row>
    <row r="1041" spans="1:11">
      <c r="A1041" s="107"/>
      <c r="B1041" s="103"/>
      <c r="C1041" s="109"/>
      <c r="D1041" s="103"/>
      <c r="E1041" s="103"/>
      <c r="F1041" s="103"/>
      <c r="G1041" s="103"/>
      <c r="H1041" s="107"/>
      <c r="I1041" s="107"/>
      <c r="J1041" s="107"/>
      <c r="K1041" s="139"/>
    </row>
    <row r="1042" spans="1:11">
      <c r="A1042" s="107"/>
      <c r="B1042" s="103"/>
      <c r="C1042" s="109"/>
      <c r="D1042" s="103"/>
      <c r="E1042" s="103"/>
      <c r="F1042" s="103"/>
      <c r="G1042" s="103"/>
      <c r="H1042" s="107"/>
      <c r="I1042" s="107"/>
      <c r="J1042" s="107"/>
      <c r="K1042" s="139"/>
    </row>
    <row r="1043" spans="1:11">
      <c r="A1043" s="107"/>
      <c r="B1043" s="103"/>
      <c r="C1043" s="109"/>
      <c r="D1043" s="103"/>
      <c r="E1043" s="103"/>
      <c r="F1043" s="103"/>
      <c r="G1043" s="103"/>
      <c r="H1043" s="107"/>
      <c r="I1043" s="107"/>
      <c r="J1043" s="107"/>
      <c r="K1043" s="139"/>
    </row>
    <row r="1044" spans="1:11">
      <c r="A1044" s="107"/>
      <c r="B1044" s="103"/>
      <c r="C1044" s="109"/>
      <c r="D1044" s="103"/>
      <c r="E1044" s="103"/>
      <c r="F1044" s="103"/>
      <c r="G1044" s="103"/>
      <c r="H1044" s="107"/>
      <c r="I1044" s="107"/>
      <c r="J1044" s="107"/>
      <c r="K1044" s="139"/>
    </row>
    <row r="1045" spans="1:11">
      <c r="A1045" s="107"/>
      <c r="B1045" s="103"/>
      <c r="C1045" s="109"/>
      <c r="D1045" s="103"/>
      <c r="E1045" s="103"/>
      <c r="F1045" s="103"/>
      <c r="G1045" s="103"/>
      <c r="H1045" s="107"/>
      <c r="I1045" s="107"/>
      <c r="J1045" s="107"/>
      <c r="K1045" s="139"/>
    </row>
    <row r="1046" spans="1:11">
      <c r="A1046" s="107"/>
      <c r="B1046" s="103"/>
      <c r="C1046" s="109"/>
      <c r="D1046" s="103"/>
      <c r="E1046" s="103"/>
      <c r="F1046" s="103"/>
      <c r="G1046" s="103"/>
      <c r="H1046" s="107"/>
      <c r="I1046" s="107"/>
      <c r="J1046" s="107"/>
      <c r="K1046" s="139"/>
    </row>
    <row r="1047" spans="1:11">
      <c r="A1047" s="107"/>
      <c r="B1047" s="103"/>
      <c r="C1047" s="109"/>
      <c r="D1047" s="103"/>
      <c r="E1047" s="103"/>
      <c r="F1047" s="103"/>
      <c r="G1047" s="103"/>
      <c r="H1047" s="107"/>
      <c r="I1047" s="107"/>
      <c r="J1047" s="107"/>
      <c r="K1047" s="139"/>
    </row>
    <row r="1048" spans="1:11">
      <c r="A1048" s="107"/>
      <c r="B1048" s="103"/>
      <c r="C1048" s="109"/>
      <c r="D1048" s="103"/>
      <c r="E1048" s="103"/>
      <c r="F1048" s="103"/>
      <c r="G1048" s="103"/>
      <c r="H1048" s="107"/>
      <c r="I1048" s="107"/>
      <c r="J1048" s="107"/>
      <c r="K1048" s="139"/>
    </row>
    <row r="1049" spans="1:11">
      <c r="A1049" s="107"/>
      <c r="B1049" s="103"/>
      <c r="C1049" s="109"/>
      <c r="D1049" s="103"/>
      <c r="E1049" s="103"/>
      <c r="F1049" s="103"/>
      <c r="G1049" s="103"/>
      <c r="H1049" s="107"/>
      <c r="I1049" s="107"/>
      <c r="J1049" s="107"/>
      <c r="K1049" s="139"/>
    </row>
    <row r="1050" spans="1:11">
      <c r="A1050" s="107"/>
      <c r="B1050" s="103"/>
      <c r="C1050" s="109"/>
      <c r="D1050" s="103"/>
      <c r="E1050" s="103"/>
      <c r="F1050" s="103"/>
      <c r="G1050" s="103"/>
      <c r="H1050" s="107"/>
      <c r="I1050" s="107"/>
      <c r="J1050" s="107"/>
      <c r="K1050" s="139"/>
    </row>
    <row r="1051" spans="1:11">
      <c r="A1051" s="107"/>
      <c r="B1051" s="103"/>
      <c r="C1051" s="109"/>
      <c r="D1051" s="103"/>
      <c r="E1051" s="103"/>
      <c r="F1051" s="103"/>
      <c r="G1051" s="103"/>
      <c r="H1051" s="107"/>
      <c r="I1051" s="107"/>
      <c r="J1051" s="107"/>
      <c r="K1051" s="139"/>
    </row>
    <row r="1052" spans="1:11">
      <c r="A1052" s="107"/>
      <c r="B1052" s="103"/>
      <c r="C1052" s="109"/>
      <c r="D1052" s="103"/>
      <c r="E1052" s="103"/>
      <c r="F1052" s="103"/>
      <c r="G1052" s="103"/>
      <c r="H1052" s="107"/>
      <c r="I1052" s="107"/>
      <c r="J1052" s="107"/>
      <c r="K1052" s="139"/>
    </row>
    <row r="1053" spans="1:11">
      <c r="A1053" s="107"/>
      <c r="B1053" s="103"/>
      <c r="C1053" s="109"/>
      <c r="D1053" s="103"/>
      <c r="E1053" s="103"/>
      <c r="F1053" s="103"/>
      <c r="G1053" s="103"/>
      <c r="H1053" s="107"/>
      <c r="I1053" s="107"/>
      <c r="J1053" s="107"/>
      <c r="K1053" s="139"/>
    </row>
    <row r="1054" spans="1:11">
      <c r="A1054" s="107"/>
      <c r="B1054" s="103"/>
      <c r="C1054" s="109"/>
      <c r="D1054" s="103"/>
      <c r="E1054" s="103"/>
      <c r="F1054" s="103"/>
      <c r="G1054" s="103"/>
      <c r="H1054" s="107"/>
      <c r="I1054" s="107"/>
      <c r="J1054" s="107"/>
      <c r="K1054" s="139"/>
    </row>
    <row r="1055" spans="1:11">
      <c r="A1055" s="107"/>
      <c r="B1055" s="103"/>
      <c r="C1055" s="109"/>
      <c r="D1055" s="103"/>
      <c r="E1055" s="103"/>
      <c r="F1055" s="103"/>
      <c r="G1055" s="103"/>
      <c r="H1055" s="107"/>
      <c r="I1055" s="107"/>
      <c r="J1055" s="107"/>
      <c r="K1055" s="139"/>
    </row>
    <row r="1056" spans="1:11">
      <c r="A1056" s="107"/>
      <c r="B1056" s="103"/>
      <c r="C1056" s="109"/>
      <c r="D1056" s="103"/>
      <c r="E1056" s="103"/>
      <c r="F1056" s="103"/>
      <c r="G1056" s="103"/>
      <c r="H1056" s="107"/>
      <c r="I1056" s="107"/>
      <c r="J1056" s="107"/>
      <c r="K1056" s="139"/>
    </row>
    <row r="1057" spans="1:11">
      <c r="A1057" s="107"/>
      <c r="B1057" s="103"/>
      <c r="C1057" s="109"/>
      <c r="D1057" s="103"/>
      <c r="E1057" s="103"/>
      <c r="F1057" s="103"/>
      <c r="G1057" s="103"/>
      <c r="H1057" s="107"/>
      <c r="I1057" s="107"/>
      <c r="J1057" s="107"/>
      <c r="K1057" s="139"/>
    </row>
    <row r="1058" spans="1:11">
      <c r="A1058" s="107"/>
      <c r="B1058" s="103"/>
      <c r="C1058" s="109"/>
      <c r="D1058" s="103"/>
      <c r="E1058" s="103"/>
      <c r="F1058" s="103"/>
      <c r="G1058" s="103"/>
      <c r="H1058" s="107"/>
      <c r="I1058" s="107"/>
      <c r="J1058" s="107"/>
      <c r="K1058" s="139"/>
    </row>
    <row r="1059" spans="1:11">
      <c r="A1059" s="107"/>
      <c r="B1059" s="103"/>
      <c r="C1059" s="109"/>
      <c r="D1059" s="103"/>
      <c r="E1059" s="103"/>
      <c r="F1059" s="103"/>
      <c r="G1059" s="103"/>
      <c r="H1059" s="107"/>
      <c r="I1059" s="107"/>
      <c r="J1059" s="107"/>
      <c r="K1059" s="139"/>
    </row>
    <row r="1060" spans="1:11">
      <c r="A1060" s="107"/>
      <c r="B1060" s="103"/>
      <c r="C1060" s="109"/>
      <c r="D1060" s="103"/>
      <c r="E1060" s="103"/>
      <c r="F1060" s="103"/>
      <c r="G1060" s="103"/>
      <c r="H1060" s="107"/>
      <c r="I1060" s="107"/>
      <c r="J1060" s="107"/>
      <c r="K1060" s="139"/>
    </row>
    <row r="1061" spans="1:11">
      <c r="A1061" s="107"/>
      <c r="B1061" s="103"/>
      <c r="C1061" s="109"/>
      <c r="D1061" s="103"/>
      <c r="E1061" s="103"/>
      <c r="F1061" s="103"/>
      <c r="G1061" s="103"/>
      <c r="H1061" s="107"/>
      <c r="I1061" s="107"/>
      <c r="J1061" s="107"/>
      <c r="K1061" s="139"/>
    </row>
    <row r="1062" spans="1:11">
      <c r="A1062" s="107"/>
      <c r="B1062" s="103"/>
      <c r="C1062" s="109"/>
      <c r="D1062" s="103"/>
      <c r="E1062" s="103"/>
      <c r="F1062" s="103"/>
      <c r="G1062" s="103"/>
      <c r="H1062" s="107"/>
      <c r="I1062" s="107"/>
      <c r="J1062" s="107"/>
      <c r="K1062" s="139"/>
    </row>
    <row r="1063" spans="1:11">
      <c r="A1063" s="107"/>
      <c r="B1063" s="103"/>
      <c r="C1063" s="109"/>
      <c r="D1063" s="103"/>
      <c r="E1063" s="103"/>
      <c r="F1063" s="103"/>
      <c r="G1063" s="103"/>
      <c r="H1063" s="107"/>
      <c r="I1063" s="107"/>
      <c r="J1063" s="107"/>
      <c r="K1063" s="139"/>
    </row>
    <row r="1064" spans="1:11">
      <c r="A1064" s="107"/>
      <c r="B1064" s="103"/>
      <c r="C1064" s="109"/>
      <c r="D1064" s="103"/>
      <c r="E1064" s="103"/>
      <c r="F1064" s="103"/>
      <c r="G1064" s="103"/>
      <c r="H1064" s="107"/>
      <c r="I1064" s="107"/>
      <c r="J1064" s="107"/>
      <c r="K1064" s="139"/>
    </row>
    <row r="1065" spans="1:11">
      <c r="A1065" s="107"/>
      <c r="B1065" s="103"/>
      <c r="C1065" s="109"/>
      <c r="D1065" s="103"/>
      <c r="E1065" s="103"/>
      <c r="F1065" s="103"/>
      <c r="G1065" s="103"/>
      <c r="H1065" s="107"/>
      <c r="I1065" s="107"/>
      <c r="J1065" s="107"/>
      <c r="K1065" s="139"/>
    </row>
    <row r="1066" spans="1:11">
      <c r="A1066" s="107"/>
      <c r="B1066" s="103"/>
      <c r="C1066" s="109"/>
      <c r="D1066" s="103"/>
      <c r="E1066" s="103"/>
      <c r="F1066" s="103"/>
      <c r="G1066" s="103"/>
      <c r="H1066" s="107"/>
      <c r="I1066" s="107"/>
      <c r="J1066" s="107"/>
      <c r="K1066" s="139"/>
    </row>
    <row r="1067" spans="1:11">
      <c r="A1067" s="107"/>
      <c r="B1067" s="103"/>
      <c r="C1067" s="109"/>
      <c r="D1067" s="103"/>
      <c r="E1067" s="103"/>
      <c r="F1067" s="103"/>
      <c r="G1067" s="103"/>
      <c r="H1067" s="107"/>
      <c r="I1067" s="107"/>
      <c r="J1067" s="107"/>
      <c r="K1067" s="139"/>
    </row>
    <row r="1068" spans="1:11">
      <c r="A1068" s="107"/>
      <c r="B1068" s="103"/>
      <c r="C1068" s="109"/>
      <c r="D1068" s="103"/>
      <c r="E1068" s="103"/>
      <c r="F1068" s="103"/>
      <c r="G1068" s="103"/>
      <c r="H1068" s="107"/>
      <c r="I1068" s="107"/>
      <c r="J1068" s="107"/>
      <c r="K1068" s="139"/>
    </row>
    <row r="1069" spans="1:11">
      <c r="A1069" s="107"/>
      <c r="B1069" s="103"/>
      <c r="C1069" s="109"/>
      <c r="D1069" s="103"/>
      <c r="E1069" s="103"/>
      <c r="F1069" s="103"/>
      <c r="G1069" s="103"/>
      <c r="H1069" s="107"/>
      <c r="I1069" s="107"/>
      <c r="J1069" s="107"/>
      <c r="K1069" s="139"/>
    </row>
    <row r="1070" spans="1:11">
      <c r="A1070" s="107"/>
      <c r="B1070" s="103"/>
      <c r="C1070" s="109"/>
      <c r="D1070" s="103"/>
      <c r="E1070" s="103"/>
      <c r="F1070" s="103"/>
      <c r="G1070" s="103"/>
      <c r="H1070" s="107"/>
      <c r="I1070" s="107"/>
      <c r="J1070" s="107"/>
      <c r="K1070" s="139"/>
    </row>
    <row r="1071" spans="1:11">
      <c r="A1071" s="107"/>
      <c r="B1071" s="103"/>
      <c r="C1071" s="109"/>
      <c r="D1071" s="103"/>
      <c r="E1071" s="103"/>
      <c r="F1071" s="103"/>
      <c r="G1071" s="103"/>
      <c r="H1071" s="107"/>
      <c r="I1071" s="107"/>
      <c r="J1071" s="107"/>
      <c r="K1071" s="139"/>
    </row>
    <row r="1072" spans="1:11">
      <c r="A1072" s="107"/>
      <c r="B1072" s="103"/>
      <c r="C1072" s="109"/>
      <c r="D1072" s="103"/>
      <c r="E1072" s="103"/>
      <c r="F1072" s="103"/>
      <c r="G1072" s="103"/>
      <c r="H1072" s="107"/>
      <c r="I1072" s="107"/>
      <c r="J1072" s="107"/>
      <c r="K1072" s="139"/>
    </row>
    <row r="1073" spans="1:11">
      <c r="A1073" s="107"/>
      <c r="B1073" s="103"/>
      <c r="C1073" s="109"/>
      <c r="D1073" s="103"/>
      <c r="E1073" s="103"/>
      <c r="F1073" s="103"/>
      <c r="G1073" s="103"/>
      <c r="H1073" s="107"/>
      <c r="I1073" s="107"/>
      <c r="J1073" s="107"/>
      <c r="K1073" s="139"/>
    </row>
    <row r="1074" spans="1:11">
      <c r="A1074" s="107"/>
      <c r="B1074" s="103"/>
      <c r="C1074" s="109"/>
      <c r="D1074" s="103"/>
      <c r="E1074" s="103"/>
      <c r="F1074" s="103"/>
      <c r="G1074" s="103"/>
      <c r="H1074" s="107"/>
      <c r="I1074" s="107"/>
      <c r="J1074" s="107"/>
      <c r="K1074" s="139"/>
    </row>
    <row r="1075" spans="1:11">
      <c r="A1075" s="107"/>
      <c r="B1075" s="103"/>
      <c r="C1075" s="109"/>
      <c r="D1075" s="103"/>
      <c r="E1075" s="103"/>
      <c r="F1075" s="103"/>
      <c r="G1075" s="103"/>
      <c r="H1075" s="107"/>
      <c r="I1075" s="107"/>
      <c r="J1075" s="107"/>
      <c r="K1075" s="139"/>
    </row>
    <row r="1076" spans="1:11">
      <c r="A1076" s="107"/>
      <c r="B1076" s="103"/>
      <c r="C1076" s="109"/>
      <c r="D1076" s="103"/>
      <c r="E1076" s="103"/>
      <c r="F1076" s="103"/>
      <c r="G1076" s="103"/>
      <c r="H1076" s="107"/>
      <c r="I1076" s="107"/>
      <c r="J1076" s="107"/>
      <c r="K1076" s="139"/>
    </row>
    <row r="1077" spans="1:11">
      <c r="A1077" s="107"/>
      <c r="B1077" s="103"/>
      <c r="C1077" s="109"/>
      <c r="D1077" s="103"/>
      <c r="E1077" s="103"/>
      <c r="F1077" s="103"/>
      <c r="G1077" s="103"/>
      <c r="H1077" s="107"/>
      <c r="I1077" s="107"/>
      <c r="J1077" s="107"/>
      <c r="K1077" s="139"/>
    </row>
    <row r="1078" spans="1:11">
      <c r="A1078" s="107"/>
      <c r="B1078" s="103"/>
      <c r="C1078" s="109"/>
      <c r="D1078" s="103"/>
      <c r="E1078" s="103"/>
      <c r="F1078" s="103"/>
      <c r="G1078" s="103"/>
      <c r="H1078" s="107"/>
      <c r="I1078" s="107"/>
      <c r="J1078" s="107"/>
      <c r="K1078" s="139"/>
    </row>
    <row r="1079" spans="1:11">
      <c r="A1079" s="107"/>
      <c r="B1079" s="103"/>
      <c r="C1079" s="109"/>
      <c r="D1079" s="103"/>
      <c r="E1079" s="103"/>
      <c r="F1079" s="103"/>
      <c r="G1079" s="103"/>
      <c r="H1079" s="107"/>
      <c r="I1079" s="107"/>
      <c r="J1079" s="107"/>
      <c r="K1079" s="139"/>
    </row>
    <row r="1080" spans="1:11">
      <c r="A1080" s="107"/>
      <c r="B1080" s="103"/>
      <c r="C1080" s="109"/>
      <c r="D1080" s="103"/>
      <c r="E1080" s="103"/>
      <c r="F1080" s="103"/>
      <c r="G1080" s="103"/>
      <c r="H1080" s="107"/>
      <c r="I1080" s="107"/>
      <c r="J1080" s="107"/>
      <c r="K1080" s="139"/>
    </row>
    <row r="1081" spans="1:11">
      <c r="A1081" s="107"/>
      <c r="B1081" s="103"/>
      <c r="C1081" s="109"/>
      <c r="D1081" s="103"/>
      <c r="E1081" s="103"/>
      <c r="F1081" s="103"/>
      <c r="G1081" s="103"/>
      <c r="H1081" s="107"/>
      <c r="I1081" s="107"/>
      <c r="J1081" s="107"/>
      <c r="K1081" s="139"/>
    </row>
    <row r="1082" spans="1:11">
      <c r="A1082" s="107"/>
      <c r="B1082" s="103"/>
      <c r="C1082" s="109"/>
      <c r="D1082" s="103"/>
      <c r="E1082" s="103"/>
      <c r="F1082" s="103"/>
      <c r="G1082" s="103"/>
      <c r="H1082" s="107"/>
      <c r="I1082" s="107"/>
      <c r="J1082" s="107"/>
      <c r="K1082" s="139"/>
    </row>
    <row r="1083" spans="1:11">
      <c r="A1083" s="107"/>
      <c r="B1083" s="103"/>
      <c r="C1083" s="109"/>
      <c r="D1083" s="103"/>
      <c r="E1083" s="103"/>
      <c r="F1083" s="103"/>
      <c r="G1083" s="103"/>
      <c r="H1083" s="107"/>
      <c r="I1083" s="107"/>
      <c r="J1083" s="107"/>
      <c r="K1083" s="139"/>
    </row>
    <row r="1084" spans="1:11">
      <c r="A1084" s="107"/>
      <c r="B1084" s="103"/>
      <c r="C1084" s="109"/>
      <c r="D1084" s="103"/>
      <c r="E1084" s="103"/>
      <c r="F1084" s="103"/>
      <c r="G1084" s="103"/>
      <c r="H1084" s="107"/>
      <c r="I1084" s="107"/>
      <c r="J1084" s="107"/>
      <c r="K1084" s="139"/>
    </row>
    <row r="1085" spans="1:11">
      <c r="A1085" s="107"/>
      <c r="B1085" s="103"/>
      <c r="C1085" s="109"/>
      <c r="D1085" s="103"/>
      <c r="E1085" s="103"/>
      <c r="F1085" s="103"/>
      <c r="G1085" s="103"/>
      <c r="H1085" s="107"/>
      <c r="I1085" s="107"/>
      <c r="J1085" s="107"/>
      <c r="K1085" s="139"/>
    </row>
    <row r="1086" spans="1:11">
      <c r="A1086" s="107"/>
      <c r="B1086" s="103"/>
      <c r="C1086" s="109"/>
      <c r="D1086" s="103"/>
      <c r="E1086" s="103"/>
      <c r="F1086" s="103"/>
      <c r="G1086" s="103"/>
      <c r="H1086" s="107"/>
      <c r="I1086" s="107"/>
      <c r="J1086" s="107"/>
      <c r="K1086" s="139"/>
    </row>
    <row r="1087" spans="1:11">
      <c r="A1087" s="107"/>
      <c r="B1087" s="103"/>
      <c r="C1087" s="109"/>
      <c r="D1087" s="103"/>
      <c r="E1087" s="103"/>
      <c r="F1087" s="103"/>
      <c r="G1087" s="103"/>
      <c r="H1087" s="107"/>
      <c r="I1087" s="107"/>
      <c r="J1087" s="107"/>
      <c r="K1087" s="139"/>
    </row>
    <row r="1088" spans="1:11">
      <c r="A1088" s="107"/>
      <c r="B1088" s="103"/>
      <c r="C1088" s="109"/>
      <c r="D1088" s="103"/>
      <c r="E1088" s="103"/>
      <c r="F1088" s="103"/>
      <c r="G1088" s="103"/>
      <c r="H1088" s="107"/>
      <c r="I1088" s="107"/>
      <c r="J1088" s="107"/>
      <c r="K1088" s="139"/>
    </row>
    <row r="1089" spans="1:11">
      <c r="A1089" s="107"/>
      <c r="B1089" s="103"/>
      <c r="C1089" s="109"/>
      <c r="D1089" s="103"/>
      <c r="E1089" s="103"/>
      <c r="F1089" s="103"/>
      <c r="G1089" s="103"/>
      <c r="H1089" s="107"/>
      <c r="I1089" s="107"/>
      <c r="J1089" s="107"/>
      <c r="K1089" s="139"/>
    </row>
    <row r="1090" spans="1:11">
      <c r="A1090" s="107"/>
      <c r="B1090" s="103"/>
      <c r="C1090" s="109"/>
      <c r="D1090" s="103"/>
      <c r="E1090" s="103"/>
      <c r="F1090" s="103"/>
      <c r="G1090" s="103"/>
      <c r="H1090" s="107"/>
      <c r="I1090" s="107"/>
      <c r="J1090" s="107"/>
      <c r="K1090" s="139"/>
    </row>
    <row r="1091" spans="1:11">
      <c r="A1091" s="107"/>
      <c r="B1091" s="103"/>
      <c r="C1091" s="109"/>
      <c r="D1091" s="103"/>
      <c r="E1091" s="103"/>
      <c r="F1091" s="103"/>
      <c r="G1091" s="103"/>
      <c r="H1091" s="107"/>
      <c r="I1091" s="107"/>
      <c r="J1091" s="107"/>
      <c r="K1091" s="139"/>
    </row>
    <row r="1092" spans="1:11">
      <c r="A1092" s="107"/>
      <c r="B1092" s="103"/>
      <c r="C1092" s="109"/>
      <c r="D1092" s="103"/>
      <c r="E1092" s="103"/>
      <c r="F1092" s="103"/>
      <c r="G1092" s="103"/>
      <c r="H1092" s="107"/>
      <c r="I1092" s="107"/>
      <c r="J1092" s="107"/>
      <c r="K1092" s="139"/>
    </row>
    <row r="1093" spans="1:11">
      <c r="A1093" s="107"/>
      <c r="B1093" s="103"/>
      <c r="C1093" s="109"/>
      <c r="D1093" s="103"/>
      <c r="E1093" s="103"/>
      <c r="F1093" s="103"/>
      <c r="G1093" s="103"/>
      <c r="H1093" s="107"/>
      <c r="I1093" s="107"/>
      <c r="J1093" s="107"/>
      <c r="K1093" s="139"/>
    </row>
    <row r="1094" spans="1:11">
      <c r="A1094" s="107"/>
      <c r="B1094" s="103"/>
      <c r="C1094" s="109"/>
      <c r="D1094" s="103"/>
      <c r="E1094" s="103"/>
      <c r="F1094" s="103"/>
      <c r="G1094" s="103"/>
      <c r="H1094" s="107"/>
      <c r="I1094" s="107"/>
      <c r="J1094" s="107"/>
      <c r="K1094" s="139"/>
    </row>
    <row r="1095" spans="1:11">
      <c r="A1095" s="107"/>
      <c r="B1095" s="103"/>
      <c r="C1095" s="109"/>
      <c r="D1095" s="103"/>
      <c r="E1095" s="103"/>
      <c r="F1095" s="103"/>
      <c r="G1095" s="103"/>
      <c r="H1095" s="107"/>
      <c r="I1095" s="107"/>
      <c r="J1095" s="107"/>
      <c r="K1095" s="139"/>
    </row>
    <row r="1096" spans="1:11">
      <c r="A1096" s="107"/>
      <c r="B1096" s="103"/>
      <c r="C1096" s="109"/>
      <c r="D1096" s="103"/>
      <c r="E1096" s="103"/>
      <c r="F1096" s="103"/>
      <c r="G1096" s="103"/>
      <c r="H1096" s="107"/>
      <c r="I1096" s="107"/>
      <c r="J1096" s="107"/>
      <c r="K1096" s="139"/>
    </row>
    <row r="1097" spans="1:11">
      <c r="A1097" s="107"/>
      <c r="B1097" s="103"/>
      <c r="C1097" s="109"/>
      <c r="D1097" s="103"/>
      <c r="E1097" s="103"/>
      <c r="F1097" s="103"/>
      <c r="G1097" s="103"/>
      <c r="H1097" s="107"/>
      <c r="I1097" s="107"/>
      <c r="J1097" s="107"/>
      <c r="K1097" s="139"/>
    </row>
    <row r="1098" spans="1:11">
      <c r="A1098" s="107"/>
      <c r="B1098" s="103"/>
      <c r="C1098" s="109"/>
      <c r="D1098" s="103"/>
      <c r="E1098" s="103"/>
      <c r="F1098" s="103"/>
      <c r="G1098" s="103"/>
      <c r="H1098" s="107"/>
      <c r="I1098" s="107"/>
      <c r="J1098" s="107"/>
      <c r="K1098" s="139"/>
    </row>
    <row r="1099" spans="1:11">
      <c r="A1099" s="107"/>
      <c r="B1099" s="103"/>
      <c r="C1099" s="109"/>
      <c r="D1099" s="103"/>
      <c r="E1099" s="103"/>
      <c r="F1099" s="103"/>
      <c r="G1099" s="103"/>
      <c r="H1099" s="107"/>
      <c r="I1099" s="107"/>
      <c r="J1099" s="107"/>
      <c r="K1099" s="139"/>
    </row>
    <row r="1100" spans="1:11">
      <c r="A1100" s="107"/>
      <c r="B1100" s="103"/>
      <c r="C1100" s="109"/>
      <c r="D1100" s="103"/>
      <c r="E1100" s="103"/>
      <c r="F1100" s="103"/>
      <c r="G1100" s="103"/>
      <c r="H1100" s="107"/>
      <c r="I1100" s="107"/>
      <c r="J1100" s="107"/>
      <c r="K1100" s="139"/>
    </row>
    <row r="1101" spans="1:11">
      <c r="A1101" s="107"/>
      <c r="B1101" s="103"/>
      <c r="C1101" s="109"/>
      <c r="D1101" s="103"/>
      <c r="E1101" s="103"/>
      <c r="F1101" s="103"/>
      <c r="G1101" s="103"/>
      <c r="H1101" s="107"/>
      <c r="I1101" s="107"/>
      <c r="J1101" s="107"/>
      <c r="K1101" s="139"/>
    </row>
    <row r="1102" spans="1:11">
      <c r="A1102" s="107"/>
      <c r="B1102" s="103"/>
      <c r="C1102" s="109"/>
      <c r="D1102" s="103"/>
      <c r="E1102" s="103"/>
      <c r="F1102" s="103"/>
      <c r="G1102" s="103"/>
      <c r="H1102" s="107"/>
      <c r="I1102" s="107"/>
      <c r="J1102" s="107"/>
      <c r="K1102" s="139"/>
    </row>
    <row r="1103" spans="1:11">
      <c r="A1103" s="107"/>
      <c r="B1103" s="103"/>
      <c r="C1103" s="109"/>
      <c r="D1103" s="103"/>
      <c r="E1103" s="103"/>
      <c r="F1103" s="103"/>
      <c r="G1103" s="103"/>
      <c r="H1103" s="107"/>
      <c r="I1103" s="107"/>
      <c r="J1103" s="107"/>
      <c r="K1103" s="139"/>
    </row>
    <row r="1104" spans="1:11">
      <c r="A1104" s="107"/>
      <c r="B1104" s="103"/>
      <c r="C1104" s="109"/>
      <c r="D1104" s="103"/>
      <c r="E1104" s="103"/>
      <c r="F1104" s="103"/>
      <c r="G1104" s="103"/>
      <c r="H1104" s="107"/>
      <c r="I1104" s="107"/>
      <c r="J1104" s="107"/>
      <c r="K1104" s="139"/>
    </row>
    <row r="1105" spans="1:11">
      <c r="A1105" s="107"/>
      <c r="B1105" s="103"/>
      <c r="C1105" s="109"/>
      <c r="D1105" s="103"/>
      <c r="E1105" s="103"/>
      <c r="F1105" s="103"/>
      <c r="G1105" s="103"/>
      <c r="H1105" s="107"/>
      <c r="I1105" s="107"/>
      <c r="J1105" s="107"/>
      <c r="K1105" s="139"/>
    </row>
    <row r="1106" spans="1:11">
      <c r="A1106" s="107"/>
      <c r="B1106" s="103"/>
      <c r="C1106" s="109"/>
      <c r="D1106" s="103"/>
      <c r="E1106" s="103"/>
      <c r="F1106" s="103"/>
      <c r="G1106" s="103"/>
      <c r="H1106" s="107"/>
      <c r="I1106" s="107"/>
      <c r="J1106" s="107"/>
      <c r="K1106" s="139"/>
    </row>
    <row r="1107" spans="1:11">
      <c r="A1107" s="107"/>
      <c r="B1107" s="103"/>
      <c r="C1107" s="109"/>
      <c r="D1107" s="103"/>
      <c r="E1107" s="103"/>
      <c r="F1107" s="103"/>
      <c r="G1107" s="103"/>
      <c r="H1107" s="107"/>
      <c r="I1107" s="107"/>
      <c r="J1107" s="107"/>
      <c r="K1107" s="139"/>
    </row>
    <row r="1108" spans="1:11">
      <c r="A1108" s="107"/>
      <c r="B1108" s="103"/>
      <c r="C1108" s="109"/>
      <c r="D1108" s="103"/>
      <c r="E1108" s="103"/>
      <c r="F1108" s="103"/>
      <c r="G1108" s="103"/>
      <c r="H1108" s="107"/>
      <c r="I1108" s="107"/>
      <c r="J1108" s="107"/>
      <c r="K1108" s="139"/>
    </row>
    <row r="1109" spans="1:11">
      <c r="A1109" s="107"/>
      <c r="B1109" s="103"/>
      <c r="C1109" s="109"/>
      <c r="D1109" s="103"/>
      <c r="E1109" s="103"/>
      <c r="F1109" s="103"/>
      <c r="G1109" s="103"/>
      <c r="H1109" s="107"/>
      <c r="I1109" s="107"/>
      <c r="J1109" s="107"/>
      <c r="K1109" s="139"/>
    </row>
    <row r="1110" spans="1:11">
      <c r="A1110" s="107"/>
      <c r="B1110" s="103"/>
      <c r="C1110" s="109"/>
      <c r="D1110" s="103"/>
      <c r="E1110" s="103"/>
      <c r="F1110" s="103"/>
      <c r="G1110" s="103"/>
      <c r="H1110" s="107"/>
      <c r="I1110" s="107"/>
      <c r="J1110" s="107"/>
      <c r="K1110" s="139"/>
    </row>
    <row r="1111" spans="1:11">
      <c r="A1111" s="107"/>
      <c r="B1111" s="103"/>
      <c r="C1111" s="109"/>
      <c r="D1111" s="103"/>
      <c r="E1111" s="103"/>
      <c r="F1111" s="103"/>
      <c r="G1111" s="103"/>
      <c r="H1111" s="107"/>
      <c r="I1111" s="107"/>
      <c r="J1111" s="107"/>
      <c r="K1111" s="139"/>
    </row>
    <row r="1112" spans="1:11">
      <c r="A1112" s="107"/>
      <c r="B1112" s="103"/>
      <c r="C1112" s="109"/>
      <c r="D1112" s="103"/>
      <c r="E1112" s="103"/>
      <c r="F1112" s="103"/>
      <c r="G1112" s="103"/>
      <c r="H1112" s="107"/>
      <c r="I1112" s="107"/>
      <c r="J1112" s="107"/>
      <c r="K1112" s="139"/>
    </row>
    <row r="1113" spans="1:11">
      <c r="A1113" s="107"/>
      <c r="B1113" s="103"/>
      <c r="C1113" s="109"/>
      <c r="D1113" s="103"/>
      <c r="E1113" s="103"/>
      <c r="F1113" s="103"/>
      <c r="G1113" s="103"/>
      <c r="H1113" s="107"/>
      <c r="I1113" s="107"/>
      <c r="J1113" s="107"/>
      <c r="K1113" s="139"/>
    </row>
    <row r="1114" spans="1:11">
      <c r="A1114" s="107"/>
      <c r="B1114" s="103"/>
      <c r="C1114" s="109"/>
      <c r="D1114" s="103"/>
      <c r="E1114" s="103"/>
      <c r="F1114" s="103"/>
      <c r="G1114" s="103"/>
      <c r="H1114" s="107"/>
      <c r="I1114" s="107"/>
      <c r="J1114" s="107"/>
      <c r="K1114" s="139"/>
    </row>
    <row r="1115" spans="1:11">
      <c r="A1115" s="107"/>
      <c r="B1115" s="103"/>
      <c r="C1115" s="109"/>
      <c r="D1115" s="103"/>
      <c r="E1115" s="103"/>
      <c r="F1115" s="103"/>
      <c r="G1115" s="103"/>
      <c r="H1115" s="107"/>
      <c r="I1115" s="107"/>
      <c r="J1115" s="107"/>
      <c r="K1115" s="139"/>
    </row>
    <row r="1116" spans="1:11">
      <c r="A1116" s="107"/>
      <c r="B1116" s="103"/>
      <c r="C1116" s="109"/>
      <c r="D1116" s="103"/>
      <c r="E1116" s="103"/>
      <c r="F1116" s="103"/>
      <c r="G1116" s="103"/>
      <c r="H1116" s="107"/>
      <c r="I1116" s="107"/>
      <c r="J1116" s="107"/>
      <c r="K1116" s="139"/>
    </row>
    <row r="1117" spans="1:11">
      <c r="A1117" s="107"/>
      <c r="B1117" s="103"/>
      <c r="C1117" s="109"/>
      <c r="D1117" s="103"/>
      <c r="E1117" s="103"/>
      <c r="F1117" s="103"/>
      <c r="G1117" s="103"/>
      <c r="H1117" s="107"/>
      <c r="I1117" s="107"/>
      <c r="J1117" s="107"/>
      <c r="K1117" s="139"/>
    </row>
    <row r="1118" spans="1:11">
      <c r="A1118" s="107"/>
      <c r="B1118" s="103"/>
      <c r="C1118" s="109"/>
      <c r="D1118" s="103"/>
      <c r="E1118" s="103"/>
      <c r="F1118" s="103"/>
      <c r="G1118" s="103"/>
      <c r="H1118" s="107"/>
      <c r="I1118" s="107"/>
      <c r="J1118" s="107"/>
      <c r="K1118" s="139"/>
    </row>
    <row r="1119" spans="1:11">
      <c r="A1119" s="107"/>
      <c r="B1119" s="103"/>
      <c r="C1119" s="109"/>
      <c r="D1119" s="103"/>
      <c r="E1119" s="103"/>
      <c r="F1119" s="103"/>
      <c r="G1119" s="103"/>
      <c r="H1119" s="107"/>
      <c r="I1119" s="107"/>
      <c r="J1119" s="107"/>
      <c r="K1119" s="139"/>
    </row>
    <row r="1120" spans="1:11">
      <c r="A1120" s="107"/>
      <c r="B1120" s="103"/>
      <c r="C1120" s="109"/>
      <c r="D1120" s="103"/>
      <c r="E1120" s="103"/>
      <c r="F1120" s="103"/>
      <c r="G1120" s="103"/>
      <c r="H1120" s="107"/>
      <c r="I1120" s="107"/>
      <c r="J1120" s="107"/>
      <c r="K1120" s="139"/>
    </row>
    <row r="1121" spans="1:11">
      <c r="A1121" s="107"/>
      <c r="B1121" s="103"/>
      <c r="C1121" s="109"/>
      <c r="D1121" s="103"/>
      <c r="E1121" s="103"/>
      <c r="F1121" s="103"/>
      <c r="G1121" s="103"/>
      <c r="H1121" s="107"/>
      <c r="I1121" s="107"/>
      <c r="J1121" s="107"/>
      <c r="K1121" s="139"/>
    </row>
    <row r="1122" spans="1:11">
      <c r="A1122" s="107"/>
      <c r="B1122" s="103"/>
      <c r="C1122" s="109"/>
      <c r="D1122" s="103"/>
      <c r="E1122" s="103"/>
      <c r="F1122" s="103"/>
      <c r="G1122" s="103"/>
      <c r="H1122" s="107"/>
      <c r="I1122" s="107"/>
      <c r="J1122" s="107"/>
      <c r="K1122" s="139"/>
    </row>
    <row r="1123" spans="1:11">
      <c r="A1123" s="107"/>
      <c r="B1123" s="103"/>
      <c r="C1123" s="109"/>
      <c r="D1123" s="103"/>
      <c r="E1123" s="103"/>
      <c r="F1123" s="103"/>
      <c r="G1123" s="103"/>
      <c r="H1123" s="107"/>
      <c r="I1123" s="107"/>
      <c r="J1123" s="107"/>
      <c r="K1123" s="139"/>
    </row>
    <row r="1124" spans="1:11">
      <c r="A1124" s="107"/>
      <c r="B1124" s="103"/>
      <c r="C1124" s="109"/>
      <c r="D1124" s="103"/>
      <c r="E1124" s="103"/>
      <c r="F1124" s="103"/>
      <c r="G1124" s="103"/>
      <c r="H1124" s="107"/>
      <c r="I1124" s="107"/>
      <c r="J1124" s="107"/>
      <c r="K1124" s="139"/>
    </row>
    <row r="1125" spans="1:11">
      <c r="A1125" s="107"/>
      <c r="B1125" s="103"/>
      <c r="C1125" s="109"/>
      <c r="D1125" s="103"/>
      <c r="E1125" s="103"/>
      <c r="F1125" s="103"/>
      <c r="G1125" s="103"/>
      <c r="H1125" s="107"/>
      <c r="I1125" s="107"/>
      <c r="J1125" s="107"/>
      <c r="K1125" s="139"/>
    </row>
    <row r="1126" spans="1:11">
      <c r="A1126" s="107"/>
      <c r="B1126" s="103"/>
      <c r="C1126" s="109"/>
      <c r="D1126" s="103"/>
      <c r="E1126" s="103"/>
      <c r="F1126" s="103"/>
      <c r="G1126" s="103"/>
      <c r="H1126" s="107"/>
      <c r="I1126" s="107"/>
      <c r="J1126" s="107"/>
      <c r="K1126" s="139"/>
    </row>
    <row r="1127" spans="1:11">
      <c r="A1127" s="107"/>
      <c r="B1127" s="103"/>
      <c r="C1127" s="109"/>
      <c r="D1127" s="103"/>
      <c r="E1127" s="103"/>
      <c r="F1127" s="103"/>
      <c r="G1127" s="103"/>
      <c r="H1127" s="107"/>
      <c r="I1127" s="107"/>
      <c r="J1127" s="107"/>
      <c r="K1127" s="139"/>
    </row>
    <row r="1128" spans="1:11">
      <c r="A1128" s="107"/>
      <c r="B1128" s="103"/>
      <c r="C1128" s="109"/>
      <c r="D1128" s="103"/>
      <c r="E1128" s="103"/>
      <c r="F1128" s="103"/>
      <c r="G1128" s="103"/>
      <c r="H1128" s="107"/>
      <c r="I1128" s="107"/>
      <c r="J1128" s="107"/>
      <c r="K1128" s="139"/>
    </row>
    <row r="1129" spans="1:11">
      <c r="A1129" s="107"/>
      <c r="B1129" s="103"/>
      <c r="C1129" s="109"/>
      <c r="D1129" s="103"/>
      <c r="E1129" s="103"/>
      <c r="F1129" s="103"/>
      <c r="G1129" s="103"/>
      <c r="H1129" s="107"/>
      <c r="I1129" s="107"/>
      <c r="J1129" s="107"/>
      <c r="K1129" s="139"/>
    </row>
    <row r="1130" spans="1:11">
      <c r="A1130" s="107"/>
      <c r="B1130" s="103"/>
      <c r="C1130" s="109"/>
      <c r="D1130" s="103"/>
      <c r="E1130" s="103"/>
      <c r="F1130" s="103"/>
      <c r="G1130" s="103"/>
      <c r="H1130" s="107"/>
      <c r="I1130" s="107"/>
      <c r="J1130" s="107"/>
      <c r="K1130" s="139"/>
    </row>
    <row r="1131" spans="1:11">
      <c r="A1131" s="107"/>
      <c r="B1131" s="103"/>
      <c r="C1131" s="109"/>
      <c r="D1131" s="103"/>
      <c r="E1131" s="103"/>
      <c r="F1131" s="103"/>
      <c r="G1131" s="103"/>
      <c r="H1131" s="107"/>
      <c r="I1131" s="107"/>
      <c r="J1131" s="107"/>
      <c r="K1131" s="139"/>
    </row>
    <row r="1132" spans="1:11">
      <c r="A1132" s="107"/>
      <c r="B1132" s="103"/>
      <c r="C1132" s="109"/>
      <c r="D1132" s="103"/>
      <c r="E1132" s="103"/>
      <c r="F1132" s="103"/>
      <c r="G1132" s="103"/>
      <c r="H1132" s="107"/>
      <c r="I1132" s="107"/>
      <c r="J1132" s="107"/>
      <c r="K1132" s="139"/>
    </row>
    <row r="1133" spans="1:11">
      <c r="A1133" s="107"/>
      <c r="B1133" s="103"/>
      <c r="C1133" s="109"/>
      <c r="D1133" s="103"/>
      <c r="E1133" s="103"/>
      <c r="F1133" s="103"/>
      <c r="G1133" s="103"/>
      <c r="H1133" s="107"/>
      <c r="I1133" s="107"/>
      <c r="J1133" s="107"/>
      <c r="K1133" s="139"/>
    </row>
    <row r="1134" spans="1:11">
      <c r="A1134" s="107"/>
      <c r="B1134" s="103"/>
      <c r="C1134" s="109"/>
      <c r="D1134" s="103"/>
      <c r="E1134" s="103"/>
      <c r="F1134" s="103"/>
      <c r="G1134" s="103"/>
      <c r="H1134" s="107"/>
      <c r="I1134" s="107"/>
      <c r="J1134" s="107"/>
      <c r="K1134" s="139"/>
    </row>
    <row r="1135" spans="1:11">
      <c r="A1135" s="107"/>
      <c r="B1135" s="103"/>
      <c r="C1135" s="109"/>
      <c r="D1135" s="103"/>
      <c r="E1135" s="103"/>
      <c r="F1135" s="103"/>
      <c r="G1135" s="103"/>
      <c r="H1135" s="107"/>
      <c r="I1135" s="107"/>
      <c r="J1135" s="107"/>
      <c r="K1135" s="139"/>
    </row>
    <row r="1136" spans="1:11">
      <c r="A1136" s="107"/>
      <c r="B1136" s="103"/>
      <c r="C1136" s="109"/>
      <c r="D1136" s="103"/>
      <c r="E1136" s="103"/>
      <c r="F1136" s="103"/>
      <c r="G1136" s="103"/>
      <c r="H1136" s="107"/>
      <c r="I1136" s="107"/>
      <c r="J1136" s="107"/>
      <c r="K1136" s="139"/>
    </row>
    <row r="1137" spans="1:11">
      <c r="A1137" s="107"/>
      <c r="B1137" s="103"/>
      <c r="C1137" s="109"/>
      <c r="D1137" s="103"/>
      <c r="E1137" s="103"/>
      <c r="F1137" s="103"/>
      <c r="G1137" s="103"/>
      <c r="H1137" s="107"/>
      <c r="I1137" s="107"/>
      <c r="J1137" s="107"/>
      <c r="K1137" s="139"/>
    </row>
    <row r="1138" spans="1:11">
      <c r="A1138" s="107"/>
      <c r="B1138" s="103"/>
      <c r="C1138" s="109"/>
      <c r="D1138" s="103"/>
      <c r="E1138" s="103"/>
      <c r="F1138" s="103"/>
      <c r="G1138" s="103"/>
      <c r="H1138" s="107"/>
      <c r="I1138" s="107"/>
      <c r="J1138" s="107"/>
      <c r="K1138" s="139"/>
    </row>
    <row r="1139" spans="1:11">
      <c r="A1139" s="107"/>
      <c r="B1139" s="103"/>
      <c r="C1139" s="109"/>
      <c r="D1139" s="103"/>
      <c r="E1139" s="103"/>
      <c r="F1139" s="103"/>
      <c r="G1139" s="103"/>
      <c r="H1139" s="107"/>
      <c r="I1139" s="107"/>
      <c r="J1139" s="107"/>
      <c r="K1139" s="139"/>
    </row>
    <row r="1140" spans="1:11">
      <c r="A1140" s="107"/>
      <c r="B1140" s="103"/>
      <c r="C1140" s="109"/>
      <c r="D1140" s="103"/>
      <c r="E1140" s="103"/>
      <c r="F1140" s="103"/>
      <c r="G1140" s="103"/>
      <c r="H1140" s="107"/>
      <c r="I1140" s="107"/>
      <c r="J1140" s="107"/>
      <c r="K1140" s="139"/>
    </row>
    <row r="1141" spans="1:11">
      <c r="A1141" s="107"/>
      <c r="B1141" s="103"/>
      <c r="C1141" s="109"/>
      <c r="D1141" s="103"/>
      <c r="E1141" s="103"/>
      <c r="F1141" s="103"/>
      <c r="G1141" s="103"/>
      <c r="H1141" s="107"/>
      <c r="I1141" s="107"/>
      <c r="J1141" s="107"/>
      <c r="K1141" s="139"/>
    </row>
    <row r="1142" spans="1:11">
      <c r="A1142" s="107"/>
      <c r="B1142" s="103"/>
      <c r="C1142" s="109"/>
      <c r="D1142" s="103"/>
      <c r="E1142" s="103"/>
      <c r="F1142" s="103"/>
      <c r="G1142" s="103"/>
      <c r="H1142" s="107"/>
      <c r="I1142" s="107"/>
      <c r="J1142" s="107"/>
      <c r="K1142" s="139"/>
    </row>
    <row r="1143" spans="1:11">
      <c r="A1143" s="107"/>
      <c r="B1143" s="103"/>
      <c r="C1143" s="109"/>
      <c r="D1143" s="103"/>
      <c r="E1143" s="103"/>
      <c r="F1143" s="103"/>
      <c r="G1143" s="103"/>
      <c r="H1143" s="107"/>
      <c r="I1143" s="107"/>
      <c r="J1143" s="107"/>
      <c r="K1143" s="139"/>
    </row>
    <row r="1144" spans="1:11">
      <c r="A1144" s="107"/>
      <c r="B1144" s="103"/>
      <c r="C1144" s="109"/>
      <c r="D1144" s="103"/>
      <c r="E1144" s="103"/>
      <c r="F1144" s="103"/>
      <c r="G1144" s="103"/>
      <c r="H1144" s="107"/>
      <c r="I1144" s="107"/>
      <c r="J1144" s="107"/>
      <c r="K1144" s="139"/>
    </row>
    <row r="1145" spans="1:11">
      <c r="A1145" s="107"/>
      <c r="B1145" s="103"/>
      <c r="C1145" s="109"/>
      <c r="D1145" s="103"/>
      <c r="E1145" s="103"/>
      <c r="F1145" s="103"/>
      <c r="G1145" s="103"/>
      <c r="H1145" s="107"/>
      <c r="I1145" s="107"/>
      <c r="J1145" s="107"/>
      <c r="K1145" s="139"/>
    </row>
    <row r="1146" spans="1:11">
      <c r="A1146" s="107"/>
      <c r="B1146" s="103"/>
      <c r="C1146" s="109"/>
      <c r="D1146" s="103"/>
      <c r="E1146" s="103"/>
      <c r="F1146" s="103"/>
      <c r="G1146" s="103"/>
      <c r="H1146" s="107"/>
      <c r="I1146" s="107"/>
      <c r="J1146" s="107"/>
      <c r="K1146" s="139"/>
    </row>
    <row r="1147" spans="1:11">
      <c r="A1147" s="107"/>
      <c r="B1147" s="103"/>
      <c r="C1147" s="109"/>
      <c r="D1147" s="103"/>
      <c r="E1147" s="103"/>
      <c r="F1147" s="103"/>
      <c r="G1147" s="103"/>
      <c r="H1147" s="107"/>
      <c r="I1147" s="107"/>
      <c r="J1147" s="107"/>
      <c r="K1147" s="139"/>
    </row>
    <row r="1148" spans="1:11">
      <c r="A1148" s="107"/>
      <c r="B1148" s="103"/>
      <c r="C1148" s="109"/>
      <c r="D1148" s="103"/>
      <c r="E1148" s="103"/>
      <c r="F1148" s="103"/>
      <c r="G1148" s="103"/>
      <c r="H1148" s="107"/>
      <c r="I1148" s="107"/>
      <c r="J1148" s="107"/>
      <c r="K1148" s="139"/>
    </row>
    <row r="1149" spans="1:11">
      <c r="A1149" s="107"/>
      <c r="B1149" s="103"/>
      <c r="C1149" s="109"/>
      <c r="D1149" s="103"/>
      <c r="E1149" s="103"/>
      <c r="F1149" s="103"/>
      <c r="G1149" s="103"/>
      <c r="H1149" s="107"/>
      <c r="I1149" s="107"/>
      <c r="J1149" s="107"/>
      <c r="K1149" s="139"/>
    </row>
    <row r="1150" spans="1:11">
      <c r="A1150" s="107"/>
      <c r="B1150" s="103"/>
      <c r="C1150" s="109"/>
      <c r="D1150" s="103"/>
      <c r="E1150" s="103"/>
      <c r="F1150" s="103"/>
      <c r="G1150" s="103"/>
      <c r="H1150" s="107"/>
      <c r="I1150" s="107"/>
      <c r="J1150" s="107"/>
      <c r="K1150" s="139"/>
    </row>
    <row r="1151" spans="1:11">
      <c r="A1151" s="107"/>
      <c r="B1151" s="103"/>
      <c r="C1151" s="109"/>
      <c r="D1151" s="103"/>
      <c r="E1151" s="103"/>
      <c r="F1151" s="103"/>
      <c r="G1151" s="103"/>
      <c r="H1151" s="107"/>
      <c r="I1151" s="107"/>
      <c r="J1151" s="107"/>
      <c r="K1151" s="139"/>
    </row>
    <row r="1152" spans="1:11">
      <c r="A1152" s="107"/>
      <c r="B1152" s="103"/>
      <c r="C1152" s="109"/>
      <c r="D1152" s="103"/>
      <c r="E1152" s="103"/>
      <c r="F1152" s="103"/>
      <c r="G1152" s="103"/>
      <c r="H1152" s="107"/>
      <c r="I1152" s="107"/>
      <c r="J1152" s="107"/>
      <c r="K1152" s="139"/>
    </row>
    <row r="1153" spans="1:11">
      <c r="A1153" s="107"/>
      <c r="B1153" s="103"/>
      <c r="C1153" s="109"/>
      <c r="D1153" s="103"/>
      <c r="E1153" s="103"/>
      <c r="F1153" s="103"/>
      <c r="G1153" s="103"/>
      <c r="H1153" s="107"/>
      <c r="I1153" s="107"/>
      <c r="J1153" s="107"/>
      <c r="K1153" s="139"/>
    </row>
    <row r="1154" spans="1:11">
      <c r="A1154" s="107"/>
      <c r="B1154" s="103"/>
      <c r="C1154" s="109"/>
      <c r="D1154" s="103"/>
      <c r="E1154" s="103"/>
      <c r="F1154" s="103"/>
      <c r="G1154" s="103"/>
      <c r="H1154" s="107"/>
      <c r="I1154" s="107"/>
      <c r="J1154" s="107"/>
      <c r="K1154" s="139"/>
    </row>
    <row r="1155" spans="1:11">
      <c r="A1155" s="107"/>
      <c r="B1155" s="103"/>
      <c r="C1155" s="109"/>
      <c r="D1155" s="103"/>
      <c r="E1155" s="103"/>
      <c r="F1155" s="103"/>
      <c r="G1155" s="103"/>
      <c r="H1155" s="107"/>
      <c r="I1155" s="107"/>
      <c r="J1155" s="107"/>
      <c r="K1155" s="139"/>
    </row>
    <row r="1156" spans="1:11">
      <c r="A1156" s="107"/>
      <c r="B1156" s="103"/>
      <c r="C1156" s="109"/>
      <c r="D1156" s="103"/>
      <c r="E1156" s="103"/>
      <c r="F1156" s="103"/>
      <c r="G1156" s="103"/>
      <c r="H1156" s="107"/>
      <c r="I1156" s="107"/>
      <c r="J1156" s="107"/>
      <c r="K1156" s="139"/>
    </row>
    <row r="1157" spans="1:11">
      <c r="A1157" s="107"/>
      <c r="B1157" s="103"/>
      <c r="C1157" s="109"/>
      <c r="D1157" s="103"/>
      <c r="E1157" s="103"/>
      <c r="F1157" s="103"/>
      <c r="G1157" s="103"/>
      <c r="H1157" s="107"/>
      <c r="I1157" s="107"/>
      <c r="J1157" s="107"/>
      <c r="K1157" s="139"/>
    </row>
    <row r="1158" spans="1:11">
      <c r="A1158" s="107"/>
      <c r="B1158" s="103"/>
      <c r="C1158" s="109"/>
      <c r="D1158" s="103"/>
      <c r="E1158" s="103"/>
      <c r="F1158" s="103"/>
      <c r="G1158" s="103"/>
      <c r="H1158" s="107"/>
      <c r="I1158" s="107"/>
      <c r="J1158" s="107"/>
      <c r="K1158" s="139"/>
    </row>
    <row r="1159" spans="1:11">
      <c r="A1159" s="107"/>
      <c r="B1159" s="103"/>
      <c r="C1159" s="109"/>
      <c r="D1159" s="103"/>
      <c r="E1159" s="103"/>
      <c r="F1159" s="103"/>
      <c r="G1159" s="103"/>
      <c r="H1159" s="107"/>
      <c r="I1159" s="107"/>
      <c r="J1159" s="107"/>
      <c r="K1159" s="139"/>
    </row>
    <row r="1160" spans="1:11">
      <c r="A1160" s="107"/>
      <c r="B1160" s="103"/>
      <c r="C1160" s="109"/>
      <c r="D1160" s="103"/>
      <c r="E1160" s="103"/>
      <c r="F1160" s="103"/>
      <c r="G1160" s="103"/>
      <c r="H1160" s="107"/>
      <c r="I1160" s="107"/>
      <c r="J1160" s="107"/>
      <c r="K1160" s="139"/>
    </row>
    <row r="1161" spans="1:11">
      <c r="A1161" s="107"/>
      <c r="B1161" s="103"/>
      <c r="C1161" s="109"/>
      <c r="D1161" s="103"/>
      <c r="E1161" s="103"/>
      <c r="F1161" s="103"/>
      <c r="G1161" s="103"/>
      <c r="H1161" s="107"/>
      <c r="I1161" s="107"/>
      <c r="J1161" s="107"/>
      <c r="K1161" s="139"/>
    </row>
    <row r="1162" spans="1:11">
      <c r="A1162" s="107"/>
      <c r="B1162" s="103"/>
      <c r="C1162" s="109"/>
      <c r="D1162" s="103"/>
      <c r="E1162" s="103"/>
      <c r="F1162" s="103"/>
      <c r="G1162" s="103"/>
      <c r="H1162" s="107"/>
      <c r="I1162" s="107"/>
      <c r="J1162" s="107"/>
      <c r="K1162" s="139"/>
    </row>
    <row r="1163" spans="1:11">
      <c r="A1163" s="107"/>
      <c r="B1163" s="103"/>
      <c r="C1163" s="109"/>
      <c r="D1163" s="103"/>
      <c r="E1163" s="103"/>
      <c r="F1163" s="103"/>
      <c r="G1163" s="103"/>
      <c r="H1163" s="107"/>
      <c r="I1163" s="107"/>
      <c r="J1163" s="107"/>
      <c r="K1163" s="139"/>
    </row>
    <row r="1164" spans="1:11">
      <c r="A1164" s="107"/>
      <c r="B1164" s="103"/>
      <c r="C1164" s="109"/>
      <c r="D1164" s="103"/>
      <c r="E1164" s="103"/>
      <c r="F1164" s="103"/>
      <c r="G1164" s="103"/>
      <c r="H1164" s="107"/>
      <c r="I1164" s="107"/>
      <c r="J1164" s="107"/>
      <c r="K1164" s="139"/>
    </row>
    <row r="1165" spans="1:11">
      <c r="A1165" s="107"/>
      <c r="B1165" s="103"/>
      <c r="C1165" s="109"/>
      <c r="D1165" s="103"/>
      <c r="E1165" s="103"/>
      <c r="F1165" s="103"/>
      <c r="G1165" s="103"/>
      <c r="H1165" s="107"/>
      <c r="I1165" s="107"/>
      <c r="J1165" s="107"/>
      <c r="K1165" s="139"/>
    </row>
    <row r="1166" spans="1:11">
      <c r="A1166" s="107"/>
      <c r="B1166" s="103"/>
      <c r="C1166" s="109"/>
      <c r="D1166" s="103"/>
      <c r="E1166" s="103"/>
      <c r="F1166" s="103"/>
      <c r="G1166" s="103"/>
      <c r="H1166" s="107"/>
      <c r="I1166" s="107"/>
      <c r="J1166" s="107"/>
      <c r="K1166" s="139"/>
    </row>
    <row r="1167" spans="1:11">
      <c r="A1167" s="107"/>
      <c r="B1167" s="103"/>
      <c r="C1167" s="109"/>
      <c r="D1167" s="103"/>
      <c r="E1167" s="103"/>
      <c r="F1167" s="103"/>
      <c r="G1167" s="103"/>
      <c r="H1167" s="107"/>
      <c r="I1167" s="107"/>
      <c r="J1167" s="107"/>
      <c r="K1167" s="139"/>
    </row>
    <row r="1168" spans="1:11">
      <c r="A1168" s="107"/>
      <c r="B1168" s="103"/>
      <c r="C1168" s="109"/>
      <c r="D1168" s="103"/>
      <c r="E1168" s="103"/>
      <c r="F1168" s="103"/>
      <c r="G1168" s="103"/>
      <c r="H1168" s="107"/>
      <c r="I1168" s="107"/>
      <c r="J1168" s="107"/>
      <c r="K1168" s="139"/>
    </row>
    <row r="1169" spans="1:11">
      <c r="A1169" s="107"/>
      <c r="B1169" s="103"/>
      <c r="C1169" s="109"/>
      <c r="D1169" s="103"/>
      <c r="E1169" s="103"/>
      <c r="F1169" s="103"/>
      <c r="G1169" s="103"/>
      <c r="H1169" s="107"/>
      <c r="I1169" s="107"/>
      <c r="J1169" s="107"/>
      <c r="K1169" s="139"/>
    </row>
    <row r="1170" spans="1:11">
      <c r="A1170" s="107"/>
      <c r="B1170" s="103"/>
      <c r="C1170" s="109"/>
      <c r="D1170" s="103"/>
      <c r="E1170" s="103"/>
      <c r="F1170" s="103"/>
      <c r="G1170" s="103"/>
      <c r="H1170" s="107"/>
      <c r="I1170" s="107"/>
      <c r="J1170" s="107"/>
      <c r="K1170" s="139"/>
    </row>
    <row r="1171" spans="1:11">
      <c r="A1171" s="107"/>
      <c r="B1171" s="103"/>
      <c r="C1171" s="109"/>
      <c r="D1171" s="103"/>
      <c r="E1171" s="103"/>
      <c r="F1171" s="103"/>
      <c r="G1171" s="103"/>
      <c r="H1171" s="107"/>
      <c r="I1171" s="107"/>
      <c r="J1171" s="107"/>
      <c r="K1171" s="139"/>
    </row>
    <row r="1172" spans="1:11">
      <c r="A1172" s="107"/>
      <c r="B1172" s="103"/>
      <c r="C1172" s="109"/>
      <c r="D1172" s="103"/>
      <c r="E1172" s="103"/>
      <c r="F1172" s="103"/>
      <c r="G1172" s="103"/>
      <c r="H1172" s="107"/>
      <c r="I1172" s="107"/>
      <c r="J1172" s="107"/>
      <c r="K1172" s="139"/>
    </row>
    <row r="1173" spans="1:11">
      <c r="A1173" s="107"/>
      <c r="B1173" s="103"/>
      <c r="C1173" s="109"/>
      <c r="D1173" s="103"/>
      <c r="E1173" s="103"/>
      <c r="F1173" s="103"/>
      <c r="G1173" s="103"/>
      <c r="H1173" s="107"/>
      <c r="I1173" s="107"/>
      <c r="J1173" s="107"/>
      <c r="K1173" s="139"/>
    </row>
    <row r="1174" spans="1:11">
      <c r="A1174" s="107"/>
      <c r="B1174" s="103"/>
      <c r="C1174" s="109"/>
      <c r="D1174" s="103"/>
      <c r="E1174" s="103"/>
      <c r="F1174" s="103"/>
      <c r="G1174" s="103"/>
      <c r="H1174" s="107"/>
      <c r="I1174" s="107"/>
      <c r="J1174" s="107"/>
      <c r="K1174" s="139"/>
    </row>
    <row r="1175" spans="1:11">
      <c r="A1175" s="107"/>
      <c r="B1175" s="103"/>
      <c r="C1175" s="109"/>
      <c r="D1175" s="103"/>
      <c r="E1175" s="103"/>
      <c r="F1175" s="103"/>
      <c r="G1175" s="103"/>
      <c r="H1175" s="107"/>
      <c r="I1175" s="107"/>
      <c r="J1175" s="107"/>
      <c r="K1175" s="139"/>
    </row>
    <row r="1176" spans="1:11">
      <c r="A1176" s="107"/>
      <c r="B1176" s="103"/>
      <c r="C1176" s="109"/>
      <c r="D1176" s="103"/>
      <c r="E1176" s="103"/>
      <c r="F1176" s="103"/>
      <c r="G1176" s="103"/>
      <c r="H1176" s="107"/>
      <c r="I1176" s="107"/>
      <c r="J1176" s="107"/>
      <c r="K1176" s="139"/>
    </row>
    <row r="1177" spans="1:11">
      <c r="A1177" s="107"/>
      <c r="B1177" s="103"/>
      <c r="C1177" s="109"/>
      <c r="D1177" s="103"/>
      <c r="E1177" s="103"/>
      <c r="F1177" s="103"/>
      <c r="G1177" s="103"/>
      <c r="H1177" s="107"/>
      <c r="I1177" s="107"/>
      <c r="J1177" s="107"/>
      <c r="K1177" s="139"/>
    </row>
    <row r="1178" spans="1:11">
      <c r="A1178" s="107"/>
      <c r="B1178" s="103"/>
      <c r="C1178" s="109"/>
      <c r="D1178" s="103"/>
      <c r="E1178" s="103"/>
      <c r="F1178" s="103"/>
      <c r="G1178" s="103"/>
      <c r="H1178" s="107"/>
      <c r="I1178" s="107"/>
      <c r="J1178" s="107"/>
      <c r="K1178" s="139"/>
    </row>
    <row r="1179" spans="1:11">
      <c r="A1179" s="107"/>
      <c r="B1179" s="103"/>
      <c r="C1179" s="109"/>
      <c r="D1179" s="103"/>
      <c r="E1179" s="103"/>
      <c r="F1179" s="103"/>
      <c r="G1179" s="103"/>
      <c r="H1179" s="107"/>
      <c r="I1179" s="107"/>
      <c r="J1179" s="107"/>
      <c r="K1179" s="139"/>
    </row>
    <row r="1180" spans="1:11">
      <c r="A1180" s="107"/>
      <c r="B1180" s="103"/>
      <c r="C1180" s="109"/>
      <c r="D1180" s="103"/>
      <c r="E1180" s="103"/>
      <c r="F1180" s="103"/>
      <c r="G1180" s="103"/>
      <c r="H1180" s="107"/>
      <c r="I1180" s="107"/>
      <c r="J1180" s="107"/>
      <c r="K1180" s="139"/>
    </row>
    <row r="1181" spans="1:11">
      <c r="A1181" s="107"/>
      <c r="B1181" s="103"/>
      <c r="C1181" s="109"/>
      <c r="D1181" s="103"/>
      <c r="E1181" s="103"/>
      <c r="F1181" s="103"/>
      <c r="G1181" s="103"/>
      <c r="H1181" s="107"/>
      <c r="I1181" s="107"/>
      <c r="J1181" s="107"/>
      <c r="K1181" s="139"/>
    </row>
    <row r="1182" spans="1:11">
      <c r="A1182" s="107"/>
      <c r="B1182" s="103"/>
      <c r="C1182" s="109"/>
      <c r="D1182" s="103"/>
      <c r="E1182" s="103"/>
      <c r="F1182" s="103"/>
      <c r="G1182" s="103"/>
      <c r="H1182" s="107"/>
      <c r="I1182" s="107"/>
      <c r="J1182" s="107"/>
      <c r="K1182" s="139"/>
    </row>
    <row r="1183" spans="1:11">
      <c r="A1183" s="107"/>
      <c r="B1183" s="103"/>
      <c r="C1183" s="109"/>
      <c r="D1183" s="103"/>
      <c r="E1183" s="103"/>
      <c r="F1183" s="103"/>
      <c r="G1183" s="103"/>
      <c r="H1183" s="107"/>
      <c r="I1183" s="107"/>
      <c r="J1183" s="107"/>
      <c r="K1183" s="139"/>
    </row>
    <row r="1184" spans="1:11">
      <c r="A1184" s="107"/>
      <c r="B1184" s="103"/>
      <c r="C1184" s="109"/>
      <c r="D1184" s="103"/>
      <c r="E1184" s="103"/>
      <c r="F1184" s="103"/>
      <c r="G1184" s="103"/>
      <c r="H1184" s="107"/>
      <c r="I1184" s="107"/>
      <c r="J1184" s="107"/>
      <c r="K1184" s="139"/>
    </row>
    <row r="1185" spans="1:11">
      <c r="A1185" s="107"/>
      <c r="B1185" s="103"/>
      <c r="C1185" s="109"/>
      <c r="D1185" s="103"/>
      <c r="E1185" s="103"/>
      <c r="F1185" s="103"/>
      <c r="G1185" s="103"/>
      <c r="H1185" s="107"/>
      <c r="I1185" s="107"/>
      <c r="J1185" s="107"/>
      <c r="K1185" s="139"/>
    </row>
    <row r="1186" spans="1:11">
      <c r="A1186" s="107"/>
      <c r="B1186" s="103"/>
      <c r="C1186" s="109"/>
      <c r="D1186" s="103"/>
      <c r="E1186" s="103"/>
      <c r="F1186" s="103"/>
      <c r="G1186" s="103"/>
      <c r="H1186" s="107"/>
      <c r="I1186" s="107"/>
      <c r="J1186" s="107"/>
      <c r="K1186" s="139"/>
    </row>
    <row r="1187" spans="1:11">
      <c r="A1187" s="107"/>
      <c r="B1187" s="103"/>
      <c r="C1187" s="109"/>
      <c r="D1187" s="103"/>
      <c r="E1187" s="103"/>
      <c r="F1187" s="103"/>
      <c r="G1187" s="103"/>
      <c r="H1187" s="107"/>
      <c r="I1187" s="107"/>
      <c r="J1187" s="107"/>
      <c r="K1187" s="139"/>
    </row>
    <row r="1188" spans="1:11">
      <c r="A1188" s="107"/>
      <c r="B1188" s="103"/>
      <c r="C1188" s="109"/>
      <c r="D1188" s="103"/>
      <c r="E1188" s="103"/>
      <c r="F1188" s="103"/>
      <c r="G1188" s="103"/>
      <c r="H1188" s="107"/>
      <c r="I1188" s="107"/>
      <c r="J1188" s="107"/>
      <c r="K1188" s="139"/>
    </row>
    <row r="1189" spans="1:11">
      <c r="A1189" s="107"/>
      <c r="B1189" s="103"/>
      <c r="C1189" s="109"/>
      <c r="D1189" s="103"/>
      <c r="E1189" s="103"/>
      <c r="F1189" s="103"/>
      <c r="G1189" s="103"/>
      <c r="H1189" s="107"/>
      <c r="I1189" s="107"/>
      <c r="J1189" s="107"/>
      <c r="K1189" s="139"/>
    </row>
    <row r="1190" spans="1:11">
      <c r="A1190" s="107"/>
      <c r="B1190" s="103"/>
      <c r="C1190" s="109"/>
      <c r="D1190" s="103"/>
      <c r="E1190" s="103"/>
      <c r="F1190" s="103"/>
      <c r="G1190" s="103"/>
      <c r="H1190" s="107"/>
      <c r="I1190" s="107"/>
      <c r="J1190" s="107"/>
      <c r="K1190" s="139"/>
    </row>
    <row r="1191" spans="1:11">
      <c r="A1191" s="107"/>
      <c r="B1191" s="103"/>
      <c r="C1191" s="109"/>
      <c r="D1191" s="103"/>
      <c r="E1191" s="103"/>
      <c r="F1191" s="103"/>
      <c r="G1191" s="103"/>
      <c r="H1191" s="107"/>
      <c r="I1191" s="107"/>
      <c r="J1191" s="107"/>
      <c r="K1191" s="139"/>
    </row>
    <row r="1192" spans="1:11">
      <c r="A1192" s="107"/>
      <c r="B1192" s="103"/>
      <c r="C1192" s="109"/>
      <c r="D1192" s="103"/>
      <c r="E1192" s="103"/>
      <c r="F1192" s="103"/>
      <c r="G1192" s="103"/>
      <c r="H1192" s="107"/>
      <c r="I1192" s="107"/>
      <c r="J1192" s="107"/>
      <c r="K1192" s="139"/>
    </row>
    <row r="1193" spans="1:11">
      <c r="A1193" s="107"/>
      <c r="B1193" s="103"/>
      <c r="C1193" s="109"/>
      <c r="D1193" s="103"/>
      <c r="E1193" s="103"/>
      <c r="F1193" s="103"/>
      <c r="G1193" s="103"/>
      <c r="H1193" s="107"/>
      <c r="I1193" s="107"/>
      <c r="J1193" s="107"/>
      <c r="K1193" s="139"/>
    </row>
    <row r="1194" spans="1:11">
      <c r="A1194" s="107"/>
      <c r="B1194" s="103"/>
      <c r="C1194" s="109"/>
      <c r="D1194" s="103"/>
      <c r="E1194" s="103"/>
      <c r="F1194" s="103"/>
      <c r="G1194" s="103"/>
      <c r="H1194" s="107"/>
      <c r="I1194" s="107"/>
      <c r="J1194" s="107"/>
      <c r="K1194" s="139"/>
    </row>
    <row r="1195" spans="1:11">
      <c r="A1195" s="107"/>
      <c r="B1195" s="103"/>
      <c r="C1195" s="109"/>
      <c r="D1195" s="103"/>
      <c r="E1195" s="103"/>
      <c r="F1195" s="103"/>
      <c r="G1195" s="103"/>
      <c r="H1195" s="107"/>
      <c r="I1195" s="107"/>
      <c r="J1195" s="107"/>
      <c r="K1195" s="139"/>
    </row>
    <row r="1196" spans="1:11">
      <c r="A1196" s="107"/>
      <c r="B1196" s="103"/>
      <c r="C1196" s="109"/>
      <c r="D1196" s="103"/>
      <c r="E1196" s="103"/>
      <c r="F1196" s="103"/>
      <c r="G1196" s="103"/>
      <c r="H1196" s="107"/>
      <c r="I1196" s="107"/>
      <c r="J1196" s="107"/>
      <c r="K1196" s="139"/>
    </row>
    <row r="1197" spans="1:11">
      <c r="A1197" s="107"/>
      <c r="B1197" s="103"/>
      <c r="C1197" s="109"/>
      <c r="D1197" s="103"/>
      <c r="E1197" s="103"/>
      <c r="F1197" s="103"/>
      <c r="G1197" s="103"/>
      <c r="H1197" s="107"/>
      <c r="I1197" s="107"/>
      <c r="J1197" s="107"/>
      <c r="K1197" s="139"/>
    </row>
    <row r="1198" spans="1:11">
      <c r="A1198" s="107"/>
      <c r="B1198" s="103"/>
      <c r="C1198" s="109"/>
      <c r="D1198" s="103"/>
      <c r="E1198" s="103"/>
      <c r="F1198" s="103"/>
      <c r="G1198" s="103"/>
      <c r="H1198" s="107"/>
      <c r="I1198" s="107"/>
      <c r="J1198" s="107"/>
      <c r="K1198" s="139"/>
    </row>
    <row r="1199" spans="1:11">
      <c r="A1199" s="107"/>
      <c r="B1199" s="103"/>
      <c r="C1199" s="109"/>
      <c r="D1199" s="103"/>
      <c r="E1199" s="103"/>
      <c r="F1199" s="103"/>
      <c r="G1199" s="103"/>
      <c r="H1199" s="107"/>
      <c r="I1199" s="107"/>
      <c r="J1199" s="107"/>
      <c r="K1199" s="139"/>
    </row>
    <row r="1200" spans="1:11">
      <c r="A1200" s="107"/>
      <c r="B1200" s="103"/>
      <c r="C1200" s="109"/>
      <c r="D1200" s="103"/>
      <c r="E1200" s="103"/>
      <c r="F1200" s="103"/>
      <c r="G1200" s="103"/>
      <c r="H1200" s="107"/>
      <c r="I1200" s="107"/>
      <c r="J1200" s="107"/>
      <c r="K1200" s="139"/>
    </row>
    <row r="1201" spans="1:11">
      <c r="A1201" s="107"/>
      <c r="B1201" s="103"/>
      <c r="C1201" s="109"/>
      <c r="D1201" s="103"/>
      <c r="E1201" s="103"/>
      <c r="F1201" s="103"/>
      <c r="G1201" s="103"/>
      <c r="H1201" s="107"/>
      <c r="I1201" s="107"/>
      <c r="J1201" s="107"/>
      <c r="K1201" s="139"/>
    </row>
    <row r="1202" spans="1:11">
      <c r="A1202" s="107"/>
      <c r="B1202" s="103"/>
      <c r="C1202" s="109"/>
      <c r="D1202" s="103"/>
      <c r="E1202" s="103"/>
      <c r="F1202" s="103"/>
      <c r="G1202" s="103"/>
      <c r="H1202" s="107"/>
      <c r="I1202" s="107"/>
      <c r="J1202" s="107"/>
      <c r="K1202" s="139"/>
    </row>
    <row r="1203" spans="1:11">
      <c r="A1203" s="107"/>
      <c r="B1203" s="103"/>
      <c r="C1203" s="109"/>
      <c r="D1203" s="103"/>
      <c r="E1203" s="103"/>
      <c r="F1203" s="103"/>
      <c r="G1203" s="103"/>
      <c r="H1203" s="107"/>
      <c r="I1203" s="107"/>
      <c r="J1203" s="107"/>
      <c r="K1203" s="139"/>
    </row>
    <row r="1204" spans="1:11">
      <c r="A1204" s="107"/>
      <c r="B1204" s="103"/>
      <c r="C1204" s="109"/>
      <c r="D1204" s="103"/>
      <c r="E1204" s="103"/>
      <c r="F1204" s="103"/>
      <c r="G1204" s="103"/>
      <c r="H1204" s="107"/>
      <c r="I1204" s="107"/>
      <c r="J1204" s="107"/>
      <c r="K1204" s="139"/>
    </row>
    <row r="1205" spans="1:11">
      <c r="A1205" s="107"/>
      <c r="B1205" s="103"/>
      <c r="C1205" s="109"/>
      <c r="D1205" s="103"/>
      <c r="E1205" s="103"/>
      <c r="F1205" s="103"/>
      <c r="G1205" s="103"/>
      <c r="H1205" s="107"/>
      <c r="I1205" s="107"/>
      <c r="J1205" s="107"/>
      <c r="K1205" s="139"/>
    </row>
    <row r="1206" spans="1:11">
      <c r="A1206" s="107"/>
      <c r="B1206" s="103"/>
      <c r="C1206" s="109"/>
      <c r="D1206" s="103"/>
      <c r="E1206" s="103"/>
      <c r="F1206" s="103"/>
      <c r="G1206" s="103"/>
      <c r="H1206" s="107"/>
      <c r="I1206" s="107"/>
      <c r="J1206" s="107"/>
      <c r="K1206" s="139"/>
    </row>
    <row r="1207" spans="1:11">
      <c r="A1207" s="107"/>
      <c r="B1207" s="103"/>
      <c r="C1207" s="109"/>
      <c r="D1207" s="103"/>
      <c r="E1207" s="103"/>
      <c r="F1207" s="103"/>
      <c r="G1207" s="103"/>
      <c r="H1207" s="107"/>
      <c r="I1207" s="107"/>
      <c r="J1207" s="107"/>
      <c r="K1207" s="139"/>
    </row>
    <row r="1208" spans="1:11">
      <c r="A1208" s="107"/>
      <c r="B1208" s="103"/>
      <c r="C1208" s="109"/>
      <c r="D1208" s="103"/>
      <c r="E1208" s="103"/>
      <c r="F1208" s="103"/>
      <c r="G1208" s="103"/>
      <c r="H1208" s="107"/>
      <c r="I1208" s="107"/>
      <c r="J1208" s="107"/>
      <c r="K1208" s="139"/>
    </row>
    <row r="1209" spans="1:11">
      <c r="A1209" s="107"/>
      <c r="B1209" s="103"/>
      <c r="C1209" s="109"/>
      <c r="D1209" s="103"/>
      <c r="E1209" s="103"/>
      <c r="F1209" s="103"/>
      <c r="G1209" s="103"/>
      <c r="H1209" s="107"/>
      <c r="I1209" s="107"/>
      <c r="J1209" s="107"/>
      <c r="K1209" s="139"/>
    </row>
    <row r="1210" spans="1:11">
      <c r="A1210" s="107"/>
      <c r="B1210" s="103"/>
      <c r="C1210" s="109"/>
      <c r="D1210" s="103"/>
      <c r="E1210" s="103"/>
      <c r="F1210" s="103"/>
      <c r="G1210" s="103"/>
      <c r="H1210" s="107"/>
      <c r="I1210" s="107"/>
      <c r="J1210" s="107"/>
      <c r="K1210" s="139"/>
    </row>
    <row r="1211" spans="1:11">
      <c r="A1211" s="107"/>
      <c r="B1211" s="103"/>
      <c r="C1211" s="109"/>
      <c r="D1211" s="103"/>
      <c r="E1211" s="103"/>
      <c r="F1211" s="103"/>
      <c r="G1211" s="103"/>
      <c r="H1211" s="107"/>
      <c r="I1211" s="107"/>
      <c r="J1211" s="107"/>
      <c r="K1211" s="139"/>
    </row>
    <row r="1212" spans="1:11">
      <c r="A1212" s="107"/>
      <c r="B1212" s="103"/>
      <c r="C1212" s="109"/>
      <c r="D1212" s="103"/>
      <c r="E1212" s="103"/>
      <c r="F1212" s="103"/>
      <c r="G1212" s="103"/>
      <c r="H1212" s="107"/>
      <c r="I1212" s="107"/>
      <c r="J1212" s="107"/>
      <c r="K1212" s="139"/>
    </row>
    <row r="1213" spans="1:11">
      <c r="A1213" s="107"/>
      <c r="B1213" s="103"/>
      <c r="C1213" s="109"/>
      <c r="D1213" s="103"/>
      <c r="E1213" s="103"/>
      <c r="F1213" s="103"/>
      <c r="G1213" s="103"/>
      <c r="H1213" s="107"/>
      <c r="I1213" s="107"/>
      <c r="J1213" s="107"/>
      <c r="K1213" s="139"/>
    </row>
    <row r="1214" spans="1:11">
      <c r="A1214" s="107"/>
      <c r="B1214" s="103"/>
      <c r="C1214" s="109"/>
      <c r="D1214" s="103"/>
      <c r="E1214" s="103"/>
      <c r="F1214" s="103"/>
      <c r="G1214" s="103"/>
      <c r="H1214" s="107"/>
      <c r="I1214" s="107"/>
      <c r="J1214" s="107"/>
      <c r="K1214" s="139"/>
    </row>
    <row r="1215" spans="1:11">
      <c r="A1215" s="107"/>
      <c r="B1215" s="103"/>
      <c r="C1215" s="109"/>
      <c r="D1215" s="103"/>
      <c r="E1215" s="103"/>
      <c r="F1215" s="103"/>
      <c r="G1215" s="103"/>
      <c r="H1215" s="107"/>
      <c r="I1215" s="107"/>
      <c r="J1215" s="107"/>
      <c r="K1215" s="139"/>
    </row>
    <row r="1216" spans="1:11">
      <c r="A1216" s="107"/>
      <c r="B1216" s="103"/>
      <c r="C1216" s="109"/>
      <c r="D1216" s="103"/>
      <c r="E1216" s="103"/>
      <c r="F1216" s="103"/>
      <c r="G1216" s="103"/>
      <c r="H1216" s="107"/>
      <c r="I1216" s="107"/>
      <c r="J1216" s="107"/>
      <c r="K1216" s="139"/>
    </row>
    <row r="1217" spans="1:11">
      <c r="A1217" s="107"/>
      <c r="B1217" s="103"/>
      <c r="C1217" s="109"/>
      <c r="D1217" s="103"/>
      <c r="E1217" s="103"/>
      <c r="F1217" s="103"/>
      <c r="G1217" s="103"/>
      <c r="H1217" s="107"/>
      <c r="I1217" s="107"/>
      <c r="J1217" s="107"/>
      <c r="K1217" s="139"/>
    </row>
    <row r="1218" spans="1:11">
      <c r="A1218" s="107"/>
      <c r="B1218" s="103"/>
      <c r="C1218" s="109"/>
      <c r="D1218" s="103"/>
      <c r="E1218" s="103"/>
      <c r="F1218" s="103"/>
      <c r="G1218" s="103"/>
      <c r="H1218" s="107"/>
      <c r="I1218" s="107"/>
      <c r="J1218" s="107"/>
      <c r="K1218" s="139"/>
    </row>
    <row r="1219" spans="1:11">
      <c r="A1219" s="107"/>
      <c r="B1219" s="103"/>
      <c r="C1219" s="109"/>
      <c r="D1219" s="103"/>
      <c r="E1219" s="103"/>
      <c r="F1219" s="103"/>
      <c r="G1219" s="103"/>
      <c r="H1219" s="107"/>
      <c r="I1219" s="107"/>
      <c r="J1219" s="107"/>
      <c r="K1219" s="139"/>
    </row>
    <row r="1220" spans="1:11">
      <c r="A1220" s="107"/>
      <c r="B1220" s="103"/>
      <c r="C1220" s="109"/>
      <c r="D1220" s="103"/>
      <c r="E1220" s="103"/>
      <c r="F1220" s="103"/>
      <c r="G1220" s="103"/>
      <c r="H1220" s="107"/>
      <c r="I1220" s="107"/>
      <c r="J1220" s="107"/>
      <c r="K1220" s="139"/>
    </row>
    <row r="1221" spans="1:11">
      <c r="A1221" s="107"/>
      <c r="B1221" s="103"/>
      <c r="C1221" s="109"/>
      <c r="D1221" s="103"/>
      <c r="E1221" s="103"/>
      <c r="F1221" s="103"/>
      <c r="G1221" s="103"/>
      <c r="H1221" s="107"/>
      <c r="I1221" s="107"/>
      <c r="J1221" s="107"/>
      <c r="K1221" s="139"/>
    </row>
    <row r="1222" spans="1:11">
      <c r="A1222" s="107"/>
      <c r="B1222" s="103"/>
      <c r="C1222" s="109"/>
      <c r="D1222" s="103"/>
      <c r="E1222" s="103"/>
      <c r="F1222" s="103"/>
      <c r="G1222" s="103"/>
      <c r="H1222" s="107"/>
      <c r="I1222" s="107"/>
      <c r="J1222" s="107"/>
      <c r="K1222" s="139"/>
    </row>
    <row r="1223" spans="1:11">
      <c r="A1223" s="107"/>
      <c r="B1223" s="103"/>
      <c r="C1223" s="109"/>
      <c r="D1223" s="103"/>
      <c r="E1223" s="103"/>
      <c r="F1223" s="103"/>
      <c r="G1223" s="103"/>
      <c r="H1223" s="107"/>
      <c r="I1223" s="107"/>
      <c r="J1223" s="107"/>
      <c r="K1223" s="139"/>
    </row>
    <row r="1224" spans="1:11">
      <c r="A1224" s="107"/>
      <c r="B1224" s="103"/>
      <c r="C1224" s="109"/>
      <c r="D1224" s="103"/>
      <c r="E1224" s="103"/>
      <c r="F1224" s="103"/>
      <c r="G1224" s="103"/>
      <c r="H1224" s="107"/>
      <c r="I1224" s="107"/>
      <c r="J1224" s="107"/>
      <c r="K1224" s="139"/>
    </row>
    <row r="1225" spans="1:11">
      <c r="A1225" s="107"/>
      <c r="B1225" s="103"/>
      <c r="C1225" s="109"/>
      <c r="D1225" s="103"/>
      <c r="E1225" s="103"/>
      <c r="F1225" s="103"/>
      <c r="G1225" s="103"/>
      <c r="H1225" s="107"/>
      <c r="I1225" s="107"/>
      <c r="J1225" s="107"/>
      <c r="K1225" s="139"/>
    </row>
    <row r="1226" spans="1:11">
      <c r="A1226" s="107"/>
      <c r="B1226" s="103"/>
      <c r="C1226" s="109"/>
      <c r="D1226" s="103"/>
      <c r="E1226" s="103"/>
      <c r="F1226" s="103"/>
      <c r="G1226" s="103"/>
      <c r="H1226" s="107"/>
      <c r="I1226" s="107"/>
      <c r="J1226" s="107"/>
      <c r="K1226" s="139"/>
    </row>
    <row r="1227" spans="1:11">
      <c r="A1227" s="107"/>
      <c r="B1227" s="103"/>
      <c r="C1227" s="109"/>
      <c r="D1227" s="103"/>
      <c r="E1227" s="103"/>
      <c r="F1227" s="103"/>
      <c r="G1227" s="103"/>
      <c r="H1227" s="107"/>
      <c r="I1227" s="107"/>
      <c r="J1227" s="107"/>
      <c r="K1227" s="139"/>
    </row>
    <row r="1228" spans="1:11">
      <c r="A1228" s="107"/>
      <c r="B1228" s="103"/>
      <c r="C1228" s="109"/>
      <c r="D1228" s="103"/>
      <c r="E1228" s="103"/>
      <c r="F1228" s="103"/>
      <c r="G1228" s="103"/>
      <c r="H1228" s="107"/>
      <c r="I1228" s="107"/>
      <c r="J1228" s="107"/>
      <c r="K1228" s="139"/>
    </row>
    <row r="1229" spans="1:11">
      <c r="A1229" s="107"/>
      <c r="B1229" s="103"/>
      <c r="C1229" s="109"/>
      <c r="D1229" s="103"/>
      <c r="E1229" s="103"/>
      <c r="F1229" s="103"/>
      <c r="G1229" s="103"/>
      <c r="H1229" s="107"/>
      <c r="I1229" s="107"/>
      <c r="J1229" s="107"/>
      <c r="K1229" s="139"/>
    </row>
    <row r="1230" spans="1:11">
      <c r="A1230" s="107"/>
      <c r="B1230" s="103"/>
      <c r="C1230" s="109"/>
      <c r="D1230" s="103"/>
      <c r="E1230" s="103"/>
      <c r="F1230" s="103"/>
      <c r="G1230" s="103"/>
      <c r="H1230" s="107"/>
      <c r="I1230" s="107"/>
      <c r="J1230" s="107"/>
      <c r="K1230" s="139"/>
    </row>
    <row r="1231" spans="1:11">
      <c r="A1231" s="107"/>
      <c r="B1231" s="103"/>
      <c r="C1231" s="109"/>
      <c r="D1231" s="103"/>
      <c r="E1231" s="103"/>
      <c r="F1231" s="103"/>
      <c r="G1231" s="103"/>
      <c r="H1231" s="107"/>
      <c r="I1231" s="107"/>
      <c r="J1231" s="107"/>
      <c r="K1231" s="139"/>
    </row>
    <row r="1232" spans="1:11">
      <c r="A1232" s="107"/>
      <c r="B1232" s="103"/>
      <c r="C1232" s="109"/>
      <c r="D1232" s="103"/>
      <c r="E1232" s="103"/>
      <c r="F1232" s="103"/>
      <c r="G1232" s="103"/>
      <c r="H1232" s="107"/>
      <c r="I1232" s="107"/>
      <c r="J1232" s="107"/>
      <c r="K1232" s="139"/>
    </row>
    <row r="1233" spans="1:11">
      <c r="A1233" s="107"/>
      <c r="B1233" s="103"/>
      <c r="C1233" s="109"/>
      <c r="D1233" s="103"/>
      <c r="E1233" s="103"/>
      <c r="F1233" s="103"/>
      <c r="G1233" s="103"/>
      <c r="H1233" s="107"/>
      <c r="I1233" s="107"/>
      <c r="J1233" s="107"/>
      <c r="K1233" s="139"/>
    </row>
    <row r="1234" spans="1:11">
      <c r="A1234" s="107"/>
      <c r="B1234" s="103"/>
      <c r="C1234" s="109"/>
      <c r="D1234" s="103"/>
      <c r="E1234" s="103"/>
      <c r="F1234" s="103"/>
      <c r="G1234" s="103"/>
      <c r="H1234" s="107"/>
      <c r="I1234" s="107"/>
      <c r="J1234" s="107"/>
      <c r="K1234" s="139"/>
    </row>
    <row r="1235" spans="1:11">
      <c r="A1235" s="107"/>
      <c r="B1235" s="103"/>
      <c r="C1235" s="109"/>
      <c r="D1235" s="103"/>
      <c r="E1235" s="103"/>
      <c r="F1235" s="103"/>
      <c r="G1235" s="103"/>
      <c r="H1235" s="107"/>
      <c r="I1235" s="107"/>
      <c r="J1235" s="107"/>
      <c r="K1235" s="139"/>
    </row>
    <row r="1236" spans="1:11">
      <c r="A1236" s="107"/>
      <c r="B1236" s="103"/>
      <c r="C1236" s="109"/>
      <c r="D1236" s="103"/>
      <c r="E1236" s="103"/>
      <c r="F1236" s="103"/>
      <c r="G1236" s="103"/>
      <c r="H1236" s="107"/>
      <c r="I1236" s="107"/>
      <c r="J1236" s="107"/>
      <c r="K1236" s="139"/>
    </row>
    <row r="1237" spans="1:11">
      <c r="A1237" s="107"/>
      <c r="B1237" s="103"/>
      <c r="C1237" s="109"/>
      <c r="D1237" s="103"/>
      <c r="E1237" s="103"/>
      <c r="F1237" s="103"/>
      <c r="G1237" s="103"/>
      <c r="H1237" s="107"/>
      <c r="I1237" s="107"/>
      <c r="J1237" s="107"/>
      <c r="K1237" s="139"/>
    </row>
    <row r="1238" spans="1:11">
      <c r="A1238" s="107"/>
      <c r="B1238" s="103"/>
      <c r="C1238" s="109"/>
      <c r="D1238" s="103"/>
      <c r="E1238" s="103"/>
      <c r="F1238" s="103"/>
      <c r="G1238" s="103"/>
      <c r="H1238" s="107"/>
      <c r="I1238" s="107"/>
      <c r="J1238" s="107"/>
      <c r="K1238" s="139"/>
    </row>
    <row r="1239" spans="1:11">
      <c r="A1239" s="107"/>
      <c r="B1239" s="103"/>
      <c r="C1239" s="109"/>
      <c r="D1239" s="103"/>
      <c r="E1239" s="103"/>
      <c r="F1239" s="103"/>
      <c r="G1239" s="103"/>
      <c r="H1239" s="107"/>
      <c r="I1239" s="107"/>
      <c r="J1239" s="107"/>
      <c r="K1239" s="139"/>
    </row>
    <row r="1240" spans="1:11">
      <c r="A1240" s="107"/>
      <c r="B1240" s="103"/>
      <c r="C1240" s="109"/>
      <c r="D1240" s="103"/>
      <c r="E1240" s="103"/>
      <c r="F1240" s="103"/>
      <c r="G1240" s="103"/>
      <c r="H1240" s="107"/>
      <c r="I1240" s="107"/>
      <c r="J1240" s="107"/>
      <c r="K1240" s="139"/>
    </row>
    <row r="1241" spans="1:11">
      <c r="A1241" s="107"/>
      <c r="B1241" s="103"/>
      <c r="C1241" s="109"/>
      <c r="D1241" s="103"/>
      <c r="E1241" s="103"/>
      <c r="F1241" s="103"/>
      <c r="G1241" s="103"/>
      <c r="H1241" s="107"/>
      <c r="I1241" s="107"/>
      <c r="J1241" s="107"/>
      <c r="K1241" s="139"/>
    </row>
    <row r="1242" spans="1:11">
      <c r="A1242" s="107"/>
      <c r="B1242" s="103"/>
      <c r="C1242" s="109"/>
      <c r="D1242" s="103"/>
      <c r="E1242" s="103"/>
      <c r="F1242" s="103"/>
      <c r="G1242" s="103"/>
      <c r="H1242" s="107"/>
      <c r="I1242" s="107"/>
      <c r="J1242" s="107"/>
      <c r="K1242" s="139"/>
    </row>
    <row r="1243" spans="1:11">
      <c r="A1243" s="107"/>
      <c r="B1243" s="103"/>
      <c r="C1243" s="109"/>
      <c r="D1243" s="103"/>
      <c r="E1243" s="103"/>
      <c r="F1243" s="103"/>
      <c r="G1243" s="103"/>
      <c r="H1243" s="107"/>
      <c r="I1243" s="107"/>
      <c r="J1243" s="107"/>
      <c r="K1243" s="139"/>
    </row>
    <row r="1244" spans="1:11">
      <c r="A1244" s="107"/>
      <c r="B1244" s="103"/>
      <c r="C1244" s="109"/>
      <c r="D1244" s="103"/>
      <c r="E1244" s="103"/>
      <c r="F1244" s="103"/>
      <c r="G1244" s="103"/>
      <c r="H1244" s="107"/>
      <c r="I1244" s="107"/>
      <c r="J1244" s="107"/>
      <c r="K1244" s="139"/>
    </row>
    <row r="1245" spans="1:11">
      <c r="A1245" s="107"/>
      <c r="B1245" s="103"/>
      <c r="C1245" s="109"/>
      <c r="D1245" s="103"/>
      <c r="E1245" s="103"/>
      <c r="F1245" s="103"/>
      <c r="G1245" s="103"/>
      <c r="H1245" s="107"/>
      <c r="I1245" s="107"/>
      <c r="J1245" s="107"/>
      <c r="K1245" s="139"/>
    </row>
    <row r="1246" spans="1:11">
      <c r="A1246" s="107"/>
      <c r="B1246" s="103"/>
      <c r="C1246" s="109"/>
      <c r="D1246" s="103"/>
      <c r="E1246" s="103"/>
      <c r="F1246" s="103"/>
      <c r="G1246" s="103"/>
      <c r="H1246" s="107"/>
      <c r="I1246" s="107"/>
      <c r="J1246" s="107"/>
      <c r="K1246" s="139"/>
    </row>
    <row r="1247" spans="1:11">
      <c r="A1247" s="107"/>
      <c r="B1247" s="103"/>
      <c r="C1247" s="109"/>
      <c r="D1247" s="103"/>
      <c r="E1247" s="103"/>
      <c r="F1247" s="103"/>
      <c r="G1247" s="103"/>
      <c r="H1247" s="107"/>
      <c r="I1247" s="107"/>
      <c r="J1247" s="107"/>
      <c r="K1247" s="139"/>
    </row>
    <row r="1248" spans="1:11">
      <c r="A1248" s="107"/>
      <c r="B1248" s="103"/>
      <c r="C1248" s="109"/>
      <c r="D1248" s="103"/>
      <c r="E1248" s="103"/>
      <c r="F1248" s="103"/>
      <c r="G1248" s="103"/>
      <c r="H1248" s="107"/>
      <c r="I1248" s="107"/>
      <c r="J1248" s="107"/>
      <c r="K1248" s="139"/>
    </row>
    <row r="1249" spans="1:11">
      <c r="A1249" s="107"/>
      <c r="B1249" s="103"/>
      <c r="C1249" s="109"/>
      <c r="D1249" s="103"/>
      <c r="E1249" s="103"/>
      <c r="F1249" s="103"/>
      <c r="G1249" s="103"/>
      <c r="H1249" s="107"/>
      <c r="I1249" s="107"/>
      <c r="J1249" s="107"/>
      <c r="K1249" s="139"/>
    </row>
    <row r="1250" spans="1:11">
      <c r="A1250" s="107"/>
      <c r="B1250" s="103"/>
      <c r="C1250" s="109"/>
      <c r="D1250" s="103"/>
      <c r="E1250" s="103"/>
      <c r="F1250" s="103"/>
      <c r="G1250" s="103"/>
      <c r="H1250" s="107"/>
      <c r="I1250" s="107"/>
      <c r="J1250" s="107"/>
      <c r="K1250" s="139"/>
    </row>
    <row r="1251" spans="1:11">
      <c r="A1251" s="107"/>
      <c r="B1251" s="103"/>
      <c r="C1251" s="109"/>
      <c r="D1251" s="103"/>
      <c r="E1251" s="103"/>
      <c r="F1251" s="103"/>
      <c r="G1251" s="103"/>
      <c r="H1251" s="107"/>
      <c r="I1251" s="107"/>
      <c r="J1251" s="107"/>
      <c r="K1251" s="139"/>
    </row>
    <row r="1252" spans="1:11">
      <c r="A1252" s="107"/>
      <c r="B1252" s="103"/>
      <c r="C1252" s="109"/>
      <c r="D1252" s="103"/>
      <c r="E1252" s="103"/>
      <c r="F1252" s="103"/>
      <c r="G1252" s="103"/>
      <c r="H1252" s="107"/>
      <c r="I1252" s="107"/>
      <c r="J1252" s="107"/>
      <c r="K1252" s="139"/>
    </row>
    <row r="1253" spans="1:11">
      <c r="A1253" s="107"/>
      <c r="B1253" s="103"/>
      <c r="C1253" s="109"/>
      <c r="D1253" s="103"/>
      <c r="E1253" s="103"/>
      <c r="F1253" s="103"/>
      <c r="G1253" s="103"/>
      <c r="H1253" s="107"/>
      <c r="I1253" s="107"/>
      <c r="J1253" s="107"/>
      <c r="K1253" s="139"/>
    </row>
    <row r="1254" spans="1:11">
      <c r="A1254" s="107"/>
      <c r="B1254" s="103"/>
      <c r="C1254" s="109"/>
      <c r="D1254" s="103"/>
      <c r="E1254" s="103"/>
      <c r="F1254" s="103"/>
      <c r="G1254" s="103"/>
      <c r="H1254" s="107"/>
      <c r="I1254" s="107"/>
      <c r="J1254" s="107"/>
      <c r="K1254" s="139"/>
    </row>
    <row r="1255" spans="1:11">
      <c r="A1255" s="107"/>
      <c r="B1255" s="103"/>
      <c r="C1255" s="109"/>
      <c r="D1255" s="103"/>
      <c r="E1255" s="103"/>
      <c r="F1255" s="103"/>
      <c r="G1255" s="103"/>
      <c r="H1255" s="107"/>
      <c r="I1255" s="107"/>
      <c r="J1255" s="107"/>
      <c r="K1255" s="139"/>
    </row>
    <row r="1256" spans="1:11">
      <c r="A1256" s="107"/>
      <c r="B1256" s="103"/>
      <c r="C1256" s="109"/>
      <c r="D1256" s="103"/>
      <c r="E1256" s="103"/>
      <c r="F1256" s="103"/>
      <c r="G1256" s="103"/>
      <c r="H1256" s="107"/>
      <c r="I1256" s="107"/>
      <c r="J1256" s="107"/>
      <c r="K1256" s="139"/>
    </row>
    <row r="1257" spans="1:11">
      <c r="A1257" s="107"/>
      <c r="B1257" s="103"/>
      <c r="C1257" s="109"/>
      <c r="D1257" s="103"/>
      <c r="E1257" s="103"/>
      <c r="F1257" s="103"/>
      <c r="G1257" s="103"/>
      <c r="H1257" s="107"/>
      <c r="I1257" s="107"/>
      <c r="J1257" s="107"/>
      <c r="K1257" s="139"/>
    </row>
    <row r="1258" spans="1:11">
      <c r="A1258" s="107"/>
      <c r="B1258" s="103"/>
      <c r="C1258" s="109"/>
      <c r="D1258" s="103"/>
      <c r="E1258" s="103"/>
      <c r="F1258" s="103"/>
      <c r="G1258" s="103"/>
      <c r="H1258" s="107"/>
      <c r="I1258" s="107"/>
      <c r="J1258" s="107"/>
      <c r="K1258" s="139"/>
    </row>
    <row r="1259" spans="1:11">
      <c r="A1259" s="107"/>
      <c r="B1259" s="103"/>
      <c r="C1259" s="109"/>
      <c r="D1259" s="103"/>
      <c r="E1259" s="103"/>
      <c r="F1259" s="103"/>
      <c r="G1259" s="103"/>
      <c r="H1259" s="107"/>
      <c r="I1259" s="107"/>
      <c r="J1259" s="107"/>
      <c r="K1259" s="139"/>
    </row>
    <row r="1260" spans="1:11">
      <c r="A1260" s="107"/>
      <c r="B1260" s="103"/>
      <c r="C1260" s="109"/>
      <c r="D1260" s="103"/>
      <c r="E1260" s="103"/>
      <c r="F1260" s="103"/>
      <c r="G1260" s="103"/>
      <c r="H1260" s="107"/>
      <c r="I1260" s="107"/>
      <c r="J1260" s="107"/>
      <c r="K1260" s="139"/>
    </row>
    <row r="1261" spans="1:11">
      <c r="A1261" s="107"/>
      <c r="B1261" s="103"/>
      <c r="C1261" s="109"/>
      <c r="D1261" s="103"/>
      <c r="E1261" s="103"/>
      <c r="F1261" s="103"/>
      <c r="G1261" s="103"/>
      <c r="H1261" s="107"/>
      <c r="I1261" s="107"/>
      <c r="J1261" s="107"/>
      <c r="K1261" s="139"/>
    </row>
    <row r="1262" spans="1:11">
      <c r="A1262" s="107"/>
      <c r="B1262" s="103"/>
      <c r="C1262" s="109"/>
      <c r="D1262" s="103"/>
      <c r="E1262" s="103"/>
      <c r="F1262" s="103"/>
      <c r="G1262" s="103"/>
      <c r="H1262" s="107"/>
      <c r="I1262" s="107"/>
      <c r="J1262" s="107"/>
      <c r="K1262" s="139"/>
    </row>
    <row r="1263" spans="1:11">
      <c r="A1263" s="107"/>
      <c r="B1263" s="103"/>
      <c r="C1263" s="109"/>
      <c r="D1263" s="103"/>
      <c r="E1263" s="103"/>
      <c r="F1263" s="103"/>
      <c r="G1263" s="103"/>
      <c r="H1263" s="107"/>
      <c r="I1263" s="107"/>
      <c r="J1263" s="107"/>
      <c r="K1263" s="139"/>
    </row>
    <row r="1264" spans="1:11">
      <c r="A1264" s="107"/>
      <c r="B1264" s="103"/>
      <c r="C1264" s="109"/>
      <c r="D1264" s="103"/>
      <c r="E1264" s="103"/>
      <c r="F1264" s="103"/>
      <c r="G1264" s="103"/>
      <c r="H1264" s="107"/>
      <c r="I1264" s="107"/>
      <c r="J1264" s="107"/>
      <c r="K1264" s="139"/>
    </row>
    <row r="1265" spans="1:11">
      <c r="A1265" s="107"/>
      <c r="B1265" s="103"/>
      <c r="C1265" s="109"/>
      <c r="D1265" s="103"/>
      <c r="E1265" s="103"/>
      <c r="F1265" s="103"/>
      <c r="G1265" s="103"/>
      <c r="H1265" s="107"/>
      <c r="I1265" s="107"/>
      <c r="J1265" s="107"/>
      <c r="K1265" s="139"/>
    </row>
    <row r="1266" spans="1:11">
      <c r="A1266" s="107"/>
      <c r="B1266" s="103"/>
      <c r="C1266" s="109"/>
      <c r="D1266" s="103"/>
      <c r="E1266" s="103"/>
      <c r="F1266" s="103"/>
      <c r="G1266" s="103"/>
      <c r="H1266" s="107"/>
      <c r="I1266" s="107"/>
      <c r="J1266" s="107"/>
      <c r="K1266" s="139"/>
    </row>
    <row r="1267" spans="1:11">
      <c r="A1267" s="107"/>
      <c r="B1267" s="103"/>
      <c r="C1267" s="109"/>
      <c r="D1267" s="103"/>
      <c r="E1267" s="103"/>
      <c r="F1267" s="103"/>
      <c r="G1267" s="103"/>
      <c r="H1267" s="107"/>
      <c r="I1267" s="107"/>
      <c r="J1267" s="107"/>
      <c r="K1267" s="139"/>
    </row>
    <row r="1268" spans="1:11">
      <c r="A1268" s="107"/>
      <c r="B1268" s="103"/>
      <c r="C1268" s="109"/>
      <c r="D1268" s="103"/>
      <c r="E1268" s="103"/>
      <c r="F1268" s="103"/>
      <c r="G1268" s="103"/>
      <c r="H1268" s="107"/>
      <c r="I1268" s="107"/>
      <c r="J1268" s="107"/>
      <c r="K1268" s="139"/>
    </row>
    <row r="1269" spans="1:11">
      <c r="A1269" s="107"/>
      <c r="B1269" s="103"/>
      <c r="C1269" s="109"/>
      <c r="D1269" s="103"/>
      <c r="E1269" s="103"/>
      <c r="F1269" s="103"/>
      <c r="G1269" s="103"/>
      <c r="H1269" s="107"/>
      <c r="I1269" s="107"/>
      <c r="J1269" s="107"/>
      <c r="K1269" s="139"/>
    </row>
    <row r="1270" spans="1:11">
      <c r="A1270" s="107"/>
      <c r="B1270" s="103"/>
      <c r="C1270" s="109"/>
      <c r="D1270" s="103"/>
      <c r="E1270" s="103"/>
      <c r="F1270" s="103"/>
      <c r="G1270" s="103"/>
      <c r="H1270" s="107"/>
      <c r="I1270" s="107"/>
      <c r="J1270" s="107"/>
      <c r="K1270" s="139"/>
    </row>
    <row r="1271" spans="1:11">
      <c r="A1271" s="107"/>
      <c r="B1271" s="103"/>
      <c r="C1271" s="109"/>
      <c r="D1271" s="103"/>
      <c r="E1271" s="103"/>
      <c r="F1271" s="103"/>
      <c r="G1271" s="103"/>
      <c r="H1271" s="107"/>
      <c r="I1271" s="107"/>
      <c r="J1271" s="107"/>
      <c r="K1271" s="139"/>
    </row>
    <row r="1272" spans="1:11">
      <c r="A1272" s="107"/>
      <c r="B1272" s="103"/>
      <c r="C1272" s="109"/>
      <c r="D1272" s="103"/>
      <c r="E1272" s="103"/>
      <c r="F1272" s="103"/>
      <c r="G1272" s="103"/>
      <c r="H1272" s="107"/>
      <c r="I1272" s="107"/>
      <c r="J1272" s="107"/>
      <c r="K1272" s="139"/>
    </row>
    <row r="1273" spans="1:11">
      <c r="A1273" s="107"/>
      <c r="B1273" s="103"/>
      <c r="C1273" s="109"/>
      <c r="D1273" s="103"/>
      <c r="E1273" s="103"/>
      <c r="F1273" s="103"/>
      <c r="G1273" s="103"/>
      <c r="H1273" s="107"/>
      <c r="I1273" s="107"/>
      <c r="J1273" s="107"/>
      <c r="K1273" s="139"/>
    </row>
    <row r="1274" spans="1:11">
      <c r="A1274" s="107"/>
      <c r="B1274" s="103"/>
      <c r="C1274" s="109"/>
      <c r="D1274" s="103"/>
      <c r="E1274" s="103"/>
      <c r="F1274" s="103"/>
      <c r="G1274" s="103"/>
      <c r="H1274" s="107"/>
      <c r="I1274" s="107"/>
      <c r="J1274" s="107"/>
      <c r="K1274" s="139"/>
    </row>
    <row r="1275" spans="1:11">
      <c r="A1275" s="107"/>
      <c r="B1275" s="103"/>
      <c r="C1275" s="109"/>
      <c r="D1275" s="103"/>
      <c r="E1275" s="103"/>
      <c r="F1275" s="103"/>
      <c r="G1275" s="103"/>
      <c r="H1275" s="107"/>
      <c r="I1275" s="107"/>
      <c r="J1275" s="107"/>
      <c r="K1275" s="139"/>
    </row>
    <row r="1276" spans="1:11">
      <c r="A1276" s="107"/>
      <c r="B1276" s="103"/>
      <c r="C1276" s="109"/>
      <c r="D1276" s="103"/>
      <c r="E1276" s="103"/>
      <c r="F1276" s="103"/>
      <c r="G1276" s="103"/>
      <c r="H1276" s="107"/>
      <c r="I1276" s="107"/>
      <c r="J1276" s="107"/>
      <c r="K1276" s="139"/>
    </row>
    <row r="1277" spans="1:11">
      <c r="A1277" s="107"/>
      <c r="B1277" s="103"/>
      <c r="C1277" s="109"/>
      <c r="D1277" s="103"/>
      <c r="E1277" s="103"/>
      <c r="F1277" s="103"/>
      <c r="G1277" s="103"/>
      <c r="H1277" s="107"/>
      <c r="I1277" s="107"/>
      <c r="J1277" s="107"/>
      <c r="K1277" s="139"/>
    </row>
    <row r="1278" spans="1:11">
      <c r="A1278" s="107"/>
      <c r="B1278" s="103"/>
      <c r="C1278" s="109"/>
      <c r="D1278" s="103"/>
      <c r="E1278" s="103"/>
      <c r="F1278" s="103"/>
      <c r="G1278" s="103"/>
      <c r="H1278" s="107"/>
      <c r="I1278" s="107"/>
      <c r="J1278" s="107"/>
      <c r="K1278" s="139"/>
    </row>
    <row r="1279" spans="1:11">
      <c r="A1279" s="107"/>
      <c r="B1279" s="103"/>
      <c r="C1279" s="109"/>
      <c r="D1279" s="103"/>
      <c r="E1279" s="103"/>
      <c r="F1279" s="103"/>
      <c r="G1279" s="103"/>
      <c r="H1279" s="107"/>
      <c r="I1279" s="107"/>
      <c r="J1279" s="107"/>
      <c r="K1279" s="139"/>
    </row>
    <row r="1280" spans="1:11">
      <c r="A1280" s="107"/>
      <c r="B1280" s="103"/>
      <c r="C1280" s="109"/>
      <c r="D1280" s="103"/>
      <c r="E1280" s="103"/>
      <c r="F1280" s="103"/>
      <c r="G1280" s="103"/>
      <c r="H1280" s="107"/>
      <c r="I1280" s="107"/>
      <c r="J1280" s="107"/>
      <c r="K1280" s="139"/>
    </row>
    <row r="1281" spans="1:11">
      <c r="A1281" s="107"/>
      <c r="B1281" s="103"/>
      <c r="C1281" s="109"/>
      <c r="D1281" s="103"/>
      <c r="E1281" s="103"/>
      <c r="F1281" s="103"/>
      <c r="G1281" s="103"/>
      <c r="H1281" s="107"/>
      <c r="I1281" s="107"/>
      <c r="J1281" s="107"/>
      <c r="K1281" s="139"/>
    </row>
    <row r="1282" spans="1:11">
      <c r="A1282" s="107"/>
      <c r="B1282" s="103"/>
      <c r="C1282" s="109"/>
      <c r="D1282" s="103"/>
      <c r="E1282" s="103"/>
      <c r="F1282" s="103"/>
      <c r="G1282" s="103"/>
      <c r="H1282" s="107"/>
      <c r="I1282" s="107"/>
      <c r="J1282" s="107"/>
      <c r="K1282" s="139"/>
    </row>
    <row r="1283" spans="1:11">
      <c r="A1283" s="107"/>
      <c r="B1283" s="103"/>
      <c r="C1283" s="109"/>
      <c r="D1283" s="103"/>
      <c r="E1283" s="103"/>
      <c r="F1283" s="103"/>
      <c r="G1283" s="103"/>
      <c r="H1283" s="107"/>
      <c r="I1283" s="107"/>
      <c r="J1283" s="107"/>
      <c r="K1283" s="139"/>
    </row>
    <row r="1284" spans="1:11">
      <c r="A1284" s="107"/>
      <c r="B1284" s="103"/>
      <c r="C1284" s="109"/>
      <c r="D1284" s="103"/>
      <c r="E1284" s="103"/>
      <c r="F1284" s="103"/>
      <c r="G1284" s="103"/>
      <c r="H1284" s="107"/>
      <c r="I1284" s="107"/>
      <c r="J1284" s="107"/>
      <c r="K1284" s="139"/>
    </row>
    <row r="1285" spans="1:11">
      <c r="A1285" s="107"/>
      <c r="B1285" s="103"/>
      <c r="C1285" s="109"/>
      <c r="D1285" s="103"/>
      <c r="E1285" s="103"/>
      <c r="F1285" s="103"/>
      <c r="G1285" s="103"/>
      <c r="H1285" s="107"/>
      <c r="I1285" s="107"/>
      <c r="J1285" s="107"/>
      <c r="K1285" s="139"/>
    </row>
    <row r="1286" spans="1:11">
      <c r="A1286" s="107"/>
      <c r="B1286" s="103"/>
      <c r="C1286" s="109"/>
      <c r="D1286" s="103"/>
      <c r="E1286" s="103"/>
      <c r="F1286" s="103"/>
      <c r="G1286" s="103"/>
      <c r="H1286" s="107"/>
      <c r="I1286" s="107"/>
      <c r="J1286" s="107"/>
      <c r="K1286" s="139"/>
    </row>
    <row r="1287" spans="1:11">
      <c r="A1287" s="107"/>
      <c r="B1287" s="103"/>
      <c r="C1287" s="109"/>
      <c r="D1287" s="103"/>
      <c r="E1287" s="103"/>
      <c r="F1287" s="103"/>
      <c r="G1287" s="103"/>
      <c r="H1287" s="107"/>
      <c r="I1287" s="107"/>
      <c r="J1287" s="107"/>
      <c r="K1287" s="139"/>
    </row>
    <row r="1288" spans="1:11">
      <c r="A1288" s="107"/>
      <c r="B1288" s="103"/>
      <c r="C1288" s="109"/>
      <c r="D1288" s="103"/>
      <c r="E1288" s="103"/>
      <c r="F1288" s="103"/>
      <c r="G1288" s="103"/>
      <c r="H1288" s="107"/>
      <c r="I1288" s="107"/>
      <c r="J1288" s="107"/>
      <c r="K1288" s="139"/>
    </row>
    <row r="1289" spans="1:11">
      <c r="A1289" s="107"/>
      <c r="B1289" s="103"/>
      <c r="C1289" s="109"/>
      <c r="D1289" s="103"/>
      <c r="E1289" s="103"/>
      <c r="F1289" s="103"/>
      <c r="G1289" s="103"/>
      <c r="H1289" s="107"/>
      <c r="I1289" s="107"/>
      <c r="J1289" s="107"/>
      <c r="K1289" s="139"/>
    </row>
    <row r="1290" spans="1:11">
      <c r="A1290" s="107"/>
      <c r="B1290" s="103"/>
      <c r="C1290" s="109"/>
      <c r="D1290" s="103"/>
      <c r="E1290" s="103"/>
      <c r="F1290" s="103"/>
      <c r="G1290" s="103"/>
      <c r="H1290" s="107"/>
      <c r="I1290" s="107"/>
      <c r="J1290" s="107"/>
      <c r="K1290" s="139"/>
    </row>
    <row r="1291" spans="1:11">
      <c r="A1291" s="107"/>
      <c r="B1291" s="103"/>
      <c r="C1291" s="109"/>
      <c r="D1291" s="103"/>
      <c r="E1291" s="103"/>
      <c r="F1291" s="103"/>
      <c r="G1291" s="103"/>
      <c r="H1291" s="107"/>
      <c r="I1291" s="107"/>
      <c r="J1291" s="107"/>
      <c r="K1291" s="139"/>
    </row>
    <row r="1292" spans="1:11">
      <c r="A1292" s="107"/>
      <c r="B1292" s="103"/>
      <c r="C1292" s="109"/>
      <c r="D1292" s="103"/>
      <c r="E1292" s="103"/>
      <c r="F1292" s="103"/>
      <c r="G1292" s="103"/>
      <c r="H1292" s="107"/>
      <c r="I1292" s="107"/>
      <c r="J1292" s="107"/>
      <c r="K1292" s="139"/>
    </row>
    <row r="1293" spans="1:11">
      <c r="A1293" s="107"/>
      <c r="B1293" s="103"/>
      <c r="C1293" s="109"/>
      <c r="D1293" s="103"/>
      <c r="E1293" s="103"/>
      <c r="F1293" s="103"/>
      <c r="G1293" s="103"/>
      <c r="H1293" s="107"/>
      <c r="I1293" s="107"/>
      <c r="J1293" s="107"/>
      <c r="K1293" s="139"/>
    </row>
    <row r="1294" spans="1:11">
      <c r="A1294" s="107"/>
      <c r="B1294" s="103"/>
      <c r="C1294" s="109"/>
      <c r="D1294" s="103"/>
      <c r="E1294" s="103"/>
      <c r="F1294" s="103"/>
      <c r="G1294" s="103"/>
      <c r="H1294" s="107"/>
      <c r="I1294" s="107"/>
      <c r="J1294" s="107"/>
      <c r="K1294" s="139"/>
    </row>
    <row r="1295" spans="1:11">
      <c r="A1295" s="107"/>
      <c r="B1295" s="103"/>
      <c r="C1295" s="109"/>
      <c r="D1295" s="103"/>
      <c r="E1295" s="103"/>
      <c r="F1295" s="103"/>
      <c r="G1295" s="103"/>
      <c r="H1295" s="107"/>
      <c r="I1295" s="107"/>
      <c r="J1295" s="107"/>
      <c r="K1295" s="139"/>
    </row>
    <row r="1296" spans="1:11">
      <c r="A1296" s="107"/>
      <c r="B1296" s="103"/>
      <c r="C1296" s="109"/>
      <c r="D1296" s="103"/>
      <c r="E1296" s="103"/>
      <c r="F1296" s="103"/>
      <c r="G1296" s="103"/>
      <c r="H1296" s="107"/>
      <c r="I1296" s="107"/>
      <c r="J1296" s="107"/>
      <c r="K1296" s="139"/>
    </row>
    <row r="1297" spans="1:11">
      <c r="A1297" s="107"/>
      <c r="B1297" s="103"/>
      <c r="C1297" s="109"/>
      <c r="D1297" s="103"/>
      <c r="E1297" s="103"/>
      <c r="F1297" s="103"/>
      <c r="G1297" s="103"/>
      <c r="H1297" s="107"/>
      <c r="I1297" s="107"/>
      <c r="J1297" s="107"/>
      <c r="K1297" s="139"/>
    </row>
    <row r="1298" spans="1:11">
      <c r="A1298" s="107"/>
      <c r="B1298" s="103"/>
      <c r="C1298" s="109"/>
      <c r="D1298" s="103"/>
      <c r="E1298" s="103"/>
      <c r="F1298" s="103"/>
      <c r="G1298" s="103"/>
      <c r="H1298" s="107"/>
      <c r="I1298" s="107"/>
      <c r="J1298" s="107"/>
      <c r="K1298" s="139"/>
    </row>
    <row r="1299" spans="1:11">
      <c r="A1299" s="107"/>
      <c r="B1299" s="103"/>
      <c r="C1299" s="109"/>
      <c r="D1299" s="103"/>
      <c r="E1299" s="103"/>
      <c r="F1299" s="103"/>
      <c r="G1299" s="103"/>
      <c r="H1299" s="107"/>
      <c r="I1299" s="107"/>
      <c r="J1299" s="107"/>
      <c r="K1299" s="139"/>
    </row>
    <row r="1300" spans="1:11">
      <c r="A1300" s="107"/>
      <c r="B1300" s="103"/>
      <c r="C1300" s="109"/>
      <c r="D1300" s="103"/>
      <c r="E1300" s="103"/>
      <c r="F1300" s="103"/>
      <c r="G1300" s="103"/>
      <c r="H1300" s="107"/>
      <c r="I1300" s="107"/>
      <c r="J1300" s="107"/>
      <c r="K1300" s="139"/>
    </row>
    <row r="1301" spans="1:11">
      <c r="A1301" s="107"/>
      <c r="B1301" s="103"/>
      <c r="C1301" s="109"/>
      <c r="D1301" s="103"/>
      <c r="E1301" s="103"/>
      <c r="F1301" s="103"/>
      <c r="G1301" s="103"/>
      <c r="H1301" s="107"/>
      <c r="I1301" s="107"/>
      <c r="J1301" s="107"/>
      <c r="K1301" s="139"/>
    </row>
    <row r="1302" spans="1:11">
      <c r="A1302" s="107"/>
      <c r="B1302" s="103"/>
      <c r="C1302" s="109"/>
      <c r="D1302" s="103"/>
      <c r="E1302" s="103"/>
      <c r="F1302" s="103"/>
      <c r="G1302" s="103"/>
      <c r="H1302" s="107"/>
      <c r="I1302" s="107"/>
      <c r="J1302" s="107"/>
      <c r="K1302" s="139"/>
    </row>
    <row r="1303" spans="1:11">
      <c r="A1303" s="107"/>
      <c r="B1303" s="103"/>
      <c r="C1303" s="109"/>
      <c r="D1303" s="103"/>
      <c r="E1303" s="103"/>
      <c r="F1303" s="103"/>
      <c r="G1303" s="103"/>
      <c r="H1303" s="107"/>
      <c r="I1303" s="107"/>
      <c r="J1303" s="107"/>
      <c r="K1303" s="139"/>
    </row>
    <row r="1304" spans="1:11">
      <c r="A1304" s="107"/>
      <c r="B1304" s="103"/>
      <c r="C1304" s="109"/>
      <c r="D1304" s="103"/>
      <c r="E1304" s="103"/>
      <c r="F1304" s="103"/>
      <c r="G1304" s="103"/>
      <c r="H1304" s="107"/>
      <c r="I1304" s="107"/>
      <c r="J1304" s="107"/>
      <c r="K1304" s="139"/>
    </row>
    <row r="1305" spans="1:11">
      <c r="A1305" s="107"/>
      <c r="B1305" s="103"/>
      <c r="C1305" s="109"/>
      <c r="D1305" s="103"/>
      <c r="E1305" s="103"/>
      <c r="F1305" s="103"/>
      <c r="G1305" s="103"/>
      <c r="H1305" s="107"/>
      <c r="I1305" s="107"/>
      <c r="J1305" s="107"/>
      <c r="K1305" s="139"/>
    </row>
    <row r="1306" spans="1:11">
      <c r="A1306" s="107"/>
      <c r="B1306" s="103"/>
      <c r="C1306" s="109"/>
      <c r="D1306" s="103"/>
      <c r="E1306" s="103"/>
      <c r="F1306" s="103"/>
      <c r="G1306" s="103"/>
      <c r="H1306" s="107"/>
      <c r="I1306" s="107"/>
      <c r="J1306" s="107"/>
      <c r="K1306" s="139"/>
    </row>
    <row r="1307" spans="1:11">
      <c r="A1307" s="107"/>
      <c r="B1307" s="103"/>
      <c r="C1307" s="109"/>
      <c r="D1307" s="103"/>
      <c r="E1307" s="103"/>
      <c r="F1307" s="103"/>
      <c r="G1307" s="103"/>
      <c r="H1307" s="107"/>
      <c r="I1307" s="107"/>
      <c r="J1307" s="107"/>
      <c r="K1307" s="139"/>
    </row>
    <row r="1308" spans="1:11">
      <c r="A1308" s="107"/>
      <c r="B1308" s="103"/>
      <c r="C1308" s="109"/>
      <c r="D1308" s="103"/>
      <c r="E1308" s="103"/>
      <c r="F1308" s="103"/>
      <c r="G1308" s="103"/>
      <c r="H1308" s="107"/>
      <c r="I1308" s="107"/>
      <c r="J1308" s="107"/>
      <c r="K1308" s="139"/>
    </row>
    <row r="1309" spans="1:11">
      <c r="A1309" s="107"/>
      <c r="B1309" s="103"/>
      <c r="C1309" s="109"/>
      <c r="D1309" s="103"/>
      <c r="E1309" s="103"/>
      <c r="F1309" s="103"/>
      <c r="G1309" s="103"/>
      <c r="H1309" s="107"/>
      <c r="I1309" s="107"/>
      <c r="J1309" s="107"/>
      <c r="K1309" s="139"/>
    </row>
    <row r="1310" spans="1:11">
      <c r="A1310" s="107"/>
      <c r="B1310" s="103"/>
      <c r="C1310" s="109"/>
      <c r="D1310" s="103"/>
      <c r="E1310" s="103"/>
      <c r="F1310" s="103"/>
      <c r="G1310" s="103"/>
      <c r="H1310" s="107"/>
      <c r="I1310" s="107"/>
      <c r="J1310" s="107"/>
      <c r="K1310" s="139"/>
    </row>
    <row r="1311" spans="1:11">
      <c r="A1311" s="107"/>
      <c r="B1311" s="103"/>
      <c r="C1311" s="109"/>
      <c r="D1311" s="103"/>
      <c r="E1311" s="103"/>
      <c r="F1311" s="103"/>
      <c r="G1311" s="103"/>
      <c r="H1311" s="107"/>
      <c r="I1311" s="107"/>
      <c r="J1311" s="107"/>
      <c r="K1311" s="139"/>
    </row>
    <row r="1312" spans="1:11">
      <c r="A1312" s="107"/>
      <c r="B1312" s="103"/>
      <c r="C1312" s="109"/>
      <c r="D1312" s="103"/>
      <c r="E1312" s="103"/>
      <c r="F1312" s="103"/>
      <c r="G1312" s="103"/>
      <c r="H1312" s="107"/>
      <c r="I1312" s="107"/>
      <c r="J1312" s="107"/>
      <c r="K1312" s="139"/>
    </row>
    <row r="1313" spans="1:11">
      <c r="A1313" s="107"/>
      <c r="B1313" s="103"/>
      <c r="C1313" s="109"/>
      <c r="D1313" s="103"/>
      <c r="E1313" s="103"/>
      <c r="F1313" s="103"/>
      <c r="G1313" s="103"/>
      <c r="H1313" s="107"/>
      <c r="I1313" s="107"/>
      <c r="J1313" s="107"/>
      <c r="K1313" s="139"/>
    </row>
    <row r="1314" spans="1:11">
      <c r="A1314" s="107"/>
      <c r="B1314" s="103"/>
      <c r="C1314" s="109"/>
      <c r="D1314" s="103"/>
      <c r="E1314" s="103"/>
      <c r="F1314" s="103"/>
      <c r="G1314" s="103"/>
      <c r="H1314" s="107"/>
      <c r="I1314" s="107"/>
      <c r="J1314" s="107"/>
      <c r="K1314" s="139"/>
    </row>
    <row r="1315" spans="1:11">
      <c r="A1315" s="107"/>
      <c r="B1315" s="103"/>
      <c r="C1315" s="109"/>
      <c r="D1315" s="103"/>
      <c r="E1315" s="103"/>
      <c r="F1315" s="103"/>
      <c r="G1315" s="103"/>
      <c r="H1315" s="107"/>
      <c r="I1315" s="107"/>
      <c r="J1315" s="107"/>
      <c r="K1315" s="139"/>
    </row>
    <row r="1316" spans="1:11">
      <c r="A1316" s="107"/>
      <c r="B1316" s="103"/>
      <c r="C1316" s="109"/>
      <c r="D1316" s="103"/>
      <c r="E1316" s="103"/>
      <c r="F1316" s="103"/>
      <c r="G1316" s="103"/>
      <c r="H1316" s="107"/>
      <c r="I1316" s="107"/>
      <c r="J1316" s="107"/>
      <c r="K1316" s="139"/>
    </row>
    <row r="1317" spans="1:11">
      <c r="A1317" s="107"/>
      <c r="B1317" s="103"/>
      <c r="C1317" s="109"/>
      <c r="D1317" s="103"/>
      <c r="E1317" s="103"/>
      <c r="F1317" s="103"/>
      <c r="G1317" s="103"/>
      <c r="H1317" s="107"/>
      <c r="I1317" s="107"/>
      <c r="J1317" s="107"/>
      <c r="K1317" s="139"/>
    </row>
    <row r="1318" spans="1:11">
      <c r="A1318" s="107"/>
      <c r="B1318" s="103"/>
      <c r="C1318" s="109"/>
      <c r="D1318" s="103"/>
      <c r="E1318" s="103"/>
      <c r="F1318" s="103"/>
      <c r="G1318" s="103"/>
      <c r="H1318" s="107"/>
      <c r="I1318" s="107"/>
      <c r="J1318" s="107"/>
      <c r="K1318" s="139"/>
    </row>
    <row r="1319" spans="1:11">
      <c r="A1319" s="107"/>
      <c r="B1319" s="103"/>
      <c r="C1319" s="109"/>
      <c r="D1319" s="103"/>
      <c r="E1319" s="103"/>
      <c r="F1319" s="103"/>
      <c r="G1319" s="103"/>
      <c r="H1319" s="107"/>
      <c r="I1319" s="107"/>
      <c r="J1319" s="107"/>
      <c r="K1319" s="139"/>
    </row>
    <row r="1320" spans="1:11">
      <c r="A1320" s="107"/>
      <c r="B1320" s="103"/>
      <c r="C1320" s="109"/>
      <c r="D1320" s="103"/>
      <c r="E1320" s="103"/>
      <c r="F1320" s="103"/>
      <c r="G1320" s="103"/>
      <c r="H1320" s="107"/>
      <c r="I1320" s="107"/>
      <c r="J1320" s="107"/>
      <c r="K1320" s="139"/>
    </row>
    <row r="1321" spans="1:11">
      <c r="A1321" s="107"/>
      <c r="B1321" s="103"/>
      <c r="C1321" s="109"/>
      <c r="D1321" s="103"/>
      <c r="E1321" s="103"/>
      <c r="F1321" s="103"/>
      <c r="G1321" s="103"/>
      <c r="H1321" s="107"/>
      <c r="I1321" s="107"/>
      <c r="J1321" s="107"/>
      <c r="K1321" s="139"/>
    </row>
    <row r="1322" spans="1:11">
      <c r="A1322" s="107"/>
      <c r="B1322" s="103"/>
      <c r="C1322" s="109"/>
      <c r="D1322" s="103"/>
      <c r="E1322" s="103"/>
      <c r="F1322" s="103"/>
      <c r="G1322" s="103"/>
      <c r="H1322" s="107"/>
      <c r="I1322" s="107"/>
      <c r="J1322" s="107"/>
      <c r="K1322" s="139"/>
    </row>
    <row r="1323" spans="1:11">
      <c r="A1323" s="107"/>
      <c r="B1323" s="103"/>
      <c r="C1323" s="109"/>
      <c r="D1323" s="103"/>
      <c r="E1323" s="103"/>
      <c r="F1323" s="103"/>
      <c r="G1323" s="103"/>
      <c r="H1323" s="107"/>
      <c r="I1323" s="107"/>
      <c r="J1323" s="107"/>
      <c r="K1323" s="139"/>
    </row>
    <row r="1324" spans="1:11">
      <c r="A1324" s="107"/>
      <c r="B1324" s="103"/>
      <c r="C1324" s="109"/>
      <c r="D1324" s="103"/>
      <c r="E1324" s="103"/>
      <c r="F1324" s="103"/>
      <c r="G1324" s="103"/>
      <c r="H1324" s="107"/>
      <c r="I1324" s="107"/>
      <c r="J1324" s="107"/>
      <c r="K1324" s="139"/>
    </row>
    <row r="1325" spans="1:11">
      <c r="A1325" s="107"/>
      <c r="B1325" s="103"/>
      <c r="C1325" s="109"/>
      <c r="D1325" s="103"/>
      <c r="E1325" s="103"/>
      <c r="F1325" s="103"/>
      <c r="G1325" s="103"/>
      <c r="H1325" s="107"/>
      <c r="I1325" s="107"/>
      <c r="J1325" s="107"/>
      <c r="K1325" s="139"/>
    </row>
    <row r="1326" spans="1:11">
      <c r="A1326" s="107"/>
      <c r="B1326" s="103"/>
      <c r="C1326" s="109"/>
      <c r="D1326" s="103"/>
      <c r="E1326" s="103"/>
      <c r="F1326" s="103"/>
      <c r="G1326" s="103"/>
      <c r="H1326" s="107"/>
      <c r="I1326" s="107"/>
      <c r="J1326" s="107"/>
      <c r="K1326" s="139"/>
    </row>
    <row r="1327" spans="1:11">
      <c r="A1327" s="107"/>
      <c r="B1327" s="103"/>
      <c r="C1327" s="109"/>
      <c r="D1327" s="103"/>
      <c r="E1327" s="103"/>
      <c r="F1327" s="103"/>
      <c r="G1327" s="103"/>
      <c r="H1327" s="107"/>
      <c r="I1327" s="107"/>
      <c r="J1327" s="107"/>
      <c r="K1327" s="139"/>
    </row>
    <row r="1328" spans="1:11">
      <c r="A1328" s="107"/>
      <c r="B1328" s="103"/>
      <c r="C1328" s="109"/>
      <c r="D1328" s="103"/>
      <c r="E1328" s="103"/>
      <c r="F1328" s="103"/>
      <c r="G1328" s="103"/>
      <c r="H1328" s="107"/>
      <c r="I1328" s="107"/>
      <c r="J1328" s="107"/>
      <c r="K1328" s="139"/>
    </row>
    <row r="1329" spans="1:11">
      <c r="A1329" s="107"/>
      <c r="B1329" s="103"/>
      <c r="C1329" s="109"/>
      <c r="D1329" s="103"/>
      <c r="E1329" s="103"/>
      <c r="F1329" s="103"/>
      <c r="G1329" s="103"/>
      <c r="H1329" s="107"/>
      <c r="I1329" s="107"/>
      <c r="J1329" s="107"/>
      <c r="K1329" s="139"/>
    </row>
    <row r="1330" spans="1:11">
      <c r="A1330" s="107"/>
      <c r="B1330" s="103"/>
      <c r="C1330" s="109"/>
      <c r="D1330" s="103"/>
      <c r="E1330" s="103"/>
      <c r="F1330" s="103"/>
      <c r="G1330" s="103"/>
      <c r="H1330" s="107"/>
      <c r="I1330" s="107"/>
      <c r="J1330" s="107"/>
      <c r="K1330" s="139"/>
    </row>
    <row r="1331" spans="1:11">
      <c r="A1331" s="107"/>
      <c r="B1331" s="103"/>
      <c r="C1331" s="109"/>
      <c r="D1331" s="103"/>
      <c r="E1331" s="103"/>
      <c r="F1331" s="103"/>
      <c r="G1331" s="103"/>
      <c r="H1331" s="107"/>
      <c r="I1331" s="107"/>
      <c r="J1331" s="107"/>
      <c r="K1331" s="139"/>
    </row>
    <row r="1332" spans="1:11">
      <c r="A1332" s="107"/>
      <c r="B1332" s="103"/>
      <c r="C1332" s="109"/>
      <c r="D1332" s="103"/>
      <c r="E1332" s="103"/>
      <c r="F1332" s="103"/>
      <c r="G1332" s="103"/>
      <c r="H1332" s="107"/>
      <c r="I1332" s="107"/>
      <c r="J1332" s="107"/>
      <c r="K1332" s="139"/>
    </row>
    <row r="1333" spans="1:11">
      <c r="A1333" s="107"/>
      <c r="B1333" s="103"/>
      <c r="C1333" s="109"/>
      <c r="D1333" s="103"/>
      <c r="E1333" s="103"/>
      <c r="F1333" s="103"/>
      <c r="G1333" s="103"/>
      <c r="H1333" s="107"/>
      <c r="I1333" s="107"/>
      <c r="J1333" s="107"/>
      <c r="K1333" s="139"/>
    </row>
    <row r="1334" spans="1:11">
      <c r="A1334" s="107"/>
      <c r="B1334" s="103"/>
      <c r="C1334" s="109"/>
      <c r="D1334" s="103"/>
      <c r="E1334" s="103"/>
      <c r="F1334" s="103"/>
      <c r="G1334" s="103"/>
      <c r="H1334" s="107"/>
      <c r="I1334" s="107"/>
      <c r="J1334" s="107"/>
      <c r="K1334" s="139"/>
    </row>
    <row r="1335" spans="1:11">
      <c r="A1335" s="107"/>
      <c r="B1335" s="103"/>
      <c r="C1335" s="109"/>
      <c r="D1335" s="103"/>
      <c r="E1335" s="103"/>
      <c r="F1335" s="103"/>
      <c r="G1335" s="103"/>
      <c r="H1335" s="107"/>
      <c r="I1335" s="107"/>
      <c r="J1335" s="107"/>
      <c r="K1335" s="139"/>
    </row>
    <row r="1336" spans="1:11">
      <c r="A1336" s="107"/>
      <c r="B1336" s="103"/>
      <c r="C1336" s="109"/>
      <c r="D1336" s="103"/>
      <c r="E1336" s="103"/>
      <c r="F1336" s="103"/>
      <c r="G1336" s="103"/>
      <c r="H1336" s="107"/>
      <c r="I1336" s="107"/>
      <c r="J1336" s="107"/>
      <c r="K1336" s="139"/>
    </row>
    <row r="1337" spans="1:11">
      <c r="A1337" s="107"/>
      <c r="B1337" s="103"/>
      <c r="C1337" s="109"/>
      <c r="D1337" s="103"/>
      <c r="E1337" s="103"/>
      <c r="F1337" s="103"/>
      <c r="G1337" s="103"/>
      <c r="H1337" s="107"/>
      <c r="I1337" s="107"/>
      <c r="J1337" s="107"/>
      <c r="K1337" s="139"/>
    </row>
    <row r="1338" spans="1:11">
      <c r="A1338" s="107"/>
      <c r="B1338" s="103"/>
      <c r="C1338" s="109"/>
      <c r="D1338" s="103"/>
      <c r="E1338" s="103"/>
      <c r="F1338" s="103"/>
      <c r="G1338" s="103"/>
      <c r="H1338" s="107"/>
      <c r="I1338" s="107"/>
      <c r="J1338" s="107"/>
      <c r="K1338" s="139"/>
    </row>
    <row r="1339" spans="1:11">
      <c r="A1339" s="107"/>
      <c r="B1339" s="103"/>
      <c r="C1339" s="109"/>
      <c r="D1339" s="103"/>
      <c r="E1339" s="103"/>
      <c r="F1339" s="103"/>
      <c r="G1339" s="103"/>
      <c r="H1339" s="107"/>
      <c r="I1339" s="107"/>
      <c r="J1339" s="107"/>
      <c r="K1339" s="139"/>
    </row>
    <row r="1340" spans="1:11">
      <c r="A1340" s="107"/>
      <c r="B1340" s="103"/>
      <c r="C1340" s="109"/>
      <c r="D1340" s="103"/>
      <c r="E1340" s="103"/>
      <c r="F1340" s="103"/>
      <c r="G1340" s="103"/>
      <c r="H1340" s="107"/>
      <c r="I1340" s="107"/>
      <c r="J1340" s="107"/>
      <c r="K1340" s="139"/>
    </row>
    <row r="1341" spans="1:11">
      <c r="A1341" s="107"/>
      <c r="B1341" s="103"/>
      <c r="C1341" s="109"/>
      <c r="D1341" s="103"/>
      <c r="E1341" s="103"/>
      <c r="F1341" s="103"/>
      <c r="G1341" s="103"/>
      <c r="H1341" s="107"/>
      <c r="I1341" s="107"/>
      <c r="J1341" s="107"/>
      <c r="K1341" s="139"/>
    </row>
    <row r="1342" spans="1:11">
      <c r="A1342" s="107"/>
      <c r="B1342" s="103"/>
      <c r="C1342" s="109"/>
      <c r="D1342" s="103"/>
      <c r="E1342" s="103"/>
      <c r="F1342" s="103"/>
      <c r="G1342" s="103"/>
      <c r="H1342" s="107"/>
      <c r="I1342" s="107"/>
      <c r="J1342" s="107"/>
      <c r="K1342" s="139"/>
    </row>
    <row r="1343" spans="1:11">
      <c r="A1343" s="107"/>
      <c r="B1343" s="103"/>
      <c r="C1343" s="109"/>
      <c r="D1343" s="103"/>
      <c r="E1343" s="103"/>
      <c r="F1343" s="103"/>
      <c r="G1343" s="103"/>
      <c r="H1343" s="107"/>
      <c r="I1343" s="107"/>
      <c r="J1343" s="107"/>
      <c r="K1343" s="139"/>
    </row>
    <row r="1344" spans="1:11">
      <c r="A1344" s="107"/>
      <c r="B1344" s="103"/>
      <c r="C1344" s="109"/>
      <c r="D1344" s="103"/>
      <c r="E1344" s="103"/>
      <c r="F1344" s="103"/>
      <c r="G1344" s="103"/>
      <c r="H1344" s="107"/>
      <c r="I1344" s="107"/>
      <c r="J1344" s="107"/>
      <c r="K1344" s="139"/>
    </row>
    <row r="1345" spans="1:11">
      <c r="A1345" s="107"/>
      <c r="B1345" s="103"/>
      <c r="C1345" s="109"/>
      <c r="D1345" s="103"/>
      <c r="E1345" s="103"/>
      <c r="F1345" s="103"/>
      <c r="G1345" s="103"/>
      <c r="H1345" s="107"/>
      <c r="I1345" s="107"/>
      <c r="J1345" s="107"/>
      <c r="K1345" s="139"/>
    </row>
    <row r="1346" spans="1:11">
      <c r="A1346" s="107"/>
      <c r="B1346" s="103"/>
      <c r="C1346" s="109"/>
      <c r="D1346" s="103"/>
      <c r="E1346" s="103"/>
      <c r="F1346" s="103"/>
      <c r="G1346" s="103"/>
      <c r="H1346" s="107"/>
      <c r="I1346" s="107"/>
      <c r="J1346" s="107"/>
      <c r="K1346" s="139"/>
    </row>
    <row r="1347" spans="1:11">
      <c r="A1347" s="107"/>
      <c r="B1347" s="103"/>
      <c r="C1347" s="109"/>
      <c r="D1347" s="103"/>
      <c r="E1347" s="103"/>
      <c r="F1347" s="103"/>
      <c r="G1347" s="103"/>
      <c r="H1347" s="107"/>
      <c r="I1347" s="107"/>
      <c r="J1347" s="107"/>
      <c r="K1347" s="139"/>
    </row>
    <row r="1348" spans="1:11">
      <c r="A1348" s="107"/>
      <c r="B1348" s="103"/>
      <c r="C1348" s="109"/>
      <c r="D1348" s="103"/>
      <c r="E1348" s="103"/>
      <c r="F1348" s="103"/>
      <c r="G1348" s="103"/>
      <c r="H1348" s="107"/>
      <c r="I1348" s="107"/>
      <c r="J1348" s="107"/>
      <c r="K1348" s="139"/>
    </row>
    <row r="1349" spans="1:11">
      <c r="A1349" s="107"/>
      <c r="B1349" s="103"/>
      <c r="C1349" s="109"/>
      <c r="D1349" s="103"/>
      <c r="E1349" s="103"/>
      <c r="F1349" s="103"/>
      <c r="G1349" s="103"/>
      <c r="H1349" s="107"/>
      <c r="I1349" s="107"/>
      <c r="J1349" s="107"/>
      <c r="K1349" s="139"/>
    </row>
    <row r="1350" spans="1:11">
      <c r="A1350" s="107"/>
      <c r="B1350" s="103"/>
      <c r="C1350" s="109"/>
      <c r="D1350" s="103"/>
      <c r="E1350" s="103"/>
      <c r="F1350" s="103"/>
      <c r="G1350" s="103"/>
      <c r="H1350" s="107"/>
      <c r="I1350" s="107"/>
      <c r="J1350" s="107"/>
      <c r="K1350" s="139"/>
    </row>
    <row r="1351" spans="1:11">
      <c r="A1351" s="107"/>
      <c r="B1351" s="103"/>
      <c r="C1351" s="109"/>
      <c r="D1351" s="103"/>
      <c r="E1351" s="103"/>
      <c r="F1351" s="103"/>
      <c r="G1351" s="103"/>
      <c r="H1351" s="107"/>
      <c r="I1351" s="107"/>
      <c r="J1351" s="107"/>
      <c r="K1351" s="139"/>
    </row>
    <row r="1352" spans="1:11">
      <c r="A1352" s="107"/>
      <c r="B1352" s="103"/>
      <c r="C1352" s="109"/>
      <c r="D1352" s="103"/>
      <c r="E1352" s="103"/>
      <c r="F1352" s="103"/>
      <c r="G1352" s="103"/>
      <c r="H1352" s="107"/>
      <c r="I1352" s="107"/>
      <c r="J1352" s="107"/>
      <c r="K1352" s="139"/>
    </row>
    <row r="1353" spans="1:11">
      <c r="A1353" s="107"/>
      <c r="B1353" s="103"/>
      <c r="C1353" s="109"/>
      <c r="D1353" s="103"/>
      <c r="E1353" s="103"/>
      <c r="F1353" s="103"/>
      <c r="G1353" s="103"/>
      <c r="H1353" s="107"/>
      <c r="I1353" s="107"/>
      <c r="J1353" s="107"/>
      <c r="K1353" s="139"/>
    </row>
    <row r="1354" spans="1:11">
      <c r="A1354" s="107"/>
      <c r="B1354" s="103"/>
      <c r="C1354" s="109"/>
      <c r="D1354" s="103"/>
      <c r="E1354" s="103"/>
      <c r="F1354" s="103"/>
      <c r="G1354" s="103"/>
      <c r="H1354" s="107"/>
      <c r="I1354" s="107"/>
      <c r="J1354" s="107"/>
      <c r="K1354" s="139"/>
    </row>
    <row r="1355" spans="1:11">
      <c r="A1355" s="107"/>
      <c r="B1355" s="103"/>
      <c r="C1355" s="109"/>
      <c r="D1355" s="103"/>
      <c r="E1355" s="103"/>
      <c r="F1355" s="103"/>
      <c r="G1355" s="103"/>
      <c r="H1355" s="107"/>
      <c r="I1355" s="107"/>
      <c r="J1355" s="107"/>
      <c r="K1355" s="139"/>
    </row>
    <row r="1356" spans="1:11">
      <c r="A1356" s="107"/>
      <c r="B1356" s="103"/>
      <c r="C1356" s="109"/>
      <c r="D1356" s="103"/>
      <c r="E1356" s="103"/>
      <c r="F1356" s="103"/>
      <c r="G1356" s="103"/>
      <c r="H1356" s="107"/>
      <c r="I1356" s="107"/>
      <c r="J1356" s="107"/>
      <c r="K1356" s="139"/>
    </row>
    <row r="1357" spans="1:11">
      <c r="A1357" s="107"/>
      <c r="B1357" s="103"/>
      <c r="C1357" s="109"/>
      <c r="D1357" s="103"/>
      <c r="E1357" s="103"/>
      <c r="F1357" s="103"/>
      <c r="G1357" s="103"/>
      <c r="H1357" s="107"/>
      <c r="I1357" s="107"/>
      <c r="J1357" s="107"/>
      <c r="K1357" s="139"/>
    </row>
    <row r="1358" spans="1:11">
      <c r="A1358" s="107"/>
      <c r="B1358" s="103"/>
      <c r="C1358" s="109"/>
      <c r="D1358" s="103"/>
      <c r="E1358" s="103"/>
      <c r="F1358" s="103"/>
      <c r="G1358" s="103"/>
      <c r="H1358" s="107"/>
      <c r="I1358" s="107"/>
      <c r="J1358" s="107"/>
      <c r="K1358" s="139"/>
    </row>
    <row r="1359" spans="1:11">
      <c r="A1359" s="107"/>
      <c r="B1359" s="103"/>
      <c r="C1359" s="109"/>
      <c r="D1359" s="103"/>
      <c r="E1359" s="103"/>
      <c r="F1359" s="103"/>
      <c r="G1359" s="103"/>
      <c r="H1359" s="107"/>
      <c r="I1359" s="107"/>
      <c r="J1359" s="107"/>
      <c r="K1359" s="139"/>
    </row>
    <row r="1360" spans="1:11">
      <c r="A1360" s="107"/>
      <c r="B1360" s="103"/>
      <c r="C1360" s="109"/>
      <c r="D1360" s="103"/>
      <c r="E1360" s="103"/>
      <c r="F1360" s="103"/>
      <c r="G1360" s="103"/>
      <c r="H1360" s="107"/>
      <c r="I1360" s="107"/>
      <c r="J1360" s="107"/>
      <c r="K1360" s="139"/>
    </row>
    <row r="1361" spans="1:11">
      <c r="A1361" s="107"/>
      <c r="B1361" s="103"/>
      <c r="C1361" s="109"/>
      <c r="D1361" s="103"/>
      <c r="E1361" s="103"/>
      <c r="F1361" s="103"/>
      <c r="G1361" s="103"/>
      <c r="H1361" s="107"/>
      <c r="I1361" s="107"/>
      <c r="J1361" s="107"/>
      <c r="K1361" s="139"/>
    </row>
    <row r="1362" spans="1:11">
      <c r="A1362" s="107"/>
      <c r="B1362" s="103"/>
      <c r="C1362" s="109"/>
      <c r="D1362" s="103"/>
      <c r="E1362" s="103"/>
      <c r="F1362" s="103"/>
      <c r="G1362" s="103"/>
      <c r="H1362" s="107"/>
      <c r="I1362" s="107"/>
      <c r="J1362" s="107"/>
      <c r="K1362" s="139"/>
    </row>
    <row r="1363" spans="1:11">
      <c r="A1363" s="107"/>
      <c r="B1363" s="103"/>
      <c r="C1363" s="109"/>
      <c r="D1363" s="103"/>
      <c r="E1363" s="103"/>
      <c r="F1363" s="103"/>
      <c r="G1363" s="103"/>
      <c r="H1363" s="107"/>
      <c r="I1363" s="107"/>
      <c r="J1363" s="107"/>
      <c r="K1363" s="139"/>
    </row>
    <row r="1364" spans="1:11">
      <c r="A1364" s="107"/>
      <c r="B1364" s="103"/>
      <c r="C1364" s="109"/>
      <c r="D1364" s="103"/>
      <c r="E1364" s="103"/>
      <c r="F1364" s="103"/>
      <c r="G1364" s="103"/>
      <c r="H1364" s="107"/>
      <c r="I1364" s="107"/>
      <c r="J1364" s="107"/>
      <c r="K1364" s="139"/>
    </row>
    <row r="1365" spans="1:11">
      <c r="A1365" s="107"/>
      <c r="B1365" s="103"/>
      <c r="C1365" s="109"/>
      <c r="D1365" s="103"/>
      <c r="E1365" s="103"/>
      <c r="F1365" s="103"/>
      <c r="G1365" s="103"/>
      <c r="H1365" s="107"/>
      <c r="I1365" s="107"/>
      <c r="J1365" s="107"/>
      <c r="K1365" s="139"/>
    </row>
    <row r="1366" spans="1:11">
      <c r="A1366" s="107"/>
      <c r="B1366" s="103"/>
      <c r="C1366" s="109"/>
      <c r="D1366" s="103"/>
      <c r="E1366" s="103"/>
      <c r="F1366" s="103"/>
      <c r="G1366" s="103"/>
      <c r="H1366" s="107"/>
      <c r="I1366" s="107"/>
      <c r="J1366" s="107"/>
      <c r="K1366" s="139"/>
    </row>
    <row r="1367" spans="1:11">
      <c r="A1367" s="107"/>
      <c r="B1367" s="103"/>
      <c r="C1367" s="109"/>
      <c r="D1367" s="103"/>
      <c r="E1367" s="103"/>
      <c r="F1367" s="103"/>
      <c r="G1367" s="103"/>
      <c r="H1367" s="107"/>
      <c r="I1367" s="107"/>
      <c r="J1367" s="107"/>
      <c r="K1367" s="139"/>
    </row>
    <row r="1368" spans="1:11">
      <c r="A1368" s="107"/>
      <c r="B1368" s="103"/>
      <c r="C1368" s="109"/>
      <c r="D1368" s="103"/>
      <c r="E1368" s="103"/>
      <c r="F1368" s="103"/>
      <c r="G1368" s="103"/>
      <c r="H1368" s="107"/>
      <c r="I1368" s="107"/>
      <c r="J1368" s="107"/>
      <c r="K1368" s="139"/>
    </row>
    <row r="1369" spans="1:11">
      <c r="A1369" s="107"/>
      <c r="B1369" s="103"/>
      <c r="C1369" s="109"/>
      <c r="D1369" s="103"/>
      <c r="E1369" s="103"/>
      <c r="F1369" s="103"/>
      <c r="G1369" s="103"/>
      <c r="H1369" s="107"/>
      <c r="I1369" s="107"/>
      <c r="J1369" s="107"/>
      <c r="K1369" s="139"/>
    </row>
    <row r="1370" spans="1:11">
      <c r="A1370" s="107"/>
      <c r="B1370" s="103"/>
      <c r="C1370" s="109"/>
      <c r="D1370" s="103"/>
      <c r="E1370" s="103"/>
      <c r="F1370" s="103"/>
      <c r="G1370" s="103"/>
      <c r="H1370" s="107"/>
      <c r="I1370" s="107"/>
      <c r="J1370" s="107"/>
      <c r="K1370" s="139"/>
    </row>
    <row r="1371" spans="1:11">
      <c r="A1371" s="107"/>
      <c r="B1371" s="103"/>
      <c r="C1371" s="109"/>
      <c r="D1371" s="103"/>
      <c r="E1371" s="103"/>
      <c r="F1371" s="103"/>
      <c r="G1371" s="103"/>
      <c r="H1371" s="107"/>
      <c r="I1371" s="107"/>
      <c r="J1371" s="107"/>
      <c r="K1371" s="139"/>
    </row>
    <row r="1372" spans="1:11">
      <c r="A1372" s="107"/>
      <c r="B1372" s="103"/>
      <c r="C1372" s="109"/>
      <c r="D1372" s="103"/>
      <c r="E1372" s="103"/>
      <c r="F1372" s="103"/>
      <c r="G1372" s="103"/>
      <c r="H1372" s="107"/>
      <c r="I1372" s="107"/>
      <c r="J1372" s="107"/>
      <c r="K1372" s="139"/>
    </row>
    <row r="1373" spans="1:11">
      <c r="A1373" s="107"/>
      <c r="B1373" s="103"/>
      <c r="C1373" s="109"/>
      <c r="D1373" s="103"/>
      <c r="E1373" s="103"/>
      <c r="F1373" s="103"/>
      <c r="G1373" s="103"/>
      <c r="H1373" s="107"/>
      <c r="I1373" s="107"/>
      <c r="J1373" s="107"/>
      <c r="K1373" s="139"/>
    </row>
    <row r="1374" spans="1:11">
      <c r="A1374" s="107"/>
      <c r="B1374" s="103"/>
      <c r="C1374" s="109"/>
      <c r="D1374" s="103"/>
      <c r="E1374" s="103"/>
      <c r="F1374" s="103"/>
      <c r="G1374" s="103"/>
      <c r="H1374" s="107"/>
      <c r="I1374" s="107"/>
      <c r="J1374" s="107"/>
      <c r="K1374" s="139"/>
    </row>
    <row r="1375" spans="1:11">
      <c r="A1375" s="107"/>
      <c r="B1375" s="103"/>
      <c r="C1375" s="109"/>
      <c r="D1375" s="103"/>
      <c r="E1375" s="103"/>
      <c r="F1375" s="103"/>
      <c r="G1375" s="103"/>
      <c r="H1375" s="107"/>
      <c r="I1375" s="107"/>
      <c r="J1375" s="107"/>
      <c r="K1375" s="139"/>
    </row>
    <row r="1376" spans="1:11">
      <c r="A1376" s="107"/>
      <c r="B1376" s="103"/>
      <c r="C1376" s="109"/>
      <c r="D1376" s="103"/>
      <c r="E1376" s="103"/>
      <c r="F1376" s="103"/>
      <c r="G1376" s="103"/>
      <c r="H1376" s="107"/>
      <c r="I1376" s="107"/>
      <c r="J1376" s="107"/>
      <c r="K1376" s="139"/>
    </row>
    <row r="1377" spans="1:11">
      <c r="A1377" s="107"/>
      <c r="B1377" s="103"/>
      <c r="C1377" s="109"/>
      <c r="D1377" s="103"/>
      <c r="E1377" s="103"/>
      <c r="F1377" s="103"/>
      <c r="G1377" s="103"/>
      <c r="H1377" s="107"/>
      <c r="I1377" s="107"/>
      <c r="J1377" s="107"/>
      <c r="K1377" s="139"/>
    </row>
    <row r="1378" spans="1:11">
      <c r="A1378" s="107"/>
      <c r="B1378" s="103"/>
      <c r="C1378" s="109"/>
      <c r="D1378" s="103"/>
      <c r="E1378" s="103"/>
      <c r="F1378" s="103"/>
      <c r="G1378" s="103"/>
      <c r="H1378" s="107"/>
      <c r="I1378" s="107"/>
      <c r="J1378" s="107"/>
      <c r="K1378" s="139"/>
    </row>
    <row r="1379" spans="1:11">
      <c r="A1379" s="107"/>
      <c r="B1379" s="103"/>
      <c r="C1379" s="109"/>
      <c r="D1379" s="103"/>
      <c r="E1379" s="103"/>
      <c r="F1379" s="103"/>
      <c r="G1379" s="103"/>
      <c r="H1379" s="107"/>
      <c r="I1379" s="107"/>
      <c r="J1379" s="107"/>
      <c r="K1379" s="139"/>
    </row>
    <row r="1380" spans="1:11">
      <c r="A1380" s="107"/>
      <c r="B1380" s="103"/>
      <c r="C1380" s="109"/>
      <c r="D1380" s="103"/>
      <c r="E1380" s="103"/>
      <c r="F1380" s="103"/>
      <c r="G1380" s="103"/>
      <c r="H1380" s="107"/>
      <c r="I1380" s="107"/>
      <c r="J1380" s="107"/>
      <c r="K1380" s="139"/>
    </row>
    <row r="1381" spans="1:11">
      <c r="A1381" s="107"/>
      <c r="B1381" s="103"/>
      <c r="C1381" s="109"/>
      <c r="D1381" s="103"/>
      <c r="E1381" s="103"/>
      <c r="F1381" s="103"/>
      <c r="G1381" s="103"/>
      <c r="H1381" s="107"/>
      <c r="I1381" s="107"/>
      <c r="J1381" s="107"/>
      <c r="K1381" s="139"/>
    </row>
    <row r="1382" spans="1:11">
      <c r="A1382" s="107"/>
      <c r="B1382" s="103"/>
      <c r="C1382" s="109"/>
      <c r="D1382" s="103"/>
      <c r="E1382" s="103"/>
      <c r="F1382" s="103"/>
      <c r="G1382" s="103"/>
      <c r="H1382" s="107"/>
      <c r="I1382" s="107"/>
      <c r="J1382" s="107"/>
      <c r="K1382" s="139"/>
    </row>
    <row r="1383" spans="1:11">
      <c r="A1383" s="107"/>
      <c r="B1383" s="103"/>
      <c r="C1383" s="109"/>
      <c r="D1383" s="103"/>
      <c r="E1383" s="103"/>
      <c r="F1383" s="103"/>
      <c r="G1383" s="103"/>
      <c r="H1383" s="107"/>
      <c r="I1383" s="107"/>
      <c r="J1383" s="107"/>
      <c r="K1383" s="139"/>
    </row>
    <row r="1384" spans="1:11">
      <c r="A1384" s="107"/>
      <c r="B1384" s="103"/>
      <c r="C1384" s="109"/>
      <c r="D1384" s="103"/>
      <c r="E1384" s="103"/>
      <c r="F1384" s="103"/>
      <c r="G1384" s="103"/>
      <c r="H1384" s="107"/>
      <c r="I1384" s="107"/>
      <c r="J1384" s="107"/>
      <c r="K1384" s="139"/>
    </row>
    <row r="1385" spans="1:11">
      <c r="A1385" s="107"/>
      <c r="B1385" s="103"/>
      <c r="C1385" s="109"/>
      <c r="D1385" s="103"/>
      <c r="E1385" s="103"/>
      <c r="F1385" s="103"/>
      <c r="G1385" s="103"/>
      <c r="H1385" s="107"/>
      <c r="I1385" s="107"/>
      <c r="J1385" s="107"/>
      <c r="K1385" s="139"/>
    </row>
    <row r="1386" spans="1:11">
      <c r="A1386" s="107"/>
      <c r="B1386" s="103"/>
      <c r="C1386" s="109"/>
      <c r="D1386" s="103"/>
      <c r="E1386" s="103"/>
      <c r="F1386" s="103"/>
      <c r="G1386" s="103"/>
      <c r="H1386" s="107"/>
      <c r="I1386" s="107"/>
      <c r="J1386" s="107"/>
      <c r="K1386" s="139"/>
    </row>
    <row r="1387" spans="1:11">
      <c r="A1387" s="107"/>
      <c r="B1387" s="103"/>
      <c r="C1387" s="109"/>
      <c r="D1387" s="103"/>
      <c r="E1387" s="103"/>
      <c r="F1387" s="103"/>
      <c r="G1387" s="103"/>
      <c r="H1387" s="107"/>
      <c r="I1387" s="107"/>
      <c r="J1387" s="107"/>
      <c r="K1387" s="139"/>
    </row>
    <row r="1388" spans="1:11">
      <c r="A1388" s="107"/>
      <c r="B1388" s="103"/>
      <c r="C1388" s="109"/>
      <c r="D1388" s="103"/>
      <c r="E1388" s="103"/>
      <c r="F1388" s="103"/>
      <c r="G1388" s="103"/>
      <c r="H1388" s="107"/>
      <c r="I1388" s="107"/>
      <c r="J1388" s="107"/>
      <c r="K1388" s="139"/>
    </row>
    <row r="1389" spans="1:11">
      <c r="A1389" s="107"/>
      <c r="B1389" s="103"/>
      <c r="C1389" s="109"/>
      <c r="D1389" s="103"/>
      <c r="E1389" s="103"/>
      <c r="F1389" s="103"/>
      <c r="G1389" s="103"/>
      <c r="H1389" s="107"/>
      <c r="I1389" s="107"/>
      <c r="J1389" s="107"/>
      <c r="K1389" s="139"/>
    </row>
    <row r="1390" spans="1:11">
      <c r="A1390" s="107"/>
      <c r="B1390" s="103"/>
      <c r="C1390" s="109"/>
      <c r="D1390" s="103"/>
      <c r="E1390" s="103"/>
      <c r="F1390" s="103"/>
      <c r="G1390" s="103"/>
      <c r="H1390" s="107"/>
      <c r="I1390" s="107"/>
      <c r="J1390" s="107"/>
      <c r="K1390" s="139"/>
    </row>
    <row r="1391" spans="1:11">
      <c r="A1391" s="107"/>
      <c r="B1391" s="103"/>
      <c r="C1391" s="109"/>
      <c r="D1391" s="103"/>
      <c r="E1391" s="103"/>
      <c r="F1391" s="103"/>
      <c r="G1391" s="103"/>
      <c r="H1391" s="107"/>
      <c r="I1391" s="107"/>
      <c r="J1391" s="107"/>
      <c r="K1391" s="139"/>
    </row>
    <row r="1392" spans="1:11">
      <c r="A1392" s="107"/>
      <c r="B1392" s="103"/>
      <c r="C1392" s="109"/>
      <c r="D1392" s="103"/>
      <c r="E1392" s="103"/>
      <c r="F1392" s="103"/>
      <c r="G1392" s="103"/>
      <c r="H1392" s="107"/>
      <c r="I1392" s="107"/>
      <c r="J1392" s="107"/>
      <c r="K1392" s="139"/>
    </row>
    <row r="1393" spans="1:11">
      <c r="A1393" s="107"/>
      <c r="B1393" s="103"/>
      <c r="C1393" s="109"/>
      <c r="D1393" s="103"/>
      <c r="E1393" s="103"/>
      <c r="F1393" s="103"/>
      <c r="G1393" s="103"/>
      <c r="H1393" s="107"/>
      <c r="I1393" s="107"/>
      <c r="J1393" s="107"/>
      <c r="K1393" s="139"/>
    </row>
    <row r="1394" spans="1:11">
      <c r="A1394" s="107"/>
      <c r="B1394" s="103"/>
      <c r="C1394" s="109"/>
      <c r="D1394" s="103"/>
      <c r="E1394" s="103"/>
      <c r="F1394" s="103"/>
      <c r="G1394" s="103"/>
      <c r="H1394" s="107"/>
      <c r="I1394" s="107"/>
      <c r="J1394" s="107"/>
      <c r="K1394" s="139"/>
    </row>
    <row r="1395" spans="1:11">
      <c r="A1395" s="107"/>
      <c r="B1395" s="103"/>
      <c r="C1395" s="109"/>
      <c r="D1395" s="103"/>
      <c r="E1395" s="103"/>
      <c r="F1395" s="103"/>
      <c r="G1395" s="103"/>
      <c r="H1395" s="107"/>
      <c r="I1395" s="107"/>
      <c r="J1395" s="107"/>
      <c r="K1395" s="139"/>
    </row>
    <row r="1396" spans="1:11">
      <c r="A1396" s="107"/>
      <c r="B1396" s="103"/>
      <c r="C1396" s="109"/>
      <c r="D1396" s="103"/>
      <c r="E1396" s="103"/>
      <c r="F1396" s="103"/>
      <c r="G1396" s="103"/>
      <c r="H1396" s="107"/>
      <c r="I1396" s="107"/>
      <c r="J1396" s="107"/>
      <c r="K1396" s="139"/>
    </row>
    <row r="1397" spans="1:11">
      <c r="A1397" s="107"/>
      <c r="B1397" s="103"/>
      <c r="C1397" s="109"/>
      <c r="D1397" s="103"/>
      <c r="E1397" s="103"/>
      <c r="F1397" s="103"/>
      <c r="G1397" s="103"/>
      <c r="H1397" s="107"/>
      <c r="I1397" s="107"/>
      <c r="J1397" s="107"/>
      <c r="K1397" s="139"/>
    </row>
    <row r="1398" spans="1:11">
      <c r="A1398" s="107"/>
      <c r="B1398" s="103"/>
      <c r="C1398" s="109"/>
      <c r="D1398" s="103"/>
      <c r="E1398" s="103"/>
      <c r="F1398" s="103"/>
      <c r="G1398" s="103"/>
      <c r="H1398" s="107"/>
      <c r="I1398" s="107"/>
      <c r="J1398" s="107"/>
      <c r="K1398" s="139"/>
    </row>
    <row r="1399" spans="1:11">
      <c r="A1399" s="107"/>
      <c r="B1399" s="103"/>
      <c r="C1399" s="109"/>
      <c r="D1399" s="103"/>
      <c r="E1399" s="103"/>
      <c r="F1399" s="103"/>
      <c r="G1399" s="103"/>
      <c r="H1399" s="107"/>
      <c r="I1399" s="107"/>
      <c r="J1399" s="107"/>
      <c r="K1399" s="139"/>
    </row>
    <row r="1400" spans="1:11">
      <c r="A1400" s="107"/>
      <c r="B1400" s="103"/>
      <c r="C1400" s="109"/>
      <c r="D1400" s="103"/>
      <c r="E1400" s="103"/>
      <c r="F1400" s="103"/>
      <c r="G1400" s="103"/>
      <c r="H1400" s="107"/>
      <c r="I1400" s="107"/>
      <c r="J1400" s="107"/>
      <c r="K1400" s="139"/>
    </row>
    <row r="1401" spans="1:11">
      <c r="A1401" s="107"/>
      <c r="B1401" s="103"/>
      <c r="C1401" s="109"/>
      <c r="D1401" s="103"/>
      <c r="E1401" s="103"/>
      <c r="F1401" s="103"/>
      <c r="G1401" s="103"/>
      <c r="H1401" s="107"/>
      <c r="I1401" s="107"/>
      <c r="J1401" s="107"/>
      <c r="K1401" s="139"/>
    </row>
    <row r="1402" spans="1:11">
      <c r="A1402" s="107"/>
      <c r="B1402" s="103"/>
      <c r="C1402" s="109"/>
      <c r="D1402" s="103"/>
      <c r="E1402" s="103"/>
      <c r="F1402" s="103"/>
      <c r="G1402" s="103"/>
      <c r="H1402" s="107"/>
      <c r="I1402" s="107"/>
      <c r="J1402" s="107"/>
      <c r="K1402" s="139"/>
    </row>
    <row r="1403" spans="1:11">
      <c r="A1403" s="107"/>
      <c r="B1403" s="103"/>
      <c r="C1403" s="109"/>
      <c r="D1403" s="103"/>
      <c r="E1403" s="103"/>
      <c r="F1403" s="103"/>
      <c r="G1403" s="103"/>
      <c r="H1403" s="107"/>
      <c r="I1403" s="107"/>
      <c r="J1403" s="107"/>
      <c r="K1403" s="139"/>
    </row>
    <row r="1404" spans="1:11">
      <c r="A1404" s="107"/>
      <c r="B1404" s="103"/>
      <c r="C1404" s="109"/>
      <c r="D1404" s="103"/>
      <c r="E1404" s="103"/>
      <c r="F1404" s="103"/>
      <c r="G1404" s="103"/>
      <c r="H1404" s="107"/>
      <c r="I1404" s="107"/>
      <c r="J1404" s="107"/>
      <c r="K1404" s="139"/>
    </row>
    <row r="1405" spans="1:11">
      <c r="A1405" s="107"/>
      <c r="B1405" s="103"/>
      <c r="C1405" s="109"/>
      <c r="D1405" s="103"/>
      <c r="E1405" s="103"/>
      <c r="F1405" s="103"/>
      <c r="G1405" s="103"/>
      <c r="H1405" s="107"/>
      <c r="I1405" s="107"/>
      <c r="J1405" s="107"/>
      <c r="K1405" s="139"/>
    </row>
    <row r="1406" spans="1:11">
      <c r="A1406" s="107"/>
      <c r="B1406" s="103"/>
      <c r="C1406" s="109"/>
      <c r="D1406" s="103"/>
      <c r="E1406" s="103"/>
      <c r="F1406" s="103"/>
      <c r="G1406" s="103"/>
      <c r="H1406" s="107"/>
      <c r="I1406" s="107"/>
      <c r="J1406" s="107"/>
      <c r="K1406" s="139"/>
    </row>
    <row r="1407" spans="1:11">
      <c r="A1407" s="107"/>
      <c r="B1407" s="103"/>
      <c r="C1407" s="109"/>
      <c r="D1407" s="103"/>
      <c r="E1407" s="103"/>
      <c r="F1407" s="103"/>
      <c r="G1407" s="103"/>
      <c r="H1407" s="107"/>
      <c r="I1407" s="107"/>
      <c r="J1407" s="107"/>
      <c r="K1407" s="139"/>
    </row>
    <row r="1408" spans="1:11">
      <c r="A1408" s="107"/>
      <c r="B1408" s="103"/>
      <c r="C1408" s="109"/>
      <c r="D1408" s="103"/>
      <c r="E1408" s="103"/>
      <c r="F1408" s="103"/>
      <c r="G1408" s="103"/>
      <c r="H1408" s="107"/>
      <c r="I1408" s="107"/>
      <c r="J1408" s="107"/>
      <c r="K1408" s="139"/>
    </row>
    <row r="1409" spans="1:11">
      <c r="A1409" s="107"/>
      <c r="B1409" s="103"/>
      <c r="C1409" s="109"/>
      <c r="D1409" s="103"/>
      <c r="E1409" s="103"/>
      <c r="F1409" s="103"/>
      <c r="G1409" s="103"/>
      <c r="H1409" s="107"/>
      <c r="I1409" s="107"/>
      <c r="J1409" s="107"/>
      <c r="K1409" s="139"/>
    </row>
    <row r="1410" spans="1:11">
      <c r="A1410" s="107"/>
      <c r="B1410" s="103"/>
      <c r="C1410" s="109"/>
      <c r="D1410" s="103"/>
      <c r="E1410" s="103"/>
      <c r="F1410" s="103"/>
      <c r="G1410" s="103"/>
      <c r="H1410" s="107"/>
      <c r="I1410" s="107"/>
      <c r="J1410" s="107"/>
      <c r="K1410" s="139"/>
    </row>
    <row r="1411" spans="1:11">
      <c r="A1411" s="107"/>
      <c r="B1411" s="103"/>
      <c r="C1411" s="109"/>
      <c r="D1411" s="103"/>
      <c r="E1411" s="103"/>
      <c r="F1411" s="103"/>
      <c r="G1411" s="103"/>
      <c r="H1411" s="107"/>
      <c r="I1411" s="107"/>
      <c r="J1411" s="107"/>
      <c r="K1411" s="139"/>
    </row>
    <row r="1412" spans="1:11">
      <c r="A1412" s="107"/>
      <c r="B1412" s="103"/>
      <c r="C1412" s="109"/>
      <c r="D1412" s="103"/>
      <c r="E1412" s="103"/>
      <c r="F1412" s="103"/>
      <c r="G1412" s="103"/>
      <c r="H1412" s="107"/>
      <c r="I1412" s="107"/>
      <c r="J1412" s="107"/>
      <c r="K1412" s="139"/>
    </row>
    <row r="1413" spans="1:11">
      <c r="A1413" s="107"/>
      <c r="B1413" s="103"/>
      <c r="C1413" s="109"/>
      <c r="D1413" s="103"/>
      <c r="E1413" s="103"/>
      <c r="F1413" s="103"/>
      <c r="G1413" s="103"/>
      <c r="H1413" s="107"/>
      <c r="I1413" s="107"/>
      <c r="J1413" s="107"/>
      <c r="K1413" s="139"/>
    </row>
    <row r="1414" spans="1:11">
      <c r="A1414" s="107"/>
      <c r="B1414" s="103"/>
      <c r="C1414" s="109"/>
      <c r="D1414" s="103"/>
      <c r="E1414" s="103"/>
      <c r="F1414" s="103"/>
      <c r="G1414" s="103"/>
      <c r="H1414" s="107"/>
      <c r="I1414" s="107"/>
      <c r="J1414" s="107"/>
      <c r="K1414" s="139"/>
    </row>
    <row r="1415" spans="1:11">
      <c r="A1415" s="107"/>
      <c r="B1415" s="103"/>
      <c r="C1415" s="109"/>
      <c r="D1415" s="103"/>
      <c r="E1415" s="103"/>
      <c r="F1415" s="103"/>
      <c r="G1415" s="103"/>
      <c r="H1415" s="107"/>
      <c r="I1415" s="107"/>
      <c r="J1415" s="107"/>
      <c r="K1415" s="139"/>
    </row>
    <row r="1416" spans="1:11">
      <c r="A1416" s="107"/>
      <c r="B1416" s="103"/>
      <c r="C1416" s="109"/>
      <c r="D1416" s="103"/>
      <c r="E1416" s="103"/>
      <c r="F1416" s="103"/>
      <c r="G1416" s="103"/>
      <c r="H1416" s="107"/>
      <c r="I1416" s="107"/>
      <c r="J1416" s="107"/>
      <c r="K1416" s="139"/>
    </row>
    <row r="1417" spans="1:11">
      <c r="A1417" s="107"/>
      <c r="B1417" s="103"/>
      <c r="C1417" s="109"/>
      <c r="D1417" s="103"/>
      <c r="E1417" s="103"/>
      <c r="F1417" s="103"/>
      <c r="G1417" s="103"/>
      <c r="H1417" s="107"/>
      <c r="I1417" s="107"/>
      <c r="J1417" s="107"/>
      <c r="K1417" s="139"/>
    </row>
    <row r="1418" spans="1:11">
      <c r="A1418" s="107"/>
      <c r="B1418" s="103"/>
      <c r="C1418" s="109"/>
      <c r="D1418" s="103"/>
      <c r="E1418" s="103"/>
      <c r="F1418" s="103"/>
      <c r="G1418" s="103"/>
      <c r="H1418" s="107"/>
      <c r="I1418" s="107"/>
      <c r="J1418" s="107"/>
      <c r="K1418" s="139"/>
    </row>
    <row r="1419" spans="1:11">
      <c r="A1419" s="107"/>
      <c r="B1419" s="103"/>
      <c r="C1419" s="109"/>
      <c r="D1419" s="103"/>
      <c r="E1419" s="103"/>
      <c r="F1419" s="103"/>
      <c r="G1419" s="103"/>
      <c r="H1419" s="107"/>
      <c r="I1419" s="107"/>
      <c r="J1419" s="107"/>
      <c r="K1419" s="139"/>
    </row>
    <row r="1420" spans="1:11">
      <c r="A1420" s="107"/>
      <c r="B1420" s="103"/>
      <c r="C1420" s="109"/>
      <c r="D1420" s="103"/>
      <c r="E1420" s="103"/>
      <c r="F1420" s="103"/>
      <c r="G1420" s="103"/>
      <c r="H1420" s="107"/>
      <c r="I1420" s="107"/>
      <c r="J1420" s="107"/>
      <c r="K1420" s="139"/>
    </row>
    <row r="1421" spans="1:11">
      <c r="A1421" s="107"/>
      <c r="B1421" s="103"/>
      <c r="C1421" s="109"/>
      <c r="D1421" s="103"/>
      <c r="E1421" s="103"/>
      <c r="F1421" s="103"/>
      <c r="G1421" s="103"/>
      <c r="H1421" s="107"/>
      <c r="I1421" s="107"/>
      <c r="J1421" s="107"/>
      <c r="K1421" s="139"/>
    </row>
    <row r="1422" spans="1:11">
      <c r="A1422" s="107"/>
      <c r="B1422" s="103"/>
      <c r="C1422" s="109"/>
      <c r="D1422" s="103"/>
      <c r="E1422" s="103"/>
      <c r="F1422" s="103"/>
      <c r="G1422" s="103"/>
      <c r="H1422" s="107"/>
      <c r="I1422" s="107"/>
      <c r="J1422" s="107"/>
      <c r="K1422" s="139"/>
    </row>
    <row r="1423" spans="1:11">
      <c r="A1423" s="107"/>
      <c r="B1423" s="103"/>
      <c r="C1423" s="109"/>
      <c r="D1423" s="103"/>
      <c r="E1423" s="103"/>
      <c r="F1423" s="103"/>
      <c r="G1423" s="103"/>
      <c r="H1423" s="107"/>
      <c r="I1423" s="107"/>
      <c r="J1423" s="107"/>
      <c r="K1423" s="139"/>
    </row>
    <row r="1424" spans="1:11">
      <c r="A1424" s="107"/>
      <c r="B1424" s="103"/>
      <c r="C1424" s="109"/>
      <c r="D1424" s="103"/>
      <c r="E1424" s="103"/>
      <c r="F1424" s="103"/>
      <c r="G1424" s="103"/>
      <c r="H1424" s="107"/>
      <c r="I1424" s="107"/>
      <c r="J1424" s="107"/>
      <c r="K1424" s="139"/>
    </row>
    <row r="1425" spans="1:11">
      <c r="A1425" s="107"/>
      <c r="B1425" s="103"/>
      <c r="C1425" s="109"/>
      <c r="D1425" s="103"/>
      <c r="E1425" s="103"/>
      <c r="F1425" s="103"/>
      <c r="G1425" s="103"/>
      <c r="H1425" s="107"/>
      <c r="I1425" s="107"/>
      <c r="J1425" s="107"/>
      <c r="K1425" s="139"/>
    </row>
    <row r="1426" spans="1:11">
      <c r="A1426" s="107"/>
      <c r="B1426" s="103"/>
      <c r="C1426" s="109"/>
      <c r="D1426" s="103"/>
      <c r="E1426" s="103"/>
      <c r="F1426" s="103"/>
      <c r="G1426" s="103"/>
      <c r="H1426" s="107"/>
      <c r="I1426" s="107"/>
      <c r="J1426" s="107"/>
      <c r="K1426" s="139"/>
    </row>
    <row r="1427" spans="1:11">
      <c r="A1427" s="107"/>
      <c r="B1427" s="103"/>
      <c r="C1427" s="109"/>
      <c r="D1427" s="103"/>
      <c r="E1427" s="103"/>
      <c r="F1427" s="103"/>
      <c r="G1427" s="103"/>
      <c r="H1427" s="107"/>
      <c r="I1427" s="107"/>
      <c r="J1427" s="107"/>
      <c r="K1427" s="139"/>
    </row>
    <row r="1428" spans="1:11">
      <c r="A1428" s="107"/>
      <c r="B1428" s="103"/>
      <c r="C1428" s="109"/>
      <c r="D1428" s="103"/>
      <c r="E1428" s="103"/>
      <c r="F1428" s="103"/>
      <c r="G1428" s="103"/>
      <c r="H1428" s="107"/>
      <c r="I1428" s="107"/>
      <c r="J1428" s="107"/>
      <c r="K1428" s="139"/>
    </row>
    <row r="1429" spans="1:11">
      <c r="A1429" s="107"/>
      <c r="B1429" s="103"/>
      <c r="C1429" s="109"/>
      <c r="D1429" s="103"/>
      <c r="E1429" s="103"/>
      <c r="F1429" s="103"/>
      <c r="G1429" s="103"/>
      <c r="H1429" s="107"/>
      <c r="I1429" s="107"/>
      <c r="J1429" s="107"/>
      <c r="K1429" s="139"/>
    </row>
    <row r="1430" spans="1:11">
      <c r="A1430" s="107"/>
      <c r="B1430" s="103"/>
      <c r="C1430" s="109"/>
      <c r="D1430" s="103"/>
      <c r="E1430" s="103"/>
      <c r="F1430" s="103"/>
      <c r="G1430" s="103"/>
      <c r="H1430" s="107"/>
      <c r="I1430" s="107"/>
      <c r="J1430" s="107"/>
      <c r="K1430" s="139"/>
    </row>
    <row r="1431" spans="1:11">
      <c r="A1431" s="107"/>
      <c r="B1431" s="103"/>
      <c r="C1431" s="109"/>
      <c r="D1431" s="103"/>
      <c r="E1431" s="103"/>
      <c r="F1431" s="103"/>
      <c r="G1431" s="103"/>
      <c r="H1431" s="107"/>
      <c r="I1431" s="107"/>
      <c r="J1431" s="107"/>
      <c r="K1431" s="139"/>
    </row>
    <row r="1432" spans="1:11">
      <c r="A1432" s="107"/>
      <c r="B1432" s="103"/>
      <c r="C1432" s="109"/>
      <c r="D1432" s="103"/>
      <c r="E1432" s="103"/>
      <c r="F1432" s="103"/>
      <c r="G1432" s="103"/>
      <c r="H1432" s="107"/>
      <c r="I1432" s="107"/>
      <c r="J1432" s="107"/>
      <c r="K1432" s="139"/>
    </row>
    <row r="1433" spans="1:11">
      <c r="A1433" s="107"/>
      <c r="B1433" s="103"/>
      <c r="C1433" s="109"/>
      <c r="D1433" s="103"/>
      <c r="E1433" s="103"/>
      <c r="F1433" s="103"/>
      <c r="G1433" s="103"/>
      <c r="H1433" s="107"/>
      <c r="I1433" s="107"/>
      <c r="J1433" s="107"/>
      <c r="K1433" s="139"/>
    </row>
    <row r="1434" spans="1:11">
      <c r="A1434" s="107"/>
      <c r="B1434" s="103"/>
      <c r="C1434" s="109"/>
      <c r="D1434" s="103"/>
      <c r="E1434" s="103"/>
      <c r="F1434" s="103"/>
      <c r="G1434" s="103"/>
      <c r="H1434" s="107"/>
      <c r="I1434" s="107"/>
      <c r="J1434" s="107"/>
      <c r="K1434" s="139"/>
    </row>
    <row r="1435" spans="1:11">
      <c r="A1435" s="107"/>
      <c r="B1435" s="103"/>
      <c r="C1435" s="109"/>
      <c r="D1435" s="103"/>
      <c r="E1435" s="103"/>
      <c r="F1435" s="103"/>
      <c r="G1435" s="103"/>
      <c r="H1435" s="107"/>
      <c r="I1435" s="107"/>
      <c r="J1435" s="107"/>
      <c r="K1435" s="139"/>
    </row>
    <row r="1436" spans="1:11">
      <c r="A1436" s="107"/>
      <c r="B1436" s="103"/>
      <c r="C1436" s="109"/>
      <c r="D1436" s="103"/>
      <c r="E1436" s="103"/>
      <c r="F1436" s="103"/>
      <c r="G1436" s="103"/>
      <c r="H1436" s="107"/>
      <c r="I1436" s="107"/>
      <c r="J1436" s="107"/>
      <c r="K1436" s="139"/>
    </row>
    <row r="1437" spans="1:11">
      <c r="A1437" s="107"/>
      <c r="B1437" s="103"/>
      <c r="C1437" s="109"/>
      <c r="D1437" s="103"/>
      <c r="E1437" s="103"/>
      <c r="F1437" s="103"/>
      <c r="G1437" s="103"/>
      <c r="H1437" s="107"/>
      <c r="I1437" s="107"/>
      <c r="J1437" s="107"/>
      <c r="K1437" s="139"/>
    </row>
    <row r="1438" spans="1:11">
      <c r="A1438" s="107"/>
      <c r="B1438" s="103"/>
      <c r="C1438" s="109"/>
      <c r="D1438" s="103"/>
      <c r="E1438" s="103"/>
      <c r="F1438" s="103"/>
      <c r="G1438" s="103"/>
      <c r="H1438" s="107"/>
      <c r="I1438" s="107"/>
      <c r="J1438" s="107"/>
      <c r="K1438" s="139"/>
    </row>
    <row r="1439" spans="1:11">
      <c r="A1439" s="107"/>
      <c r="B1439" s="103"/>
      <c r="C1439" s="109"/>
      <c r="D1439" s="103"/>
      <c r="E1439" s="103"/>
      <c r="F1439" s="103"/>
      <c r="G1439" s="103"/>
      <c r="H1439" s="107"/>
      <c r="I1439" s="107"/>
      <c r="J1439" s="107"/>
      <c r="K1439" s="139"/>
    </row>
    <row r="1440" spans="1:11">
      <c r="A1440" s="107"/>
      <c r="B1440" s="103"/>
      <c r="C1440" s="109"/>
      <c r="D1440" s="103"/>
      <c r="E1440" s="103"/>
      <c r="F1440" s="103"/>
      <c r="G1440" s="103"/>
      <c r="H1440" s="107"/>
      <c r="I1440" s="107"/>
      <c r="J1440" s="107"/>
      <c r="K1440" s="139"/>
    </row>
    <row r="1441" spans="1:11">
      <c r="A1441" s="107"/>
      <c r="B1441" s="103"/>
      <c r="C1441" s="109"/>
      <c r="D1441" s="103"/>
      <c r="E1441" s="103"/>
      <c r="F1441" s="103"/>
      <c r="G1441" s="103"/>
      <c r="H1441" s="107"/>
      <c r="I1441" s="107"/>
      <c r="J1441" s="107"/>
      <c r="K1441" s="139"/>
    </row>
    <row r="1442" spans="1:11">
      <c r="A1442" s="107"/>
      <c r="B1442" s="103"/>
      <c r="C1442" s="109"/>
      <c r="D1442" s="103"/>
      <c r="E1442" s="103"/>
      <c r="F1442" s="103"/>
      <c r="G1442" s="103"/>
      <c r="H1442" s="107"/>
      <c r="I1442" s="107"/>
      <c r="J1442" s="107"/>
      <c r="K1442" s="139"/>
    </row>
    <row r="1443" spans="1:11">
      <c r="A1443" s="107"/>
      <c r="B1443" s="103"/>
      <c r="C1443" s="109"/>
      <c r="D1443" s="103"/>
      <c r="E1443" s="103"/>
      <c r="F1443" s="103"/>
      <c r="G1443" s="103"/>
      <c r="H1443" s="107"/>
      <c r="I1443" s="107"/>
      <c r="J1443" s="107"/>
      <c r="K1443" s="139"/>
    </row>
    <row r="1444" spans="1:11">
      <c r="A1444" s="107"/>
      <c r="B1444" s="103"/>
      <c r="C1444" s="109"/>
      <c r="D1444" s="103"/>
      <c r="E1444" s="103"/>
      <c r="F1444" s="103"/>
      <c r="G1444" s="103"/>
      <c r="H1444" s="107"/>
      <c r="I1444" s="107"/>
      <c r="J1444" s="107"/>
      <c r="K1444" s="139"/>
    </row>
    <row r="1445" spans="1:11">
      <c r="A1445" s="107"/>
      <c r="B1445" s="103"/>
      <c r="C1445" s="109"/>
      <c r="D1445" s="103"/>
      <c r="E1445" s="103"/>
      <c r="F1445" s="103"/>
      <c r="G1445" s="103"/>
      <c r="H1445" s="107"/>
      <c r="I1445" s="107"/>
      <c r="J1445" s="107"/>
      <c r="K1445" s="139"/>
    </row>
    <row r="1446" spans="1:11">
      <c r="A1446" s="107"/>
      <c r="B1446" s="103"/>
      <c r="C1446" s="109"/>
      <c r="D1446" s="103"/>
      <c r="E1446" s="103"/>
      <c r="F1446" s="103"/>
      <c r="G1446" s="103"/>
      <c r="H1446" s="107"/>
      <c r="I1446" s="107"/>
      <c r="J1446" s="107"/>
      <c r="K1446" s="139"/>
    </row>
    <row r="1447" spans="1:11">
      <c r="A1447" s="107"/>
      <c r="B1447" s="103"/>
      <c r="C1447" s="109"/>
      <c r="D1447" s="103"/>
      <c r="E1447" s="103"/>
      <c r="F1447" s="103"/>
      <c r="G1447" s="103"/>
      <c r="H1447" s="107"/>
      <c r="I1447" s="107"/>
      <c r="J1447" s="107"/>
      <c r="K1447" s="139"/>
    </row>
    <row r="1448" spans="1:11">
      <c r="A1448" s="107"/>
      <c r="B1448" s="103"/>
      <c r="C1448" s="109"/>
      <c r="D1448" s="103"/>
      <c r="E1448" s="103"/>
      <c r="F1448" s="103"/>
      <c r="G1448" s="103"/>
      <c r="H1448" s="107"/>
      <c r="I1448" s="107"/>
      <c r="J1448" s="107"/>
      <c r="K1448" s="139"/>
    </row>
    <row r="1449" spans="1:11">
      <c r="A1449" s="107"/>
      <c r="B1449" s="103"/>
      <c r="C1449" s="109"/>
      <c r="D1449" s="103"/>
      <c r="E1449" s="103"/>
      <c r="F1449" s="103"/>
      <c r="G1449" s="103"/>
      <c r="H1449" s="107"/>
      <c r="I1449" s="107"/>
      <c r="J1449" s="107"/>
      <c r="K1449" s="139"/>
    </row>
    <row r="1450" spans="1:11">
      <c r="A1450" s="107"/>
      <c r="B1450" s="103"/>
      <c r="C1450" s="109"/>
      <c r="D1450" s="103"/>
      <c r="E1450" s="103"/>
      <c r="F1450" s="103"/>
      <c r="G1450" s="103"/>
      <c r="H1450" s="107"/>
      <c r="I1450" s="107"/>
      <c r="J1450" s="107"/>
      <c r="K1450" s="139"/>
    </row>
    <row r="1451" spans="1:11">
      <c r="A1451" s="107"/>
      <c r="B1451" s="103"/>
      <c r="C1451" s="109"/>
      <c r="D1451" s="103"/>
      <c r="E1451" s="103"/>
      <c r="F1451" s="103"/>
      <c r="G1451" s="103"/>
      <c r="H1451" s="107"/>
      <c r="I1451" s="107"/>
      <c r="J1451" s="107"/>
      <c r="K1451" s="139"/>
    </row>
    <row r="1452" spans="1:11">
      <c r="A1452" s="107"/>
      <c r="B1452" s="103"/>
      <c r="C1452" s="109"/>
      <c r="D1452" s="103"/>
      <c r="E1452" s="103"/>
      <c r="F1452" s="103"/>
      <c r="G1452" s="103"/>
      <c r="H1452" s="107"/>
      <c r="I1452" s="107"/>
      <c r="J1452" s="107"/>
      <c r="K1452" s="139"/>
    </row>
    <row r="1453" spans="1:11">
      <c r="A1453" s="107"/>
      <c r="B1453" s="103"/>
      <c r="C1453" s="109"/>
      <c r="D1453" s="103"/>
      <c r="E1453" s="103"/>
      <c r="F1453" s="103"/>
      <c r="G1453" s="103"/>
      <c r="H1453" s="107"/>
      <c r="I1453" s="107"/>
      <c r="J1453" s="107"/>
      <c r="K1453" s="139"/>
    </row>
    <row r="1454" spans="1:11">
      <c r="A1454" s="107"/>
      <c r="B1454" s="103"/>
      <c r="C1454" s="109"/>
      <c r="D1454" s="103"/>
      <c r="E1454" s="103"/>
      <c r="F1454" s="103"/>
      <c r="G1454" s="103"/>
      <c r="H1454" s="107"/>
      <c r="I1454" s="107"/>
      <c r="J1454" s="107"/>
      <c r="K1454" s="139"/>
    </row>
    <row r="1455" spans="1:11">
      <c r="A1455" s="107"/>
      <c r="B1455" s="103"/>
      <c r="C1455" s="109"/>
      <c r="D1455" s="103"/>
      <c r="E1455" s="103"/>
      <c r="F1455" s="103"/>
      <c r="G1455" s="103"/>
      <c r="H1455" s="107"/>
      <c r="I1455" s="107"/>
      <c r="J1455" s="107"/>
      <c r="K1455" s="139"/>
    </row>
    <row r="1456" spans="1:11">
      <c r="A1456" s="107"/>
      <c r="B1456" s="103"/>
      <c r="C1456" s="109"/>
      <c r="D1456" s="103"/>
      <c r="E1456" s="103"/>
      <c r="F1456" s="103"/>
      <c r="G1456" s="103"/>
      <c r="H1456" s="107"/>
      <c r="I1456" s="107"/>
      <c r="J1456" s="107"/>
      <c r="K1456" s="139"/>
    </row>
    <row r="1457" spans="1:11">
      <c r="A1457" s="107"/>
      <c r="B1457" s="103"/>
      <c r="C1457" s="109"/>
      <c r="D1457" s="103"/>
      <c r="E1457" s="103"/>
      <c r="F1457" s="103"/>
      <c r="G1457" s="103"/>
      <c r="H1457" s="107"/>
      <c r="I1457" s="107"/>
      <c r="J1457" s="107"/>
      <c r="K1457" s="139"/>
    </row>
    <row r="1458" spans="1:11">
      <c r="A1458" s="107"/>
      <c r="B1458" s="103"/>
      <c r="C1458" s="109"/>
      <c r="D1458" s="103"/>
      <c r="E1458" s="103"/>
      <c r="F1458" s="103"/>
      <c r="G1458" s="103"/>
      <c r="H1458" s="107"/>
      <c r="I1458" s="107"/>
      <c r="J1458" s="107"/>
      <c r="K1458" s="139"/>
    </row>
    <row r="1459" spans="1:11">
      <c r="A1459" s="107"/>
      <c r="B1459" s="103"/>
      <c r="C1459" s="109"/>
      <c r="D1459" s="103"/>
      <c r="E1459" s="103"/>
      <c r="F1459" s="103"/>
      <c r="G1459" s="103"/>
      <c r="H1459" s="107"/>
      <c r="I1459" s="107"/>
      <c r="J1459" s="107"/>
      <c r="K1459" s="139"/>
    </row>
    <row r="1460" spans="1:11">
      <c r="A1460" s="107"/>
      <c r="B1460" s="103"/>
      <c r="C1460" s="109"/>
      <c r="D1460" s="103"/>
      <c r="E1460" s="103"/>
      <c r="F1460" s="103"/>
      <c r="G1460" s="103"/>
      <c r="H1460" s="107"/>
      <c r="I1460" s="107"/>
      <c r="J1460" s="107"/>
      <c r="K1460" s="139"/>
    </row>
    <row r="1461" spans="1:11">
      <c r="A1461" s="107"/>
      <c r="B1461" s="103"/>
      <c r="C1461" s="109"/>
      <c r="D1461" s="103"/>
      <c r="E1461" s="103"/>
      <c r="F1461" s="103"/>
      <c r="G1461" s="103"/>
      <c r="H1461" s="107"/>
      <c r="I1461" s="107"/>
      <c r="J1461" s="107"/>
      <c r="K1461" s="139"/>
    </row>
    <row r="1462" spans="1:11">
      <c r="A1462" s="107"/>
      <c r="B1462" s="103"/>
      <c r="C1462" s="109"/>
      <c r="D1462" s="103"/>
      <c r="E1462" s="103"/>
      <c r="F1462" s="103"/>
      <c r="G1462" s="103"/>
      <c r="H1462" s="107"/>
      <c r="I1462" s="107"/>
      <c r="J1462" s="107"/>
      <c r="K1462" s="139"/>
    </row>
    <row r="1463" spans="1:11">
      <c r="A1463" s="107"/>
      <c r="B1463" s="103"/>
      <c r="C1463" s="109"/>
      <c r="D1463" s="103"/>
      <c r="E1463" s="103"/>
      <c r="F1463" s="103"/>
      <c r="G1463" s="103"/>
      <c r="H1463" s="107"/>
      <c r="I1463" s="107"/>
      <c r="J1463" s="107"/>
      <c r="K1463" s="139"/>
    </row>
    <row r="1464" spans="1:11">
      <c r="A1464" s="107"/>
      <c r="B1464" s="103"/>
      <c r="C1464" s="109"/>
      <c r="D1464" s="103"/>
      <c r="E1464" s="103"/>
      <c r="F1464" s="103"/>
      <c r="G1464" s="103"/>
      <c r="H1464" s="107"/>
      <c r="I1464" s="107"/>
      <c r="J1464" s="107"/>
      <c r="K1464" s="139"/>
    </row>
    <row r="1465" spans="1:11">
      <c r="A1465" s="107"/>
      <c r="B1465" s="103"/>
      <c r="C1465" s="109"/>
      <c r="D1465" s="103"/>
      <c r="E1465" s="103"/>
      <c r="F1465" s="103"/>
      <c r="G1465" s="103"/>
      <c r="H1465" s="107"/>
      <c r="I1465" s="107"/>
      <c r="J1465" s="107"/>
      <c r="K1465" s="139"/>
    </row>
    <row r="1466" spans="1:11">
      <c r="A1466" s="107"/>
      <c r="B1466" s="103"/>
      <c r="C1466" s="109"/>
      <c r="D1466" s="103"/>
      <c r="E1466" s="103"/>
      <c r="F1466" s="103"/>
      <c r="G1466" s="103"/>
      <c r="H1466" s="107"/>
      <c r="I1466" s="107"/>
      <c r="J1466" s="107"/>
      <c r="K1466" s="139"/>
    </row>
    <row r="1467" spans="1:11">
      <c r="A1467" s="107"/>
      <c r="B1467" s="103"/>
      <c r="C1467" s="109"/>
      <c r="D1467" s="103"/>
      <c r="E1467" s="103"/>
      <c r="F1467" s="103"/>
      <c r="G1467" s="103"/>
      <c r="H1467" s="107"/>
      <c r="I1467" s="107"/>
      <c r="J1467" s="107"/>
      <c r="K1467" s="139"/>
    </row>
    <row r="1468" spans="1:11">
      <c r="A1468" s="107"/>
      <c r="B1468" s="103"/>
      <c r="C1468" s="109"/>
      <c r="D1468" s="103"/>
      <c r="E1468" s="103"/>
      <c r="F1468" s="103"/>
      <c r="G1468" s="103"/>
      <c r="H1468" s="107"/>
      <c r="I1468" s="107"/>
      <c r="J1468" s="107"/>
      <c r="K1468" s="139"/>
    </row>
    <row r="1469" spans="1:11">
      <c r="A1469" s="107"/>
      <c r="B1469" s="103"/>
      <c r="C1469" s="109"/>
      <c r="D1469" s="103"/>
      <c r="E1469" s="103"/>
      <c r="F1469" s="103"/>
      <c r="G1469" s="103"/>
      <c r="H1469" s="107"/>
      <c r="I1469" s="107"/>
      <c r="J1469" s="107"/>
      <c r="K1469" s="139"/>
    </row>
    <row r="1470" spans="1:11">
      <c r="A1470" s="107"/>
      <c r="B1470" s="103"/>
      <c r="C1470" s="109"/>
      <c r="D1470" s="103"/>
      <c r="E1470" s="103"/>
      <c r="F1470" s="103"/>
      <c r="G1470" s="103"/>
      <c r="H1470" s="107"/>
      <c r="I1470" s="107"/>
      <c r="J1470" s="107"/>
      <c r="K1470" s="139"/>
    </row>
    <row r="1471" spans="1:11">
      <c r="A1471" s="107"/>
      <c r="B1471" s="103"/>
      <c r="C1471" s="109"/>
      <c r="D1471" s="103"/>
      <c r="E1471" s="103"/>
      <c r="F1471" s="103"/>
      <c r="G1471" s="103"/>
      <c r="H1471" s="107"/>
      <c r="I1471" s="107"/>
      <c r="J1471" s="107"/>
      <c r="K1471" s="139"/>
    </row>
    <row r="1472" spans="1:11">
      <c r="A1472" s="107"/>
      <c r="B1472" s="103"/>
      <c r="C1472" s="109"/>
      <c r="D1472" s="103"/>
      <c r="E1472" s="103"/>
      <c r="F1472" s="103"/>
      <c r="G1472" s="103"/>
      <c r="H1472" s="107"/>
      <c r="I1472" s="107"/>
      <c r="J1472" s="107"/>
      <c r="K1472" s="139"/>
    </row>
    <row r="1473" spans="1:11">
      <c r="A1473" s="107"/>
      <c r="B1473" s="103"/>
      <c r="C1473" s="109"/>
      <c r="D1473" s="103"/>
      <c r="E1473" s="103"/>
      <c r="F1473" s="103"/>
      <c r="G1473" s="103"/>
      <c r="H1473" s="107"/>
      <c r="I1473" s="107"/>
      <c r="J1473" s="107"/>
      <c r="K1473" s="139"/>
    </row>
    <row r="1474" spans="1:11">
      <c r="A1474" s="107"/>
      <c r="B1474" s="103"/>
      <c r="C1474" s="109"/>
      <c r="D1474" s="103"/>
      <c r="E1474" s="103"/>
      <c r="F1474" s="103"/>
      <c r="G1474" s="103"/>
      <c r="H1474" s="107"/>
      <c r="I1474" s="107"/>
      <c r="J1474" s="107"/>
      <c r="K1474" s="139"/>
    </row>
    <row r="1475" spans="1:11">
      <c r="A1475" s="107"/>
      <c r="B1475" s="103"/>
      <c r="C1475" s="109"/>
      <c r="D1475" s="103"/>
      <c r="E1475" s="103"/>
      <c r="F1475" s="103"/>
      <c r="G1475" s="103"/>
      <c r="H1475" s="107"/>
      <c r="I1475" s="107"/>
      <c r="J1475" s="107"/>
      <c r="K1475" s="139"/>
    </row>
    <row r="1476" spans="1:11">
      <c r="A1476" s="107"/>
      <c r="B1476" s="103"/>
      <c r="C1476" s="109"/>
      <c r="D1476" s="103"/>
      <c r="E1476" s="103"/>
      <c r="F1476" s="103"/>
      <c r="G1476" s="103"/>
      <c r="H1476" s="107"/>
      <c r="I1476" s="107"/>
      <c r="J1476" s="107"/>
      <c r="K1476" s="139"/>
    </row>
    <row r="1477" spans="1:11">
      <c r="A1477" s="107"/>
      <c r="B1477" s="103"/>
      <c r="C1477" s="109"/>
      <c r="D1477" s="103"/>
      <c r="E1477" s="103"/>
      <c r="F1477" s="103"/>
      <c r="G1477" s="103"/>
      <c r="H1477" s="107"/>
      <c r="I1477" s="107"/>
      <c r="J1477" s="107"/>
      <c r="K1477" s="139"/>
    </row>
    <row r="1478" spans="1:11">
      <c r="A1478" s="107"/>
      <c r="B1478" s="103"/>
      <c r="C1478" s="109"/>
      <c r="D1478" s="103"/>
      <c r="E1478" s="103"/>
      <c r="F1478" s="103"/>
      <c r="G1478" s="103"/>
      <c r="H1478" s="107"/>
      <c r="I1478" s="107"/>
      <c r="J1478" s="107"/>
      <c r="K1478" s="139"/>
    </row>
    <row r="1479" spans="1:11">
      <c r="A1479" s="107"/>
      <c r="B1479" s="103"/>
      <c r="C1479" s="109"/>
      <c r="D1479" s="103"/>
      <c r="E1479" s="103"/>
      <c r="F1479" s="103"/>
      <c r="G1479" s="103"/>
      <c r="H1479" s="107"/>
      <c r="I1479" s="107"/>
      <c r="J1479" s="107"/>
      <c r="K1479" s="139"/>
    </row>
    <row r="1480" spans="1:11">
      <c r="A1480" s="107"/>
      <c r="B1480" s="103"/>
      <c r="C1480" s="109"/>
      <c r="D1480" s="103"/>
      <c r="E1480" s="103"/>
      <c r="F1480" s="103"/>
      <c r="G1480" s="103"/>
      <c r="H1480" s="107"/>
      <c r="I1480" s="107"/>
      <c r="J1480" s="107"/>
      <c r="K1480" s="139"/>
    </row>
    <row r="1481" spans="1:11">
      <c r="A1481" s="107"/>
      <c r="B1481" s="103"/>
      <c r="C1481" s="109"/>
      <c r="D1481" s="103"/>
      <c r="E1481" s="103"/>
      <c r="F1481" s="103"/>
      <c r="G1481" s="103"/>
      <c r="H1481" s="107"/>
      <c r="I1481" s="107"/>
      <c r="J1481" s="107"/>
      <c r="K1481" s="139"/>
    </row>
    <row r="1482" spans="1:11">
      <c r="A1482" s="107"/>
      <c r="B1482" s="103"/>
      <c r="C1482" s="109"/>
      <c r="D1482" s="103"/>
      <c r="E1482" s="103"/>
      <c r="F1482" s="103"/>
      <c r="G1482" s="103"/>
      <c r="H1482" s="107"/>
      <c r="I1482" s="107"/>
      <c r="J1482" s="107"/>
      <c r="K1482" s="139"/>
    </row>
    <row r="1483" spans="1:11">
      <c r="A1483" s="107"/>
      <c r="B1483" s="103"/>
      <c r="C1483" s="109"/>
      <c r="D1483" s="103"/>
      <c r="E1483" s="103"/>
      <c r="F1483" s="103"/>
      <c r="G1483" s="103"/>
      <c r="H1483" s="107"/>
      <c r="I1483" s="107"/>
      <c r="J1483" s="107"/>
      <c r="K1483" s="139"/>
    </row>
    <row r="1484" spans="1:11">
      <c r="A1484" s="107"/>
      <c r="B1484" s="103"/>
      <c r="C1484" s="109"/>
      <c r="D1484" s="103"/>
      <c r="E1484" s="103"/>
      <c r="F1484" s="103"/>
      <c r="G1484" s="103"/>
      <c r="H1484" s="107"/>
      <c r="I1484" s="107"/>
      <c r="J1484" s="107"/>
      <c r="K1484" s="139"/>
    </row>
    <row r="1485" spans="1:11">
      <c r="A1485" s="107"/>
      <c r="B1485" s="103"/>
      <c r="C1485" s="109"/>
      <c r="D1485" s="103"/>
      <c r="E1485" s="103"/>
      <c r="F1485" s="103"/>
      <c r="G1485" s="103"/>
      <c r="H1485" s="107"/>
      <c r="I1485" s="107"/>
      <c r="J1485" s="107"/>
      <c r="K1485" s="139"/>
    </row>
    <row r="1486" spans="1:11">
      <c r="A1486" s="107"/>
      <c r="B1486" s="103"/>
      <c r="C1486" s="109"/>
      <c r="D1486" s="103"/>
      <c r="E1486" s="103"/>
      <c r="F1486" s="103"/>
      <c r="G1486" s="103"/>
      <c r="H1486" s="107"/>
      <c r="I1486" s="107"/>
      <c r="J1486" s="107"/>
      <c r="K1486" s="139"/>
    </row>
    <row r="1487" spans="1:11">
      <c r="A1487" s="107"/>
      <c r="B1487" s="103"/>
      <c r="C1487" s="109"/>
      <c r="D1487" s="103"/>
      <c r="E1487" s="103"/>
      <c r="F1487" s="103"/>
      <c r="G1487" s="103"/>
      <c r="H1487" s="107"/>
      <c r="I1487" s="107"/>
      <c r="J1487" s="107"/>
      <c r="K1487" s="139"/>
    </row>
    <row r="1488" spans="1:11">
      <c r="A1488" s="107"/>
      <c r="B1488" s="103"/>
      <c r="C1488" s="109"/>
      <c r="D1488" s="103"/>
      <c r="E1488" s="103"/>
      <c r="F1488" s="103"/>
      <c r="G1488" s="103"/>
      <c r="H1488" s="107"/>
      <c r="I1488" s="107"/>
      <c r="J1488" s="107"/>
      <c r="K1488" s="139"/>
    </row>
    <row r="1489" spans="1:11">
      <c r="A1489" s="107"/>
      <c r="B1489" s="103"/>
      <c r="C1489" s="109"/>
      <c r="D1489" s="103"/>
      <c r="E1489" s="103"/>
      <c r="F1489" s="103"/>
      <c r="G1489" s="103"/>
      <c r="H1489" s="107"/>
      <c r="I1489" s="107"/>
      <c r="J1489" s="107"/>
      <c r="K1489" s="139"/>
    </row>
    <row r="1490" spans="1:11">
      <c r="A1490" s="107"/>
      <c r="B1490" s="103"/>
      <c r="C1490" s="109"/>
      <c r="D1490" s="103"/>
      <c r="E1490" s="103"/>
      <c r="F1490" s="103"/>
      <c r="G1490" s="103"/>
      <c r="H1490" s="107"/>
      <c r="I1490" s="107"/>
      <c r="J1490" s="107"/>
      <c r="K1490" s="139"/>
    </row>
    <row r="1491" spans="1:11">
      <c r="A1491" s="107"/>
      <c r="B1491" s="103"/>
      <c r="C1491" s="109"/>
      <c r="D1491" s="103"/>
      <c r="E1491" s="103"/>
      <c r="F1491" s="103"/>
      <c r="G1491" s="103"/>
      <c r="H1491" s="107"/>
      <c r="I1491" s="107"/>
      <c r="J1491" s="107"/>
      <c r="K1491" s="139"/>
    </row>
    <row r="1492" spans="1:11">
      <c r="A1492" s="107"/>
      <c r="B1492" s="103"/>
      <c r="C1492" s="109"/>
      <c r="D1492" s="103"/>
      <c r="E1492" s="103"/>
      <c r="F1492" s="103"/>
      <c r="G1492" s="103"/>
      <c r="H1492" s="107"/>
      <c r="I1492" s="107"/>
      <c r="J1492" s="107"/>
      <c r="K1492" s="139"/>
    </row>
    <row r="1493" spans="1:11">
      <c r="A1493" s="107"/>
      <c r="B1493" s="103"/>
      <c r="C1493" s="109"/>
      <c r="D1493" s="103"/>
      <c r="E1493" s="103"/>
      <c r="F1493" s="103"/>
      <c r="G1493" s="103"/>
      <c r="H1493" s="107"/>
      <c r="I1493" s="107"/>
      <c r="J1493" s="107"/>
      <c r="K1493" s="139"/>
    </row>
    <row r="1494" spans="1:11">
      <c r="A1494" s="107"/>
      <c r="B1494" s="103"/>
      <c r="C1494" s="109"/>
      <c r="D1494" s="103"/>
      <c r="E1494" s="103"/>
      <c r="F1494" s="103"/>
      <c r="G1494" s="103"/>
      <c r="H1494" s="107"/>
      <c r="I1494" s="107"/>
      <c r="J1494" s="107"/>
      <c r="K1494" s="139"/>
    </row>
    <row r="1495" spans="1:11">
      <c r="A1495" s="107"/>
      <c r="B1495" s="103"/>
      <c r="C1495" s="109"/>
      <c r="D1495" s="103"/>
      <c r="E1495" s="103"/>
      <c r="F1495" s="103"/>
      <c r="G1495" s="103"/>
      <c r="H1495" s="107"/>
      <c r="I1495" s="107"/>
      <c r="J1495" s="107"/>
      <c r="K1495" s="139"/>
    </row>
    <row r="1496" spans="1:11">
      <c r="A1496" s="107"/>
      <c r="B1496" s="103"/>
      <c r="C1496" s="109"/>
      <c r="D1496" s="103"/>
      <c r="E1496" s="103"/>
      <c r="F1496" s="103"/>
      <c r="G1496" s="103"/>
      <c r="H1496" s="107"/>
      <c r="I1496" s="107"/>
      <c r="J1496" s="107"/>
      <c r="K1496" s="139"/>
    </row>
    <row r="1497" spans="1:11">
      <c r="A1497" s="107"/>
      <c r="B1497" s="103"/>
      <c r="C1497" s="109"/>
      <c r="D1497" s="103"/>
      <c r="E1497" s="103"/>
      <c r="F1497" s="103"/>
      <c r="G1497" s="103"/>
      <c r="H1497" s="107"/>
      <c r="I1497" s="107"/>
      <c r="J1497" s="107"/>
      <c r="K1497" s="139"/>
    </row>
    <row r="1498" spans="1:11">
      <c r="A1498" s="107"/>
      <c r="B1498" s="103"/>
      <c r="C1498" s="109"/>
      <c r="D1498" s="103"/>
      <c r="E1498" s="103"/>
      <c r="F1498" s="103"/>
      <c r="G1498" s="103"/>
      <c r="H1498" s="107"/>
      <c r="I1498" s="107"/>
      <c r="J1498" s="107"/>
      <c r="K1498" s="139"/>
    </row>
    <row r="1499" spans="1:11">
      <c r="A1499" s="107"/>
      <c r="B1499" s="103"/>
      <c r="C1499" s="109"/>
      <c r="D1499" s="103"/>
      <c r="E1499" s="103"/>
      <c r="F1499" s="103"/>
      <c r="G1499" s="103"/>
      <c r="H1499" s="107"/>
      <c r="I1499" s="107"/>
      <c r="J1499" s="107"/>
      <c r="K1499" s="139"/>
    </row>
    <row r="1500" spans="1:11">
      <c r="A1500" s="107"/>
      <c r="B1500" s="103"/>
      <c r="C1500" s="109"/>
      <c r="D1500" s="103"/>
      <c r="E1500" s="103"/>
      <c r="F1500" s="103"/>
      <c r="G1500" s="103"/>
      <c r="H1500" s="107"/>
      <c r="I1500" s="107"/>
      <c r="J1500" s="107"/>
      <c r="K1500" s="139"/>
    </row>
    <row r="1501" spans="1:11">
      <c r="A1501" s="107"/>
      <c r="B1501" s="103"/>
      <c r="C1501" s="109"/>
      <c r="D1501" s="103"/>
      <c r="E1501" s="103"/>
      <c r="F1501" s="103"/>
      <c r="G1501" s="103"/>
      <c r="H1501" s="107"/>
      <c r="I1501" s="107"/>
      <c r="J1501" s="107"/>
      <c r="K1501" s="139"/>
    </row>
    <row r="1502" spans="1:11">
      <c r="A1502" s="107"/>
      <c r="B1502" s="103"/>
      <c r="C1502" s="109"/>
      <c r="D1502" s="103"/>
      <c r="E1502" s="103"/>
      <c r="F1502" s="103"/>
      <c r="G1502" s="103"/>
      <c r="H1502" s="107"/>
      <c r="I1502" s="107"/>
      <c r="J1502" s="107"/>
      <c r="K1502" s="139"/>
    </row>
    <row r="1503" spans="1:11">
      <c r="A1503" s="107"/>
      <c r="B1503" s="103"/>
      <c r="C1503" s="109"/>
      <c r="D1503" s="103"/>
      <c r="E1503" s="103"/>
      <c r="F1503" s="103"/>
      <c r="G1503" s="103"/>
      <c r="H1503" s="107"/>
      <c r="I1503" s="107"/>
      <c r="J1503" s="107"/>
      <c r="K1503" s="139"/>
    </row>
    <row r="1504" spans="1:11">
      <c r="A1504" s="107"/>
      <c r="B1504" s="103"/>
      <c r="C1504" s="109"/>
      <c r="D1504" s="103"/>
      <c r="E1504" s="103"/>
      <c r="F1504" s="103"/>
      <c r="G1504" s="103"/>
      <c r="H1504" s="107"/>
      <c r="I1504" s="107"/>
      <c r="J1504" s="107"/>
      <c r="K1504" s="139"/>
    </row>
    <row r="1505" spans="1:11">
      <c r="A1505" s="107"/>
      <c r="B1505" s="103"/>
      <c r="C1505" s="109"/>
      <c r="D1505" s="103"/>
      <c r="E1505" s="103"/>
      <c r="F1505" s="103"/>
      <c r="G1505" s="103"/>
      <c r="H1505" s="107"/>
      <c r="I1505" s="107"/>
      <c r="J1505" s="107"/>
      <c r="K1505" s="139"/>
    </row>
    <row r="1506" spans="1:11">
      <c r="A1506" s="107"/>
      <c r="B1506" s="103"/>
      <c r="C1506" s="109"/>
      <c r="D1506" s="103"/>
      <c r="E1506" s="103"/>
      <c r="F1506" s="103"/>
      <c r="G1506" s="103"/>
      <c r="H1506" s="107"/>
      <c r="I1506" s="107"/>
      <c r="J1506" s="107"/>
      <c r="K1506" s="139"/>
    </row>
    <row r="1507" spans="1:11">
      <c r="A1507" s="107"/>
      <c r="B1507" s="103"/>
      <c r="C1507" s="109"/>
      <c r="D1507" s="103"/>
      <c r="E1507" s="103"/>
      <c r="F1507" s="103"/>
      <c r="G1507" s="103"/>
      <c r="H1507" s="107"/>
      <c r="I1507" s="107"/>
      <c r="J1507" s="107"/>
      <c r="K1507" s="139"/>
    </row>
    <row r="1508" spans="1:11">
      <c r="A1508" s="107"/>
      <c r="B1508" s="103"/>
      <c r="C1508" s="109"/>
      <c r="D1508" s="103"/>
      <c r="E1508" s="103"/>
      <c r="F1508" s="103"/>
      <c r="G1508" s="103"/>
      <c r="H1508" s="107"/>
      <c r="I1508" s="107"/>
      <c r="J1508" s="107"/>
      <c r="K1508" s="139"/>
    </row>
    <row r="1509" spans="1:11">
      <c r="A1509" s="107"/>
      <c r="B1509" s="103"/>
      <c r="C1509" s="109"/>
      <c r="D1509" s="103"/>
      <c r="E1509" s="103"/>
      <c r="F1509" s="103"/>
      <c r="G1509" s="103"/>
      <c r="H1509" s="107"/>
      <c r="I1509" s="107"/>
      <c r="J1509" s="107"/>
      <c r="K1509" s="139"/>
    </row>
    <row r="1510" spans="1:11">
      <c r="A1510" s="107"/>
      <c r="B1510" s="103"/>
      <c r="C1510" s="109"/>
      <c r="D1510" s="103"/>
      <c r="E1510" s="103"/>
      <c r="F1510" s="103"/>
      <c r="G1510" s="103"/>
      <c r="H1510" s="107"/>
      <c r="I1510" s="107"/>
      <c r="J1510" s="107"/>
      <c r="K1510" s="139"/>
    </row>
    <row r="1511" spans="1:11">
      <c r="A1511" s="107"/>
      <c r="B1511" s="103"/>
      <c r="C1511" s="109"/>
      <c r="D1511" s="103"/>
      <c r="E1511" s="103"/>
      <c r="F1511" s="103"/>
      <c r="G1511" s="103"/>
      <c r="H1511" s="107"/>
      <c r="I1511" s="107"/>
      <c r="J1511" s="107"/>
      <c r="K1511" s="139"/>
    </row>
    <row r="1512" spans="1:11">
      <c r="A1512" s="107"/>
      <c r="B1512" s="103"/>
      <c r="C1512" s="109"/>
      <c r="D1512" s="103"/>
      <c r="E1512" s="103"/>
      <c r="F1512" s="103"/>
      <c r="G1512" s="103"/>
      <c r="H1512" s="107"/>
      <c r="I1512" s="107"/>
      <c r="J1512" s="107"/>
      <c r="K1512" s="139"/>
    </row>
    <row r="1513" spans="1:11">
      <c r="A1513" s="107"/>
      <c r="B1513" s="103"/>
      <c r="C1513" s="109"/>
      <c r="D1513" s="103"/>
      <c r="E1513" s="103"/>
      <c r="F1513" s="103"/>
      <c r="G1513" s="103"/>
      <c r="H1513" s="107"/>
      <c r="I1513" s="107"/>
      <c r="J1513" s="107"/>
      <c r="K1513" s="139"/>
    </row>
    <row r="1514" spans="1:11">
      <c r="A1514" s="107"/>
      <c r="B1514" s="103"/>
      <c r="C1514" s="109"/>
      <c r="D1514" s="103"/>
      <c r="E1514" s="103"/>
      <c r="F1514" s="103"/>
      <c r="G1514" s="103"/>
      <c r="H1514" s="107"/>
      <c r="I1514" s="107"/>
      <c r="J1514" s="107"/>
      <c r="K1514" s="139"/>
    </row>
    <row r="1515" spans="1:11">
      <c r="A1515" s="107"/>
      <c r="B1515" s="103"/>
      <c r="C1515" s="109"/>
      <c r="D1515" s="103"/>
      <c r="E1515" s="103"/>
      <c r="F1515" s="103"/>
      <c r="G1515" s="103"/>
      <c r="H1515" s="107"/>
      <c r="I1515" s="107"/>
      <c r="J1515" s="107"/>
      <c r="K1515" s="139"/>
    </row>
    <row r="1516" spans="1:11">
      <c r="A1516" s="107"/>
      <c r="B1516" s="103"/>
      <c r="C1516" s="109"/>
      <c r="D1516" s="103"/>
      <c r="E1516" s="103"/>
      <c r="F1516" s="103"/>
      <c r="G1516" s="103"/>
      <c r="H1516" s="107"/>
      <c r="I1516" s="107"/>
      <c r="J1516" s="107"/>
      <c r="K1516" s="139"/>
    </row>
    <row r="1517" spans="1:11">
      <c r="A1517" s="107"/>
      <c r="B1517" s="103"/>
      <c r="C1517" s="109"/>
      <c r="D1517" s="103"/>
      <c r="E1517" s="103"/>
      <c r="F1517" s="103"/>
      <c r="G1517" s="103"/>
      <c r="H1517" s="107"/>
      <c r="I1517" s="107"/>
      <c r="J1517" s="107"/>
      <c r="K1517" s="139"/>
    </row>
    <row r="1518" spans="1:11">
      <c r="A1518" s="107"/>
      <c r="B1518" s="103"/>
      <c r="C1518" s="109"/>
      <c r="D1518" s="103"/>
      <c r="E1518" s="103"/>
      <c r="F1518" s="103"/>
      <c r="G1518" s="103"/>
      <c r="H1518" s="107"/>
      <c r="I1518" s="107"/>
      <c r="J1518" s="107"/>
      <c r="K1518" s="139"/>
    </row>
    <row r="1519" spans="1:11">
      <c r="A1519" s="107"/>
      <c r="B1519" s="103"/>
      <c r="C1519" s="109"/>
      <c r="D1519" s="103"/>
      <c r="E1519" s="103"/>
      <c r="F1519" s="103"/>
      <c r="G1519" s="103"/>
      <c r="H1519" s="107"/>
      <c r="I1519" s="107"/>
      <c r="J1519" s="107"/>
      <c r="K1519" s="139"/>
    </row>
    <row r="1520" spans="1:11">
      <c r="A1520" s="107"/>
      <c r="B1520" s="103"/>
      <c r="C1520" s="109"/>
      <c r="D1520" s="103"/>
      <c r="E1520" s="103"/>
      <c r="F1520" s="103"/>
      <c r="G1520" s="103"/>
      <c r="H1520" s="107"/>
      <c r="I1520" s="107"/>
      <c r="J1520" s="107"/>
      <c r="K1520" s="139"/>
    </row>
    <row r="1521" spans="1:11">
      <c r="A1521" s="107"/>
      <c r="B1521" s="103"/>
      <c r="C1521" s="109"/>
      <c r="D1521" s="103"/>
      <c r="E1521" s="103"/>
      <c r="F1521" s="103"/>
      <c r="G1521" s="103"/>
      <c r="H1521" s="107"/>
      <c r="I1521" s="107"/>
      <c r="J1521" s="107"/>
      <c r="K1521" s="139"/>
    </row>
    <row r="1522" spans="1:11">
      <c r="A1522" s="107"/>
      <c r="B1522" s="103"/>
      <c r="C1522" s="109"/>
      <c r="D1522" s="103"/>
      <c r="E1522" s="103"/>
      <c r="F1522" s="103"/>
      <c r="G1522" s="103"/>
      <c r="H1522" s="107"/>
      <c r="I1522" s="107"/>
      <c r="J1522" s="107"/>
      <c r="K1522" s="139"/>
    </row>
    <row r="1523" spans="1:11">
      <c r="A1523" s="107"/>
      <c r="B1523" s="103"/>
      <c r="C1523" s="109"/>
      <c r="D1523" s="103"/>
      <c r="E1523" s="103"/>
      <c r="F1523" s="103"/>
      <c r="G1523" s="103"/>
      <c r="H1523" s="107"/>
      <c r="I1523" s="107"/>
      <c r="J1523" s="107"/>
      <c r="K1523" s="139"/>
    </row>
    <row r="1524" spans="1:11">
      <c r="A1524" s="107"/>
      <c r="B1524" s="103"/>
      <c r="C1524" s="109"/>
      <c r="D1524" s="103"/>
      <c r="E1524" s="103"/>
      <c r="F1524" s="103"/>
      <c r="G1524" s="103"/>
      <c r="H1524" s="107"/>
      <c r="I1524" s="107"/>
      <c r="J1524" s="107"/>
      <c r="K1524" s="139"/>
    </row>
    <row r="1525" spans="1:11">
      <c r="A1525" s="107"/>
      <c r="B1525" s="103"/>
      <c r="C1525" s="109"/>
      <c r="D1525" s="103"/>
      <c r="E1525" s="103"/>
      <c r="F1525" s="103"/>
      <c r="G1525" s="103"/>
      <c r="H1525" s="107"/>
      <c r="I1525" s="107"/>
      <c r="J1525" s="107"/>
      <c r="K1525" s="139"/>
    </row>
    <row r="1526" spans="1:11">
      <c r="A1526" s="107"/>
      <c r="B1526" s="103"/>
      <c r="C1526" s="109"/>
      <c r="D1526" s="103"/>
      <c r="E1526" s="103"/>
      <c r="F1526" s="103"/>
      <c r="G1526" s="103"/>
      <c r="H1526" s="107"/>
      <c r="I1526" s="107"/>
      <c r="J1526" s="107"/>
      <c r="K1526" s="139"/>
    </row>
    <row r="1527" spans="1:11">
      <c r="A1527" s="107"/>
      <c r="B1527" s="103"/>
      <c r="C1527" s="109"/>
      <c r="D1527" s="103"/>
      <c r="E1527" s="103"/>
      <c r="F1527" s="103"/>
      <c r="G1527" s="103"/>
      <c r="H1527" s="107"/>
      <c r="I1527" s="107"/>
      <c r="J1527" s="107"/>
      <c r="K1527" s="139"/>
    </row>
    <row r="1528" spans="1:11">
      <c r="A1528" s="107"/>
      <c r="B1528" s="103"/>
      <c r="C1528" s="109"/>
      <c r="D1528" s="103"/>
      <c r="E1528" s="103"/>
      <c r="F1528" s="103"/>
      <c r="G1528" s="103"/>
      <c r="H1528" s="107"/>
      <c r="I1528" s="107"/>
      <c r="J1528" s="107"/>
      <c r="K1528" s="139"/>
    </row>
    <row r="1529" spans="1:11">
      <c r="A1529" s="107"/>
      <c r="B1529" s="103"/>
      <c r="C1529" s="109"/>
      <c r="D1529" s="103"/>
      <c r="E1529" s="103"/>
      <c r="F1529" s="103"/>
      <c r="G1529" s="103"/>
      <c r="H1529" s="107"/>
      <c r="I1529" s="107"/>
      <c r="J1529" s="107"/>
      <c r="K1529" s="139"/>
    </row>
    <row r="1530" spans="1:11">
      <c r="A1530" s="107"/>
      <c r="B1530" s="103"/>
      <c r="C1530" s="109"/>
      <c r="D1530" s="103"/>
      <c r="E1530" s="103"/>
      <c r="F1530" s="103"/>
      <c r="G1530" s="103"/>
      <c r="H1530" s="107"/>
      <c r="I1530" s="107"/>
      <c r="J1530" s="107"/>
      <c r="K1530" s="139"/>
    </row>
    <row r="1531" spans="1:11">
      <c r="A1531" s="107"/>
      <c r="B1531" s="103"/>
      <c r="C1531" s="109"/>
      <c r="D1531" s="103"/>
      <c r="E1531" s="103"/>
      <c r="F1531" s="103"/>
      <c r="G1531" s="103"/>
      <c r="H1531" s="107"/>
      <c r="I1531" s="107"/>
      <c r="J1531" s="107"/>
      <c r="K1531" s="139"/>
    </row>
    <row r="1532" spans="1:11">
      <c r="A1532" s="107"/>
      <c r="B1532" s="103"/>
      <c r="C1532" s="109"/>
      <c r="D1532" s="103"/>
      <c r="E1532" s="103"/>
      <c r="F1532" s="103"/>
      <c r="G1532" s="103"/>
      <c r="H1532" s="107"/>
      <c r="I1532" s="107"/>
      <c r="J1532" s="107"/>
      <c r="K1532" s="139"/>
    </row>
    <row r="1533" spans="1:11">
      <c r="A1533" s="107"/>
      <c r="B1533" s="103"/>
      <c r="C1533" s="109"/>
      <c r="D1533" s="103"/>
      <c r="E1533" s="103"/>
      <c r="F1533" s="103"/>
      <c r="G1533" s="103"/>
      <c r="H1533" s="107"/>
      <c r="I1533" s="107"/>
      <c r="J1533" s="107"/>
      <c r="K1533" s="139"/>
    </row>
    <row r="1534" spans="1:11">
      <c r="A1534" s="107"/>
      <c r="B1534" s="103"/>
      <c r="C1534" s="109"/>
      <c r="D1534" s="103"/>
      <c r="E1534" s="103"/>
      <c r="F1534" s="103"/>
      <c r="G1534" s="103"/>
      <c r="H1534" s="107"/>
      <c r="I1534" s="107"/>
      <c r="J1534" s="107"/>
      <c r="K1534" s="139"/>
    </row>
    <row r="1535" spans="1:11">
      <c r="A1535" s="107"/>
      <c r="B1535" s="103"/>
      <c r="C1535" s="109"/>
      <c r="D1535" s="103"/>
      <c r="E1535" s="103"/>
      <c r="F1535" s="103"/>
      <c r="G1535" s="103"/>
      <c r="H1535" s="107"/>
      <c r="I1535" s="107"/>
      <c r="J1535" s="107"/>
      <c r="K1535" s="139"/>
    </row>
    <row r="1536" spans="1:11">
      <c r="A1536" s="107"/>
      <c r="B1536" s="103"/>
      <c r="C1536" s="109"/>
      <c r="D1536" s="103"/>
      <c r="E1536" s="103"/>
      <c r="F1536" s="103"/>
      <c r="G1536" s="103"/>
      <c r="H1536" s="107"/>
      <c r="I1536" s="107"/>
      <c r="J1536" s="107"/>
      <c r="K1536" s="139"/>
    </row>
    <row r="1537" spans="1:11">
      <c r="A1537" s="107"/>
      <c r="B1537" s="103"/>
      <c r="C1537" s="109"/>
      <c r="D1537" s="103"/>
      <c r="E1537" s="103"/>
      <c r="F1537" s="103"/>
      <c r="G1537" s="103"/>
      <c r="H1537" s="107"/>
      <c r="I1537" s="107"/>
      <c r="J1537" s="107"/>
      <c r="K1537" s="139"/>
    </row>
    <row r="1538" spans="1:11">
      <c r="A1538" s="107"/>
      <c r="B1538" s="103"/>
      <c r="C1538" s="109"/>
      <c r="D1538" s="103"/>
      <c r="E1538" s="103"/>
      <c r="F1538" s="103"/>
      <c r="G1538" s="103"/>
      <c r="H1538" s="107"/>
      <c r="I1538" s="107"/>
      <c r="J1538" s="107"/>
      <c r="K1538" s="139"/>
    </row>
    <row r="1539" spans="1:11">
      <c r="A1539" s="107"/>
      <c r="B1539" s="103"/>
      <c r="C1539" s="109"/>
      <c r="D1539" s="103"/>
      <c r="E1539" s="103"/>
      <c r="F1539" s="103"/>
      <c r="G1539" s="103"/>
      <c r="H1539" s="107"/>
      <c r="I1539" s="107"/>
      <c r="J1539" s="107"/>
      <c r="K1539" s="139"/>
    </row>
    <row r="1540" spans="1:11">
      <c r="A1540" s="107"/>
      <c r="B1540" s="103"/>
      <c r="C1540" s="109"/>
      <c r="D1540" s="103"/>
      <c r="E1540" s="103"/>
      <c r="F1540" s="103"/>
      <c r="G1540" s="103"/>
      <c r="H1540" s="107"/>
      <c r="I1540" s="107"/>
      <c r="J1540" s="107"/>
      <c r="K1540" s="139"/>
    </row>
    <row r="1541" spans="1:11">
      <c r="A1541" s="107"/>
      <c r="B1541" s="103"/>
      <c r="C1541" s="109"/>
      <c r="D1541" s="103"/>
      <c r="E1541" s="103"/>
      <c r="F1541" s="103"/>
      <c r="G1541" s="103"/>
      <c r="H1541" s="107"/>
      <c r="I1541" s="107"/>
      <c r="J1541" s="107"/>
      <c r="K1541" s="139"/>
    </row>
    <row r="1542" spans="1:11">
      <c r="A1542" s="107"/>
      <c r="B1542" s="103"/>
      <c r="C1542" s="109"/>
      <c r="D1542" s="103"/>
      <c r="E1542" s="103"/>
      <c r="F1542" s="103"/>
      <c r="G1542" s="103"/>
      <c r="H1542" s="107"/>
      <c r="I1542" s="107"/>
      <c r="J1542" s="107"/>
      <c r="K1542" s="139"/>
    </row>
    <row r="1543" spans="1:11">
      <c r="A1543" s="107"/>
      <c r="B1543" s="103"/>
      <c r="C1543" s="109"/>
      <c r="D1543" s="103"/>
      <c r="E1543" s="103"/>
      <c r="F1543" s="103"/>
      <c r="G1543" s="103"/>
      <c r="H1543" s="107"/>
      <c r="I1543" s="107"/>
      <c r="J1543" s="107"/>
      <c r="K1543" s="139"/>
    </row>
    <row r="1544" spans="1:11">
      <c r="A1544" s="107"/>
      <c r="B1544" s="103"/>
      <c r="C1544" s="109"/>
      <c r="D1544" s="103"/>
      <c r="E1544" s="103"/>
      <c r="F1544" s="103"/>
      <c r="G1544" s="103"/>
      <c r="H1544" s="107"/>
      <c r="I1544" s="107"/>
      <c r="J1544" s="107"/>
      <c r="K1544" s="139"/>
    </row>
    <row r="1545" spans="1:11">
      <c r="A1545" s="107"/>
      <c r="B1545" s="103"/>
      <c r="C1545" s="109"/>
      <c r="D1545" s="103"/>
      <c r="E1545" s="103"/>
      <c r="F1545" s="103"/>
      <c r="G1545" s="103"/>
      <c r="H1545" s="107"/>
      <c r="I1545" s="107"/>
      <c r="J1545" s="107"/>
      <c r="K1545" s="139"/>
    </row>
    <row r="1546" spans="1:11">
      <c r="A1546" s="107"/>
      <c r="B1546" s="103"/>
      <c r="C1546" s="109"/>
      <c r="D1546" s="103"/>
      <c r="E1546" s="103"/>
      <c r="F1546" s="103"/>
      <c r="G1546" s="103"/>
      <c r="H1546" s="107"/>
      <c r="I1546" s="107"/>
      <c r="J1546" s="107"/>
      <c r="K1546" s="139"/>
    </row>
    <row r="1547" spans="1:11">
      <c r="A1547" s="107"/>
      <c r="B1547" s="103"/>
      <c r="C1547" s="109"/>
      <c r="D1547" s="103"/>
      <c r="E1547" s="103"/>
      <c r="F1547" s="103"/>
      <c r="G1547" s="103"/>
      <c r="H1547" s="107"/>
      <c r="I1547" s="107"/>
      <c r="J1547" s="107"/>
      <c r="K1547" s="139"/>
    </row>
    <row r="1548" spans="1:11">
      <c r="A1548" s="107"/>
      <c r="B1548" s="103"/>
      <c r="C1548" s="109"/>
      <c r="D1548" s="103"/>
      <c r="E1548" s="103"/>
      <c r="F1548" s="103"/>
      <c r="G1548" s="103"/>
      <c r="H1548" s="107"/>
      <c r="I1548" s="107"/>
      <c r="J1548" s="107"/>
      <c r="K1548" s="139"/>
    </row>
    <row r="1549" spans="1:11">
      <c r="A1549" s="107"/>
      <c r="B1549" s="103"/>
      <c r="C1549" s="109"/>
      <c r="D1549" s="103"/>
      <c r="E1549" s="103"/>
      <c r="F1549" s="103"/>
      <c r="G1549" s="103"/>
      <c r="H1549" s="107"/>
      <c r="I1549" s="107"/>
      <c r="J1549" s="107"/>
      <c r="K1549" s="139"/>
    </row>
    <row r="1550" spans="1:11">
      <c r="A1550" s="107"/>
      <c r="B1550" s="103"/>
      <c r="C1550" s="109"/>
      <c r="D1550" s="103"/>
      <c r="E1550" s="103"/>
      <c r="F1550" s="103"/>
      <c r="G1550" s="103"/>
      <c r="H1550" s="107"/>
      <c r="I1550" s="107"/>
      <c r="J1550" s="107"/>
      <c r="K1550" s="139"/>
    </row>
    <row r="1551" spans="1:11">
      <c r="A1551" s="107"/>
      <c r="B1551" s="103"/>
      <c r="C1551" s="109"/>
      <c r="D1551" s="103"/>
      <c r="E1551" s="103"/>
      <c r="F1551" s="103"/>
      <c r="G1551" s="103"/>
      <c r="H1551" s="107"/>
      <c r="I1551" s="107"/>
      <c r="J1551" s="107"/>
      <c r="K1551" s="139"/>
    </row>
    <row r="1552" spans="1:11">
      <c r="A1552" s="107"/>
      <c r="B1552" s="103"/>
      <c r="C1552" s="109"/>
      <c r="D1552" s="103"/>
      <c r="E1552" s="103"/>
      <c r="F1552" s="103"/>
      <c r="G1552" s="103"/>
      <c r="H1552" s="107"/>
      <c r="I1552" s="107"/>
      <c r="J1552" s="107"/>
      <c r="K1552" s="139"/>
    </row>
    <row r="1553" spans="1:11">
      <c r="A1553" s="107"/>
      <c r="B1553" s="103"/>
      <c r="C1553" s="109"/>
      <c r="D1553" s="103"/>
      <c r="E1553" s="103"/>
      <c r="F1553" s="103"/>
      <c r="G1553" s="103"/>
      <c r="H1553" s="107"/>
      <c r="I1553" s="107"/>
      <c r="J1553" s="107"/>
      <c r="K1553" s="139"/>
    </row>
    <row r="1554" spans="1:11">
      <c r="A1554" s="107"/>
      <c r="B1554" s="103"/>
      <c r="C1554" s="109"/>
      <c r="D1554" s="103"/>
      <c r="E1554" s="103"/>
      <c r="F1554" s="103"/>
      <c r="G1554" s="103"/>
      <c r="H1554" s="107"/>
      <c r="I1554" s="107"/>
      <c r="J1554" s="107"/>
      <c r="K1554" s="139"/>
    </row>
    <row r="1555" spans="1:11">
      <c r="A1555" s="107"/>
      <c r="B1555" s="103"/>
      <c r="C1555" s="109"/>
      <c r="D1555" s="103"/>
      <c r="E1555" s="103"/>
      <c r="F1555" s="103"/>
      <c r="G1555" s="103"/>
      <c r="H1555" s="107"/>
      <c r="I1555" s="107"/>
      <c r="J1555" s="107"/>
      <c r="K1555" s="139"/>
    </row>
    <row r="1556" spans="1:11">
      <c r="A1556" s="107"/>
      <c r="B1556" s="103"/>
      <c r="C1556" s="109"/>
      <c r="D1556" s="103"/>
      <c r="E1556" s="103"/>
      <c r="F1556" s="103"/>
      <c r="G1556" s="103"/>
      <c r="H1556" s="107"/>
      <c r="I1556" s="107"/>
      <c r="J1556" s="107"/>
      <c r="K1556" s="139"/>
    </row>
    <row r="1557" spans="1:11">
      <c r="A1557" s="107"/>
      <c r="B1557" s="103"/>
      <c r="C1557" s="109"/>
      <c r="D1557" s="103"/>
      <c r="E1557" s="103"/>
      <c r="F1557" s="103"/>
      <c r="G1557" s="103"/>
      <c r="H1557" s="107"/>
      <c r="I1557" s="107"/>
      <c r="J1557" s="107"/>
      <c r="K1557" s="139"/>
    </row>
    <row r="1558" spans="1:11">
      <c r="A1558" s="107"/>
      <c r="B1558" s="103"/>
      <c r="C1558" s="109"/>
      <c r="D1558" s="103"/>
      <c r="E1558" s="103"/>
      <c r="F1558" s="103"/>
      <c r="G1558" s="103"/>
      <c r="H1558" s="107"/>
      <c r="I1558" s="107"/>
      <c r="J1558" s="107"/>
      <c r="K1558" s="139"/>
    </row>
    <row r="1559" spans="1:11">
      <c r="A1559" s="107"/>
      <c r="B1559" s="103"/>
      <c r="C1559" s="109"/>
      <c r="D1559" s="103"/>
      <c r="E1559" s="103"/>
      <c r="F1559" s="103"/>
      <c r="G1559" s="103"/>
      <c r="H1559" s="107"/>
      <c r="I1559" s="107"/>
      <c r="J1559" s="107"/>
      <c r="K1559" s="139"/>
    </row>
    <row r="1560" spans="1:11">
      <c r="A1560" s="107"/>
      <c r="B1560" s="103"/>
      <c r="C1560" s="109"/>
      <c r="D1560" s="103"/>
      <c r="E1560" s="103"/>
      <c r="F1560" s="103"/>
      <c r="G1560" s="103"/>
      <c r="H1560" s="107"/>
      <c r="I1560" s="107"/>
      <c r="J1560" s="107"/>
      <c r="K1560" s="139"/>
    </row>
    <row r="1561" spans="1:11">
      <c r="A1561" s="107"/>
      <c r="B1561" s="103"/>
      <c r="C1561" s="109"/>
      <c r="D1561" s="103"/>
      <c r="E1561" s="103"/>
      <c r="F1561" s="103"/>
      <c r="G1561" s="103"/>
      <c r="H1561" s="107"/>
      <c r="I1561" s="107"/>
      <c r="J1561" s="107"/>
      <c r="K1561" s="139"/>
    </row>
    <row r="1562" spans="1:11">
      <c r="A1562" s="107"/>
      <c r="B1562" s="103"/>
      <c r="C1562" s="109"/>
      <c r="D1562" s="103"/>
      <c r="E1562" s="103"/>
      <c r="F1562" s="103"/>
      <c r="G1562" s="103"/>
      <c r="H1562" s="107"/>
      <c r="I1562" s="107"/>
      <c r="J1562" s="107"/>
      <c r="K1562" s="139"/>
    </row>
    <row r="1563" spans="1:11">
      <c r="A1563" s="107"/>
      <c r="B1563" s="103"/>
      <c r="C1563" s="109"/>
      <c r="D1563" s="103"/>
      <c r="E1563" s="103"/>
      <c r="F1563" s="103"/>
      <c r="G1563" s="103"/>
      <c r="H1563" s="107"/>
      <c r="I1563" s="107"/>
      <c r="J1563" s="107"/>
      <c r="K1563" s="139"/>
    </row>
    <row r="1564" spans="1:11">
      <c r="A1564" s="107"/>
      <c r="B1564" s="103"/>
      <c r="C1564" s="109"/>
      <c r="D1564" s="103"/>
      <c r="E1564" s="103"/>
      <c r="F1564" s="103"/>
      <c r="G1564" s="103"/>
      <c r="H1564" s="107"/>
      <c r="I1564" s="107"/>
      <c r="J1564" s="107"/>
      <c r="K1564" s="139"/>
    </row>
    <row r="1565" spans="1:11">
      <c r="A1565" s="107"/>
      <c r="B1565" s="103"/>
      <c r="C1565" s="109"/>
      <c r="D1565" s="103"/>
      <c r="E1565" s="103"/>
      <c r="F1565" s="103"/>
      <c r="G1565" s="103"/>
      <c r="H1565" s="107"/>
      <c r="I1565" s="107"/>
      <c r="J1565" s="107"/>
      <c r="K1565" s="139"/>
    </row>
    <row r="1566" spans="1:11">
      <c r="A1566" s="107"/>
      <c r="B1566" s="103"/>
      <c r="C1566" s="109"/>
      <c r="D1566" s="103"/>
      <c r="E1566" s="103"/>
      <c r="F1566" s="103"/>
      <c r="G1566" s="103"/>
      <c r="H1566" s="107"/>
      <c r="I1566" s="107"/>
      <c r="J1566" s="107"/>
      <c r="K1566" s="139"/>
    </row>
    <row r="1567" spans="1:11">
      <c r="A1567" s="107"/>
      <c r="B1567" s="103"/>
      <c r="C1567" s="109"/>
      <c r="D1567" s="103"/>
      <c r="E1567" s="103"/>
      <c r="F1567" s="103"/>
      <c r="G1567" s="103"/>
      <c r="H1567" s="107"/>
      <c r="I1567" s="107"/>
      <c r="J1567" s="107"/>
      <c r="K1567" s="139"/>
    </row>
    <row r="1568" spans="1:11">
      <c r="A1568" s="107"/>
      <c r="B1568" s="103"/>
      <c r="C1568" s="109"/>
      <c r="D1568" s="103"/>
      <c r="E1568" s="103"/>
      <c r="F1568" s="103"/>
      <c r="G1568" s="103"/>
      <c r="H1568" s="107"/>
      <c r="I1568" s="107"/>
      <c r="J1568" s="107"/>
      <c r="K1568" s="139"/>
    </row>
    <row r="1569" spans="1:11">
      <c r="A1569" s="107"/>
      <c r="B1569" s="103"/>
      <c r="C1569" s="109"/>
      <c r="D1569" s="103"/>
      <c r="E1569" s="103"/>
      <c r="F1569" s="103"/>
      <c r="G1569" s="103"/>
      <c r="H1569" s="107"/>
      <c r="I1569" s="107"/>
      <c r="J1569" s="107"/>
      <c r="K1569" s="139"/>
    </row>
    <row r="1570" spans="1:11">
      <c r="A1570" s="107"/>
      <c r="B1570" s="103"/>
      <c r="C1570" s="109"/>
      <c r="D1570" s="103"/>
      <c r="E1570" s="103"/>
      <c r="F1570" s="103"/>
      <c r="G1570" s="103"/>
      <c r="H1570" s="107"/>
      <c r="I1570" s="107"/>
      <c r="J1570" s="107"/>
      <c r="K1570" s="139"/>
    </row>
    <row r="1571" spans="1:11">
      <c r="A1571" s="107"/>
      <c r="B1571" s="103"/>
      <c r="C1571" s="109"/>
      <c r="D1571" s="103"/>
      <c r="E1571" s="103"/>
      <c r="F1571" s="103"/>
      <c r="G1571" s="103"/>
      <c r="H1571" s="107"/>
      <c r="I1571" s="107"/>
      <c r="J1571" s="107"/>
      <c r="K1571" s="139"/>
    </row>
    <row r="1572" spans="1:11">
      <c r="A1572" s="107"/>
      <c r="B1572" s="103"/>
      <c r="C1572" s="109"/>
      <c r="D1572" s="103"/>
      <c r="E1572" s="103"/>
      <c r="F1572" s="103"/>
      <c r="G1572" s="103"/>
      <c r="H1572" s="107"/>
      <c r="I1572" s="107"/>
      <c r="J1572" s="107"/>
      <c r="K1572" s="139"/>
    </row>
    <row r="1573" spans="1:11">
      <c r="A1573" s="107"/>
      <c r="B1573" s="103"/>
      <c r="C1573" s="109"/>
      <c r="D1573" s="103"/>
      <c r="E1573" s="103"/>
      <c r="F1573" s="103"/>
      <c r="G1573" s="103"/>
      <c r="H1573" s="107"/>
      <c r="I1573" s="107"/>
      <c r="J1573" s="107"/>
      <c r="K1573" s="139"/>
    </row>
    <row r="1574" spans="1:11">
      <c r="A1574" s="107"/>
      <c r="B1574" s="103"/>
      <c r="C1574" s="109"/>
      <c r="D1574" s="103"/>
      <c r="E1574" s="103"/>
      <c r="F1574" s="103"/>
      <c r="G1574" s="103"/>
      <c r="H1574" s="107"/>
      <c r="I1574" s="107"/>
      <c r="J1574" s="107"/>
      <c r="K1574" s="139"/>
    </row>
    <row r="1575" spans="1:11">
      <c r="A1575" s="107"/>
      <c r="B1575" s="103"/>
      <c r="C1575" s="109"/>
      <c r="D1575" s="103"/>
      <c r="E1575" s="103"/>
      <c r="F1575" s="103"/>
      <c r="G1575" s="103"/>
      <c r="H1575" s="107"/>
      <c r="I1575" s="107"/>
      <c r="J1575" s="107"/>
      <c r="K1575" s="139"/>
    </row>
    <row r="1576" spans="1:11">
      <c r="A1576" s="107"/>
      <c r="B1576" s="103"/>
      <c r="C1576" s="109"/>
      <c r="D1576" s="103"/>
      <c r="E1576" s="103"/>
      <c r="F1576" s="103"/>
      <c r="G1576" s="103"/>
      <c r="H1576" s="107"/>
      <c r="I1576" s="107"/>
      <c r="J1576" s="107"/>
      <c r="K1576" s="139"/>
    </row>
    <row r="1577" spans="1:11">
      <c r="A1577" s="107"/>
      <c r="B1577" s="103"/>
      <c r="C1577" s="109"/>
      <c r="D1577" s="103"/>
      <c r="E1577" s="103"/>
      <c r="F1577" s="103"/>
      <c r="G1577" s="103"/>
      <c r="H1577" s="107"/>
      <c r="I1577" s="107"/>
      <c r="J1577" s="107"/>
      <c r="K1577" s="1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51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9.21875" customWidth="1"/>
    <col min="11" max="11" width="22.218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>
      <c r="A2" s="140" t="s">
        <v>45</v>
      </c>
      <c r="B2" s="140">
        <v>1080</v>
      </c>
      <c r="C2" s="104">
        <v>1.92</v>
      </c>
      <c r="D2" s="103">
        <v>6.4000000000000001E-2</v>
      </c>
      <c r="E2" s="103"/>
      <c r="F2" s="103"/>
      <c r="G2" s="103"/>
      <c r="H2" s="103"/>
      <c r="I2" s="140" t="s">
        <v>12</v>
      </c>
      <c r="J2" s="103"/>
      <c r="K2" s="104"/>
    </row>
    <row r="3" spans="1:11">
      <c r="A3" s="140" t="s">
        <v>45</v>
      </c>
      <c r="B3" s="140">
        <v>1440</v>
      </c>
      <c r="C3" s="141">
        <v>1.92</v>
      </c>
      <c r="D3" s="103">
        <v>6.4000000000000001E-2</v>
      </c>
      <c r="E3" s="103"/>
      <c r="F3" s="103"/>
      <c r="G3" s="103"/>
      <c r="H3" s="103"/>
      <c r="I3" s="140" t="s">
        <v>12</v>
      </c>
      <c r="J3" s="103"/>
      <c r="K3" s="104"/>
    </row>
    <row r="4" spans="1:11">
      <c r="A4" s="140" t="s">
        <v>45</v>
      </c>
      <c r="B4" s="103">
        <v>1980</v>
      </c>
      <c r="C4" s="104">
        <v>1.92</v>
      </c>
      <c r="D4" s="103">
        <v>6.4000000000000001E-2</v>
      </c>
      <c r="E4" s="103"/>
      <c r="F4" s="103"/>
      <c r="G4" s="103"/>
      <c r="H4" s="103"/>
      <c r="I4" s="103" t="s">
        <v>12</v>
      </c>
      <c r="J4" s="103"/>
      <c r="K4" s="104"/>
    </row>
    <row r="5" spans="1:11">
      <c r="A5" s="140" t="s">
        <v>45</v>
      </c>
      <c r="B5" s="103">
        <v>900</v>
      </c>
      <c r="C5" s="104">
        <v>1.92</v>
      </c>
      <c r="D5" s="103">
        <v>6.4000000000000001E-2</v>
      </c>
      <c r="E5" s="103"/>
      <c r="F5" s="103"/>
      <c r="G5" s="103"/>
      <c r="H5" s="103"/>
      <c r="I5" s="103" t="s">
        <v>12</v>
      </c>
      <c r="J5" s="103"/>
      <c r="K5" s="104"/>
    </row>
    <row r="6" spans="1:11">
      <c r="A6" s="140" t="s">
        <v>45</v>
      </c>
      <c r="B6" s="103">
        <v>1560</v>
      </c>
      <c r="C6" s="104">
        <v>1.92</v>
      </c>
      <c r="D6" s="103">
        <v>6.4000000000000001E-2</v>
      </c>
      <c r="E6" s="103"/>
      <c r="F6" s="103"/>
      <c r="G6" s="103"/>
      <c r="H6" s="103"/>
      <c r="I6" s="103" t="s">
        <v>12</v>
      </c>
      <c r="J6" s="103"/>
      <c r="K6" s="104"/>
    </row>
    <row r="7" spans="1:11">
      <c r="A7" s="140" t="s">
        <v>45</v>
      </c>
      <c r="B7" s="103">
        <v>2100</v>
      </c>
      <c r="C7" s="104">
        <v>1.92</v>
      </c>
      <c r="D7" s="103">
        <v>6.4000000000000001E-2</v>
      </c>
      <c r="E7" s="103"/>
      <c r="F7" s="103"/>
      <c r="G7" s="103"/>
      <c r="H7" s="103"/>
      <c r="I7" s="103" t="s">
        <v>12</v>
      </c>
      <c r="J7" s="103"/>
      <c r="K7" s="104"/>
    </row>
    <row r="8" spans="1:11">
      <c r="A8" s="140" t="s">
        <v>45</v>
      </c>
      <c r="B8" s="103">
        <v>840</v>
      </c>
      <c r="C8" s="104">
        <v>1.92</v>
      </c>
      <c r="D8" s="103">
        <v>6.4000000000000001E-2</v>
      </c>
      <c r="E8" s="103"/>
      <c r="F8" s="103"/>
      <c r="G8" s="103"/>
      <c r="H8" s="103"/>
      <c r="I8" s="103" t="s">
        <v>12</v>
      </c>
      <c r="J8" s="103"/>
      <c r="K8" s="104"/>
    </row>
    <row r="9" spans="1:11">
      <c r="A9" s="140" t="s">
        <v>45</v>
      </c>
      <c r="B9" s="103">
        <v>1200</v>
      </c>
      <c r="C9" s="104">
        <v>1.92</v>
      </c>
      <c r="D9" s="103">
        <v>6.4000000000000001E-2</v>
      </c>
      <c r="E9" s="103"/>
      <c r="F9" s="103"/>
      <c r="G9" s="103"/>
      <c r="H9" s="103"/>
      <c r="I9" s="103" t="s">
        <v>12</v>
      </c>
      <c r="J9" s="103"/>
      <c r="K9" s="104"/>
    </row>
    <row r="10" spans="1:11">
      <c r="A10" s="140" t="s">
        <v>45</v>
      </c>
      <c r="B10" s="103">
        <v>1560</v>
      </c>
      <c r="C10" s="104">
        <v>1.92</v>
      </c>
      <c r="D10" s="103">
        <v>6.4000000000000001E-2</v>
      </c>
      <c r="E10" s="103"/>
      <c r="F10" s="103"/>
      <c r="G10" s="103"/>
      <c r="H10" s="103"/>
      <c r="I10" s="103" t="s">
        <v>12</v>
      </c>
      <c r="J10" s="103"/>
      <c r="K10" s="104"/>
    </row>
    <row r="11" spans="1:11">
      <c r="A11" s="140" t="s">
        <v>45</v>
      </c>
      <c r="B11" s="103">
        <v>102</v>
      </c>
      <c r="C11" s="104">
        <v>0.52</v>
      </c>
      <c r="D11" s="103">
        <v>6.3899999999999998E-2</v>
      </c>
      <c r="E11" s="103"/>
      <c r="F11" s="103"/>
      <c r="G11" s="103"/>
      <c r="H11" s="103"/>
      <c r="I11" s="103" t="s">
        <v>12</v>
      </c>
      <c r="J11" s="103"/>
      <c r="K11" s="104"/>
    </row>
    <row r="12" spans="1:11">
      <c r="A12" s="140" t="s">
        <v>45</v>
      </c>
      <c r="B12" s="103">
        <v>186</v>
      </c>
      <c r="C12" s="104">
        <v>0.52</v>
      </c>
      <c r="D12" s="103">
        <v>6.3899999999999998E-2</v>
      </c>
      <c r="E12" s="103"/>
      <c r="F12" s="103"/>
      <c r="G12" s="103"/>
      <c r="H12" s="103"/>
      <c r="I12" s="103" t="s">
        <v>12</v>
      </c>
      <c r="J12" s="103"/>
      <c r="K12" s="104"/>
    </row>
    <row r="13" spans="1:11">
      <c r="A13" s="140" t="s">
        <v>45</v>
      </c>
      <c r="B13" s="103">
        <v>216</v>
      </c>
      <c r="C13" s="104">
        <v>0.52</v>
      </c>
      <c r="D13" s="103">
        <v>6.3899999999999998E-2</v>
      </c>
      <c r="E13" s="103"/>
      <c r="F13" s="103"/>
      <c r="G13" s="103"/>
      <c r="H13" s="103"/>
      <c r="I13" s="103" t="s">
        <v>12</v>
      </c>
      <c r="J13" s="103"/>
      <c r="K13" s="104"/>
    </row>
    <row r="14" spans="1:11">
      <c r="A14" s="140" t="s">
        <v>45</v>
      </c>
      <c r="B14" s="103">
        <v>162</v>
      </c>
      <c r="C14" s="104">
        <v>0.52</v>
      </c>
      <c r="D14" s="103">
        <v>6.4699999999999994E-2</v>
      </c>
      <c r="E14" s="103"/>
      <c r="F14" s="103"/>
      <c r="G14" s="103"/>
      <c r="H14" s="103"/>
      <c r="I14" s="103" t="s">
        <v>12</v>
      </c>
      <c r="J14" s="103"/>
      <c r="K14" s="104"/>
    </row>
    <row r="15" spans="1:11">
      <c r="A15" s="140" t="s">
        <v>45</v>
      </c>
      <c r="B15" s="103">
        <v>204</v>
      </c>
      <c r="C15" s="104">
        <v>0.52</v>
      </c>
      <c r="D15" s="103">
        <v>6.4699999999999994E-2</v>
      </c>
      <c r="E15" s="103"/>
      <c r="F15" s="103"/>
      <c r="G15" s="103"/>
      <c r="H15" s="103"/>
      <c r="I15" s="103" t="s">
        <v>12</v>
      </c>
      <c r="J15" s="103"/>
      <c r="K15" s="104"/>
    </row>
    <row r="16" spans="1:11">
      <c r="A16" s="140" t="s">
        <v>45</v>
      </c>
      <c r="B16" s="103">
        <v>306</v>
      </c>
      <c r="C16" s="104">
        <v>0.64600000000000002</v>
      </c>
      <c r="D16" s="103">
        <v>6.4500000000000002E-2</v>
      </c>
      <c r="E16" s="103"/>
      <c r="F16" s="103"/>
      <c r="G16" s="103"/>
      <c r="H16" s="103"/>
      <c r="I16" s="103" t="s">
        <v>12</v>
      </c>
      <c r="J16" s="103"/>
      <c r="K16" s="104"/>
    </row>
    <row r="17" spans="1:11">
      <c r="A17" s="140" t="s">
        <v>45</v>
      </c>
      <c r="B17" s="103">
        <v>426</v>
      </c>
      <c r="C17" s="104">
        <v>0.64600000000000002</v>
      </c>
      <c r="D17" s="103">
        <v>6.4500000000000002E-2</v>
      </c>
      <c r="E17" s="103"/>
      <c r="F17" s="103"/>
      <c r="G17" s="103"/>
      <c r="H17" s="103"/>
      <c r="I17" s="103" t="s">
        <v>12</v>
      </c>
      <c r="J17" s="103"/>
      <c r="K17" s="104"/>
    </row>
    <row r="18" spans="1:11">
      <c r="A18" s="140" t="s">
        <v>45</v>
      </c>
      <c r="B18" s="103">
        <v>1920</v>
      </c>
      <c r="C18" s="104">
        <v>1.95</v>
      </c>
      <c r="D18" s="103">
        <v>6.3899999999999998E-2</v>
      </c>
      <c r="E18" s="103"/>
      <c r="F18" s="103"/>
      <c r="G18" s="103"/>
      <c r="H18" s="103"/>
      <c r="I18" s="103" t="s">
        <v>12</v>
      </c>
      <c r="J18" s="103"/>
      <c r="K18" s="104"/>
    </row>
    <row r="19" spans="1:11">
      <c r="A19" s="140" t="s">
        <v>45</v>
      </c>
      <c r="B19" s="103">
        <v>2520</v>
      </c>
      <c r="C19" s="104">
        <v>1.95</v>
      </c>
      <c r="D19" s="103">
        <v>6.3899999999999998E-2</v>
      </c>
      <c r="E19" s="103"/>
      <c r="F19" s="103"/>
      <c r="G19" s="103"/>
      <c r="H19" s="103"/>
      <c r="I19" s="103" t="s">
        <v>12</v>
      </c>
      <c r="J19" s="103"/>
      <c r="K19" s="104"/>
    </row>
    <row r="20" spans="1:11">
      <c r="A20" s="140" t="s">
        <v>45</v>
      </c>
      <c r="B20" s="103">
        <v>3420</v>
      </c>
      <c r="C20" s="104">
        <v>1.95</v>
      </c>
      <c r="D20" s="103">
        <v>6.3899999999999998E-2</v>
      </c>
      <c r="E20" s="103"/>
      <c r="F20" s="103"/>
      <c r="G20" s="103"/>
      <c r="H20" s="103"/>
      <c r="I20" s="103" t="s">
        <v>12</v>
      </c>
      <c r="J20" s="103"/>
      <c r="K20" s="104"/>
    </row>
    <row r="21" spans="1:11">
      <c r="A21" s="140" t="s">
        <v>45</v>
      </c>
      <c r="B21" s="103">
        <v>1740</v>
      </c>
      <c r="C21" s="104">
        <v>1.95</v>
      </c>
      <c r="D21" s="103">
        <v>6.4000000000000001E-2</v>
      </c>
      <c r="E21" s="103"/>
      <c r="F21" s="103"/>
      <c r="G21" s="103"/>
      <c r="H21" s="103"/>
      <c r="I21" s="103" t="s">
        <v>12</v>
      </c>
      <c r="J21" s="103"/>
      <c r="K21" s="104"/>
    </row>
    <row r="22" spans="1:11">
      <c r="A22" s="140" t="s">
        <v>45</v>
      </c>
      <c r="B22" s="103">
        <v>2100</v>
      </c>
      <c r="C22" s="104">
        <v>1.95</v>
      </c>
      <c r="D22" s="103">
        <v>6.4000000000000001E-2</v>
      </c>
      <c r="E22" s="103"/>
      <c r="F22" s="103"/>
      <c r="G22" s="103"/>
      <c r="H22" s="103"/>
      <c r="I22" s="103" t="s">
        <v>12</v>
      </c>
      <c r="J22" s="103"/>
      <c r="K22" s="104"/>
    </row>
    <row r="23" spans="1:11">
      <c r="A23" s="140" t="s">
        <v>45</v>
      </c>
      <c r="B23" s="103">
        <v>2760</v>
      </c>
      <c r="C23" s="104">
        <v>1.95</v>
      </c>
      <c r="D23" s="103">
        <v>6.4000000000000001E-2</v>
      </c>
      <c r="E23" s="103"/>
      <c r="F23" s="103"/>
      <c r="G23" s="103"/>
      <c r="H23" s="103"/>
      <c r="I23" s="103" t="s">
        <v>12</v>
      </c>
      <c r="J23" s="103"/>
      <c r="K23" s="104"/>
    </row>
    <row r="24" spans="1:11">
      <c r="A24" s="140" t="s">
        <v>45</v>
      </c>
      <c r="B24" s="103">
        <v>2280</v>
      </c>
      <c r="C24" s="104">
        <v>1.95</v>
      </c>
      <c r="D24" s="103">
        <v>6.4000000000000001E-2</v>
      </c>
      <c r="E24" s="103"/>
      <c r="F24" s="103"/>
      <c r="G24" s="103"/>
      <c r="H24" s="103"/>
      <c r="I24" s="103" t="s">
        <v>12</v>
      </c>
      <c r="J24" s="103"/>
      <c r="K24" s="104"/>
    </row>
    <row r="25" spans="1:11">
      <c r="A25" s="140" t="s">
        <v>45</v>
      </c>
      <c r="B25" s="103">
        <v>2820</v>
      </c>
      <c r="C25" s="104">
        <v>1.95</v>
      </c>
      <c r="D25" s="103">
        <v>6.4000000000000001E-2</v>
      </c>
      <c r="E25" s="103"/>
      <c r="F25" s="103"/>
      <c r="G25" s="103"/>
      <c r="H25" s="103"/>
      <c r="I25" s="103" t="s">
        <v>12</v>
      </c>
      <c r="J25" s="103"/>
      <c r="K25" s="104"/>
    </row>
    <row r="26" spans="1:11">
      <c r="A26" s="140" t="s">
        <v>45</v>
      </c>
      <c r="B26" s="103">
        <v>3360</v>
      </c>
      <c r="C26" s="104">
        <v>1.95</v>
      </c>
      <c r="D26" s="103">
        <v>6.4000000000000001E-2</v>
      </c>
      <c r="E26" s="103"/>
      <c r="F26" s="103"/>
      <c r="G26" s="103"/>
      <c r="H26" s="103"/>
      <c r="I26" s="103" t="s">
        <v>12</v>
      </c>
      <c r="J26" s="103"/>
      <c r="K26" s="104"/>
    </row>
    <row r="27" spans="1:11">
      <c r="A27" s="140" t="s">
        <v>45</v>
      </c>
      <c r="B27" s="103">
        <v>21.45</v>
      </c>
      <c r="C27" s="104">
        <v>0.66800000000000004</v>
      </c>
      <c r="D27" s="103">
        <v>6.4000000000000001E-2</v>
      </c>
      <c r="E27" s="103">
        <v>1.04</v>
      </c>
      <c r="F27" s="103"/>
      <c r="G27" s="103"/>
      <c r="H27" s="103"/>
      <c r="I27" s="103" t="s">
        <v>12</v>
      </c>
      <c r="J27" s="103"/>
      <c r="K27" s="104"/>
    </row>
    <row r="28" spans="1:11">
      <c r="A28" s="140" t="s">
        <v>45</v>
      </c>
      <c r="B28" s="103">
        <v>27</v>
      </c>
      <c r="C28" s="104">
        <v>0.66800000000000004</v>
      </c>
      <c r="D28" s="103">
        <v>6.4000000000000001E-2</v>
      </c>
      <c r="E28" s="103">
        <v>1.04</v>
      </c>
      <c r="F28" s="103"/>
      <c r="G28" s="103"/>
      <c r="H28" s="103"/>
      <c r="I28" s="103" t="s">
        <v>12</v>
      </c>
      <c r="J28" s="103"/>
      <c r="K28" s="104"/>
    </row>
    <row r="29" spans="1:11">
      <c r="A29" s="140" t="s">
        <v>45</v>
      </c>
      <c r="B29" s="103">
        <v>32.6</v>
      </c>
      <c r="C29" s="104">
        <v>0.66800000000000004</v>
      </c>
      <c r="D29" s="103">
        <v>6.4000000000000001E-2</v>
      </c>
      <c r="E29" s="103">
        <v>1.04</v>
      </c>
      <c r="F29" s="103"/>
      <c r="G29" s="103"/>
      <c r="H29" s="103"/>
      <c r="I29" s="103" t="s">
        <v>12</v>
      </c>
      <c r="J29" s="103"/>
      <c r="K29" s="104"/>
    </row>
    <row r="30" spans="1:11">
      <c r="A30" s="140" t="s">
        <v>45</v>
      </c>
      <c r="B30" s="103">
        <v>42</v>
      </c>
      <c r="C30" s="104">
        <v>0.66800000000000004</v>
      </c>
      <c r="D30" s="103">
        <v>6.4000000000000001E-2</v>
      </c>
      <c r="E30" s="103">
        <v>1.04</v>
      </c>
      <c r="F30" s="103"/>
      <c r="G30" s="103"/>
      <c r="H30" s="103"/>
      <c r="I30" s="103" t="s">
        <v>12</v>
      </c>
      <c r="J30" s="103"/>
      <c r="K30" s="104"/>
    </row>
    <row r="31" spans="1:11">
      <c r="A31" s="140" t="s">
        <v>45</v>
      </c>
      <c r="B31" s="103">
        <v>53.3</v>
      </c>
      <c r="C31" s="104">
        <v>0.66800000000000004</v>
      </c>
      <c r="D31" s="103">
        <v>6.4000000000000001E-2</v>
      </c>
      <c r="E31" s="103">
        <v>1.04</v>
      </c>
      <c r="F31" s="103"/>
      <c r="G31" s="103"/>
      <c r="H31" s="103"/>
      <c r="I31" s="103" t="s">
        <v>12</v>
      </c>
      <c r="J31" s="103"/>
      <c r="K31" s="104"/>
    </row>
    <row r="32" spans="1:11">
      <c r="A32" s="140" t="s">
        <v>45</v>
      </c>
      <c r="B32" s="103">
        <v>64.8</v>
      </c>
      <c r="C32" s="104">
        <v>0.66800000000000004</v>
      </c>
      <c r="D32" s="103">
        <v>6.4000000000000001E-2</v>
      </c>
      <c r="E32" s="103">
        <v>1.04</v>
      </c>
      <c r="F32" s="103"/>
      <c r="G32" s="103"/>
      <c r="H32" s="103"/>
      <c r="I32" s="103" t="s">
        <v>12</v>
      </c>
      <c r="J32" s="103"/>
      <c r="K32" s="104"/>
    </row>
    <row r="33" spans="1:11">
      <c r="A33" s="140" t="s">
        <v>45</v>
      </c>
      <c r="B33" s="103">
        <v>74</v>
      </c>
      <c r="C33" s="104">
        <v>0.66800000000000004</v>
      </c>
      <c r="D33" s="103">
        <v>6.4000000000000001E-2</v>
      </c>
      <c r="E33" s="103">
        <v>1.04</v>
      </c>
      <c r="F33" s="103"/>
      <c r="G33" s="103"/>
      <c r="H33" s="103"/>
      <c r="I33" s="103" t="s">
        <v>12</v>
      </c>
      <c r="J33" s="103"/>
      <c r="K33" s="104"/>
    </row>
    <row r="34" spans="1:11">
      <c r="A34" s="140" t="s">
        <v>45</v>
      </c>
      <c r="B34" s="103">
        <v>95.6</v>
      </c>
      <c r="C34" s="104">
        <v>0.66800000000000004</v>
      </c>
      <c r="D34" s="103">
        <v>6.4000000000000001E-2</v>
      </c>
      <c r="E34" s="103">
        <v>1.04</v>
      </c>
      <c r="F34" s="103"/>
      <c r="G34" s="103"/>
      <c r="H34" s="103"/>
      <c r="I34" s="103" t="s">
        <v>12</v>
      </c>
      <c r="J34" s="103"/>
      <c r="K34" s="104"/>
    </row>
    <row r="35" spans="1:11">
      <c r="A35" s="140" t="s">
        <v>45</v>
      </c>
      <c r="B35" s="103">
        <v>112.3</v>
      </c>
      <c r="C35" s="104">
        <v>0.66800000000000004</v>
      </c>
      <c r="D35" s="103">
        <v>6.4000000000000001E-2</v>
      </c>
      <c r="E35" s="103">
        <v>1.04</v>
      </c>
      <c r="F35" s="103"/>
      <c r="G35" s="103"/>
      <c r="H35" s="103"/>
      <c r="I35" s="103" t="s">
        <v>12</v>
      </c>
      <c r="J35" s="103"/>
      <c r="K35" s="104"/>
    </row>
    <row r="36" spans="1:11">
      <c r="A36" s="140" t="s">
        <v>45</v>
      </c>
      <c r="B36" s="103">
        <v>138</v>
      </c>
      <c r="C36" s="104">
        <v>0.66800000000000004</v>
      </c>
      <c r="D36" s="103">
        <v>6.4000000000000001E-2</v>
      </c>
      <c r="E36" s="103">
        <v>1.04</v>
      </c>
      <c r="F36" s="103"/>
      <c r="G36" s="103"/>
      <c r="H36" s="103"/>
      <c r="I36" s="103" t="s">
        <v>12</v>
      </c>
      <c r="J36" s="103"/>
      <c r="K36" s="104"/>
    </row>
    <row r="37" spans="1:11">
      <c r="A37" s="140" t="s">
        <v>45</v>
      </c>
      <c r="B37" s="103">
        <v>18.399999999999999</v>
      </c>
      <c r="C37" s="104">
        <v>0.66800000000000004</v>
      </c>
      <c r="D37" s="103">
        <v>6.4000000000000001E-2</v>
      </c>
      <c r="E37" s="103">
        <v>0.91500000000000004</v>
      </c>
      <c r="F37" s="103"/>
      <c r="G37" s="103"/>
      <c r="H37" s="103"/>
      <c r="I37" s="103" t="s">
        <v>12</v>
      </c>
      <c r="J37" s="103"/>
      <c r="K37" s="104"/>
    </row>
    <row r="38" spans="1:11">
      <c r="A38" s="140" t="s">
        <v>45</v>
      </c>
      <c r="B38" s="103">
        <v>27.3</v>
      </c>
      <c r="C38" s="104">
        <v>0.66800000000000004</v>
      </c>
      <c r="D38" s="103">
        <v>6.4000000000000001E-2</v>
      </c>
      <c r="E38" s="103">
        <v>0.91500000000000004</v>
      </c>
      <c r="F38" s="103"/>
      <c r="G38" s="103"/>
      <c r="H38" s="103"/>
      <c r="I38" s="103" t="s">
        <v>12</v>
      </c>
      <c r="J38" s="103"/>
      <c r="K38" s="104"/>
    </row>
    <row r="39" spans="1:11">
      <c r="A39" s="140" t="s">
        <v>45</v>
      </c>
      <c r="B39" s="103">
        <v>34</v>
      </c>
      <c r="C39" s="104">
        <v>0.66800000000000004</v>
      </c>
      <c r="D39" s="103">
        <v>6.4000000000000001E-2</v>
      </c>
      <c r="E39" s="103">
        <v>0.91500000000000004</v>
      </c>
      <c r="F39" s="103"/>
      <c r="G39" s="103"/>
      <c r="H39" s="103"/>
      <c r="I39" s="103" t="s">
        <v>12</v>
      </c>
      <c r="J39" s="103"/>
      <c r="K39" s="104"/>
    </row>
    <row r="40" spans="1:11">
      <c r="A40" s="140" t="s">
        <v>45</v>
      </c>
      <c r="B40" s="103">
        <v>40.6</v>
      </c>
      <c r="C40" s="104">
        <v>0.66800000000000004</v>
      </c>
      <c r="D40" s="103">
        <v>6.4000000000000001E-2</v>
      </c>
      <c r="E40" s="103">
        <v>0.91500000000000004</v>
      </c>
      <c r="F40" s="103"/>
      <c r="G40" s="103"/>
      <c r="H40" s="103"/>
      <c r="I40" s="103" t="s">
        <v>12</v>
      </c>
      <c r="J40" s="103"/>
      <c r="K40" s="104"/>
    </row>
    <row r="41" spans="1:11">
      <c r="A41" s="140" t="s">
        <v>45</v>
      </c>
      <c r="B41" s="103">
        <v>52.2</v>
      </c>
      <c r="C41" s="104">
        <v>0.66800000000000004</v>
      </c>
      <c r="D41" s="103">
        <v>6.4000000000000001E-2</v>
      </c>
      <c r="E41" s="103">
        <v>0.91500000000000004</v>
      </c>
      <c r="F41" s="103"/>
      <c r="G41" s="103"/>
      <c r="H41" s="103"/>
      <c r="I41" s="103" t="s">
        <v>12</v>
      </c>
      <c r="J41" s="103"/>
      <c r="K41" s="104"/>
    </row>
    <row r="42" spans="1:11">
      <c r="A42" s="140" t="s">
        <v>45</v>
      </c>
      <c r="B42" s="103">
        <v>60.1</v>
      </c>
      <c r="C42" s="104">
        <v>0.66800000000000004</v>
      </c>
      <c r="D42" s="103">
        <v>6.4000000000000001E-2</v>
      </c>
      <c r="E42" s="103">
        <v>0.91500000000000004</v>
      </c>
      <c r="F42" s="103"/>
      <c r="G42" s="103"/>
      <c r="H42" s="103"/>
      <c r="I42" s="103" t="s">
        <v>12</v>
      </c>
      <c r="J42" s="103"/>
      <c r="K42" s="104"/>
    </row>
    <row r="43" spans="1:11">
      <c r="A43" s="140" t="s">
        <v>45</v>
      </c>
      <c r="B43" s="103">
        <v>68.099999999999994</v>
      </c>
      <c r="C43" s="104">
        <v>0.66800000000000004</v>
      </c>
      <c r="D43" s="103">
        <v>6.4000000000000001E-2</v>
      </c>
      <c r="E43" s="103">
        <v>0.91500000000000004</v>
      </c>
      <c r="F43" s="103"/>
      <c r="G43" s="103"/>
      <c r="H43" s="103"/>
      <c r="I43" s="103" t="s">
        <v>12</v>
      </c>
      <c r="J43" s="103"/>
      <c r="K43" s="104"/>
    </row>
    <row r="44" spans="1:11">
      <c r="A44" s="140" t="s">
        <v>45</v>
      </c>
      <c r="B44" s="103">
        <v>79.25</v>
      </c>
      <c r="C44" s="104">
        <v>0.66800000000000004</v>
      </c>
      <c r="D44" s="103">
        <v>6.4000000000000001E-2</v>
      </c>
      <c r="E44" s="103">
        <v>0.91500000000000004</v>
      </c>
      <c r="F44" s="103"/>
      <c r="G44" s="103"/>
      <c r="H44" s="103"/>
      <c r="I44" s="103" t="s">
        <v>12</v>
      </c>
      <c r="J44" s="103"/>
      <c r="K44" s="104"/>
    </row>
    <row r="45" spans="1:11">
      <c r="A45" s="140" t="s">
        <v>45</v>
      </c>
      <c r="B45" s="103">
        <v>90.4</v>
      </c>
      <c r="C45" s="104">
        <v>0.66800000000000004</v>
      </c>
      <c r="D45" s="103">
        <v>6.4000000000000001E-2</v>
      </c>
      <c r="E45" s="103">
        <v>0.91500000000000004</v>
      </c>
      <c r="F45" s="103"/>
      <c r="G45" s="103"/>
      <c r="H45" s="103"/>
      <c r="I45" s="103" t="s">
        <v>12</v>
      </c>
      <c r="J45" s="103"/>
      <c r="K45" s="104"/>
    </row>
    <row r="46" spans="1:11">
      <c r="A46" s="140" t="s">
        <v>45</v>
      </c>
      <c r="B46" s="103">
        <v>97.9</v>
      </c>
      <c r="C46" s="104">
        <v>0.66800000000000004</v>
      </c>
      <c r="D46" s="103">
        <v>6.4000000000000001E-2</v>
      </c>
      <c r="E46" s="103">
        <v>0.91500000000000004</v>
      </c>
      <c r="F46" s="103"/>
      <c r="G46" s="103"/>
      <c r="H46" s="103"/>
      <c r="I46" s="103" t="s">
        <v>12</v>
      </c>
      <c r="J46" s="103"/>
      <c r="K46" s="104"/>
    </row>
    <row r="47" spans="1:11">
      <c r="A47" s="140" t="s">
        <v>45</v>
      </c>
      <c r="B47" s="103">
        <v>104</v>
      </c>
      <c r="C47" s="104">
        <v>0.66800000000000004</v>
      </c>
      <c r="D47" s="103">
        <v>6.4000000000000001E-2</v>
      </c>
      <c r="E47" s="103">
        <v>0.91500000000000004</v>
      </c>
      <c r="F47" s="103"/>
      <c r="G47" s="103"/>
      <c r="H47" s="103"/>
      <c r="I47" s="103" t="s">
        <v>12</v>
      </c>
      <c r="J47" s="103"/>
      <c r="K47" s="104"/>
    </row>
    <row r="48" spans="1:11">
      <c r="A48" s="140" t="s">
        <v>45</v>
      </c>
      <c r="B48" s="103">
        <v>141.69999999999999</v>
      </c>
      <c r="C48" s="104">
        <v>0.66800000000000004</v>
      </c>
      <c r="D48" s="103">
        <v>6.4000000000000001E-2</v>
      </c>
      <c r="E48" s="103">
        <v>0.91500000000000004</v>
      </c>
      <c r="F48" s="103"/>
      <c r="G48" s="103"/>
      <c r="H48" s="103"/>
      <c r="I48" s="103" t="s">
        <v>12</v>
      </c>
      <c r="J48" s="103"/>
      <c r="K48" s="104"/>
    </row>
    <row r="49" spans="1:11">
      <c r="A49" s="140" t="s">
        <v>45</v>
      </c>
      <c r="B49" s="103">
        <v>124.3</v>
      </c>
      <c r="C49" s="104">
        <v>0.66800000000000004</v>
      </c>
      <c r="D49" s="103">
        <v>6.4000000000000001E-2</v>
      </c>
      <c r="E49" s="103">
        <v>0.91500000000000004</v>
      </c>
      <c r="F49" s="103"/>
      <c r="G49" s="103"/>
      <c r="H49" s="103"/>
      <c r="I49" s="103" t="s">
        <v>12</v>
      </c>
      <c r="J49" s="103"/>
      <c r="K49" s="104"/>
    </row>
    <row r="50" spans="1:11">
      <c r="A50" s="140" t="s">
        <v>45</v>
      </c>
      <c r="B50" s="103">
        <v>111.9</v>
      </c>
      <c r="C50" s="104">
        <v>0.66800000000000004</v>
      </c>
      <c r="D50" s="103">
        <v>6.4000000000000001E-2</v>
      </c>
      <c r="E50" s="103">
        <v>0.91500000000000004</v>
      </c>
      <c r="F50" s="103"/>
      <c r="G50" s="103"/>
      <c r="H50" s="103"/>
      <c r="I50" s="103" t="s">
        <v>12</v>
      </c>
      <c r="J50" s="103"/>
      <c r="K50" s="104"/>
    </row>
    <row r="51" spans="1:11">
      <c r="A51" s="140" t="s">
        <v>45</v>
      </c>
      <c r="B51" s="103">
        <v>14</v>
      </c>
      <c r="C51" s="104">
        <v>0.66800000000000004</v>
      </c>
      <c r="D51" s="103">
        <v>6.4000000000000001E-2</v>
      </c>
      <c r="E51" s="103">
        <v>0.76400000000000001</v>
      </c>
      <c r="F51" s="103"/>
      <c r="G51" s="103"/>
      <c r="H51" s="103"/>
      <c r="I51" s="103" t="s">
        <v>12</v>
      </c>
      <c r="J51" s="103"/>
      <c r="K51" s="104"/>
    </row>
    <row r="52" spans="1:11">
      <c r="A52" s="140" t="s">
        <v>45</v>
      </c>
      <c r="B52" s="103">
        <v>20.399999999999999</v>
      </c>
      <c r="C52" s="104">
        <v>0.66800000000000004</v>
      </c>
      <c r="D52" s="103">
        <v>6.4000000000000001E-2</v>
      </c>
      <c r="E52" s="103">
        <v>0.76400000000000001</v>
      </c>
      <c r="F52" s="103"/>
      <c r="G52" s="103"/>
      <c r="H52" s="103"/>
      <c r="I52" s="103" t="s">
        <v>12</v>
      </c>
      <c r="J52" s="103"/>
      <c r="K52" s="104"/>
    </row>
    <row r="53" spans="1:11">
      <c r="A53" s="140" t="s">
        <v>45</v>
      </c>
      <c r="B53" s="103">
        <v>29.9</v>
      </c>
      <c r="C53" s="104">
        <v>0.66800000000000004</v>
      </c>
      <c r="D53" s="103">
        <v>6.4000000000000001E-2</v>
      </c>
      <c r="E53" s="103">
        <v>0.76400000000000001</v>
      </c>
      <c r="F53" s="103"/>
      <c r="G53" s="103"/>
      <c r="H53" s="103"/>
      <c r="I53" s="103" t="s">
        <v>12</v>
      </c>
      <c r="J53" s="103"/>
      <c r="K53" s="104"/>
    </row>
    <row r="54" spans="1:11">
      <c r="A54" s="140" t="s">
        <v>45</v>
      </c>
      <c r="B54" s="103">
        <v>42.6</v>
      </c>
      <c r="C54" s="104">
        <v>0.66800000000000004</v>
      </c>
      <c r="D54" s="103">
        <v>6.4000000000000001E-2</v>
      </c>
      <c r="E54" s="103">
        <v>0.76400000000000001</v>
      </c>
      <c r="F54" s="103"/>
      <c r="G54" s="103"/>
      <c r="H54" s="103"/>
      <c r="I54" s="103" t="s">
        <v>12</v>
      </c>
      <c r="J54" s="103"/>
      <c r="K54" s="104"/>
    </row>
    <row r="55" spans="1:11">
      <c r="A55" s="140" t="s">
        <v>45</v>
      </c>
      <c r="B55" s="103">
        <v>51</v>
      </c>
      <c r="C55" s="104">
        <v>0.66800000000000004</v>
      </c>
      <c r="D55" s="103">
        <v>6.4000000000000001E-2</v>
      </c>
      <c r="E55" s="103">
        <v>0.76400000000000001</v>
      </c>
      <c r="F55" s="103"/>
      <c r="G55" s="103"/>
      <c r="H55" s="103"/>
      <c r="I55" s="103" t="s">
        <v>12</v>
      </c>
      <c r="J55" s="103"/>
      <c r="K55" s="104"/>
    </row>
    <row r="56" spans="1:11">
      <c r="A56" s="140" t="s">
        <v>45</v>
      </c>
      <c r="B56" s="103">
        <v>60.7</v>
      </c>
      <c r="C56" s="104">
        <v>0.66800000000000004</v>
      </c>
      <c r="D56" s="103">
        <v>6.4000000000000001E-2</v>
      </c>
      <c r="E56" s="103">
        <v>0.76400000000000001</v>
      </c>
      <c r="F56" s="103"/>
      <c r="G56" s="103"/>
      <c r="H56" s="103"/>
      <c r="I56" s="103" t="s">
        <v>12</v>
      </c>
      <c r="J56" s="103"/>
      <c r="K56" s="104"/>
    </row>
    <row r="57" spans="1:11">
      <c r="A57" s="140" t="s">
        <v>45</v>
      </c>
      <c r="B57" s="103">
        <v>66.599999999999994</v>
      </c>
      <c r="C57" s="104">
        <v>0.66800000000000004</v>
      </c>
      <c r="D57" s="103">
        <v>6.4000000000000001E-2</v>
      </c>
      <c r="E57" s="103">
        <v>0.76400000000000001</v>
      </c>
      <c r="F57" s="103"/>
      <c r="G57" s="103"/>
      <c r="H57" s="103"/>
      <c r="I57" s="103" t="s">
        <v>12</v>
      </c>
      <c r="J57" s="103"/>
      <c r="K57" s="104"/>
    </row>
    <row r="58" spans="1:11">
      <c r="A58" s="140" t="s">
        <v>45</v>
      </c>
      <c r="B58" s="103">
        <v>78.5</v>
      </c>
      <c r="C58" s="104">
        <v>0.66800000000000004</v>
      </c>
      <c r="D58" s="103">
        <v>6.4000000000000001E-2</v>
      </c>
      <c r="E58" s="103">
        <v>0.76400000000000001</v>
      </c>
      <c r="F58" s="103"/>
      <c r="G58" s="103"/>
      <c r="H58" s="103"/>
      <c r="I58" s="103" t="s">
        <v>12</v>
      </c>
      <c r="J58" s="103"/>
      <c r="K58" s="104"/>
    </row>
    <row r="59" spans="1:11">
      <c r="A59" s="140" t="s">
        <v>45</v>
      </c>
      <c r="B59" s="103">
        <v>87.5</v>
      </c>
      <c r="C59" s="104">
        <v>0.66800000000000004</v>
      </c>
      <c r="D59" s="103">
        <v>6.4000000000000001E-2</v>
      </c>
      <c r="E59" s="103">
        <v>0.76400000000000001</v>
      </c>
      <c r="F59" s="103"/>
      <c r="G59" s="103"/>
      <c r="H59" s="103"/>
      <c r="I59" s="103" t="s">
        <v>12</v>
      </c>
      <c r="J59" s="103"/>
      <c r="K59" s="104"/>
    </row>
    <row r="60" spans="1:11">
      <c r="A60" s="140" t="s">
        <v>45</v>
      </c>
      <c r="B60" s="103">
        <v>96.8</v>
      </c>
      <c r="C60" s="104">
        <v>0.66800000000000004</v>
      </c>
      <c r="D60" s="103">
        <v>6.4000000000000001E-2</v>
      </c>
      <c r="E60" s="103">
        <v>0.76400000000000001</v>
      </c>
      <c r="F60" s="103"/>
      <c r="G60" s="103"/>
      <c r="H60" s="103"/>
      <c r="I60" s="103" t="s">
        <v>12</v>
      </c>
      <c r="J60" s="103"/>
      <c r="K60" s="104"/>
    </row>
    <row r="61" spans="1:11">
      <c r="A61" s="140" t="s">
        <v>45</v>
      </c>
      <c r="B61" s="103">
        <v>104.8</v>
      </c>
      <c r="C61" s="104">
        <v>0.66800000000000004</v>
      </c>
      <c r="D61" s="103">
        <v>6.4000000000000001E-2</v>
      </c>
      <c r="E61" s="103">
        <v>0.76400000000000001</v>
      </c>
      <c r="F61" s="103"/>
      <c r="G61" s="103"/>
      <c r="H61" s="103"/>
      <c r="I61" s="103" t="s">
        <v>12</v>
      </c>
      <c r="J61" s="103"/>
      <c r="K61" s="104"/>
    </row>
    <row r="62" spans="1:11">
      <c r="A62" s="140" t="s">
        <v>45</v>
      </c>
      <c r="B62" s="103">
        <v>108.4</v>
      </c>
      <c r="C62" s="104">
        <v>0.66800000000000004</v>
      </c>
      <c r="D62" s="103">
        <v>6.4000000000000001E-2</v>
      </c>
      <c r="E62" s="103">
        <v>0.76400000000000001</v>
      </c>
      <c r="F62" s="103"/>
      <c r="G62" s="103"/>
      <c r="H62" s="103"/>
      <c r="I62" s="103" t="s">
        <v>12</v>
      </c>
      <c r="J62" s="103"/>
      <c r="K62" s="104"/>
    </row>
    <row r="63" spans="1:11">
      <c r="A63" s="140" t="s">
        <v>45</v>
      </c>
      <c r="B63" s="103">
        <v>114.5</v>
      </c>
      <c r="C63" s="104">
        <v>0.66800000000000004</v>
      </c>
      <c r="D63" s="103">
        <v>6.4000000000000001E-2</v>
      </c>
      <c r="E63" s="103">
        <v>0.76400000000000001</v>
      </c>
      <c r="F63" s="103"/>
      <c r="G63" s="103"/>
      <c r="H63" s="103"/>
      <c r="I63" s="103" t="s">
        <v>12</v>
      </c>
      <c r="J63" s="103"/>
      <c r="K63" s="104"/>
    </row>
    <row r="64" spans="1:11">
      <c r="A64" s="140" t="s">
        <v>45</v>
      </c>
      <c r="B64" s="103">
        <v>144.1</v>
      </c>
      <c r="C64" s="104">
        <v>0.66800000000000004</v>
      </c>
      <c r="D64" s="103">
        <v>6.4000000000000001E-2</v>
      </c>
      <c r="E64" s="103">
        <v>0.76400000000000001</v>
      </c>
      <c r="F64" s="103"/>
      <c r="G64" s="103"/>
      <c r="H64" s="103"/>
      <c r="I64" s="103" t="s">
        <v>12</v>
      </c>
      <c r="J64" s="103"/>
      <c r="K64" s="104"/>
    </row>
    <row r="65" spans="1:11">
      <c r="A65" s="140" t="s">
        <v>45</v>
      </c>
      <c r="B65" s="103">
        <v>19.899999999999999</v>
      </c>
      <c r="C65" s="104">
        <v>0.66800000000000004</v>
      </c>
      <c r="D65" s="103">
        <v>6.4000000000000001E-2</v>
      </c>
      <c r="E65" s="103">
        <v>0.69499999999999995</v>
      </c>
      <c r="F65" s="103"/>
      <c r="G65" s="103"/>
      <c r="H65" s="103"/>
      <c r="I65" s="103" t="s">
        <v>12</v>
      </c>
      <c r="J65" s="103"/>
      <c r="K65" s="104"/>
    </row>
    <row r="66" spans="1:11">
      <c r="A66" s="140" t="s">
        <v>45</v>
      </c>
      <c r="B66" s="103">
        <v>24.2</v>
      </c>
      <c r="C66" s="104">
        <v>0.66800000000000004</v>
      </c>
      <c r="D66" s="103">
        <v>6.4000000000000001E-2</v>
      </c>
      <c r="E66" s="103">
        <v>0.69499999999999995</v>
      </c>
      <c r="F66" s="103"/>
      <c r="G66" s="103"/>
      <c r="H66" s="103"/>
      <c r="I66" s="103" t="s">
        <v>12</v>
      </c>
      <c r="J66" s="103"/>
      <c r="K66" s="104"/>
    </row>
    <row r="67" spans="1:11">
      <c r="A67" s="140" t="s">
        <v>45</v>
      </c>
      <c r="B67" s="103">
        <v>30.8</v>
      </c>
      <c r="C67" s="104">
        <v>0.66800000000000004</v>
      </c>
      <c r="D67" s="103">
        <v>6.4000000000000001E-2</v>
      </c>
      <c r="E67" s="103">
        <v>0.69499999999999995</v>
      </c>
      <c r="F67" s="103"/>
      <c r="G67" s="103"/>
      <c r="H67" s="103"/>
      <c r="I67" s="103" t="s">
        <v>12</v>
      </c>
      <c r="J67" s="103"/>
      <c r="K67" s="104"/>
    </row>
    <row r="68" spans="1:11">
      <c r="A68" s="140" t="s">
        <v>45</v>
      </c>
      <c r="B68" s="103">
        <v>37.299999999999997</v>
      </c>
      <c r="C68" s="104">
        <v>0.66800000000000004</v>
      </c>
      <c r="D68" s="103">
        <v>6.4000000000000001E-2</v>
      </c>
      <c r="E68" s="103">
        <v>0.69499999999999995</v>
      </c>
      <c r="F68" s="103"/>
      <c r="G68" s="103"/>
      <c r="H68" s="103"/>
      <c r="I68" s="103" t="s">
        <v>12</v>
      </c>
      <c r="J68" s="103"/>
      <c r="K68" s="104"/>
    </row>
    <row r="69" spans="1:11">
      <c r="A69" s="140" t="s">
        <v>45</v>
      </c>
      <c r="B69" s="103">
        <v>42.6</v>
      </c>
      <c r="C69" s="104">
        <v>0.66800000000000004</v>
      </c>
      <c r="D69" s="103">
        <v>6.4000000000000001E-2</v>
      </c>
      <c r="E69" s="103">
        <v>0.69499999999999995</v>
      </c>
      <c r="F69" s="103"/>
      <c r="G69" s="103"/>
      <c r="H69" s="103"/>
      <c r="I69" s="103" t="s">
        <v>12</v>
      </c>
      <c r="J69" s="103"/>
      <c r="K69" s="104"/>
    </row>
    <row r="70" spans="1:11">
      <c r="A70" s="140" t="s">
        <v>45</v>
      </c>
      <c r="B70" s="103">
        <v>50.45</v>
      </c>
      <c r="C70" s="104">
        <v>0.66800000000000004</v>
      </c>
      <c r="D70" s="103">
        <v>6.4000000000000001E-2</v>
      </c>
      <c r="E70" s="103">
        <v>0.69499999999999995</v>
      </c>
      <c r="F70" s="103"/>
      <c r="G70" s="103"/>
      <c r="H70" s="103"/>
      <c r="I70" s="103" t="s">
        <v>12</v>
      </c>
      <c r="J70" s="103"/>
      <c r="K70" s="104"/>
    </row>
    <row r="71" spans="1:11">
      <c r="A71" s="140" t="s">
        <v>45</v>
      </c>
      <c r="B71" s="103">
        <v>45.9</v>
      </c>
      <c r="C71" s="104">
        <v>0.66800000000000004</v>
      </c>
      <c r="D71" s="103">
        <v>6.4000000000000001E-2</v>
      </c>
      <c r="E71" s="103">
        <v>0.69499999999999995</v>
      </c>
      <c r="F71" s="103"/>
      <c r="G71" s="103"/>
      <c r="H71" s="103"/>
      <c r="I71" s="103" t="s">
        <v>12</v>
      </c>
      <c r="J71" s="103"/>
      <c r="K71" s="104"/>
    </row>
    <row r="72" spans="1:11">
      <c r="A72" s="140" t="s">
        <v>45</v>
      </c>
      <c r="B72" s="103">
        <v>60.9</v>
      </c>
      <c r="C72" s="104">
        <v>0.66800000000000004</v>
      </c>
      <c r="D72" s="103">
        <v>6.4000000000000001E-2</v>
      </c>
      <c r="E72" s="103">
        <v>0.69499999999999995</v>
      </c>
      <c r="F72" s="103"/>
      <c r="G72" s="103"/>
      <c r="H72" s="103"/>
      <c r="I72" s="103" t="s">
        <v>12</v>
      </c>
      <c r="J72" s="103"/>
      <c r="K72" s="104"/>
    </row>
    <row r="73" spans="1:11">
      <c r="A73" s="140" t="s">
        <v>45</v>
      </c>
      <c r="B73" s="103">
        <v>66.8</v>
      </c>
      <c r="C73" s="104">
        <v>0.66800000000000004</v>
      </c>
      <c r="D73" s="103">
        <v>6.4000000000000001E-2</v>
      </c>
      <c r="E73" s="103">
        <v>0.69499999999999995</v>
      </c>
      <c r="F73" s="103"/>
      <c r="G73" s="103"/>
      <c r="H73" s="103"/>
      <c r="I73" s="103" t="s">
        <v>12</v>
      </c>
      <c r="J73" s="103"/>
      <c r="K73" s="104"/>
    </row>
    <row r="74" spans="1:11">
      <c r="A74" s="140" t="s">
        <v>45</v>
      </c>
      <c r="B74" s="103">
        <v>78.849999999999994</v>
      </c>
      <c r="C74" s="104">
        <v>0.66800000000000004</v>
      </c>
      <c r="D74" s="103">
        <v>6.4000000000000001E-2</v>
      </c>
      <c r="E74" s="103">
        <v>0.69499999999999995</v>
      </c>
      <c r="F74" s="103"/>
      <c r="G74" s="103"/>
      <c r="H74" s="103"/>
      <c r="I74" s="103" t="s">
        <v>12</v>
      </c>
      <c r="J74" s="103"/>
      <c r="K74" s="104"/>
    </row>
    <row r="75" spans="1:11">
      <c r="A75" s="140" t="s">
        <v>45</v>
      </c>
      <c r="B75" s="103">
        <v>85.8</v>
      </c>
      <c r="C75" s="104">
        <v>0.66800000000000004</v>
      </c>
      <c r="D75" s="103">
        <v>6.4000000000000001E-2</v>
      </c>
      <c r="E75" s="103">
        <v>0.69499999999999995</v>
      </c>
      <c r="F75" s="103"/>
      <c r="G75" s="103"/>
      <c r="H75" s="103"/>
      <c r="I75" s="103" t="s">
        <v>12</v>
      </c>
      <c r="J75" s="103"/>
      <c r="K75" s="104"/>
    </row>
    <row r="76" spans="1:11">
      <c r="A76" s="140" t="s">
        <v>45</v>
      </c>
      <c r="B76" s="103">
        <v>96</v>
      </c>
      <c r="C76" s="104">
        <v>0.66800000000000004</v>
      </c>
      <c r="D76" s="103">
        <v>6.4000000000000001E-2</v>
      </c>
      <c r="E76" s="103">
        <v>0.69499999999999995</v>
      </c>
      <c r="F76" s="103"/>
      <c r="G76" s="103"/>
      <c r="H76" s="103"/>
      <c r="I76" s="103" t="s">
        <v>12</v>
      </c>
      <c r="J76" s="103"/>
      <c r="K76" s="104"/>
    </row>
    <row r="77" spans="1:11">
      <c r="A77" s="140" t="s">
        <v>45</v>
      </c>
      <c r="B77" s="103">
        <v>104.2</v>
      </c>
      <c r="C77" s="104">
        <v>0.66800000000000004</v>
      </c>
      <c r="D77" s="103">
        <v>6.4000000000000001E-2</v>
      </c>
      <c r="E77" s="103">
        <v>0.69499999999999995</v>
      </c>
      <c r="F77" s="103"/>
      <c r="G77" s="103"/>
      <c r="H77" s="103"/>
      <c r="I77" s="103" t="s">
        <v>12</v>
      </c>
      <c r="J77" s="103"/>
      <c r="K77" s="104"/>
    </row>
    <row r="78" spans="1:11">
      <c r="A78" s="140" t="s">
        <v>45</v>
      </c>
      <c r="B78" s="103">
        <v>108.5</v>
      </c>
      <c r="C78" s="104">
        <v>0.66800000000000004</v>
      </c>
      <c r="D78" s="103">
        <v>6.4000000000000001E-2</v>
      </c>
      <c r="E78" s="103">
        <v>0.69499999999999995</v>
      </c>
      <c r="F78" s="103"/>
      <c r="G78" s="103"/>
      <c r="H78" s="103"/>
      <c r="I78" s="103" t="s">
        <v>12</v>
      </c>
      <c r="J78" s="103"/>
      <c r="K78" s="104"/>
    </row>
    <row r="79" spans="1:11">
      <c r="A79" s="140" t="s">
        <v>45</v>
      </c>
      <c r="B79" s="103">
        <v>128.4</v>
      </c>
      <c r="C79" s="104">
        <v>0.66800000000000004</v>
      </c>
      <c r="D79" s="103">
        <v>6.4000000000000001E-2</v>
      </c>
      <c r="E79" s="103">
        <v>0.69499999999999995</v>
      </c>
      <c r="F79" s="103"/>
      <c r="G79" s="103"/>
      <c r="H79" s="103"/>
      <c r="I79" s="103" t="s">
        <v>12</v>
      </c>
      <c r="J79" s="103"/>
      <c r="K79" s="104"/>
    </row>
    <row r="80" spans="1:11">
      <c r="A80" s="140" t="s">
        <v>45</v>
      </c>
      <c r="B80" s="103">
        <v>132.6</v>
      </c>
      <c r="C80" s="104">
        <v>0.66800000000000004</v>
      </c>
      <c r="D80" s="103">
        <v>6.4000000000000001E-2</v>
      </c>
      <c r="E80" s="103">
        <v>0.69499999999999995</v>
      </c>
      <c r="F80" s="103"/>
      <c r="G80" s="103"/>
      <c r="H80" s="103"/>
      <c r="I80" s="103" t="s">
        <v>12</v>
      </c>
      <c r="J80" s="103"/>
      <c r="K80" s="104"/>
    </row>
    <row r="81" spans="1:11">
      <c r="A81" s="140" t="s">
        <v>45</v>
      </c>
      <c r="B81" s="103">
        <v>114.2</v>
      </c>
      <c r="C81" s="104">
        <v>0.66800000000000004</v>
      </c>
      <c r="D81" s="103">
        <v>6.4000000000000001E-2</v>
      </c>
      <c r="E81" s="103">
        <v>0.69499999999999995</v>
      </c>
      <c r="F81" s="103"/>
      <c r="G81" s="103"/>
      <c r="H81" s="103"/>
      <c r="I81" s="103" t="s">
        <v>12</v>
      </c>
      <c r="J81" s="103"/>
      <c r="K81" s="104"/>
    </row>
    <row r="82" spans="1:11">
      <c r="A82" s="140" t="s">
        <v>45</v>
      </c>
      <c r="B82" s="103">
        <v>19.3</v>
      </c>
      <c r="C82" s="104">
        <v>0.66800000000000004</v>
      </c>
      <c r="D82" s="103">
        <v>6.4000000000000001E-2</v>
      </c>
      <c r="E82" s="103">
        <v>0.626</v>
      </c>
      <c r="F82" s="103"/>
      <c r="G82" s="103"/>
      <c r="H82" s="103"/>
      <c r="I82" s="103" t="s">
        <v>12</v>
      </c>
      <c r="J82" s="103"/>
      <c r="K82" s="104"/>
    </row>
    <row r="83" spans="1:11">
      <c r="A83" s="140" t="s">
        <v>45</v>
      </c>
      <c r="B83" s="103">
        <v>25.15</v>
      </c>
      <c r="C83" s="104">
        <v>0.66800000000000004</v>
      </c>
      <c r="D83" s="103">
        <v>6.4000000000000001E-2</v>
      </c>
      <c r="E83" s="103">
        <v>0.626</v>
      </c>
      <c r="F83" s="103"/>
      <c r="G83" s="103"/>
      <c r="H83" s="103"/>
      <c r="I83" s="103" t="s">
        <v>12</v>
      </c>
      <c r="J83" s="103"/>
      <c r="K83" s="104"/>
    </row>
    <row r="84" spans="1:11">
      <c r="A84" s="140" t="s">
        <v>45</v>
      </c>
      <c r="B84" s="103">
        <v>32.700000000000003</v>
      </c>
      <c r="C84" s="104">
        <v>0.66800000000000004</v>
      </c>
      <c r="D84" s="103">
        <v>6.4000000000000001E-2</v>
      </c>
      <c r="E84" s="103">
        <v>0.626</v>
      </c>
      <c r="F84" s="103"/>
      <c r="G84" s="103"/>
      <c r="H84" s="103"/>
      <c r="I84" s="103" t="s">
        <v>12</v>
      </c>
      <c r="J84" s="103"/>
      <c r="K84" s="104"/>
    </row>
    <row r="85" spans="1:11">
      <c r="A85" s="140" t="s">
        <v>45</v>
      </c>
      <c r="B85" s="103">
        <v>36.299999999999997</v>
      </c>
      <c r="C85" s="104">
        <v>0.66800000000000004</v>
      </c>
      <c r="D85" s="103">
        <v>6.4000000000000001E-2</v>
      </c>
      <c r="E85" s="103">
        <v>0.626</v>
      </c>
      <c r="F85" s="103"/>
      <c r="G85" s="103"/>
      <c r="H85" s="103"/>
      <c r="I85" s="103" t="s">
        <v>12</v>
      </c>
      <c r="J85" s="103"/>
      <c r="K85" s="104"/>
    </row>
    <row r="86" spans="1:11">
      <c r="A86" s="140" t="s">
        <v>45</v>
      </c>
      <c r="B86" s="103">
        <v>45.9</v>
      </c>
      <c r="C86" s="104">
        <v>0.66800000000000004</v>
      </c>
      <c r="D86" s="103">
        <v>6.4000000000000001E-2</v>
      </c>
      <c r="E86" s="103">
        <v>0.626</v>
      </c>
      <c r="F86" s="103"/>
      <c r="G86" s="103"/>
      <c r="H86" s="103"/>
      <c r="I86" s="103" t="s">
        <v>12</v>
      </c>
      <c r="J86" s="103"/>
      <c r="K86" s="104"/>
    </row>
    <row r="87" spans="1:11">
      <c r="A87" s="140" t="s">
        <v>45</v>
      </c>
      <c r="B87" s="103">
        <v>55.5</v>
      </c>
      <c r="C87" s="104">
        <v>0.66800000000000004</v>
      </c>
      <c r="D87" s="103">
        <v>6.4000000000000001E-2</v>
      </c>
      <c r="E87" s="103">
        <v>0.626</v>
      </c>
      <c r="F87" s="103"/>
      <c r="G87" s="103"/>
      <c r="H87" s="103"/>
      <c r="I87" s="103" t="s">
        <v>12</v>
      </c>
      <c r="J87" s="103"/>
      <c r="K87" s="104"/>
    </row>
    <row r="88" spans="1:11">
      <c r="A88" s="140" t="s">
        <v>45</v>
      </c>
      <c r="B88" s="103">
        <v>62.7</v>
      </c>
      <c r="C88" s="104">
        <v>0.66800000000000004</v>
      </c>
      <c r="D88" s="103">
        <v>6.4000000000000001E-2</v>
      </c>
      <c r="E88" s="103">
        <v>0.626</v>
      </c>
      <c r="F88" s="103"/>
      <c r="G88" s="103"/>
      <c r="H88" s="103"/>
      <c r="I88" s="103" t="s">
        <v>12</v>
      </c>
      <c r="J88" s="103"/>
      <c r="K88" s="104"/>
    </row>
    <row r="89" spans="1:11">
      <c r="A89" s="140" t="s">
        <v>45</v>
      </c>
      <c r="B89" s="103">
        <v>70.8</v>
      </c>
      <c r="C89" s="104">
        <v>0.66800000000000004</v>
      </c>
      <c r="D89" s="103">
        <v>6.4000000000000001E-2</v>
      </c>
      <c r="E89" s="103">
        <v>0.626</v>
      </c>
      <c r="F89" s="103"/>
      <c r="G89" s="103"/>
      <c r="H89" s="103"/>
      <c r="I89" s="103" t="s">
        <v>12</v>
      </c>
      <c r="J89" s="103"/>
      <c r="K89" s="104"/>
    </row>
    <row r="90" spans="1:11">
      <c r="A90" s="140" t="s">
        <v>45</v>
      </c>
      <c r="B90" s="103">
        <v>79.8</v>
      </c>
      <c r="C90" s="104">
        <v>0.66800000000000004</v>
      </c>
      <c r="D90" s="103">
        <v>6.4000000000000001E-2</v>
      </c>
      <c r="E90" s="103">
        <v>0.626</v>
      </c>
      <c r="F90" s="103"/>
      <c r="G90" s="103"/>
      <c r="H90" s="103"/>
      <c r="I90" s="103" t="s">
        <v>12</v>
      </c>
      <c r="J90" s="103"/>
      <c r="K90" s="104"/>
    </row>
    <row r="91" spans="1:11">
      <c r="A91" s="140" t="s">
        <v>45</v>
      </c>
      <c r="B91" s="103">
        <v>88.6</v>
      </c>
      <c r="C91" s="104">
        <v>0.66800000000000004</v>
      </c>
      <c r="D91" s="103">
        <v>6.4000000000000001E-2</v>
      </c>
      <c r="E91" s="103">
        <v>0.626</v>
      </c>
      <c r="F91" s="103"/>
      <c r="G91" s="103"/>
      <c r="H91" s="103"/>
      <c r="I91" s="103" t="s">
        <v>12</v>
      </c>
      <c r="J91" s="103"/>
      <c r="K91" s="104"/>
    </row>
    <row r="92" spans="1:11">
      <c r="A92" s="140" t="s">
        <v>45</v>
      </c>
      <c r="B92" s="103">
        <v>105.3</v>
      </c>
      <c r="C92" s="104">
        <v>0.66800000000000004</v>
      </c>
      <c r="D92" s="103">
        <v>6.4000000000000001E-2</v>
      </c>
      <c r="E92" s="103">
        <v>0.626</v>
      </c>
      <c r="F92" s="103"/>
      <c r="G92" s="103"/>
      <c r="H92" s="103"/>
      <c r="I92" s="103" t="s">
        <v>12</v>
      </c>
      <c r="J92" s="103"/>
      <c r="K92" s="104"/>
    </row>
    <row r="93" spans="1:11">
      <c r="A93" s="140" t="s">
        <v>45</v>
      </c>
      <c r="B93" s="103">
        <v>113.5</v>
      </c>
      <c r="C93" s="104">
        <v>0.66800000000000004</v>
      </c>
      <c r="D93" s="103">
        <v>6.4000000000000001E-2</v>
      </c>
      <c r="E93" s="103">
        <v>0.626</v>
      </c>
      <c r="F93" s="103"/>
      <c r="G93" s="103"/>
      <c r="H93" s="103"/>
      <c r="I93" s="103" t="s">
        <v>12</v>
      </c>
      <c r="J93" s="103"/>
      <c r="K93" s="104"/>
    </row>
    <row r="94" spans="1:11">
      <c r="A94" s="140" t="s">
        <v>45</v>
      </c>
      <c r="B94" s="103">
        <v>131.19999999999999</v>
      </c>
      <c r="C94" s="104">
        <v>0.66800000000000004</v>
      </c>
      <c r="D94" s="103">
        <v>6.4000000000000001E-2</v>
      </c>
      <c r="E94" s="103">
        <v>0.626</v>
      </c>
      <c r="F94" s="103"/>
      <c r="G94" s="103"/>
      <c r="H94" s="103"/>
      <c r="I94" s="103" t="s">
        <v>12</v>
      </c>
      <c r="J94" s="103"/>
      <c r="K94" s="104"/>
    </row>
    <row r="95" spans="1:11">
      <c r="A95" s="140" t="s">
        <v>45</v>
      </c>
      <c r="B95" s="103">
        <v>18.2</v>
      </c>
      <c r="C95" s="104">
        <v>0.66800000000000004</v>
      </c>
      <c r="D95" s="103">
        <v>6.4000000000000001E-2</v>
      </c>
      <c r="E95" s="103">
        <v>0.51500000000000001</v>
      </c>
      <c r="F95" s="103"/>
      <c r="G95" s="103"/>
      <c r="H95" s="103"/>
      <c r="I95" s="103" t="s">
        <v>12</v>
      </c>
      <c r="J95" s="103"/>
      <c r="K95" s="104"/>
    </row>
    <row r="96" spans="1:11">
      <c r="A96" s="140" t="s">
        <v>45</v>
      </c>
      <c r="B96" s="103">
        <v>23.6</v>
      </c>
      <c r="C96" s="104">
        <v>0.66800000000000004</v>
      </c>
      <c r="D96" s="103">
        <v>6.4000000000000001E-2</v>
      </c>
      <c r="E96" s="103">
        <v>0.51500000000000001</v>
      </c>
      <c r="F96" s="103"/>
      <c r="G96" s="103"/>
      <c r="H96" s="103"/>
      <c r="I96" s="103" t="s">
        <v>12</v>
      </c>
      <c r="J96" s="103"/>
      <c r="K96" s="104"/>
    </row>
    <row r="97" spans="1:11">
      <c r="A97" s="140" t="s">
        <v>45</v>
      </c>
      <c r="B97" s="103">
        <v>30.8</v>
      </c>
      <c r="C97" s="104">
        <v>0.66800000000000004</v>
      </c>
      <c r="D97" s="103">
        <v>6.4000000000000001E-2</v>
      </c>
      <c r="E97" s="103">
        <v>0.51500000000000001</v>
      </c>
      <c r="F97" s="103"/>
      <c r="G97" s="103"/>
      <c r="H97" s="103"/>
      <c r="I97" s="103" t="s">
        <v>12</v>
      </c>
      <c r="J97" s="103"/>
      <c r="K97" s="104"/>
    </row>
    <row r="98" spans="1:11">
      <c r="A98" s="140" t="s">
        <v>45</v>
      </c>
      <c r="B98" s="103">
        <v>38.75</v>
      </c>
      <c r="C98" s="104">
        <v>0.66800000000000004</v>
      </c>
      <c r="D98" s="103">
        <v>6.4000000000000001E-2</v>
      </c>
      <c r="E98" s="103">
        <v>0.51500000000000001</v>
      </c>
      <c r="F98" s="103"/>
      <c r="G98" s="103"/>
      <c r="H98" s="103"/>
      <c r="I98" s="103" t="s">
        <v>12</v>
      </c>
      <c r="J98" s="103"/>
      <c r="K98" s="104"/>
    </row>
    <row r="99" spans="1:11">
      <c r="A99" s="140" t="s">
        <v>45</v>
      </c>
      <c r="B99" s="103">
        <v>46.9</v>
      </c>
      <c r="C99" s="104">
        <v>0.66800000000000004</v>
      </c>
      <c r="D99" s="103">
        <v>6.4000000000000001E-2</v>
      </c>
      <c r="E99" s="103">
        <v>0.51500000000000001</v>
      </c>
      <c r="F99" s="103"/>
      <c r="G99" s="103"/>
      <c r="H99" s="103"/>
      <c r="I99" s="103" t="s">
        <v>12</v>
      </c>
      <c r="J99" s="103"/>
      <c r="K99" s="104"/>
    </row>
    <row r="100" spans="1:11">
      <c r="A100" s="140" t="s">
        <v>45</v>
      </c>
      <c r="B100" s="103">
        <v>52</v>
      </c>
      <c r="C100" s="104">
        <v>0.66800000000000004</v>
      </c>
      <c r="D100" s="103">
        <v>6.4000000000000001E-2</v>
      </c>
      <c r="E100" s="103">
        <v>0.51500000000000001</v>
      </c>
      <c r="F100" s="103"/>
      <c r="G100" s="103"/>
      <c r="H100" s="103"/>
      <c r="I100" s="103" t="s">
        <v>12</v>
      </c>
      <c r="J100" s="103"/>
      <c r="K100" s="104"/>
    </row>
    <row r="101" spans="1:11">
      <c r="A101" s="140" t="s">
        <v>45</v>
      </c>
      <c r="B101" s="103">
        <v>55.4</v>
      </c>
      <c r="C101" s="104">
        <v>0.66800000000000004</v>
      </c>
      <c r="D101" s="103">
        <v>6.4000000000000001E-2</v>
      </c>
      <c r="E101" s="103">
        <v>0.51500000000000001</v>
      </c>
      <c r="F101" s="103"/>
      <c r="G101" s="103"/>
      <c r="H101" s="103"/>
      <c r="I101" s="103" t="s">
        <v>12</v>
      </c>
      <c r="J101" s="103"/>
      <c r="K101" s="104"/>
    </row>
    <row r="102" spans="1:11">
      <c r="A102" s="140" t="s">
        <v>45</v>
      </c>
      <c r="B102" s="103">
        <v>63.8</v>
      </c>
      <c r="C102" s="104">
        <v>0.66800000000000004</v>
      </c>
      <c r="D102" s="103">
        <v>6.4000000000000001E-2</v>
      </c>
      <c r="E102" s="103">
        <v>0.51500000000000001</v>
      </c>
      <c r="F102" s="103"/>
      <c r="G102" s="103"/>
      <c r="H102" s="103"/>
      <c r="I102" s="103" t="s">
        <v>12</v>
      </c>
      <c r="J102" s="103"/>
      <c r="K102" s="104"/>
    </row>
    <row r="103" spans="1:11">
      <c r="A103" s="140" t="s">
        <v>45</v>
      </c>
      <c r="B103" s="103">
        <v>73.900000000000006</v>
      </c>
      <c r="C103" s="104">
        <v>0.66800000000000004</v>
      </c>
      <c r="D103" s="103">
        <v>6.4000000000000001E-2</v>
      </c>
      <c r="E103" s="103">
        <v>0.51500000000000001</v>
      </c>
      <c r="F103" s="103"/>
      <c r="G103" s="103"/>
      <c r="H103" s="103"/>
      <c r="I103" s="103" t="s">
        <v>12</v>
      </c>
      <c r="J103" s="103"/>
      <c r="K103" s="104"/>
    </row>
    <row r="104" spans="1:11">
      <c r="A104" s="140" t="s">
        <v>45</v>
      </c>
      <c r="B104" s="103">
        <v>81.8</v>
      </c>
      <c r="C104" s="104">
        <v>0.66800000000000004</v>
      </c>
      <c r="D104" s="103">
        <v>6.4000000000000001E-2</v>
      </c>
      <c r="E104" s="103">
        <v>0.51500000000000001</v>
      </c>
      <c r="F104" s="103"/>
      <c r="G104" s="103"/>
      <c r="H104" s="103"/>
      <c r="I104" s="103" t="s">
        <v>12</v>
      </c>
      <c r="J104" s="103"/>
      <c r="K104" s="104"/>
    </row>
    <row r="105" spans="1:11">
      <c r="A105" s="140" t="s">
        <v>45</v>
      </c>
      <c r="B105" s="103">
        <v>92</v>
      </c>
      <c r="C105" s="104">
        <v>0.66800000000000004</v>
      </c>
      <c r="D105" s="103">
        <v>6.4000000000000001E-2</v>
      </c>
      <c r="E105" s="103">
        <v>0.51500000000000001</v>
      </c>
      <c r="F105" s="103"/>
      <c r="G105" s="103"/>
      <c r="H105" s="103"/>
      <c r="I105" s="103" t="s">
        <v>12</v>
      </c>
      <c r="J105" s="103"/>
      <c r="K105" s="104"/>
    </row>
    <row r="106" spans="1:11">
      <c r="A106" s="140" t="s">
        <v>45</v>
      </c>
      <c r="B106" s="103">
        <v>99.6</v>
      </c>
      <c r="C106" s="104">
        <v>0.66800000000000004</v>
      </c>
      <c r="D106" s="103">
        <v>6.4000000000000001E-2</v>
      </c>
      <c r="E106" s="103">
        <v>0.51500000000000001</v>
      </c>
      <c r="F106" s="103"/>
      <c r="G106" s="103"/>
      <c r="H106" s="103"/>
      <c r="I106" s="103" t="s">
        <v>12</v>
      </c>
      <c r="J106" s="103"/>
      <c r="K106" s="104"/>
    </row>
    <row r="107" spans="1:11">
      <c r="A107" s="140" t="s">
        <v>45</v>
      </c>
      <c r="B107" s="103">
        <v>107.7</v>
      </c>
      <c r="C107" s="104">
        <v>0.66800000000000004</v>
      </c>
      <c r="D107" s="103">
        <v>6.4000000000000001E-2</v>
      </c>
      <c r="E107" s="103">
        <v>0.51500000000000001</v>
      </c>
      <c r="F107" s="103"/>
      <c r="G107" s="103"/>
      <c r="H107" s="103"/>
      <c r="I107" s="103" t="s">
        <v>12</v>
      </c>
      <c r="J107" s="103"/>
      <c r="K107" s="104"/>
    </row>
    <row r="108" spans="1:11">
      <c r="A108" s="140" t="s">
        <v>45</v>
      </c>
      <c r="B108" s="103">
        <v>114</v>
      </c>
      <c r="C108" s="104">
        <v>0.66800000000000004</v>
      </c>
      <c r="D108" s="103">
        <v>6.4000000000000001E-2</v>
      </c>
      <c r="E108" s="103">
        <v>0.51500000000000001</v>
      </c>
      <c r="F108" s="103"/>
      <c r="G108" s="103"/>
      <c r="H108" s="103"/>
      <c r="I108" s="103" t="s">
        <v>12</v>
      </c>
      <c r="J108" s="103"/>
      <c r="K108" s="104"/>
    </row>
    <row r="109" spans="1:11">
      <c r="A109" s="140" t="s">
        <v>45</v>
      </c>
      <c r="B109" s="103">
        <v>131.65</v>
      </c>
      <c r="C109" s="104">
        <v>0.66800000000000004</v>
      </c>
      <c r="D109" s="103">
        <v>6.4000000000000001E-2</v>
      </c>
      <c r="E109" s="103">
        <v>0.51500000000000001</v>
      </c>
      <c r="F109" s="103"/>
      <c r="G109" s="103"/>
      <c r="H109" s="103"/>
      <c r="I109" s="103" t="s">
        <v>12</v>
      </c>
      <c r="J109" s="103"/>
      <c r="K109" s="104"/>
    </row>
    <row r="110" spans="1:11">
      <c r="A110" s="140" t="s">
        <v>45</v>
      </c>
      <c r="B110" s="103">
        <v>149.19999999999999</v>
      </c>
      <c r="C110" s="104">
        <v>0.66800000000000004</v>
      </c>
      <c r="D110" s="103">
        <v>6.4000000000000001E-2</v>
      </c>
      <c r="E110" s="103">
        <v>0.51500000000000001</v>
      </c>
      <c r="F110" s="103"/>
      <c r="G110" s="103"/>
      <c r="H110" s="103"/>
      <c r="I110" s="103" t="s">
        <v>12</v>
      </c>
      <c r="J110" s="103"/>
      <c r="K110" s="104"/>
    </row>
    <row r="111" spans="1:11">
      <c r="A111" s="103" t="s">
        <v>46</v>
      </c>
      <c r="B111" s="103">
        <v>30.2</v>
      </c>
      <c r="C111" s="104">
        <v>3.01</v>
      </c>
      <c r="D111" s="103">
        <v>6.4600000000000005E-2</v>
      </c>
      <c r="E111" s="103">
        <v>0.109</v>
      </c>
      <c r="F111" s="103"/>
      <c r="G111" s="103"/>
      <c r="H111" s="103">
        <v>18</v>
      </c>
      <c r="I111" s="103" t="s">
        <v>14</v>
      </c>
      <c r="J111" s="103"/>
      <c r="K111" s="104"/>
    </row>
    <row r="112" spans="1:11">
      <c r="A112" s="103" t="s">
        <v>46</v>
      </c>
      <c r="B112" s="103">
        <v>117.5</v>
      </c>
      <c r="C112" s="104">
        <v>3.01</v>
      </c>
      <c r="D112" s="103">
        <v>6.4600000000000005E-2</v>
      </c>
      <c r="E112" s="103">
        <v>0.109</v>
      </c>
      <c r="F112" s="103"/>
      <c r="G112" s="103"/>
      <c r="H112" s="103">
        <v>18</v>
      </c>
      <c r="I112" s="103" t="s">
        <v>14</v>
      </c>
      <c r="J112" s="103"/>
      <c r="K112" s="104"/>
    </row>
    <row r="113" spans="1:13">
      <c r="A113" s="103" t="s">
        <v>46</v>
      </c>
      <c r="B113" s="103">
        <v>208.1</v>
      </c>
      <c r="C113" s="104">
        <v>3.01</v>
      </c>
      <c r="D113" s="103">
        <v>6.4600000000000005E-2</v>
      </c>
      <c r="E113" s="103">
        <v>0.109</v>
      </c>
      <c r="F113" s="103"/>
      <c r="G113" s="103"/>
      <c r="H113" s="103">
        <v>18</v>
      </c>
      <c r="I113" s="103" t="s">
        <v>14</v>
      </c>
      <c r="J113" s="103"/>
      <c r="K113" s="104"/>
      <c r="L113" s="85" t="e">
        <f t="array" aca="1" ref="L113:L121" ca="1">_xludf.UNIQUE(A:A)</f>
        <v>#NAME?</v>
      </c>
    </row>
    <row r="114" spans="1:13">
      <c r="A114" s="103" t="s">
        <v>46</v>
      </c>
      <c r="B114" s="103">
        <v>301.89999999999998</v>
      </c>
      <c r="C114" s="104">
        <v>3.01</v>
      </c>
      <c r="D114" s="103">
        <v>6.4600000000000005E-2</v>
      </c>
      <c r="E114" s="103">
        <v>0.109</v>
      </c>
      <c r="F114" s="103"/>
      <c r="G114" s="103"/>
      <c r="H114" s="103">
        <v>18</v>
      </c>
      <c r="I114" s="103" t="s">
        <v>14</v>
      </c>
      <c r="J114" s="103"/>
      <c r="K114" s="104"/>
      <c r="L114" s="85" t="e">
        <f ca="1"/>
        <v>#NAME?</v>
      </c>
    </row>
    <row r="115" spans="1:13">
      <c r="A115" s="103" t="s">
        <v>46</v>
      </c>
      <c r="B115" s="103">
        <v>375.5</v>
      </c>
      <c r="C115" s="104">
        <v>3.01</v>
      </c>
      <c r="D115" s="103">
        <v>6.4600000000000005E-2</v>
      </c>
      <c r="E115" s="103">
        <v>0.109</v>
      </c>
      <c r="F115" s="103"/>
      <c r="G115" s="103"/>
      <c r="H115" s="103">
        <v>18</v>
      </c>
      <c r="I115" s="103" t="s">
        <v>14</v>
      </c>
      <c r="J115" s="103"/>
      <c r="K115" s="104"/>
      <c r="L115" s="85" t="e">
        <f ca="1"/>
        <v>#NAME?</v>
      </c>
    </row>
    <row r="116" spans="1:13">
      <c r="A116" s="103" t="s">
        <v>46</v>
      </c>
      <c r="B116" s="103">
        <v>442.5</v>
      </c>
      <c r="C116" s="104">
        <v>3.01</v>
      </c>
      <c r="D116" s="103">
        <v>6.4600000000000005E-2</v>
      </c>
      <c r="E116" s="103">
        <v>0.109</v>
      </c>
      <c r="F116" s="103"/>
      <c r="G116" s="103"/>
      <c r="H116" s="103">
        <v>18</v>
      </c>
      <c r="I116" s="103" t="s">
        <v>14</v>
      </c>
      <c r="J116" s="103"/>
      <c r="K116" s="104"/>
      <c r="L116" s="85" t="e">
        <f ca="1"/>
        <v>#NAME?</v>
      </c>
    </row>
    <row r="117" spans="1:13">
      <c r="A117" s="103" t="s">
        <v>46</v>
      </c>
      <c r="B117" s="103">
        <v>564.29999999999995</v>
      </c>
      <c r="C117" s="104">
        <v>3.01</v>
      </c>
      <c r="D117" s="103">
        <v>6.4600000000000005E-2</v>
      </c>
      <c r="E117" s="103">
        <v>0.109</v>
      </c>
      <c r="F117" s="103"/>
      <c r="G117" s="103"/>
      <c r="H117" s="103">
        <v>18</v>
      </c>
      <c r="I117" s="103" t="s">
        <v>14</v>
      </c>
      <c r="J117" s="103"/>
      <c r="K117" s="104"/>
      <c r="L117" s="85" t="e">
        <f ca="1"/>
        <v>#NAME?</v>
      </c>
    </row>
    <row r="118" spans="1:13">
      <c r="A118" s="103" t="s">
        <v>46</v>
      </c>
      <c r="B118" s="103">
        <v>205.9</v>
      </c>
      <c r="C118" s="104">
        <v>1.98</v>
      </c>
      <c r="D118" s="103">
        <v>6.4600000000000005E-2</v>
      </c>
      <c r="E118" s="103">
        <v>0.109</v>
      </c>
      <c r="F118" s="103"/>
      <c r="G118" s="103"/>
      <c r="H118" s="103">
        <v>18</v>
      </c>
      <c r="I118" s="103" t="s">
        <v>14</v>
      </c>
      <c r="J118" s="103"/>
      <c r="K118" s="104"/>
      <c r="L118" s="85" t="e">
        <f ca="1"/>
        <v>#NAME?</v>
      </c>
    </row>
    <row r="119" spans="1:13">
      <c r="A119" s="103" t="s">
        <v>46</v>
      </c>
      <c r="B119" s="103">
        <v>308</v>
      </c>
      <c r="C119" s="104">
        <v>1.98</v>
      </c>
      <c r="D119" s="103">
        <v>6.4600000000000005E-2</v>
      </c>
      <c r="E119" s="103">
        <v>0.109</v>
      </c>
      <c r="F119" s="103"/>
      <c r="G119" s="103"/>
      <c r="H119" s="103">
        <v>18</v>
      </c>
      <c r="I119" s="103" t="s">
        <v>14</v>
      </c>
      <c r="J119" s="103"/>
      <c r="K119" s="104"/>
      <c r="L119" s="85" t="e">
        <f ca="1"/>
        <v>#NAME?</v>
      </c>
    </row>
    <row r="120" spans="1:13">
      <c r="A120" s="103" t="s">
        <v>46</v>
      </c>
      <c r="B120" s="103">
        <v>385.4</v>
      </c>
      <c r="C120" s="104">
        <v>1.98</v>
      </c>
      <c r="D120" s="103">
        <v>6.4600000000000005E-2</v>
      </c>
      <c r="E120" s="103">
        <v>0.109</v>
      </c>
      <c r="F120" s="103"/>
      <c r="G120" s="103"/>
      <c r="H120" s="103">
        <v>18</v>
      </c>
      <c r="I120" s="103" t="s">
        <v>14</v>
      </c>
      <c r="J120" s="103"/>
      <c r="K120" s="104"/>
      <c r="L120" s="85" t="e">
        <f ca="1"/>
        <v>#NAME?</v>
      </c>
    </row>
    <row r="121" spans="1:13">
      <c r="A121" s="103" t="s">
        <v>46</v>
      </c>
      <c r="B121" s="103">
        <v>447.95</v>
      </c>
      <c r="C121" s="104">
        <v>1.98</v>
      </c>
      <c r="D121" s="103">
        <v>6.4600000000000005E-2</v>
      </c>
      <c r="E121" s="103">
        <v>0.109</v>
      </c>
      <c r="F121" s="103"/>
      <c r="G121" s="103"/>
      <c r="H121" s="103">
        <v>18</v>
      </c>
      <c r="I121" s="103" t="s">
        <v>14</v>
      </c>
      <c r="J121" s="103"/>
      <c r="K121" s="104"/>
      <c r="L121" s="85" t="e">
        <f ca="1"/>
        <v>#NAME?</v>
      </c>
      <c r="M121" s="84" t="s">
        <v>49</v>
      </c>
    </row>
    <row r="122" spans="1:13">
      <c r="A122" s="103" t="s">
        <v>46</v>
      </c>
      <c r="B122" s="103">
        <v>571.4</v>
      </c>
      <c r="C122" s="104">
        <v>1.98</v>
      </c>
      <c r="D122" s="103">
        <v>6.4600000000000005E-2</v>
      </c>
      <c r="E122" s="103">
        <v>0.109</v>
      </c>
      <c r="F122" s="103"/>
      <c r="G122" s="103"/>
      <c r="H122" s="103">
        <v>18</v>
      </c>
      <c r="I122" s="103" t="s">
        <v>14</v>
      </c>
      <c r="J122" s="103"/>
      <c r="K122" s="104"/>
    </row>
    <row r="123" spans="1:13">
      <c r="A123" s="103" t="s">
        <v>46</v>
      </c>
      <c r="B123" s="103">
        <v>306.8</v>
      </c>
      <c r="C123" s="104">
        <v>0.79500000000000004</v>
      </c>
      <c r="D123" s="103">
        <v>6.4600000000000005E-2</v>
      </c>
      <c r="E123" s="103">
        <v>0.109</v>
      </c>
      <c r="F123" s="103"/>
      <c r="G123" s="103"/>
      <c r="H123" s="103">
        <v>18</v>
      </c>
      <c r="I123" s="103" t="s">
        <v>14</v>
      </c>
      <c r="J123" s="103"/>
      <c r="K123" s="104"/>
    </row>
    <row r="124" spans="1:13">
      <c r="A124" s="103" t="s">
        <v>46</v>
      </c>
      <c r="B124" s="103">
        <v>370</v>
      </c>
      <c r="C124" s="104">
        <v>0.79500000000000004</v>
      </c>
      <c r="D124" s="103">
        <v>6.4600000000000005E-2</v>
      </c>
      <c r="E124" s="103">
        <v>0.109</v>
      </c>
      <c r="F124" s="103"/>
      <c r="G124" s="103"/>
      <c r="H124" s="103">
        <v>18</v>
      </c>
      <c r="I124" s="103" t="s">
        <v>14</v>
      </c>
      <c r="J124" s="103"/>
      <c r="K124" s="104"/>
    </row>
    <row r="125" spans="1:13">
      <c r="A125" s="103" t="s">
        <v>46</v>
      </c>
      <c r="B125" s="103">
        <v>441.9</v>
      </c>
      <c r="C125" s="104">
        <v>0.79500000000000004</v>
      </c>
      <c r="D125" s="103">
        <v>6.4600000000000005E-2</v>
      </c>
      <c r="E125" s="103">
        <v>0.109</v>
      </c>
      <c r="F125" s="103"/>
      <c r="G125" s="103"/>
      <c r="H125" s="103">
        <v>18</v>
      </c>
      <c r="I125" s="103" t="s">
        <v>14</v>
      </c>
      <c r="J125" s="103"/>
      <c r="K125" s="104"/>
    </row>
    <row r="126" spans="1:13">
      <c r="A126" s="103" t="s">
        <v>46</v>
      </c>
      <c r="B126" s="103">
        <v>574.75</v>
      </c>
      <c r="C126" s="104">
        <v>0.79500000000000004</v>
      </c>
      <c r="D126" s="103">
        <v>6.4600000000000005E-2</v>
      </c>
      <c r="E126" s="103">
        <v>0.109</v>
      </c>
      <c r="F126" s="103"/>
      <c r="G126" s="103"/>
      <c r="H126" s="103">
        <v>18</v>
      </c>
      <c r="I126" s="103" t="s">
        <v>14</v>
      </c>
      <c r="J126" s="103"/>
      <c r="K126" s="104"/>
    </row>
    <row r="127" spans="1:13">
      <c r="A127" s="103" t="s">
        <v>46</v>
      </c>
      <c r="B127" s="103">
        <v>127.6</v>
      </c>
      <c r="C127" s="104">
        <v>0.5</v>
      </c>
      <c r="D127" s="103">
        <v>6.4600000000000005E-2</v>
      </c>
      <c r="E127" s="103">
        <v>0.109</v>
      </c>
      <c r="F127" s="103"/>
      <c r="G127" s="103"/>
      <c r="H127" s="103">
        <v>18</v>
      </c>
      <c r="I127" s="103" t="s">
        <v>14</v>
      </c>
      <c r="J127" s="103"/>
      <c r="K127" s="104"/>
    </row>
    <row r="128" spans="1:13">
      <c r="A128" s="103" t="s">
        <v>46</v>
      </c>
      <c r="B128" s="103">
        <v>213.2</v>
      </c>
      <c r="C128" s="104">
        <v>0.5</v>
      </c>
      <c r="D128" s="103">
        <v>6.4600000000000005E-2</v>
      </c>
      <c r="E128" s="103">
        <v>0.109</v>
      </c>
      <c r="F128" s="103"/>
      <c r="G128" s="103"/>
      <c r="H128" s="103">
        <v>18</v>
      </c>
      <c r="I128" s="103" t="s">
        <v>14</v>
      </c>
      <c r="J128" s="103"/>
      <c r="K128" s="104"/>
    </row>
    <row r="129" spans="1:11">
      <c r="A129" s="103" t="s">
        <v>46</v>
      </c>
      <c r="B129" s="103">
        <v>317.10000000000002</v>
      </c>
      <c r="C129" s="104">
        <v>0.5</v>
      </c>
      <c r="D129" s="103">
        <v>6.4600000000000005E-2</v>
      </c>
      <c r="E129" s="103">
        <v>0.109</v>
      </c>
      <c r="F129" s="103"/>
      <c r="G129" s="103"/>
      <c r="H129" s="103">
        <v>18</v>
      </c>
      <c r="I129" s="103" t="s">
        <v>14</v>
      </c>
      <c r="J129" s="103"/>
      <c r="K129" s="104"/>
    </row>
    <row r="130" spans="1:11">
      <c r="A130" s="103" t="s">
        <v>46</v>
      </c>
      <c r="B130" s="103">
        <v>385.9</v>
      </c>
      <c r="C130" s="104">
        <v>0.5</v>
      </c>
      <c r="D130" s="103">
        <v>6.4600000000000005E-2</v>
      </c>
      <c r="E130" s="103">
        <v>0.109</v>
      </c>
      <c r="F130" s="103"/>
      <c r="G130" s="103"/>
      <c r="H130" s="103">
        <v>18</v>
      </c>
      <c r="I130" s="103" t="s">
        <v>14</v>
      </c>
      <c r="J130" s="103"/>
      <c r="K130" s="104"/>
    </row>
    <row r="131" spans="1:11">
      <c r="A131" s="103" t="s">
        <v>46</v>
      </c>
      <c r="B131" s="103">
        <v>125.7</v>
      </c>
      <c r="C131" s="104">
        <v>0.4</v>
      </c>
      <c r="D131" s="103">
        <v>6.4600000000000005E-2</v>
      </c>
      <c r="E131" s="103">
        <v>0.109</v>
      </c>
      <c r="F131" s="103"/>
      <c r="G131" s="103"/>
      <c r="H131" s="103">
        <v>18</v>
      </c>
      <c r="I131" s="103" t="s">
        <v>14</v>
      </c>
      <c r="J131" s="103"/>
      <c r="K131" s="104"/>
    </row>
    <row r="132" spans="1:11">
      <c r="A132" s="103" t="s">
        <v>46</v>
      </c>
      <c r="B132" s="103">
        <v>211.4</v>
      </c>
      <c r="C132" s="104">
        <v>0.4</v>
      </c>
      <c r="D132" s="103">
        <v>6.4600000000000005E-2</v>
      </c>
      <c r="E132" s="103">
        <v>0.109</v>
      </c>
      <c r="F132" s="103"/>
      <c r="G132" s="103"/>
      <c r="H132" s="103">
        <v>18</v>
      </c>
      <c r="I132" s="103" t="s">
        <v>14</v>
      </c>
      <c r="J132" s="103"/>
      <c r="K132" s="104"/>
    </row>
    <row r="133" spans="1:11">
      <c r="A133" s="103" t="s">
        <v>46</v>
      </c>
      <c r="B133" s="103">
        <v>322.8</v>
      </c>
      <c r="C133" s="104">
        <v>0.4</v>
      </c>
      <c r="D133" s="103">
        <v>6.4600000000000005E-2</v>
      </c>
      <c r="E133" s="103">
        <v>0.109</v>
      </c>
      <c r="F133" s="103"/>
      <c r="G133" s="103"/>
      <c r="H133" s="103">
        <v>18</v>
      </c>
      <c r="I133" s="103" t="s">
        <v>14</v>
      </c>
      <c r="J133" s="103"/>
      <c r="K133" s="104"/>
    </row>
    <row r="134" spans="1:11">
      <c r="A134" s="103" t="s">
        <v>46</v>
      </c>
      <c r="B134" s="103">
        <v>384.8</v>
      </c>
      <c r="C134" s="104">
        <v>0.4</v>
      </c>
      <c r="D134" s="103">
        <v>6.4600000000000005E-2</v>
      </c>
      <c r="E134" s="103">
        <v>0.109</v>
      </c>
      <c r="F134" s="103"/>
      <c r="G134" s="103"/>
      <c r="H134" s="103">
        <v>18</v>
      </c>
      <c r="I134" s="103" t="s">
        <v>14</v>
      </c>
      <c r="J134" s="103"/>
      <c r="K134" s="104"/>
    </row>
    <row r="135" spans="1:11">
      <c r="A135" s="103" t="s">
        <v>46</v>
      </c>
      <c r="B135" s="103">
        <v>221.8</v>
      </c>
      <c r="C135" s="104">
        <v>0.3</v>
      </c>
      <c r="D135" s="103">
        <v>6.4600000000000005E-2</v>
      </c>
      <c r="E135" s="103">
        <v>0.109</v>
      </c>
      <c r="F135" s="103"/>
      <c r="G135" s="103"/>
      <c r="H135" s="103">
        <v>18</v>
      </c>
      <c r="I135" s="103" t="s">
        <v>14</v>
      </c>
      <c r="J135" s="103"/>
      <c r="K135" s="104"/>
    </row>
    <row r="136" spans="1:11">
      <c r="A136" s="103" t="s">
        <v>46</v>
      </c>
      <c r="B136" s="103">
        <v>329.4</v>
      </c>
      <c r="C136" s="104">
        <v>0.3</v>
      </c>
      <c r="D136" s="103">
        <v>6.4600000000000005E-2</v>
      </c>
      <c r="E136" s="103">
        <v>0.109</v>
      </c>
      <c r="F136" s="103"/>
      <c r="G136" s="103"/>
      <c r="H136" s="103">
        <v>18</v>
      </c>
      <c r="I136" s="103" t="s">
        <v>14</v>
      </c>
      <c r="J136" s="103"/>
      <c r="K136" s="104"/>
    </row>
    <row r="137" spans="1:11">
      <c r="A137" s="103" t="s">
        <v>46</v>
      </c>
      <c r="B137" s="103">
        <v>378.8</v>
      </c>
      <c r="C137" s="104">
        <v>0.3</v>
      </c>
      <c r="D137" s="103">
        <v>6.4600000000000005E-2</v>
      </c>
      <c r="E137" s="103">
        <v>0.109</v>
      </c>
      <c r="F137" s="103"/>
      <c r="G137" s="103"/>
      <c r="H137" s="103">
        <v>18</v>
      </c>
      <c r="I137" s="103" t="s">
        <v>14</v>
      </c>
      <c r="J137" s="103"/>
      <c r="K137" s="104"/>
    </row>
    <row r="138" spans="1:11">
      <c r="A138" s="103" t="s">
        <v>11</v>
      </c>
      <c r="B138" s="103">
        <v>62.7</v>
      </c>
      <c r="C138" s="104">
        <v>0.6</v>
      </c>
      <c r="D138" s="103">
        <v>0.06</v>
      </c>
      <c r="E138" s="103">
        <v>4.2999999999999997E-2</v>
      </c>
      <c r="F138" s="103">
        <v>1200</v>
      </c>
      <c r="G138" s="103"/>
      <c r="H138" s="103">
        <v>20</v>
      </c>
      <c r="I138" s="103" t="s">
        <v>12</v>
      </c>
      <c r="J138" s="103">
        <v>1.204</v>
      </c>
      <c r="K138" s="104"/>
    </row>
    <row r="139" spans="1:11">
      <c r="A139" s="103" t="s">
        <v>11</v>
      </c>
      <c r="B139" s="103">
        <v>82.8</v>
      </c>
      <c r="C139" s="104">
        <v>0.6</v>
      </c>
      <c r="D139" s="103">
        <v>0.06</v>
      </c>
      <c r="E139" s="103">
        <v>4.2999999999999997E-2</v>
      </c>
      <c r="F139" s="103">
        <v>1200</v>
      </c>
      <c r="G139" s="103"/>
      <c r="H139" s="103">
        <v>20</v>
      </c>
      <c r="I139" s="103" t="s">
        <v>12</v>
      </c>
      <c r="J139" s="103">
        <v>1.204</v>
      </c>
      <c r="K139" s="104"/>
    </row>
    <row r="140" spans="1:11">
      <c r="A140" s="103" t="s">
        <v>11</v>
      </c>
      <c r="B140" s="103">
        <v>99.5</v>
      </c>
      <c r="C140" s="104">
        <v>0.6</v>
      </c>
      <c r="D140" s="103">
        <v>0.06</v>
      </c>
      <c r="E140" s="103">
        <v>4.2999999999999997E-2</v>
      </c>
      <c r="F140" s="103">
        <v>1200</v>
      </c>
      <c r="G140" s="103"/>
      <c r="H140" s="103">
        <v>20</v>
      </c>
      <c r="I140" s="103" t="s">
        <v>12</v>
      </c>
      <c r="J140" s="103">
        <v>1.204</v>
      </c>
      <c r="K140" s="104"/>
    </row>
    <row r="141" spans="1:11">
      <c r="A141" s="103" t="s">
        <v>11</v>
      </c>
      <c r="B141" s="103">
        <v>135</v>
      </c>
      <c r="C141" s="104">
        <v>0.6</v>
      </c>
      <c r="D141" s="103">
        <v>0.06</v>
      </c>
      <c r="E141" s="103">
        <v>4.2999999999999997E-2</v>
      </c>
      <c r="F141" s="103">
        <v>1200</v>
      </c>
      <c r="G141" s="103"/>
      <c r="H141" s="103">
        <v>20</v>
      </c>
      <c r="I141" s="103" t="s">
        <v>12</v>
      </c>
      <c r="J141" s="103">
        <v>1.204</v>
      </c>
      <c r="K141" s="104"/>
    </row>
    <row r="142" spans="1:11">
      <c r="A142" s="103" t="s">
        <v>11</v>
      </c>
      <c r="B142" s="103">
        <v>173.1</v>
      </c>
      <c r="C142" s="104">
        <v>0.6</v>
      </c>
      <c r="D142" s="103">
        <v>0.06</v>
      </c>
      <c r="E142" s="103">
        <v>4.2999999999999997E-2</v>
      </c>
      <c r="F142" s="103">
        <v>1200</v>
      </c>
      <c r="G142" s="103"/>
      <c r="H142" s="103">
        <v>20</v>
      </c>
      <c r="I142" s="103" t="s">
        <v>12</v>
      </c>
      <c r="J142" s="103">
        <v>1.204</v>
      </c>
      <c r="K142" s="104"/>
    </row>
    <row r="143" spans="1:11">
      <c r="A143" s="103" t="s">
        <v>11</v>
      </c>
      <c r="B143" s="103">
        <v>208.6</v>
      </c>
      <c r="C143" s="104">
        <v>0.6</v>
      </c>
      <c r="D143" s="103">
        <v>0.06</v>
      </c>
      <c r="E143" s="103">
        <v>4.2999999999999997E-2</v>
      </c>
      <c r="F143" s="103">
        <v>1200</v>
      </c>
      <c r="G143" s="103"/>
      <c r="H143" s="103">
        <v>20</v>
      </c>
      <c r="I143" s="103" t="s">
        <v>12</v>
      </c>
      <c r="J143" s="103">
        <v>1.204</v>
      </c>
      <c r="K143" s="104"/>
    </row>
    <row r="144" spans="1:11">
      <c r="A144" s="103" t="s">
        <v>11</v>
      </c>
      <c r="B144" s="103">
        <v>250.3</v>
      </c>
      <c r="C144" s="104">
        <v>0.6</v>
      </c>
      <c r="D144" s="103">
        <v>0.06</v>
      </c>
      <c r="E144" s="103">
        <v>4.2999999999999997E-2</v>
      </c>
      <c r="F144" s="103">
        <v>1200</v>
      </c>
      <c r="G144" s="103"/>
      <c r="H144" s="103">
        <v>20</v>
      </c>
      <c r="I144" s="103" t="s">
        <v>12</v>
      </c>
      <c r="J144" s="103">
        <v>1.204</v>
      </c>
      <c r="K144" s="104"/>
    </row>
    <row r="145" spans="1:11">
      <c r="A145" s="103" t="s">
        <v>11</v>
      </c>
      <c r="B145" s="103">
        <v>312.89999999999998</v>
      </c>
      <c r="C145" s="104">
        <v>0.6</v>
      </c>
      <c r="D145" s="103">
        <v>0.06</v>
      </c>
      <c r="E145" s="103">
        <v>4.2999999999999997E-2</v>
      </c>
      <c r="F145" s="103">
        <v>1200</v>
      </c>
      <c r="G145" s="103"/>
      <c r="H145" s="103">
        <v>20</v>
      </c>
      <c r="I145" s="103" t="s">
        <v>12</v>
      </c>
      <c r="J145" s="103">
        <v>1.204</v>
      </c>
      <c r="K145" s="104"/>
    </row>
    <row r="146" spans="1:11">
      <c r="A146" s="103" t="s">
        <v>11</v>
      </c>
      <c r="B146" s="103">
        <v>377.5</v>
      </c>
      <c r="C146" s="104">
        <v>0.6</v>
      </c>
      <c r="D146" s="103">
        <v>0.06</v>
      </c>
      <c r="E146" s="103">
        <v>4.2999999999999997E-2</v>
      </c>
      <c r="F146" s="103">
        <v>1200</v>
      </c>
      <c r="G146" s="103"/>
      <c r="H146" s="103">
        <v>20</v>
      </c>
      <c r="I146" s="103" t="s">
        <v>12</v>
      </c>
      <c r="J146" s="103">
        <v>1.204</v>
      </c>
      <c r="K146" s="104"/>
    </row>
    <row r="147" spans="1:11">
      <c r="A147" s="103" t="s">
        <v>11</v>
      </c>
      <c r="B147" s="103">
        <v>428.7</v>
      </c>
      <c r="C147" s="104">
        <v>0.6</v>
      </c>
      <c r="D147" s="103">
        <v>0.06</v>
      </c>
      <c r="E147" s="103">
        <v>4.2999999999999997E-2</v>
      </c>
      <c r="F147" s="103">
        <v>1200</v>
      </c>
      <c r="G147" s="103"/>
      <c r="H147" s="103">
        <v>20</v>
      </c>
      <c r="I147" s="103" t="s">
        <v>12</v>
      </c>
      <c r="J147" s="103">
        <v>1.204</v>
      </c>
      <c r="K147" s="104"/>
    </row>
    <row r="148" spans="1:11">
      <c r="A148" s="103" t="s">
        <v>11</v>
      </c>
      <c r="B148" s="103">
        <v>489.2</v>
      </c>
      <c r="C148" s="104">
        <v>0.6</v>
      </c>
      <c r="D148" s="103">
        <v>0.06</v>
      </c>
      <c r="E148" s="103">
        <v>4.2999999999999997E-2</v>
      </c>
      <c r="F148" s="103">
        <v>1200</v>
      </c>
      <c r="G148" s="103"/>
      <c r="H148" s="103">
        <v>20</v>
      </c>
      <c r="I148" s="103" t="s">
        <v>12</v>
      </c>
      <c r="J148" s="103">
        <v>1.204</v>
      </c>
      <c r="K148" s="104"/>
    </row>
    <row r="149" spans="1:11">
      <c r="A149" s="103" t="s">
        <v>11</v>
      </c>
      <c r="B149" s="103">
        <v>46.8</v>
      </c>
      <c r="C149" s="104">
        <v>0.6</v>
      </c>
      <c r="D149" s="103">
        <v>0.06</v>
      </c>
      <c r="E149" s="103">
        <v>0.105</v>
      </c>
      <c r="F149" s="103"/>
      <c r="G149" s="103"/>
      <c r="H149" s="103">
        <v>20</v>
      </c>
      <c r="I149" s="103" t="s">
        <v>12</v>
      </c>
      <c r="J149" s="103">
        <v>1.204</v>
      </c>
      <c r="K149" s="104"/>
    </row>
    <row r="150" spans="1:11">
      <c r="A150" s="103" t="s">
        <v>11</v>
      </c>
      <c r="B150" s="103">
        <v>62</v>
      </c>
      <c r="C150" s="104">
        <v>0.6</v>
      </c>
      <c r="D150" s="103">
        <v>0.06</v>
      </c>
      <c r="E150" s="103">
        <v>0.105</v>
      </c>
      <c r="F150" s="103"/>
      <c r="G150" s="103"/>
      <c r="H150" s="103">
        <v>20</v>
      </c>
      <c r="I150" s="103" t="s">
        <v>12</v>
      </c>
      <c r="J150" s="103">
        <v>1.204</v>
      </c>
      <c r="K150" s="104"/>
    </row>
    <row r="151" spans="1:11">
      <c r="A151" s="103" t="s">
        <v>11</v>
      </c>
      <c r="B151" s="103">
        <v>79.5</v>
      </c>
      <c r="C151" s="104">
        <v>0.6</v>
      </c>
      <c r="D151" s="103">
        <v>0.06</v>
      </c>
      <c r="E151" s="103">
        <v>0.105</v>
      </c>
      <c r="F151" s="103"/>
      <c r="G151" s="103"/>
      <c r="H151" s="103">
        <v>20</v>
      </c>
      <c r="I151" s="103" t="s">
        <v>12</v>
      </c>
      <c r="J151" s="103">
        <v>1.204</v>
      </c>
      <c r="K151" s="104"/>
    </row>
    <row r="152" spans="1:11">
      <c r="A152" s="103" t="s">
        <v>11</v>
      </c>
      <c r="B152" s="103">
        <v>99</v>
      </c>
      <c r="C152" s="104">
        <v>0.6</v>
      </c>
      <c r="D152" s="103">
        <v>0.06</v>
      </c>
      <c r="E152" s="103">
        <v>0.105</v>
      </c>
      <c r="F152" s="103"/>
      <c r="G152" s="103"/>
      <c r="H152" s="103">
        <v>20</v>
      </c>
      <c r="I152" s="103" t="s">
        <v>12</v>
      </c>
      <c r="J152" s="103">
        <v>1.204</v>
      </c>
      <c r="K152" s="104"/>
    </row>
    <row r="153" spans="1:11">
      <c r="A153" s="103" t="s">
        <v>11</v>
      </c>
      <c r="B153" s="103">
        <v>134.1</v>
      </c>
      <c r="C153" s="104">
        <v>0.6</v>
      </c>
      <c r="D153" s="103">
        <v>0.06</v>
      </c>
      <c r="E153" s="103">
        <v>0.105</v>
      </c>
      <c r="F153" s="103"/>
      <c r="G153" s="103"/>
      <c r="H153" s="103">
        <v>20</v>
      </c>
      <c r="I153" s="103" t="s">
        <v>12</v>
      </c>
      <c r="J153" s="103">
        <v>1.204</v>
      </c>
      <c r="K153" s="104"/>
    </row>
    <row r="154" spans="1:11">
      <c r="A154" s="103" t="s">
        <v>11</v>
      </c>
      <c r="B154" s="103">
        <v>171.5</v>
      </c>
      <c r="C154" s="104">
        <v>0.6</v>
      </c>
      <c r="D154" s="103">
        <v>0.06</v>
      </c>
      <c r="E154" s="103">
        <v>0.105</v>
      </c>
      <c r="F154" s="103"/>
      <c r="G154" s="103"/>
      <c r="H154" s="103">
        <v>20</v>
      </c>
      <c r="I154" s="103" t="s">
        <v>12</v>
      </c>
      <c r="J154" s="103">
        <v>1.204</v>
      </c>
      <c r="K154" s="104"/>
    </row>
    <row r="155" spans="1:11">
      <c r="A155" s="103" t="s">
        <v>11</v>
      </c>
      <c r="B155" s="103">
        <v>208.9</v>
      </c>
      <c r="C155" s="104">
        <v>0.6</v>
      </c>
      <c r="D155" s="103">
        <v>0.06</v>
      </c>
      <c r="E155" s="103">
        <v>0.105</v>
      </c>
      <c r="F155" s="103"/>
      <c r="G155" s="103"/>
      <c r="H155" s="103">
        <v>20</v>
      </c>
      <c r="I155" s="103" t="s">
        <v>12</v>
      </c>
      <c r="J155" s="103">
        <v>1.204</v>
      </c>
      <c r="K155" s="104"/>
    </row>
    <row r="156" spans="1:11">
      <c r="A156" s="103" t="s">
        <v>11</v>
      </c>
      <c r="B156" s="103">
        <v>249</v>
      </c>
      <c r="C156" s="104">
        <v>0.6</v>
      </c>
      <c r="D156" s="103">
        <v>0.06</v>
      </c>
      <c r="E156" s="103">
        <v>0.105</v>
      </c>
      <c r="F156" s="103"/>
      <c r="G156" s="103"/>
      <c r="H156" s="103">
        <v>20</v>
      </c>
      <c r="I156" s="103" t="s">
        <v>12</v>
      </c>
      <c r="J156" s="103">
        <v>1.204</v>
      </c>
      <c r="K156" s="104"/>
    </row>
    <row r="157" spans="1:11">
      <c r="A157" s="103" t="s">
        <v>11</v>
      </c>
      <c r="B157" s="103">
        <v>313.3</v>
      </c>
      <c r="C157" s="104">
        <v>0.6</v>
      </c>
      <c r="D157" s="103">
        <v>0.06</v>
      </c>
      <c r="E157" s="103">
        <v>0.105</v>
      </c>
      <c r="F157" s="103"/>
      <c r="G157" s="103"/>
      <c r="H157" s="103">
        <v>20</v>
      </c>
      <c r="I157" s="103" t="s">
        <v>12</v>
      </c>
      <c r="J157" s="103">
        <v>1.204</v>
      </c>
      <c r="K157" s="104"/>
    </row>
    <row r="158" spans="1:11">
      <c r="A158" s="103" t="s">
        <v>11</v>
      </c>
      <c r="B158" s="103">
        <v>376.8</v>
      </c>
      <c r="C158" s="104">
        <v>0.6</v>
      </c>
      <c r="D158" s="103">
        <v>0.06</v>
      </c>
      <c r="E158" s="103">
        <v>0.105</v>
      </c>
      <c r="F158" s="103"/>
      <c r="G158" s="103"/>
      <c r="H158" s="103">
        <v>20</v>
      </c>
      <c r="I158" s="103" t="s">
        <v>12</v>
      </c>
      <c r="J158" s="103">
        <v>1.204</v>
      </c>
      <c r="K158" s="104"/>
    </row>
    <row r="159" spans="1:11">
      <c r="A159" s="103" t="s">
        <v>11</v>
      </c>
      <c r="B159" s="103">
        <v>428.3</v>
      </c>
      <c r="C159" s="104">
        <v>0.6</v>
      </c>
      <c r="D159" s="103">
        <v>0.06</v>
      </c>
      <c r="E159" s="103">
        <v>0.105</v>
      </c>
      <c r="F159" s="103"/>
      <c r="G159" s="103"/>
      <c r="H159" s="103">
        <v>20</v>
      </c>
      <c r="I159" s="103" t="s">
        <v>12</v>
      </c>
      <c r="J159" s="103">
        <v>1.204</v>
      </c>
      <c r="K159" s="104"/>
    </row>
    <row r="160" spans="1:11">
      <c r="A160" s="103" t="s">
        <v>11</v>
      </c>
      <c r="B160" s="103">
        <v>485.5</v>
      </c>
      <c r="C160" s="104">
        <v>0.6</v>
      </c>
      <c r="D160" s="103">
        <v>0.06</v>
      </c>
      <c r="E160" s="103">
        <v>0.105</v>
      </c>
      <c r="F160" s="103"/>
      <c r="G160" s="103"/>
      <c r="H160" s="103">
        <v>20</v>
      </c>
      <c r="I160" s="103" t="s">
        <v>12</v>
      </c>
      <c r="J160" s="103">
        <v>1.204</v>
      </c>
      <c r="K160" s="104"/>
    </row>
    <row r="161" spans="1:11">
      <c r="A161" s="103" t="s">
        <v>11</v>
      </c>
      <c r="B161" s="103">
        <v>47.8</v>
      </c>
      <c r="C161" s="104">
        <v>0.6</v>
      </c>
      <c r="D161" s="103">
        <v>0.06</v>
      </c>
      <c r="E161" s="103">
        <v>0.16400000000000001</v>
      </c>
      <c r="F161" s="103"/>
      <c r="G161" s="103"/>
      <c r="H161" s="103">
        <v>20</v>
      </c>
      <c r="I161" s="103" t="s">
        <v>12</v>
      </c>
      <c r="J161" s="103">
        <v>1.204</v>
      </c>
      <c r="K161" s="104"/>
    </row>
    <row r="162" spans="1:11">
      <c r="A162" s="103" t="s">
        <v>11</v>
      </c>
      <c r="B162" s="103">
        <v>61.65</v>
      </c>
      <c r="C162" s="104">
        <v>0.6</v>
      </c>
      <c r="D162" s="103">
        <v>0.06</v>
      </c>
      <c r="E162" s="103">
        <v>0.16400000000000001</v>
      </c>
      <c r="F162" s="103"/>
      <c r="G162" s="103"/>
      <c r="H162" s="103">
        <v>20</v>
      </c>
      <c r="I162" s="103" t="s">
        <v>12</v>
      </c>
      <c r="J162" s="103">
        <v>1.204</v>
      </c>
      <c r="K162" s="104"/>
    </row>
    <row r="163" spans="1:11">
      <c r="A163" s="103" t="s">
        <v>11</v>
      </c>
      <c r="B163" s="103">
        <v>82.8</v>
      </c>
      <c r="C163" s="104">
        <v>0.6</v>
      </c>
      <c r="D163" s="103">
        <v>0.06</v>
      </c>
      <c r="E163" s="103">
        <v>0.16400000000000001</v>
      </c>
      <c r="F163" s="103"/>
      <c r="G163" s="103"/>
      <c r="H163" s="103">
        <v>20</v>
      </c>
      <c r="I163" s="103" t="s">
        <v>12</v>
      </c>
      <c r="J163" s="103">
        <v>1.204</v>
      </c>
      <c r="K163" s="104"/>
    </row>
    <row r="164" spans="1:11">
      <c r="A164" s="103" t="s">
        <v>11</v>
      </c>
      <c r="B164" s="103">
        <v>98.2</v>
      </c>
      <c r="C164" s="104">
        <v>0.6</v>
      </c>
      <c r="D164" s="103">
        <v>0.06</v>
      </c>
      <c r="E164" s="103">
        <v>0.16400000000000001</v>
      </c>
      <c r="F164" s="103"/>
      <c r="G164" s="103"/>
      <c r="H164" s="103">
        <v>20</v>
      </c>
      <c r="I164" s="103" t="s">
        <v>12</v>
      </c>
      <c r="J164" s="103">
        <v>1.204</v>
      </c>
      <c r="K164" s="104"/>
    </row>
    <row r="165" spans="1:11">
      <c r="A165" s="103" t="s">
        <v>11</v>
      </c>
      <c r="B165" s="103">
        <v>135.4</v>
      </c>
      <c r="C165" s="104">
        <v>0.6</v>
      </c>
      <c r="D165" s="103">
        <v>0.06</v>
      </c>
      <c r="E165" s="103">
        <v>0.16400000000000001</v>
      </c>
      <c r="F165" s="103"/>
      <c r="G165" s="103"/>
      <c r="H165" s="103">
        <v>20</v>
      </c>
      <c r="I165" s="103" t="s">
        <v>12</v>
      </c>
      <c r="J165" s="103">
        <v>1.204</v>
      </c>
      <c r="K165" s="104"/>
    </row>
    <row r="166" spans="1:11">
      <c r="A166" s="103" t="s">
        <v>11</v>
      </c>
      <c r="B166" s="103">
        <v>173.8</v>
      </c>
      <c r="C166" s="104">
        <v>0.6</v>
      </c>
      <c r="D166" s="103">
        <v>0.06</v>
      </c>
      <c r="E166" s="103">
        <v>0.16400000000000001</v>
      </c>
      <c r="F166" s="103"/>
      <c r="G166" s="103"/>
      <c r="H166" s="103">
        <v>20</v>
      </c>
      <c r="I166" s="103" t="s">
        <v>12</v>
      </c>
      <c r="J166" s="103">
        <v>1.204</v>
      </c>
      <c r="K166" s="104"/>
    </row>
    <row r="167" spans="1:11">
      <c r="A167" s="103" t="s">
        <v>11</v>
      </c>
      <c r="B167" s="103">
        <v>210.3</v>
      </c>
      <c r="C167" s="104">
        <v>0.6</v>
      </c>
      <c r="D167" s="103">
        <v>0.06</v>
      </c>
      <c r="E167" s="103">
        <v>0.16400000000000001</v>
      </c>
      <c r="F167" s="103"/>
      <c r="G167" s="103"/>
      <c r="H167" s="103">
        <v>20</v>
      </c>
      <c r="I167" s="103" t="s">
        <v>12</v>
      </c>
      <c r="J167" s="103">
        <v>1.204</v>
      </c>
      <c r="K167" s="104"/>
    </row>
    <row r="168" spans="1:11">
      <c r="A168" s="103" t="s">
        <v>11</v>
      </c>
      <c r="B168" s="103">
        <v>250.1</v>
      </c>
      <c r="C168" s="104">
        <v>0.6</v>
      </c>
      <c r="D168" s="103">
        <v>0.06</v>
      </c>
      <c r="E168" s="103">
        <v>0.16400000000000001</v>
      </c>
      <c r="F168" s="103"/>
      <c r="G168" s="103"/>
      <c r="H168" s="103">
        <v>20</v>
      </c>
      <c r="I168" s="103" t="s">
        <v>12</v>
      </c>
      <c r="J168" s="103">
        <v>1.204</v>
      </c>
      <c r="K168" s="104"/>
    </row>
    <row r="169" spans="1:11">
      <c r="A169" s="103" t="s">
        <v>11</v>
      </c>
      <c r="B169" s="103">
        <v>313.10000000000002</v>
      </c>
      <c r="C169" s="104">
        <v>0.6</v>
      </c>
      <c r="D169" s="103">
        <v>0.06</v>
      </c>
      <c r="E169" s="103">
        <v>0.16400000000000001</v>
      </c>
      <c r="F169" s="103"/>
      <c r="G169" s="103"/>
      <c r="H169" s="103">
        <v>20</v>
      </c>
      <c r="I169" s="103" t="s">
        <v>12</v>
      </c>
      <c r="J169" s="103">
        <v>1.204</v>
      </c>
      <c r="K169" s="104"/>
    </row>
    <row r="170" spans="1:11">
      <c r="A170" s="103" t="s">
        <v>11</v>
      </c>
      <c r="B170" s="103">
        <v>377.8</v>
      </c>
      <c r="C170" s="104">
        <v>0.6</v>
      </c>
      <c r="D170" s="103">
        <v>0.06</v>
      </c>
      <c r="E170" s="103">
        <v>0.16400000000000001</v>
      </c>
      <c r="F170" s="103"/>
      <c r="G170" s="103"/>
      <c r="H170" s="103">
        <v>20</v>
      </c>
      <c r="I170" s="103" t="s">
        <v>12</v>
      </c>
      <c r="J170" s="103">
        <v>1.204</v>
      </c>
      <c r="K170" s="104"/>
    </row>
    <row r="171" spans="1:11">
      <c r="A171" s="103" t="s">
        <v>11</v>
      </c>
      <c r="B171" s="103">
        <v>428.85</v>
      </c>
      <c r="C171" s="104">
        <v>0.6</v>
      </c>
      <c r="D171" s="103">
        <v>0.06</v>
      </c>
      <c r="E171" s="103">
        <v>0.16400000000000001</v>
      </c>
      <c r="F171" s="103"/>
      <c r="G171" s="103"/>
      <c r="H171" s="103">
        <v>20</v>
      </c>
      <c r="I171" s="103" t="s">
        <v>12</v>
      </c>
      <c r="J171" s="103">
        <v>1.204</v>
      </c>
      <c r="K171" s="104"/>
    </row>
    <row r="172" spans="1:11">
      <c r="A172" s="103" t="s">
        <v>11</v>
      </c>
      <c r="B172" s="103">
        <v>486.1</v>
      </c>
      <c r="C172" s="104">
        <v>0.6</v>
      </c>
      <c r="D172" s="103">
        <v>0.06</v>
      </c>
      <c r="E172" s="103">
        <v>0.16400000000000001</v>
      </c>
      <c r="F172" s="103"/>
      <c r="G172" s="103"/>
      <c r="H172" s="103">
        <v>20</v>
      </c>
      <c r="I172" s="103" t="s">
        <v>12</v>
      </c>
      <c r="J172" s="103">
        <v>1.204</v>
      </c>
      <c r="K172" s="104"/>
    </row>
    <row r="173" spans="1:11">
      <c r="A173" s="103" t="s">
        <v>11</v>
      </c>
      <c r="B173" s="103">
        <v>11.2</v>
      </c>
      <c r="C173" s="104">
        <v>0.6</v>
      </c>
      <c r="D173" s="103">
        <v>0.06</v>
      </c>
      <c r="E173" s="103">
        <v>0.47499999999999998</v>
      </c>
      <c r="F173" s="103"/>
      <c r="G173" s="103"/>
      <c r="H173" s="103">
        <v>20</v>
      </c>
      <c r="I173" s="103" t="s">
        <v>12</v>
      </c>
      <c r="J173" s="103">
        <v>1.204</v>
      </c>
      <c r="K173" s="104"/>
    </row>
    <row r="174" spans="1:11">
      <c r="A174" s="103" t="s">
        <v>11</v>
      </c>
      <c r="B174" s="103">
        <v>24</v>
      </c>
      <c r="C174" s="104">
        <v>0.6</v>
      </c>
      <c r="D174" s="103">
        <v>0.06</v>
      </c>
      <c r="E174" s="103">
        <v>0.47499999999999998</v>
      </c>
      <c r="F174" s="103"/>
      <c r="G174" s="103"/>
      <c r="H174" s="103">
        <v>20</v>
      </c>
      <c r="I174" s="103" t="s">
        <v>12</v>
      </c>
      <c r="J174" s="103">
        <v>1.204</v>
      </c>
      <c r="K174" s="104"/>
    </row>
    <row r="175" spans="1:11">
      <c r="A175" s="103" t="s">
        <v>11</v>
      </c>
      <c r="B175" s="103">
        <v>49.7</v>
      </c>
      <c r="C175" s="104">
        <v>0.6</v>
      </c>
      <c r="D175" s="103">
        <v>0.06</v>
      </c>
      <c r="E175" s="103">
        <v>0.47499999999999998</v>
      </c>
      <c r="F175" s="103"/>
      <c r="G175" s="103"/>
      <c r="H175" s="103">
        <v>20</v>
      </c>
      <c r="I175" s="103" t="s">
        <v>12</v>
      </c>
      <c r="J175" s="103">
        <v>1.204</v>
      </c>
      <c r="K175" s="104"/>
    </row>
    <row r="176" spans="1:11">
      <c r="A176" s="103" t="s">
        <v>11</v>
      </c>
      <c r="B176" s="103">
        <v>61.4</v>
      </c>
      <c r="C176" s="104">
        <v>0.6</v>
      </c>
      <c r="D176" s="103">
        <v>0.06</v>
      </c>
      <c r="E176" s="103">
        <v>0.47499999999999998</v>
      </c>
      <c r="F176" s="103"/>
      <c r="G176" s="103"/>
      <c r="H176" s="103">
        <v>20</v>
      </c>
      <c r="I176" s="103" t="s">
        <v>12</v>
      </c>
      <c r="J176" s="103">
        <v>1.204</v>
      </c>
      <c r="K176" s="104"/>
    </row>
    <row r="177" spans="1:11">
      <c r="A177" s="103" t="s">
        <v>11</v>
      </c>
      <c r="B177" s="103">
        <v>81.3</v>
      </c>
      <c r="C177" s="104">
        <v>0.6</v>
      </c>
      <c r="D177" s="103">
        <v>0.06</v>
      </c>
      <c r="E177" s="103">
        <v>0.47499999999999998</v>
      </c>
      <c r="F177" s="103"/>
      <c r="G177" s="103"/>
      <c r="H177" s="103">
        <v>20</v>
      </c>
      <c r="I177" s="103" t="s">
        <v>12</v>
      </c>
      <c r="J177" s="103">
        <v>1.204</v>
      </c>
      <c r="K177" s="104"/>
    </row>
    <row r="178" spans="1:11">
      <c r="A178" s="103" t="s">
        <v>11</v>
      </c>
      <c r="B178" s="103">
        <v>99.2</v>
      </c>
      <c r="C178" s="104">
        <v>0.6</v>
      </c>
      <c r="D178" s="103">
        <v>0.06</v>
      </c>
      <c r="E178" s="103">
        <v>0.47499999999999998</v>
      </c>
      <c r="F178" s="103"/>
      <c r="G178" s="103"/>
      <c r="H178" s="103">
        <v>20</v>
      </c>
      <c r="I178" s="103" t="s">
        <v>12</v>
      </c>
      <c r="J178" s="103">
        <v>1.204</v>
      </c>
      <c r="K178" s="104"/>
    </row>
    <row r="179" spans="1:11">
      <c r="A179" s="103" t="s">
        <v>11</v>
      </c>
      <c r="B179" s="103">
        <v>124.9</v>
      </c>
      <c r="C179" s="104">
        <v>0.6</v>
      </c>
      <c r="D179" s="103">
        <v>0.06</v>
      </c>
      <c r="E179" s="103">
        <v>0.47499999999999998</v>
      </c>
      <c r="F179" s="103"/>
      <c r="G179" s="103"/>
      <c r="H179" s="103">
        <v>20</v>
      </c>
      <c r="I179" s="103" t="s">
        <v>12</v>
      </c>
      <c r="J179" s="103">
        <v>1.204</v>
      </c>
      <c r="K179" s="104"/>
    </row>
    <row r="180" spans="1:11">
      <c r="A180" s="103" t="s">
        <v>11</v>
      </c>
      <c r="B180" s="103">
        <v>171.3</v>
      </c>
      <c r="C180" s="104">
        <v>0.6</v>
      </c>
      <c r="D180" s="103">
        <v>0.06</v>
      </c>
      <c r="E180" s="103">
        <v>0.47499999999999998</v>
      </c>
      <c r="F180" s="103"/>
      <c r="G180" s="103"/>
      <c r="H180" s="103">
        <v>20</v>
      </c>
      <c r="I180" s="103" t="s">
        <v>12</v>
      </c>
      <c r="J180" s="103">
        <v>1.204</v>
      </c>
      <c r="K180" s="104"/>
    </row>
    <row r="181" spans="1:11">
      <c r="A181" s="103" t="s">
        <v>11</v>
      </c>
      <c r="B181" s="103">
        <v>179.9</v>
      </c>
      <c r="C181" s="104">
        <v>0.6</v>
      </c>
      <c r="D181" s="103">
        <v>0.06</v>
      </c>
      <c r="E181" s="103">
        <v>0.47499999999999998</v>
      </c>
      <c r="F181" s="103"/>
      <c r="G181" s="103"/>
      <c r="H181" s="103">
        <v>20</v>
      </c>
      <c r="I181" s="103" t="s">
        <v>12</v>
      </c>
      <c r="J181" s="103">
        <v>1.204</v>
      </c>
      <c r="K181" s="104"/>
    </row>
    <row r="182" spans="1:11">
      <c r="A182" s="103" t="s">
        <v>11</v>
      </c>
      <c r="B182" s="103">
        <v>273</v>
      </c>
      <c r="C182" s="104">
        <v>0.6</v>
      </c>
      <c r="D182" s="103">
        <v>0.06</v>
      </c>
      <c r="E182" s="103">
        <v>0.47499999999999998</v>
      </c>
      <c r="F182" s="103"/>
      <c r="G182" s="103"/>
      <c r="H182" s="103">
        <v>20</v>
      </c>
      <c r="I182" s="103" t="s">
        <v>12</v>
      </c>
      <c r="J182" s="103">
        <v>1.204</v>
      </c>
      <c r="K182" s="104"/>
    </row>
    <row r="183" spans="1:11">
      <c r="A183" s="103" t="s">
        <v>11</v>
      </c>
      <c r="B183" s="103">
        <v>311.60000000000002</v>
      </c>
      <c r="C183" s="104">
        <v>0.6</v>
      </c>
      <c r="D183" s="103">
        <v>0.06</v>
      </c>
      <c r="E183" s="103">
        <v>0.47499999999999998</v>
      </c>
      <c r="F183" s="103"/>
      <c r="G183" s="103"/>
      <c r="H183" s="103">
        <v>20</v>
      </c>
      <c r="I183" s="103" t="s">
        <v>12</v>
      </c>
      <c r="J183" s="103">
        <v>1.204</v>
      </c>
      <c r="K183" s="104"/>
    </row>
    <row r="184" spans="1:11">
      <c r="A184" s="103" t="s">
        <v>11</v>
      </c>
      <c r="B184" s="103">
        <v>367.3</v>
      </c>
      <c r="C184" s="104">
        <v>0.6</v>
      </c>
      <c r="D184" s="103">
        <v>0.06</v>
      </c>
      <c r="E184" s="103">
        <v>0.47499999999999998</v>
      </c>
      <c r="F184" s="103"/>
      <c r="G184" s="103"/>
      <c r="H184" s="103">
        <v>20</v>
      </c>
      <c r="I184" s="103" t="s">
        <v>12</v>
      </c>
      <c r="J184" s="103">
        <v>1.204</v>
      </c>
      <c r="K184" s="104"/>
    </row>
    <row r="185" spans="1:11">
      <c r="A185" s="103" t="s">
        <v>11</v>
      </c>
      <c r="B185" s="103">
        <v>423</v>
      </c>
      <c r="C185" s="104">
        <v>0.6</v>
      </c>
      <c r="D185" s="103">
        <v>0.06</v>
      </c>
      <c r="E185" s="103">
        <v>0.47499999999999998</v>
      </c>
      <c r="F185" s="103"/>
      <c r="G185" s="103"/>
      <c r="H185" s="103">
        <v>20</v>
      </c>
      <c r="I185" s="103" t="s">
        <v>12</v>
      </c>
      <c r="J185" s="103">
        <v>1.204</v>
      </c>
      <c r="K185" s="104"/>
    </row>
    <row r="186" spans="1:11">
      <c r="A186" s="103" t="s">
        <v>11</v>
      </c>
      <c r="B186" s="103">
        <v>11.2</v>
      </c>
      <c r="C186" s="104">
        <v>0.6</v>
      </c>
      <c r="D186" s="103">
        <v>0.06</v>
      </c>
      <c r="E186" s="103">
        <v>0.8</v>
      </c>
      <c r="F186" s="103">
        <v>1260</v>
      </c>
      <c r="G186" s="103"/>
      <c r="H186" s="103">
        <v>20</v>
      </c>
      <c r="I186" s="103" t="s">
        <v>12</v>
      </c>
      <c r="J186" s="103">
        <v>1.204</v>
      </c>
      <c r="K186" s="104"/>
    </row>
    <row r="187" spans="1:11">
      <c r="A187" s="103" t="s">
        <v>11</v>
      </c>
      <c r="B187" s="103">
        <v>22.5</v>
      </c>
      <c r="C187" s="104">
        <v>0.6</v>
      </c>
      <c r="D187" s="103">
        <v>0.06</v>
      </c>
      <c r="E187" s="103">
        <v>0.8</v>
      </c>
      <c r="F187" s="103">
        <v>1260</v>
      </c>
      <c r="G187" s="103"/>
      <c r="H187" s="103">
        <v>20</v>
      </c>
      <c r="I187" s="103" t="s">
        <v>12</v>
      </c>
      <c r="J187" s="103">
        <v>1.204</v>
      </c>
      <c r="K187" s="104"/>
    </row>
    <row r="188" spans="1:11">
      <c r="A188" s="103" t="s">
        <v>11</v>
      </c>
      <c r="B188" s="103">
        <v>32.6</v>
      </c>
      <c r="C188" s="104">
        <v>0.6</v>
      </c>
      <c r="D188" s="103">
        <v>0.06</v>
      </c>
      <c r="E188" s="103">
        <v>0.8</v>
      </c>
      <c r="F188" s="103">
        <v>1260</v>
      </c>
      <c r="G188" s="103"/>
      <c r="H188" s="103">
        <v>20</v>
      </c>
      <c r="I188" s="103" t="s">
        <v>12</v>
      </c>
      <c r="J188" s="103">
        <v>1.204</v>
      </c>
      <c r="K188" s="104"/>
    </row>
    <row r="189" spans="1:11">
      <c r="A189" s="103" t="s">
        <v>11</v>
      </c>
      <c r="B189" s="103">
        <v>41.6</v>
      </c>
      <c r="C189" s="104">
        <v>0.6</v>
      </c>
      <c r="D189" s="103">
        <v>0.06</v>
      </c>
      <c r="E189" s="103">
        <v>0.8</v>
      </c>
      <c r="F189" s="103">
        <v>1260</v>
      </c>
      <c r="G189" s="103"/>
      <c r="H189" s="103">
        <v>20</v>
      </c>
      <c r="I189" s="103" t="s">
        <v>12</v>
      </c>
      <c r="J189" s="103">
        <v>1.204</v>
      </c>
      <c r="K189" s="104"/>
    </row>
    <row r="190" spans="1:11">
      <c r="A190" s="103" t="s">
        <v>11</v>
      </c>
      <c r="B190" s="103">
        <v>107</v>
      </c>
      <c r="C190" s="104">
        <v>0.6</v>
      </c>
      <c r="D190" s="103">
        <v>0.06</v>
      </c>
      <c r="E190" s="103">
        <v>0.8</v>
      </c>
      <c r="F190" s="103">
        <v>1260</v>
      </c>
      <c r="G190" s="103"/>
      <c r="H190" s="103">
        <v>20</v>
      </c>
      <c r="I190" s="103" t="s">
        <v>12</v>
      </c>
      <c r="J190" s="103">
        <v>1.204</v>
      </c>
      <c r="K190" s="104"/>
    </row>
    <row r="191" spans="1:11">
      <c r="A191" s="103" t="s">
        <v>11</v>
      </c>
      <c r="B191" s="103">
        <v>140.1</v>
      </c>
      <c r="C191" s="104">
        <v>0.6</v>
      </c>
      <c r="D191" s="103">
        <v>0.06</v>
      </c>
      <c r="E191" s="103">
        <v>0.8</v>
      </c>
      <c r="F191" s="103">
        <v>1260</v>
      </c>
      <c r="G191" s="103"/>
      <c r="H191" s="103">
        <v>20</v>
      </c>
      <c r="I191" s="103" t="s">
        <v>12</v>
      </c>
      <c r="J191" s="103">
        <v>1.204</v>
      </c>
      <c r="K191" s="104"/>
    </row>
    <row r="192" spans="1:11">
      <c r="A192" s="103" t="s">
        <v>11</v>
      </c>
      <c r="B192" s="103">
        <v>159.6</v>
      </c>
      <c r="C192" s="104">
        <v>0.6</v>
      </c>
      <c r="D192" s="103">
        <v>0.06</v>
      </c>
      <c r="E192" s="103">
        <v>0.8</v>
      </c>
      <c r="F192" s="103">
        <v>1260</v>
      </c>
      <c r="G192" s="103"/>
      <c r="H192" s="103">
        <v>20</v>
      </c>
      <c r="I192" s="103" t="s">
        <v>12</v>
      </c>
      <c r="J192" s="103">
        <v>1.204</v>
      </c>
      <c r="K192" s="104"/>
    </row>
    <row r="193" spans="1:11">
      <c r="A193" s="103" t="s">
        <v>11</v>
      </c>
      <c r="B193" s="103">
        <v>167.8</v>
      </c>
      <c r="C193" s="104">
        <v>0.6</v>
      </c>
      <c r="D193" s="103">
        <v>0.06</v>
      </c>
      <c r="E193" s="103">
        <v>0.8</v>
      </c>
      <c r="F193" s="103">
        <v>1260</v>
      </c>
      <c r="G193" s="103"/>
      <c r="H193" s="103">
        <v>20</v>
      </c>
      <c r="I193" s="103" t="s">
        <v>12</v>
      </c>
      <c r="J193" s="103">
        <v>1.204</v>
      </c>
      <c r="K193" s="104"/>
    </row>
    <row r="194" spans="1:11">
      <c r="A194" s="103" t="s">
        <v>13</v>
      </c>
      <c r="B194" s="103">
        <v>8.1</v>
      </c>
      <c r="C194" s="104">
        <v>0.91500000000000004</v>
      </c>
      <c r="D194" s="103">
        <v>7.1999999999999995E-2</v>
      </c>
      <c r="E194" s="103">
        <v>1E-3</v>
      </c>
      <c r="F194" s="103">
        <v>1000</v>
      </c>
      <c r="G194" s="103"/>
      <c r="H194" s="103">
        <v>20</v>
      </c>
      <c r="I194" s="103" t="s">
        <v>14</v>
      </c>
      <c r="J194" s="103"/>
      <c r="K194" s="104"/>
    </row>
    <row r="195" spans="1:11">
      <c r="A195" s="103" t="s">
        <v>13</v>
      </c>
      <c r="B195" s="103">
        <v>16</v>
      </c>
      <c r="C195" s="104">
        <v>0.91500000000000004</v>
      </c>
      <c r="D195" s="103">
        <v>7.1999999999999995E-2</v>
      </c>
      <c r="E195" s="103">
        <v>1E-3</v>
      </c>
      <c r="F195" s="103">
        <v>1000</v>
      </c>
      <c r="G195" s="103"/>
      <c r="H195" s="103">
        <v>20</v>
      </c>
      <c r="I195" s="103" t="s">
        <v>14</v>
      </c>
      <c r="J195" s="103"/>
      <c r="K195" s="104"/>
    </row>
    <row r="196" spans="1:11">
      <c r="A196" s="103" t="s">
        <v>13</v>
      </c>
      <c r="B196" s="103">
        <v>29.7</v>
      </c>
      <c r="C196" s="104">
        <v>0.91500000000000004</v>
      </c>
      <c r="D196" s="103">
        <v>7.1999999999999995E-2</v>
      </c>
      <c r="E196" s="103">
        <v>1E-3</v>
      </c>
      <c r="F196" s="103">
        <v>1000</v>
      </c>
      <c r="G196" s="103"/>
      <c r="H196" s="103">
        <v>20</v>
      </c>
      <c r="I196" s="103" t="s">
        <v>14</v>
      </c>
      <c r="J196" s="103"/>
      <c r="K196" s="104"/>
    </row>
    <row r="197" spans="1:11">
      <c r="A197" s="103" t="s">
        <v>13</v>
      </c>
      <c r="B197" s="103">
        <v>38.9</v>
      </c>
      <c r="C197" s="104">
        <v>0.91500000000000004</v>
      </c>
      <c r="D197" s="103">
        <v>7.1999999999999995E-2</v>
      </c>
      <c r="E197" s="103">
        <v>1E-3</v>
      </c>
      <c r="F197" s="103">
        <v>1000</v>
      </c>
      <c r="G197" s="103"/>
      <c r="H197" s="103">
        <v>20</v>
      </c>
      <c r="I197" s="103" t="s">
        <v>14</v>
      </c>
      <c r="J197" s="103"/>
      <c r="K197" s="104"/>
    </row>
    <row r="198" spans="1:11">
      <c r="A198" s="103" t="s">
        <v>13</v>
      </c>
      <c r="B198" s="103">
        <v>50.4</v>
      </c>
      <c r="C198" s="104">
        <v>0.91500000000000004</v>
      </c>
      <c r="D198" s="103">
        <v>7.1999999999999995E-2</v>
      </c>
      <c r="E198" s="103">
        <v>1E-3</v>
      </c>
      <c r="F198" s="103">
        <v>1000</v>
      </c>
      <c r="G198" s="103"/>
      <c r="H198" s="103">
        <v>20</v>
      </c>
      <c r="I198" s="103" t="s">
        <v>14</v>
      </c>
      <c r="J198" s="103"/>
      <c r="K198" s="104"/>
    </row>
    <row r="199" spans="1:11">
      <c r="A199" s="103" t="s">
        <v>13</v>
      </c>
      <c r="B199" s="103">
        <v>54.9</v>
      </c>
      <c r="C199" s="104">
        <v>0.91500000000000004</v>
      </c>
      <c r="D199" s="103">
        <v>7.1999999999999995E-2</v>
      </c>
      <c r="E199" s="103">
        <v>1E-3</v>
      </c>
      <c r="F199" s="103">
        <v>1000</v>
      </c>
      <c r="G199" s="103"/>
      <c r="H199" s="103">
        <v>20</v>
      </c>
      <c r="I199" s="103" t="s">
        <v>14</v>
      </c>
      <c r="J199" s="103"/>
      <c r="K199" s="104"/>
    </row>
    <row r="200" spans="1:11">
      <c r="A200" s="103" t="s">
        <v>13</v>
      </c>
      <c r="B200" s="103">
        <v>7.9</v>
      </c>
      <c r="C200" s="104">
        <v>0.91500000000000004</v>
      </c>
      <c r="D200" s="103">
        <v>3.5000000000000003E-2</v>
      </c>
      <c r="E200" s="103">
        <v>1E-3</v>
      </c>
      <c r="F200" s="103">
        <v>1000</v>
      </c>
      <c r="G200" s="103"/>
      <c r="H200" s="103">
        <v>20</v>
      </c>
      <c r="I200" s="103" t="s">
        <v>14</v>
      </c>
      <c r="J200" s="103"/>
      <c r="K200" s="104"/>
    </row>
    <row r="201" spans="1:11">
      <c r="A201" s="103" t="s">
        <v>13</v>
      </c>
      <c r="B201" s="103">
        <v>21.2</v>
      </c>
      <c r="C201" s="104">
        <v>0.91500000000000004</v>
      </c>
      <c r="D201" s="103">
        <v>3.5000000000000003E-2</v>
      </c>
      <c r="E201" s="103">
        <v>1E-3</v>
      </c>
      <c r="F201" s="103">
        <v>1000</v>
      </c>
      <c r="G201" s="103"/>
      <c r="H201" s="103">
        <v>20</v>
      </c>
      <c r="I201" s="103" t="s">
        <v>14</v>
      </c>
      <c r="J201" s="103"/>
      <c r="K201" s="104"/>
    </row>
    <row r="202" spans="1:11">
      <c r="A202" s="103" t="s">
        <v>13</v>
      </c>
      <c r="B202" s="103">
        <v>33.6</v>
      </c>
      <c r="C202" s="104">
        <v>0.91500000000000004</v>
      </c>
      <c r="D202" s="103">
        <v>3.5000000000000003E-2</v>
      </c>
      <c r="E202" s="103">
        <v>1E-3</v>
      </c>
      <c r="F202" s="103">
        <v>1000</v>
      </c>
      <c r="G202" s="103"/>
      <c r="H202" s="103">
        <v>20</v>
      </c>
      <c r="I202" s="103" t="s">
        <v>14</v>
      </c>
      <c r="J202" s="103"/>
      <c r="K202" s="104"/>
    </row>
    <row r="203" spans="1:11">
      <c r="A203" s="103" t="s">
        <v>13</v>
      </c>
      <c r="B203" s="103">
        <v>40.9</v>
      </c>
      <c r="C203" s="104">
        <v>0.91500000000000004</v>
      </c>
      <c r="D203" s="103">
        <v>3.5000000000000003E-2</v>
      </c>
      <c r="E203" s="103">
        <v>1E-3</v>
      </c>
      <c r="F203" s="103">
        <v>1000</v>
      </c>
      <c r="G203" s="103"/>
      <c r="H203" s="103">
        <v>20</v>
      </c>
      <c r="I203" s="103" t="s">
        <v>14</v>
      </c>
      <c r="J203" s="103"/>
      <c r="K203" s="104"/>
    </row>
    <row r="204" spans="1:11">
      <c r="A204" s="103" t="s">
        <v>13</v>
      </c>
      <c r="B204" s="103">
        <v>49.6</v>
      </c>
      <c r="C204" s="104">
        <v>0.91500000000000004</v>
      </c>
      <c r="D204" s="103">
        <v>3.5000000000000003E-2</v>
      </c>
      <c r="E204" s="103">
        <v>1E-3</v>
      </c>
      <c r="F204" s="103">
        <v>1000</v>
      </c>
      <c r="G204" s="103"/>
      <c r="H204" s="103">
        <v>20</v>
      </c>
      <c r="I204" s="103" t="s">
        <v>14</v>
      </c>
      <c r="J204" s="103"/>
      <c r="K204" s="104"/>
    </row>
    <row r="205" spans="1:11">
      <c r="A205" s="103" t="s">
        <v>13</v>
      </c>
      <c r="B205" s="103">
        <v>54.5</v>
      </c>
      <c r="C205" s="104">
        <v>0.91500000000000004</v>
      </c>
      <c r="D205" s="103">
        <v>3.5000000000000003E-2</v>
      </c>
      <c r="E205" s="103">
        <v>1E-3</v>
      </c>
      <c r="F205" s="103">
        <v>1000</v>
      </c>
      <c r="G205" s="103"/>
      <c r="H205" s="103">
        <v>20</v>
      </c>
      <c r="I205" s="103" t="s">
        <v>14</v>
      </c>
      <c r="J205" s="103"/>
      <c r="K205" s="104"/>
    </row>
    <row r="206" spans="1:11">
      <c r="A206" s="103" t="s">
        <v>13</v>
      </c>
      <c r="B206" s="103">
        <v>3.9</v>
      </c>
      <c r="C206" s="104">
        <v>0.91500000000000004</v>
      </c>
      <c r="D206" s="103">
        <v>3.5000000000000003E-2</v>
      </c>
      <c r="E206" s="103">
        <v>1E-3</v>
      </c>
      <c r="F206" s="103">
        <v>1000</v>
      </c>
      <c r="G206" s="103"/>
      <c r="H206" s="103">
        <v>20</v>
      </c>
      <c r="I206" s="103" t="s">
        <v>14</v>
      </c>
      <c r="J206" s="103"/>
      <c r="K206" s="104"/>
    </row>
    <row r="207" spans="1:11">
      <c r="A207" s="103" t="s">
        <v>13</v>
      </c>
      <c r="B207" s="103">
        <v>14.4</v>
      </c>
      <c r="C207" s="104">
        <v>0.91500000000000004</v>
      </c>
      <c r="D207" s="103">
        <v>3.5000000000000003E-2</v>
      </c>
      <c r="E207" s="103">
        <v>1E-3</v>
      </c>
      <c r="F207" s="103">
        <v>1000</v>
      </c>
      <c r="G207" s="103"/>
      <c r="H207" s="103">
        <v>20</v>
      </c>
      <c r="I207" s="103" t="s">
        <v>14</v>
      </c>
      <c r="J207" s="103"/>
      <c r="K207" s="104"/>
    </row>
    <row r="208" spans="1:11">
      <c r="A208" s="103" t="s">
        <v>13</v>
      </c>
      <c r="B208" s="103">
        <v>26.7</v>
      </c>
      <c r="C208" s="104">
        <v>0.91500000000000004</v>
      </c>
      <c r="D208" s="103">
        <v>3.5000000000000003E-2</v>
      </c>
      <c r="E208" s="103">
        <v>1E-3</v>
      </c>
      <c r="F208" s="103">
        <v>1000</v>
      </c>
      <c r="G208" s="103"/>
      <c r="H208" s="103">
        <v>20</v>
      </c>
      <c r="I208" s="103" t="s">
        <v>14</v>
      </c>
      <c r="J208" s="103"/>
      <c r="K208" s="104"/>
    </row>
    <row r="209" spans="1:11">
      <c r="A209" s="103" t="s">
        <v>13</v>
      </c>
      <c r="B209" s="103">
        <v>38.299999999999997</v>
      </c>
      <c r="C209" s="104">
        <v>0.91500000000000004</v>
      </c>
      <c r="D209" s="103">
        <v>3.5000000000000003E-2</v>
      </c>
      <c r="E209" s="103">
        <v>1E-3</v>
      </c>
      <c r="F209" s="103">
        <v>1000</v>
      </c>
      <c r="G209" s="103"/>
      <c r="H209" s="103">
        <v>20</v>
      </c>
      <c r="I209" s="103" t="s">
        <v>14</v>
      </c>
      <c r="J209" s="103"/>
      <c r="K209" s="104"/>
    </row>
    <row r="210" spans="1:11">
      <c r="A210" s="103" t="s">
        <v>13</v>
      </c>
      <c r="B210" s="103">
        <v>45.2</v>
      </c>
      <c r="C210" s="104">
        <v>0.91500000000000004</v>
      </c>
      <c r="D210" s="103">
        <v>3.5000000000000003E-2</v>
      </c>
      <c r="E210" s="103">
        <v>1E-3</v>
      </c>
      <c r="F210" s="103">
        <v>1000</v>
      </c>
      <c r="G210" s="103"/>
      <c r="H210" s="103">
        <v>20</v>
      </c>
      <c r="I210" s="103" t="s">
        <v>14</v>
      </c>
      <c r="J210" s="103"/>
      <c r="K210" s="104"/>
    </row>
    <row r="211" spans="1:11">
      <c r="A211" s="103" t="s">
        <v>13</v>
      </c>
      <c r="B211" s="103">
        <v>50.7</v>
      </c>
      <c r="C211" s="104">
        <v>0.91500000000000004</v>
      </c>
      <c r="D211" s="103">
        <v>3.5000000000000003E-2</v>
      </c>
      <c r="E211" s="103">
        <v>1E-3</v>
      </c>
      <c r="F211" s="103">
        <v>1000</v>
      </c>
      <c r="G211" s="103"/>
      <c r="H211" s="103">
        <v>20</v>
      </c>
      <c r="I211" s="103" t="s">
        <v>14</v>
      </c>
      <c r="J211" s="103"/>
      <c r="K211" s="104"/>
    </row>
    <row r="212" spans="1:11">
      <c r="A212" s="103" t="s">
        <v>13</v>
      </c>
      <c r="B212" s="103">
        <v>6.5</v>
      </c>
      <c r="C212" s="104">
        <v>0.91500000000000004</v>
      </c>
      <c r="D212" s="103">
        <v>3.5000000000000003E-2</v>
      </c>
      <c r="E212" s="103">
        <v>1E-3</v>
      </c>
      <c r="F212" s="103">
        <v>1000</v>
      </c>
      <c r="G212" s="103"/>
      <c r="H212" s="103">
        <v>20</v>
      </c>
      <c r="I212" s="103" t="s">
        <v>14</v>
      </c>
      <c r="J212" s="103"/>
      <c r="K212" s="104"/>
    </row>
    <row r="213" spans="1:11">
      <c r="A213" s="103" t="s">
        <v>13</v>
      </c>
      <c r="B213" s="103">
        <v>16.100000000000001</v>
      </c>
      <c r="C213" s="104">
        <v>0.91500000000000004</v>
      </c>
      <c r="D213" s="103">
        <v>3.5000000000000003E-2</v>
      </c>
      <c r="E213" s="103">
        <v>1E-3</v>
      </c>
      <c r="F213" s="103">
        <v>1000</v>
      </c>
      <c r="G213" s="103"/>
      <c r="H213" s="103">
        <v>20</v>
      </c>
      <c r="I213" s="103" t="s">
        <v>14</v>
      </c>
      <c r="J213" s="103"/>
      <c r="K213" s="104"/>
    </row>
    <row r="214" spans="1:11">
      <c r="A214" s="103" t="s">
        <v>13</v>
      </c>
      <c r="B214" s="103">
        <v>26.2</v>
      </c>
      <c r="C214" s="104">
        <v>0.91500000000000004</v>
      </c>
      <c r="D214" s="103">
        <v>3.5000000000000003E-2</v>
      </c>
      <c r="E214" s="103">
        <v>1E-3</v>
      </c>
      <c r="F214" s="103">
        <v>1000</v>
      </c>
      <c r="G214" s="103"/>
      <c r="H214" s="103">
        <v>20</v>
      </c>
      <c r="I214" s="103" t="s">
        <v>14</v>
      </c>
      <c r="J214" s="103"/>
      <c r="K214" s="104"/>
    </row>
    <row r="215" spans="1:11">
      <c r="A215" s="103" t="s">
        <v>13</v>
      </c>
      <c r="B215" s="103">
        <v>37.9</v>
      </c>
      <c r="C215" s="104">
        <v>0.91500000000000004</v>
      </c>
      <c r="D215" s="103">
        <v>3.5000000000000003E-2</v>
      </c>
      <c r="E215" s="103">
        <v>1E-3</v>
      </c>
      <c r="F215" s="103">
        <v>1000</v>
      </c>
      <c r="G215" s="103"/>
      <c r="H215" s="103">
        <v>20</v>
      </c>
      <c r="I215" s="103" t="s">
        <v>14</v>
      </c>
      <c r="J215" s="103"/>
      <c r="K215" s="104"/>
    </row>
    <row r="216" spans="1:11">
      <c r="A216" s="103" t="s">
        <v>13</v>
      </c>
      <c r="B216" s="103">
        <v>46.1</v>
      </c>
      <c r="C216" s="104">
        <v>0.91500000000000004</v>
      </c>
      <c r="D216" s="103">
        <v>3.5000000000000003E-2</v>
      </c>
      <c r="E216" s="103">
        <v>1E-3</v>
      </c>
      <c r="F216" s="103">
        <v>1000</v>
      </c>
      <c r="G216" s="103"/>
      <c r="H216" s="103">
        <v>20</v>
      </c>
      <c r="I216" s="103" t="s">
        <v>14</v>
      </c>
      <c r="J216" s="103"/>
      <c r="K216" s="104"/>
    </row>
    <row r="217" spans="1:11">
      <c r="A217" s="103" t="s">
        <v>13</v>
      </c>
      <c r="B217" s="103">
        <v>50.5</v>
      </c>
      <c r="C217" s="104">
        <v>0.91500000000000004</v>
      </c>
      <c r="D217" s="103">
        <v>3.5000000000000003E-2</v>
      </c>
      <c r="E217" s="103">
        <v>1E-3</v>
      </c>
      <c r="F217" s="103">
        <v>1000</v>
      </c>
      <c r="G217" s="103"/>
      <c r="H217" s="103">
        <v>20</v>
      </c>
      <c r="I217" s="103" t="s">
        <v>14</v>
      </c>
      <c r="J217" s="103"/>
      <c r="K217" s="104"/>
    </row>
    <row r="218" spans="1:11">
      <c r="A218" s="103" t="s">
        <v>13</v>
      </c>
      <c r="B218" s="103">
        <v>8.3000000000000007</v>
      </c>
      <c r="C218" s="104">
        <v>0.91500000000000004</v>
      </c>
      <c r="D218" s="103">
        <v>5.7000000000000002E-2</v>
      </c>
      <c r="E218" s="103">
        <v>1E-3</v>
      </c>
      <c r="F218" s="103">
        <v>1000</v>
      </c>
      <c r="G218" s="103"/>
      <c r="H218" s="103">
        <v>20</v>
      </c>
      <c r="I218" s="103" t="s">
        <v>14</v>
      </c>
      <c r="J218" s="103"/>
      <c r="K218" s="104"/>
    </row>
    <row r="219" spans="1:11">
      <c r="A219" s="103" t="s">
        <v>13</v>
      </c>
      <c r="B219" s="103">
        <v>17.399999999999999</v>
      </c>
      <c r="C219" s="104">
        <v>0.91500000000000004</v>
      </c>
      <c r="D219" s="103">
        <v>5.7000000000000002E-2</v>
      </c>
      <c r="E219" s="103">
        <v>1E-3</v>
      </c>
      <c r="F219" s="103">
        <v>1000</v>
      </c>
      <c r="G219" s="103"/>
      <c r="H219" s="103">
        <v>20</v>
      </c>
      <c r="I219" s="103" t="s">
        <v>14</v>
      </c>
      <c r="J219" s="103"/>
      <c r="K219" s="104"/>
    </row>
    <row r="220" spans="1:11">
      <c r="A220" s="103" t="s">
        <v>13</v>
      </c>
      <c r="B220" s="103">
        <v>28.5</v>
      </c>
      <c r="C220" s="104">
        <v>0.91500000000000004</v>
      </c>
      <c r="D220" s="103">
        <v>5.7000000000000002E-2</v>
      </c>
      <c r="E220" s="103">
        <v>1E-3</v>
      </c>
      <c r="F220" s="103">
        <v>1000</v>
      </c>
      <c r="G220" s="103"/>
      <c r="H220" s="103">
        <v>20</v>
      </c>
      <c r="I220" s="103" t="s">
        <v>14</v>
      </c>
      <c r="J220" s="103"/>
      <c r="K220" s="104"/>
    </row>
    <row r="221" spans="1:11">
      <c r="A221" s="103" t="s">
        <v>13</v>
      </c>
      <c r="B221" s="103">
        <v>35.700000000000003</v>
      </c>
      <c r="C221" s="104">
        <v>0.91500000000000004</v>
      </c>
      <c r="D221" s="103">
        <v>5.7000000000000002E-2</v>
      </c>
      <c r="E221" s="103">
        <v>1E-3</v>
      </c>
      <c r="F221" s="103">
        <v>1000</v>
      </c>
      <c r="G221" s="103"/>
      <c r="H221" s="103">
        <v>20</v>
      </c>
      <c r="I221" s="103" t="s">
        <v>14</v>
      </c>
      <c r="J221" s="103"/>
      <c r="K221" s="104"/>
    </row>
    <row r="222" spans="1:11">
      <c r="A222" s="103" t="s">
        <v>13</v>
      </c>
      <c r="B222" s="103">
        <v>43.4</v>
      </c>
      <c r="C222" s="104">
        <v>0.91500000000000004</v>
      </c>
      <c r="D222" s="103">
        <v>5.7000000000000002E-2</v>
      </c>
      <c r="E222" s="103">
        <v>1E-3</v>
      </c>
      <c r="F222" s="103">
        <v>1000</v>
      </c>
      <c r="G222" s="103"/>
      <c r="H222" s="103">
        <v>20</v>
      </c>
      <c r="I222" s="103" t="s">
        <v>14</v>
      </c>
      <c r="J222" s="103"/>
      <c r="K222" s="104"/>
    </row>
    <row r="223" spans="1:11">
      <c r="A223" s="103" t="s">
        <v>13</v>
      </c>
      <c r="B223" s="103">
        <v>54.6</v>
      </c>
      <c r="C223" s="104">
        <v>0.91500000000000004</v>
      </c>
      <c r="D223" s="103">
        <v>5.7000000000000002E-2</v>
      </c>
      <c r="E223" s="103">
        <v>1E-3</v>
      </c>
      <c r="F223" s="103">
        <v>1000</v>
      </c>
      <c r="G223" s="103"/>
      <c r="H223" s="103">
        <v>20</v>
      </c>
      <c r="I223" s="103" t="s">
        <v>14</v>
      </c>
      <c r="J223" s="103"/>
      <c r="K223" s="104"/>
    </row>
    <row r="224" spans="1:11">
      <c r="A224" s="103" t="s">
        <v>13</v>
      </c>
      <c r="B224" s="103">
        <v>6.2</v>
      </c>
      <c r="C224" s="104">
        <v>0.91500000000000004</v>
      </c>
      <c r="D224" s="103">
        <v>0.03</v>
      </c>
      <c r="E224" s="103">
        <v>1E-3</v>
      </c>
      <c r="F224" s="103">
        <v>1000</v>
      </c>
      <c r="G224" s="103"/>
      <c r="H224" s="103">
        <v>20</v>
      </c>
      <c r="I224" s="103" t="s">
        <v>14</v>
      </c>
      <c r="J224" s="103"/>
      <c r="K224" s="104"/>
    </row>
    <row r="225" spans="1:11">
      <c r="A225" s="103" t="s">
        <v>13</v>
      </c>
      <c r="B225" s="103">
        <v>16.100000000000001</v>
      </c>
      <c r="C225" s="104">
        <v>0.91500000000000004</v>
      </c>
      <c r="D225" s="103">
        <v>0.03</v>
      </c>
      <c r="E225" s="103">
        <v>1E-3</v>
      </c>
      <c r="F225" s="103">
        <v>1000</v>
      </c>
      <c r="G225" s="103"/>
      <c r="H225" s="103">
        <v>20</v>
      </c>
      <c r="I225" s="103" t="s">
        <v>14</v>
      </c>
      <c r="J225" s="103"/>
      <c r="K225" s="104"/>
    </row>
    <row r="226" spans="1:11">
      <c r="A226" s="103" t="s">
        <v>13</v>
      </c>
      <c r="B226" s="103">
        <v>26.65</v>
      </c>
      <c r="C226" s="104">
        <v>0.91500000000000004</v>
      </c>
      <c r="D226" s="103">
        <v>0.03</v>
      </c>
      <c r="E226" s="103">
        <v>1E-3</v>
      </c>
      <c r="F226" s="103">
        <v>1000</v>
      </c>
      <c r="G226" s="103"/>
      <c r="H226" s="103">
        <v>20</v>
      </c>
      <c r="I226" s="103" t="s">
        <v>14</v>
      </c>
      <c r="J226" s="103"/>
      <c r="K226" s="104"/>
    </row>
    <row r="227" spans="1:11">
      <c r="A227" s="103" t="s">
        <v>13</v>
      </c>
      <c r="B227" s="103">
        <v>37.15</v>
      </c>
      <c r="C227" s="104">
        <v>0.91500000000000004</v>
      </c>
      <c r="D227" s="103">
        <v>0.03</v>
      </c>
      <c r="E227" s="103">
        <v>1E-3</v>
      </c>
      <c r="F227" s="103">
        <v>1000</v>
      </c>
      <c r="G227" s="103"/>
      <c r="H227" s="103">
        <v>20</v>
      </c>
      <c r="I227" s="103" t="s">
        <v>14</v>
      </c>
      <c r="J227" s="103"/>
      <c r="K227" s="104"/>
    </row>
    <row r="228" spans="1:11">
      <c r="A228" s="103" t="s">
        <v>13</v>
      </c>
      <c r="B228" s="103">
        <v>45.8</v>
      </c>
      <c r="C228" s="104">
        <v>0.91500000000000004</v>
      </c>
      <c r="D228" s="103">
        <v>0.03</v>
      </c>
      <c r="E228" s="103">
        <v>1E-3</v>
      </c>
      <c r="F228" s="103">
        <v>1000</v>
      </c>
      <c r="G228" s="103"/>
      <c r="H228" s="103">
        <v>20</v>
      </c>
      <c r="I228" s="103" t="s">
        <v>14</v>
      </c>
      <c r="J228" s="103"/>
      <c r="K228" s="104"/>
    </row>
    <row r="229" spans="1:11">
      <c r="A229" s="103" t="s">
        <v>13</v>
      </c>
      <c r="B229" s="103">
        <v>54.8</v>
      </c>
      <c r="C229" s="104">
        <v>0.91500000000000004</v>
      </c>
      <c r="D229" s="103">
        <v>0.03</v>
      </c>
      <c r="E229" s="103">
        <v>1E-3</v>
      </c>
      <c r="F229" s="103">
        <v>1000</v>
      </c>
      <c r="G229" s="103"/>
      <c r="H229" s="103">
        <v>20</v>
      </c>
      <c r="I229" s="103" t="s">
        <v>14</v>
      </c>
      <c r="J229" s="103"/>
      <c r="K229" s="104"/>
    </row>
    <row r="230" spans="1:11">
      <c r="A230" s="103" t="s">
        <v>13</v>
      </c>
      <c r="B230" s="103">
        <v>5.8</v>
      </c>
      <c r="C230" s="104">
        <v>0.91500000000000004</v>
      </c>
      <c r="D230" s="103">
        <v>0.03</v>
      </c>
      <c r="E230" s="103">
        <v>1E-3</v>
      </c>
      <c r="F230" s="103">
        <v>1000</v>
      </c>
      <c r="G230" s="103"/>
      <c r="H230" s="103">
        <v>20</v>
      </c>
      <c r="I230" s="103" t="s">
        <v>14</v>
      </c>
      <c r="J230" s="103"/>
      <c r="K230" s="104"/>
    </row>
    <row r="231" spans="1:11">
      <c r="A231" s="103" t="s">
        <v>13</v>
      </c>
      <c r="B231" s="103">
        <v>17.8</v>
      </c>
      <c r="C231" s="104">
        <v>0.91500000000000004</v>
      </c>
      <c r="D231" s="103">
        <v>0.03</v>
      </c>
      <c r="E231" s="103">
        <v>1E-3</v>
      </c>
      <c r="F231" s="103">
        <v>1000</v>
      </c>
      <c r="G231" s="103"/>
      <c r="H231" s="103">
        <v>20</v>
      </c>
      <c r="I231" s="103" t="s">
        <v>14</v>
      </c>
      <c r="J231" s="103"/>
      <c r="K231" s="104"/>
    </row>
    <row r="232" spans="1:11">
      <c r="A232" s="103" t="s">
        <v>13</v>
      </c>
      <c r="B232" s="103">
        <v>28.8</v>
      </c>
      <c r="C232" s="104">
        <v>0.91500000000000004</v>
      </c>
      <c r="D232" s="103">
        <v>0.03</v>
      </c>
      <c r="E232" s="103">
        <v>1E-3</v>
      </c>
      <c r="F232" s="103">
        <v>1000</v>
      </c>
      <c r="G232" s="103"/>
      <c r="H232" s="103">
        <v>20</v>
      </c>
      <c r="I232" s="103" t="s">
        <v>14</v>
      </c>
      <c r="J232" s="103"/>
      <c r="K232" s="104"/>
    </row>
    <row r="233" spans="1:11">
      <c r="A233" s="103" t="s">
        <v>13</v>
      </c>
      <c r="B233" s="103">
        <v>36.700000000000003</v>
      </c>
      <c r="C233" s="104">
        <v>0.91500000000000004</v>
      </c>
      <c r="D233" s="103">
        <v>0.03</v>
      </c>
      <c r="E233" s="103">
        <v>1E-3</v>
      </c>
      <c r="F233" s="103">
        <v>1000</v>
      </c>
      <c r="G233" s="103"/>
      <c r="H233" s="103">
        <v>20</v>
      </c>
      <c r="I233" s="103" t="s">
        <v>14</v>
      </c>
      <c r="J233" s="103"/>
      <c r="K233" s="104"/>
    </row>
    <row r="234" spans="1:11">
      <c r="A234" s="103" t="s">
        <v>13</v>
      </c>
      <c r="B234" s="103">
        <v>45.9</v>
      </c>
      <c r="C234" s="104">
        <v>0.91500000000000004</v>
      </c>
      <c r="D234" s="103">
        <v>0.03</v>
      </c>
      <c r="E234" s="103">
        <v>1E-3</v>
      </c>
      <c r="F234" s="103">
        <v>1000</v>
      </c>
      <c r="G234" s="103"/>
      <c r="H234" s="103">
        <v>20</v>
      </c>
      <c r="I234" s="103" t="s">
        <v>14</v>
      </c>
      <c r="J234" s="103"/>
      <c r="K234" s="104"/>
    </row>
    <row r="235" spans="1:11">
      <c r="A235" s="103" t="s">
        <v>13</v>
      </c>
      <c r="B235" s="103">
        <v>53.8</v>
      </c>
      <c r="C235" s="104">
        <v>0.91500000000000004</v>
      </c>
      <c r="D235" s="103">
        <v>0.03</v>
      </c>
      <c r="E235" s="103">
        <v>1E-3</v>
      </c>
      <c r="F235" s="103">
        <v>1000</v>
      </c>
      <c r="G235" s="103"/>
      <c r="H235" s="103">
        <v>20</v>
      </c>
      <c r="I235" s="103" t="s">
        <v>14</v>
      </c>
      <c r="J235" s="103"/>
      <c r="K235" s="104"/>
    </row>
    <row r="236" spans="1:11">
      <c r="A236" s="103" t="s">
        <v>13</v>
      </c>
      <c r="B236" s="103">
        <v>4.3</v>
      </c>
      <c r="C236" s="104">
        <v>0.55400000000000005</v>
      </c>
      <c r="D236" s="103">
        <v>0.03</v>
      </c>
      <c r="E236" s="103">
        <v>1E-3</v>
      </c>
      <c r="F236" s="103">
        <v>1000</v>
      </c>
      <c r="G236" s="103"/>
      <c r="H236" s="103">
        <v>20</v>
      </c>
      <c r="I236" s="103" t="s">
        <v>14</v>
      </c>
      <c r="J236" s="103"/>
      <c r="K236" s="104"/>
    </row>
    <row r="237" spans="1:11">
      <c r="A237" s="103" t="s">
        <v>13</v>
      </c>
      <c r="B237" s="103">
        <v>11.4</v>
      </c>
      <c r="C237" s="104">
        <v>0.55400000000000005</v>
      </c>
      <c r="D237" s="103">
        <v>0.03</v>
      </c>
      <c r="E237" s="103">
        <v>1E-3</v>
      </c>
      <c r="F237" s="103">
        <v>1000</v>
      </c>
      <c r="G237" s="103"/>
      <c r="H237" s="103">
        <v>20</v>
      </c>
      <c r="I237" s="103" t="s">
        <v>14</v>
      </c>
      <c r="J237" s="103"/>
      <c r="K237" s="104"/>
    </row>
    <row r="238" spans="1:11">
      <c r="A238" s="103" t="s">
        <v>13</v>
      </c>
      <c r="B238" s="103">
        <v>23.6</v>
      </c>
      <c r="C238" s="104">
        <v>0.55400000000000005</v>
      </c>
      <c r="D238" s="103">
        <v>0.03</v>
      </c>
      <c r="E238" s="103">
        <v>1E-3</v>
      </c>
      <c r="F238" s="103">
        <v>1000</v>
      </c>
      <c r="G238" s="103"/>
      <c r="H238" s="103">
        <v>20</v>
      </c>
      <c r="I238" s="103" t="s">
        <v>14</v>
      </c>
      <c r="J238" s="103"/>
      <c r="K238" s="104"/>
    </row>
    <row r="239" spans="1:11">
      <c r="A239" s="103" t="s">
        <v>13</v>
      </c>
      <c r="B239" s="103">
        <v>33.299999999999997</v>
      </c>
      <c r="C239" s="104">
        <v>0.55400000000000005</v>
      </c>
      <c r="D239" s="103">
        <v>0.03</v>
      </c>
      <c r="E239" s="103">
        <v>1E-3</v>
      </c>
      <c r="F239" s="103">
        <v>1000</v>
      </c>
      <c r="G239" s="103"/>
      <c r="H239" s="103">
        <v>20</v>
      </c>
      <c r="I239" s="103" t="s">
        <v>14</v>
      </c>
      <c r="J239" s="103"/>
      <c r="K239" s="104"/>
    </row>
    <row r="240" spans="1:11">
      <c r="A240" s="103" t="s">
        <v>13</v>
      </c>
      <c r="B240" s="103">
        <v>41.8</v>
      </c>
      <c r="C240" s="104">
        <v>0.55400000000000005</v>
      </c>
      <c r="D240" s="103">
        <v>0.03</v>
      </c>
      <c r="E240" s="103">
        <v>1E-3</v>
      </c>
      <c r="F240" s="103">
        <v>1000</v>
      </c>
      <c r="G240" s="103"/>
      <c r="H240" s="103">
        <v>20</v>
      </c>
      <c r="I240" s="103" t="s">
        <v>14</v>
      </c>
      <c r="J240" s="103"/>
      <c r="K240" s="104"/>
    </row>
    <row r="241" spans="1:11">
      <c r="A241" s="103" t="s">
        <v>13</v>
      </c>
      <c r="B241" s="103">
        <v>44.7</v>
      </c>
      <c r="C241" s="104">
        <v>0.55400000000000005</v>
      </c>
      <c r="D241" s="103">
        <v>0.03</v>
      </c>
      <c r="E241" s="103">
        <v>1E-3</v>
      </c>
      <c r="F241" s="103">
        <v>1000</v>
      </c>
      <c r="G241" s="103"/>
      <c r="H241" s="103">
        <v>20</v>
      </c>
      <c r="I241" s="103" t="s">
        <v>14</v>
      </c>
      <c r="J241" s="103"/>
      <c r="K241" s="104"/>
    </row>
    <row r="242" spans="1:11">
      <c r="A242" s="103" t="s">
        <v>13</v>
      </c>
      <c r="B242" s="103">
        <v>319.89999999999998</v>
      </c>
      <c r="C242" s="104">
        <v>3.01</v>
      </c>
      <c r="D242" s="103">
        <v>6.3E-2</v>
      </c>
      <c r="E242" s="103">
        <v>1E-3</v>
      </c>
      <c r="F242" s="103">
        <v>1000</v>
      </c>
      <c r="G242" s="103"/>
      <c r="H242" s="103">
        <v>20</v>
      </c>
      <c r="I242" s="103" t="s">
        <v>14</v>
      </c>
      <c r="J242" s="103"/>
      <c r="K242" s="104"/>
    </row>
    <row r="243" spans="1:11">
      <c r="A243" s="103" t="s">
        <v>13</v>
      </c>
      <c r="B243" s="103">
        <v>357.1</v>
      </c>
      <c r="C243" s="104">
        <v>3.01</v>
      </c>
      <c r="D243" s="103">
        <v>6.3E-2</v>
      </c>
      <c r="E243" s="103">
        <v>1E-3</v>
      </c>
      <c r="F243" s="103">
        <v>1000</v>
      </c>
      <c r="G243" s="103"/>
      <c r="H243" s="103">
        <v>20</v>
      </c>
      <c r="I243" s="103" t="s">
        <v>14</v>
      </c>
      <c r="J243" s="103"/>
      <c r="K243" s="104"/>
    </row>
    <row r="244" spans="1:11">
      <c r="A244" s="103" t="s">
        <v>13</v>
      </c>
      <c r="B244" s="103">
        <v>402</v>
      </c>
      <c r="C244" s="104">
        <v>3.01</v>
      </c>
      <c r="D244" s="103">
        <v>6.3E-2</v>
      </c>
      <c r="E244" s="103">
        <v>1E-3</v>
      </c>
      <c r="F244" s="103">
        <v>1000</v>
      </c>
      <c r="G244" s="103"/>
      <c r="H244" s="103">
        <v>20</v>
      </c>
      <c r="I244" s="103" t="s">
        <v>14</v>
      </c>
      <c r="J244" s="103"/>
      <c r="K244" s="104"/>
    </row>
    <row r="245" spans="1:11">
      <c r="A245" s="103" t="s">
        <v>13</v>
      </c>
      <c r="B245" s="103">
        <v>458.8</v>
      </c>
      <c r="C245" s="104">
        <v>3.01</v>
      </c>
      <c r="D245" s="103">
        <v>6.3E-2</v>
      </c>
      <c r="E245" s="103">
        <v>1E-3</v>
      </c>
      <c r="F245" s="103">
        <v>1000</v>
      </c>
      <c r="G245" s="103"/>
      <c r="H245" s="103">
        <v>20</v>
      </c>
      <c r="I245" s="103" t="s">
        <v>14</v>
      </c>
      <c r="J245" s="103"/>
      <c r="K245" s="104"/>
    </row>
    <row r="246" spans="1:11">
      <c r="A246" s="103" t="s">
        <v>13</v>
      </c>
      <c r="B246" s="103">
        <v>488.8</v>
      </c>
      <c r="C246" s="104">
        <v>3.01</v>
      </c>
      <c r="D246" s="103">
        <v>6.3E-2</v>
      </c>
      <c r="E246" s="103">
        <v>1E-3</v>
      </c>
      <c r="F246" s="103">
        <v>1000</v>
      </c>
      <c r="G246" s="103"/>
      <c r="H246" s="103">
        <v>20</v>
      </c>
      <c r="I246" s="103" t="s">
        <v>14</v>
      </c>
      <c r="J246" s="103"/>
      <c r="K246" s="104"/>
    </row>
    <row r="247" spans="1:11">
      <c r="A247" s="103" t="s">
        <v>13</v>
      </c>
      <c r="B247" s="103">
        <v>524.1</v>
      </c>
      <c r="C247" s="104">
        <v>3.01</v>
      </c>
      <c r="D247" s="103">
        <v>6.3E-2</v>
      </c>
      <c r="E247" s="103">
        <v>1E-3</v>
      </c>
      <c r="F247" s="103">
        <v>1000</v>
      </c>
      <c r="G247" s="103"/>
      <c r="H247" s="103">
        <v>20</v>
      </c>
      <c r="I247" s="103" t="s">
        <v>14</v>
      </c>
      <c r="J247" s="103"/>
      <c r="K247" s="104"/>
    </row>
    <row r="248" spans="1:11">
      <c r="A248" s="103" t="s">
        <v>13</v>
      </c>
      <c r="B248" s="103">
        <v>583.79999999999995</v>
      </c>
      <c r="C248" s="104">
        <v>3.01</v>
      </c>
      <c r="D248" s="103">
        <v>6.3E-2</v>
      </c>
      <c r="E248" s="103">
        <v>1E-3</v>
      </c>
      <c r="F248" s="103">
        <v>1000</v>
      </c>
      <c r="G248" s="103"/>
      <c r="H248" s="103">
        <v>20</v>
      </c>
      <c r="I248" s="103" t="s">
        <v>14</v>
      </c>
      <c r="J248" s="103"/>
      <c r="K248" s="104"/>
    </row>
    <row r="249" spans="1:11">
      <c r="A249" s="103" t="s">
        <v>13</v>
      </c>
      <c r="B249" s="103">
        <v>313.2</v>
      </c>
      <c r="C249" s="104">
        <v>3.01</v>
      </c>
      <c r="D249" s="103">
        <v>6.3E-2</v>
      </c>
      <c r="E249" s="103">
        <v>1E-3</v>
      </c>
      <c r="F249" s="103">
        <v>1000</v>
      </c>
      <c r="G249" s="103"/>
      <c r="H249" s="103">
        <v>20</v>
      </c>
      <c r="I249" s="103" t="s">
        <v>14</v>
      </c>
      <c r="J249" s="103"/>
      <c r="K249" s="104"/>
    </row>
    <row r="250" spans="1:11">
      <c r="A250" s="103" t="s">
        <v>13</v>
      </c>
      <c r="B250" s="103">
        <v>357.6</v>
      </c>
      <c r="C250" s="104">
        <v>3.01</v>
      </c>
      <c r="D250" s="103">
        <v>6.3E-2</v>
      </c>
      <c r="E250" s="103">
        <v>1E-3</v>
      </c>
      <c r="F250" s="103">
        <v>1000</v>
      </c>
      <c r="G250" s="103"/>
      <c r="H250" s="103">
        <v>20</v>
      </c>
      <c r="I250" s="103" t="s">
        <v>14</v>
      </c>
      <c r="J250" s="103"/>
      <c r="K250" s="104"/>
    </row>
    <row r="251" spans="1:11">
      <c r="A251" s="103" t="s">
        <v>13</v>
      </c>
      <c r="B251" s="103">
        <v>400.5</v>
      </c>
      <c r="C251" s="104">
        <v>3.01</v>
      </c>
      <c r="D251" s="103">
        <v>6.3E-2</v>
      </c>
      <c r="E251" s="103">
        <v>1E-3</v>
      </c>
      <c r="F251" s="103">
        <v>1000</v>
      </c>
      <c r="G251" s="103"/>
      <c r="H251" s="103">
        <v>20</v>
      </c>
      <c r="I251" s="103" t="s">
        <v>14</v>
      </c>
      <c r="J251" s="103"/>
      <c r="K251" s="104"/>
    </row>
    <row r="252" spans="1:11">
      <c r="A252" s="103" t="s">
        <v>13</v>
      </c>
      <c r="B252" s="103">
        <v>449.2</v>
      </c>
      <c r="C252" s="104">
        <v>3.01</v>
      </c>
      <c r="D252" s="103">
        <v>6.3E-2</v>
      </c>
      <c r="E252" s="103">
        <v>1E-3</v>
      </c>
      <c r="F252" s="103">
        <v>1000</v>
      </c>
      <c r="G252" s="103"/>
      <c r="H252" s="103">
        <v>20</v>
      </c>
      <c r="I252" s="103" t="s">
        <v>14</v>
      </c>
      <c r="J252" s="103"/>
      <c r="K252" s="104"/>
    </row>
    <row r="253" spans="1:11">
      <c r="A253" s="103" t="s">
        <v>13</v>
      </c>
      <c r="B253" s="103">
        <v>488.8</v>
      </c>
      <c r="C253" s="104">
        <v>3.01</v>
      </c>
      <c r="D253" s="103">
        <v>6.3E-2</v>
      </c>
      <c r="E253" s="103">
        <v>1E-3</v>
      </c>
      <c r="F253" s="103">
        <v>1000</v>
      </c>
      <c r="G253" s="103"/>
      <c r="H253" s="103">
        <v>20</v>
      </c>
      <c r="I253" s="103" t="s">
        <v>14</v>
      </c>
      <c r="J253" s="103"/>
      <c r="K253" s="104"/>
    </row>
    <row r="254" spans="1:11">
      <c r="A254" s="103" t="s">
        <v>13</v>
      </c>
      <c r="B254" s="103">
        <v>521.70000000000005</v>
      </c>
      <c r="C254" s="104">
        <v>3.01</v>
      </c>
      <c r="D254" s="103">
        <v>6.3E-2</v>
      </c>
      <c r="E254" s="103">
        <v>1E-3</v>
      </c>
      <c r="F254" s="103">
        <v>1000</v>
      </c>
      <c r="G254" s="103"/>
      <c r="H254" s="103">
        <v>20</v>
      </c>
      <c r="I254" s="103" t="s">
        <v>14</v>
      </c>
      <c r="J254" s="103"/>
      <c r="K254" s="104"/>
    </row>
    <row r="255" spans="1:11">
      <c r="A255" s="103" t="s">
        <v>13</v>
      </c>
      <c r="B255" s="103">
        <v>582.29999999999995</v>
      </c>
      <c r="C255" s="104">
        <v>3.01</v>
      </c>
      <c r="D255" s="103">
        <v>6.3E-2</v>
      </c>
      <c r="E255" s="103">
        <v>1E-3</v>
      </c>
      <c r="F255" s="103">
        <v>1000</v>
      </c>
      <c r="G255" s="103"/>
      <c r="H255" s="103">
        <v>20</v>
      </c>
      <c r="I255" s="103" t="s">
        <v>14</v>
      </c>
      <c r="J255" s="103"/>
      <c r="K255" s="104"/>
    </row>
    <row r="256" spans="1:11">
      <c r="A256" s="103" t="s">
        <v>13</v>
      </c>
      <c r="B256" s="103">
        <v>158.16999999999999</v>
      </c>
      <c r="C256" s="104">
        <v>0.91500000000000004</v>
      </c>
      <c r="D256" s="103">
        <v>7.1999999999999995E-2</v>
      </c>
      <c r="E256" s="103">
        <v>1E-3</v>
      </c>
      <c r="F256" s="103">
        <v>1000</v>
      </c>
      <c r="G256" s="103"/>
      <c r="H256" s="103">
        <v>20</v>
      </c>
      <c r="I256" s="103" t="s">
        <v>14</v>
      </c>
      <c r="J256" s="103"/>
      <c r="K256" s="104"/>
    </row>
    <row r="257" spans="1:11">
      <c r="A257" s="103" t="s">
        <v>13</v>
      </c>
      <c r="B257" s="103">
        <v>184.4</v>
      </c>
      <c r="C257" s="104">
        <v>0.91500000000000004</v>
      </c>
      <c r="D257" s="103">
        <v>7.1999999999999995E-2</v>
      </c>
      <c r="E257" s="103">
        <v>1E-3</v>
      </c>
      <c r="F257" s="103">
        <v>1000</v>
      </c>
      <c r="G257" s="103"/>
      <c r="H257" s="103">
        <v>20</v>
      </c>
      <c r="I257" s="103" t="s">
        <v>14</v>
      </c>
      <c r="J257" s="103"/>
      <c r="K257" s="104"/>
    </row>
    <row r="258" spans="1:11">
      <c r="A258" s="103" t="s">
        <v>13</v>
      </c>
      <c r="B258" s="103">
        <v>198.25</v>
      </c>
      <c r="C258" s="104">
        <v>0.91500000000000004</v>
      </c>
      <c r="D258" s="103">
        <v>7.1999999999999995E-2</v>
      </c>
      <c r="E258" s="103">
        <v>1E-3</v>
      </c>
      <c r="F258" s="103">
        <v>1000</v>
      </c>
      <c r="G258" s="103"/>
      <c r="H258" s="103">
        <v>20</v>
      </c>
      <c r="I258" s="103" t="s">
        <v>14</v>
      </c>
      <c r="J258" s="103"/>
      <c r="K258" s="104"/>
    </row>
    <row r="259" spans="1:11">
      <c r="A259" s="103" t="s">
        <v>13</v>
      </c>
      <c r="B259" s="103">
        <v>211.6</v>
      </c>
      <c r="C259" s="104">
        <v>0.91500000000000004</v>
      </c>
      <c r="D259" s="103">
        <v>7.1999999999999995E-2</v>
      </c>
      <c r="E259" s="103">
        <v>1E-3</v>
      </c>
      <c r="F259" s="103">
        <v>1000</v>
      </c>
      <c r="G259" s="103"/>
      <c r="H259" s="103">
        <v>20</v>
      </c>
      <c r="I259" s="103" t="s">
        <v>14</v>
      </c>
      <c r="J259" s="103"/>
      <c r="K259" s="104"/>
    </row>
    <row r="260" spans="1:11">
      <c r="A260" s="103" t="s">
        <v>13</v>
      </c>
      <c r="B260" s="103">
        <v>245.9</v>
      </c>
      <c r="C260" s="104">
        <v>0.91500000000000004</v>
      </c>
      <c r="D260" s="103">
        <v>7.1999999999999995E-2</v>
      </c>
      <c r="E260" s="103">
        <v>1E-3</v>
      </c>
      <c r="F260" s="103">
        <v>1000</v>
      </c>
      <c r="G260" s="103"/>
      <c r="H260" s="103">
        <v>20</v>
      </c>
      <c r="I260" s="103" t="s">
        <v>14</v>
      </c>
      <c r="J260" s="103"/>
      <c r="K260" s="104"/>
    </row>
    <row r="261" spans="1:11">
      <c r="A261" s="103" t="s">
        <v>13</v>
      </c>
      <c r="B261" s="103">
        <v>265</v>
      </c>
      <c r="C261" s="104">
        <v>0.91500000000000004</v>
      </c>
      <c r="D261" s="103">
        <v>7.1999999999999995E-2</v>
      </c>
      <c r="E261" s="103">
        <v>1E-3</v>
      </c>
      <c r="F261" s="103">
        <v>1000</v>
      </c>
      <c r="G261" s="103"/>
      <c r="H261" s="103">
        <v>20</v>
      </c>
      <c r="I261" s="103" t="s">
        <v>14</v>
      </c>
      <c r="J261" s="103"/>
      <c r="K261" s="104"/>
    </row>
    <row r="262" spans="1:11">
      <c r="A262" s="103" t="s">
        <v>13</v>
      </c>
      <c r="B262" s="103">
        <v>275</v>
      </c>
      <c r="C262" s="104">
        <v>0.91500000000000004</v>
      </c>
      <c r="D262" s="103">
        <v>7.1999999999999995E-2</v>
      </c>
      <c r="E262" s="103">
        <v>1E-3</v>
      </c>
      <c r="F262" s="103">
        <v>1000</v>
      </c>
      <c r="G262" s="103"/>
      <c r="H262" s="103">
        <v>20</v>
      </c>
      <c r="I262" s="103" t="s">
        <v>14</v>
      </c>
      <c r="J262" s="103"/>
      <c r="K262" s="104"/>
    </row>
    <row r="263" spans="1:11">
      <c r="A263" s="103" t="s">
        <v>13</v>
      </c>
      <c r="B263" s="103">
        <v>295.60000000000002</v>
      </c>
      <c r="C263" s="104">
        <v>0.91500000000000004</v>
      </c>
      <c r="D263" s="103">
        <v>7.1999999999999995E-2</v>
      </c>
      <c r="E263" s="103">
        <v>1E-3</v>
      </c>
      <c r="F263" s="103">
        <v>1000</v>
      </c>
      <c r="G263" s="103"/>
      <c r="H263" s="103">
        <v>20</v>
      </c>
      <c r="I263" s="103" t="s">
        <v>14</v>
      </c>
      <c r="J263" s="103"/>
      <c r="K263" s="104"/>
    </row>
    <row r="264" spans="1:11">
      <c r="A264" s="103" t="s">
        <v>13</v>
      </c>
      <c r="B264" s="103">
        <v>316.10000000000002</v>
      </c>
      <c r="C264" s="104">
        <v>0.91500000000000004</v>
      </c>
      <c r="D264" s="103">
        <v>7.1999999999999995E-2</v>
      </c>
      <c r="E264" s="103">
        <v>1E-3</v>
      </c>
      <c r="F264" s="103">
        <v>1000</v>
      </c>
      <c r="G264" s="103"/>
      <c r="H264" s="103">
        <v>20</v>
      </c>
      <c r="I264" s="103" t="s">
        <v>14</v>
      </c>
      <c r="J264" s="103"/>
      <c r="K264" s="104"/>
    </row>
    <row r="265" spans="1:11">
      <c r="A265" s="103" t="s">
        <v>13</v>
      </c>
      <c r="B265" s="103">
        <v>328</v>
      </c>
      <c r="C265" s="104">
        <v>0.91500000000000004</v>
      </c>
      <c r="D265" s="103">
        <v>7.1999999999999995E-2</v>
      </c>
      <c r="E265" s="103">
        <v>1E-3</v>
      </c>
      <c r="F265" s="103">
        <v>1000</v>
      </c>
      <c r="G265" s="103"/>
      <c r="H265" s="103">
        <v>20</v>
      </c>
      <c r="I265" s="103" t="s">
        <v>14</v>
      </c>
      <c r="J265" s="103"/>
      <c r="K265" s="104"/>
    </row>
    <row r="266" spans="1:11">
      <c r="A266" s="103" t="s">
        <v>13</v>
      </c>
      <c r="B266" s="103">
        <v>341.4</v>
      </c>
      <c r="C266" s="104">
        <v>0.91500000000000004</v>
      </c>
      <c r="D266" s="103">
        <v>7.1999999999999995E-2</v>
      </c>
      <c r="E266" s="103">
        <v>1E-3</v>
      </c>
      <c r="F266" s="103">
        <v>1000</v>
      </c>
      <c r="G266" s="103"/>
      <c r="H266" s="103">
        <v>20</v>
      </c>
      <c r="I266" s="103" t="s">
        <v>14</v>
      </c>
      <c r="J266" s="103"/>
      <c r="K266" s="104"/>
    </row>
    <row r="267" spans="1:11">
      <c r="A267" s="103" t="s">
        <v>13</v>
      </c>
      <c r="B267" s="103">
        <v>367.6</v>
      </c>
      <c r="C267" s="104">
        <v>0.91500000000000004</v>
      </c>
      <c r="D267" s="103">
        <v>7.1999999999999995E-2</v>
      </c>
      <c r="E267" s="103">
        <v>1E-3</v>
      </c>
      <c r="F267" s="103">
        <v>1000</v>
      </c>
      <c r="G267" s="103"/>
      <c r="H267" s="103">
        <v>20</v>
      </c>
      <c r="I267" s="103" t="s">
        <v>14</v>
      </c>
      <c r="J267" s="103"/>
      <c r="K267" s="104"/>
    </row>
    <row r="268" spans="1:11">
      <c r="A268" s="103" t="s">
        <v>13</v>
      </c>
      <c r="B268" s="103">
        <v>363.3</v>
      </c>
      <c r="C268" s="104">
        <v>0.91500000000000004</v>
      </c>
      <c r="D268" s="103">
        <v>7.1999999999999995E-2</v>
      </c>
      <c r="E268" s="103">
        <v>1E-3</v>
      </c>
      <c r="F268" s="103">
        <v>1000</v>
      </c>
      <c r="G268" s="103"/>
      <c r="H268" s="103">
        <v>20</v>
      </c>
      <c r="I268" s="103" t="s">
        <v>14</v>
      </c>
      <c r="J268" s="103"/>
      <c r="K268" s="104"/>
    </row>
    <row r="269" spans="1:11">
      <c r="A269" s="103" t="s">
        <v>13</v>
      </c>
      <c r="B269" s="103">
        <v>382.4</v>
      </c>
      <c r="C269" s="104">
        <v>0.91500000000000004</v>
      </c>
      <c r="D269" s="103">
        <v>7.1999999999999995E-2</v>
      </c>
      <c r="E269" s="103">
        <v>1E-3</v>
      </c>
      <c r="F269" s="103">
        <v>1000</v>
      </c>
      <c r="G269" s="103"/>
      <c r="H269" s="103">
        <v>20</v>
      </c>
      <c r="I269" s="103" t="s">
        <v>14</v>
      </c>
      <c r="J269" s="103"/>
      <c r="K269" s="104"/>
    </row>
    <row r="270" spans="1:11">
      <c r="A270" s="103" t="s">
        <v>13</v>
      </c>
      <c r="B270" s="103">
        <v>398.2</v>
      </c>
      <c r="C270" s="104">
        <v>0.91500000000000004</v>
      </c>
      <c r="D270" s="103">
        <v>7.1999999999999995E-2</v>
      </c>
      <c r="E270" s="103">
        <v>1E-3</v>
      </c>
      <c r="F270" s="103">
        <v>1000</v>
      </c>
      <c r="G270" s="103"/>
      <c r="H270" s="103">
        <v>20</v>
      </c>
      <c r="I270" s="103" t="s">
        <v>14</v>
      </c>
      <c r="J270" s="103"/>
      <c r="K270" s="104"/>
    </row>
    <row r="271" spans="1:11">
      <c r="A271" s="103" t="s">
        <v>13</v>
      </c>
      <c r="B271" s="103">
        <v>410.6</v>
      </c>
      <c r="C271" s="104">
        <v>0.91500000000000004</v>
      </c>
      <c r="D271" s="103">
        <v>7.1999999999999995E-2</v>
      </c>
      <c r="E271" s="103">
        <v>1E-3</v>
      </c>
      <c r="F271" s="103">
        <v>1000</v>
      </c>
      <c r="G271" s="103"/>
      <c r="H271" s="103">
        <v>20</v>
      </c>
      <c r="I271" s="103" t="s">
        <v>14</v>
      </c>
      <c r="J271" s="103"/>
      <c r="K271" s="104"/>
    </row>
    <row r="272" spans="1:11">
      <c r="A272" s="103" t="s">
        <v>13</v>
      </c>
      <c r="B272" s="103">
        <v>424.4</v>
      </c>
      <c r="C272" s="104">
        <v>0.91500000000000004</v>
      </c>
      <c r="D272" s="103">
        <v>7.1999999999999995E-2</v>
      </c>
      <c r="E272" s="103">
        <v>1E-3</v>
      </c>
      <c r="F272" s="103">
        <v>1000</v>
      </c>
      <c r="G272" s="103"/>
      <c r="H272" s="103">
        <v>20</v>
      </c>
      <c r="I272" s="103" t="s">
        <v>14</v>
      </c>
      <c r="J272" s="103"/>
      <c r="K272" s="104"/>
    </row>
    <row r="273" spans="1:11">
      <c r="A273" s="103" t="s">
        <v>13</v>
      </c>
      <c r="B273" s="103">
        <v>433.4</v>
      </c>
      <c r="C273" s="104">
        <v>0.91500000000000004</v>
      </c>
      <c r="D273" s="103">
        <v>7.1999999999999995E-2</v>
      </c>
      <c r="E273" s="103">
        <v>1E-3</v>
      </c>
      <c r="F273" s="103">
        <v>1000</v>
      </c>
      <c r="G273" s="103"/>
      <c r="H273" s="103">
        <v>20</v>
      </c>
      <c r="I273" s="103" t="s">
        <v>14</v>
      </c>
      <c r="J273" s="103"/>
      <c r="K273" s="104"/>
    </row>
    <row r="274" spans="1:11">
      <c r="A274" s="103" t="s">
        <v>13</v>
      </c>
      <c r="B274" s="103">
        <v>136.19999999999999</v>
      </c>
      <c r="C274" s="104">
        <v>0.91500000000000004</v>
      </c>
      <c r="D274" s="103">
        <v>7.1999999999999995E-2</v>
      </c>
      <c r="E274" s="103">
        <v>1E-3</v>
      </c>
      <c r="F274" s="103">
        <v>1000</v>
      </c>
      <c r="G274" s="103"/>
      <c r="H274" s="103">
        <v>20</v>
      </c>
      <c r="I274" s="103" t="s">
        <v>14</v>
      </c>
      <c r="J274" s="103"/>
      <c r="K274" s="104"/>
    </row>
    <row r="275" spans="1:11">
      <c r="A275" s="103" t="s">
        <v>13</v>
      </c>
      <c r="B275" s="103">
        <v>304.8</v>
      </c>
      <c r="C275" s="104">
        <v>0.91500000000000004</v>
      </c>
      <c r="D275" s="103">
        <v>7.1999999999999995E-2</v>
      </c>
      <c r="E275" s="103">
        <v>1E-3</v>
      </c>
      <c r="F275" s="103">
        <v>1000</v>
      </c>
      <c r="G275" s="103"/>
      <c r="H275" s="103">
        <v>20</v>
      </c>
      <c r="I275" s="103" t="s">
        <v>14</v>
      </c>
      <c r="J275" s="103"/>
      <c r="K275" s="104"/>
    </row>
    <row r="276" spans="1:11">
      <c r="A276" s="103" t="s">
        <v>47</v>
      </c>
      <c r="B276" s="103">
        <v>6.8752000820000001</v>
      </c>
      <c r="C276" s="104">
        <v>1.53</v>
      </c>
      <c r="D276" s="103">
        <v>7.2599999999999998E-2</v>
      </c>
      <c r="E276" s="103">
        <v>0.154</v>
      </c>
      <c r="F276" s="103">
        <v>1.0009999999999999E-3</v>
      </c>
      <c r="G276" s="87"/>
      <c r="H276" s="103">
        <v>25.95</v>
      </c>
      <c r="I276" s="103" t="s">
        <v>12</v>
      </c>
      <c r="J276" s="142"/>
      <c r="K276" s="143"/>
    </row>
    <row r="277" spans="1:11">
      <c r="A277" s="103" t="s">
        <v>47</v>
      </c>
      <c r="B277" s="103">
        <v>12.6263229</v>
      </c>
      <c r="C277" s="104">
        <v>1.53</v>
      </c>
      <c r="D277" s="103">
        <v>7.2599999999999998E-2</v>
      </c>
      <c r="E277" s="103">
        <v>0.154</v>
      </c>
      <c r="F277" s="103">
        <v>1.0009999999999999E-3</v>
      </c>
      <c r="G277" s="87"/>
      <c r="H277" s="103">
        <v>25.95</v>
      </c>
      <c r="I277" s="103" t="s">
        <v>12</v>
      </c>
      <c r="J277" s="142"/>
      <c r="K277" s="143"/>
    </row>
    <row r="278" spans="1:11">
      <c r="A278" s="103" t="s">
        <v>47</v>
      </c>
      <c r="B278" s="103">
        <v>27.092570630000001</v>
      </c>
      <c r="C278" s="104">
        <v>1.53</v>
      </c>
      <c r="D278" s="103">
        <v>7.2599999999999998E-2</v>
      </c>
      <c r="E278" s="103">
        <v>0.154</v>
      </c>
      <c r="F278" s="103">
        <v>1.0009999999999999E-3</v>
      </c>
      <c r="G278" s="87"/>
      <c r="H278" s="103">
        <v>25.95</v>
      </c>
      <c r="I278" s="103" t="s">
        <v>12</v>
      </c>
      <c r="J278" s="142"/>
      <c r="K278" s="143"/>
    </row>
    <row r="279" spans="1:11">
      <c r="A279" s="103" t="s">
        <v>47</v>
      </c>
      <c r="B279" s="103">
        <v>39.206421589999998</v>
      </c>
      <c r="C279" s="104">
        <v>1.53</v>
      </c>
      <c r="D279" s="103">
        <v>7.2599999999999998E-2</v>
      </c>
      <c r="E279" s="103">
        <v>0.154</v>
      </c>
      <c r="F279" s="103">
        <v>1.0009999999999999E-3</v>
      </c>
      <c r="G279" s="87"/>
      <c r="H279" s="103">
        <v>25.95</v>
      </c>
      <c r="I279" s="103" t="s">
        <v>12</v>
      </c>
      <c r="J279" s="142"/>
      <c r="K279" s="143"/>
    </row>
    <row r="280" spans="1:11">
      <c r="A280" s="103" t="s">
        <v>47</v>
      </c>
      <c r="B280" s="103">
        <v>61.926811899999997</v>
      </c>
      <c r="C280" s="104">
        <v>1.53</v>
      </c>
      <c r="D280" s="103">
        <v>7.2599999999999998E-2</v>
      </c>
      <c r="E280" s="103">
        <v>0.154</v>
      </c>
      <c r="F280" s="103">
        <v>1.0009999999999999E-3</v>
      </c>
      <c r="G280" s="87"/>
      <c r="H280" s="103">
        <v>25.95</v>
      </c>
      <c r="I280" s="103" t="s">
        <v>12</v>
      </c>
      <c r="J280" s="142"/>
      <c r="K280" s="143"/>
    </row>
    <row r="281" spans="1:11">
      <c r="A281" s="103" t="s">
        <v>47</v>
      </c>
      <c r="B281" s="103">
        <v>92.719093319999999</v>
      </c>
      <c r="C281" s="104">
        <v>1.53</v>
      </c>
      <c r="D281" s="103">
        <v>7.2599999999999998E-2</v>
      </c>
      <c r="E281" s="103">
        <v>0.154</v>
      </c>
      <c r="F281" s="103">
        <v>1.0009999999999999E-3</v>
      </c>
      <c r="G281" s="87"/>
      <c r="H281" s="103">
        <v>25.95</v>
      </c>
      <c r="I281" s="103" t="s">
        <v>12</v>
      </c>
      <c r="J281" s="142"/>
      <c r="K281" s="143"/>
    </row>
    <row r="282" spans="1:11">
      <c r="A282" s="103" t="s">
        <v>47</v>
      </c>
      <c r="B282" s="103">
        <v>152.26013710000001</v>
      </c>
      <c r="C282" s="104">
        <v>1.53</v>
      </c>
      <c r="D282" s="103">
        <v>7.2599999999999998E-2</v>
      </c>
      <c r="E282" s="103">
        <v>0.154</v>
      </c>
      <c r="F282" s="103">
        <v>1.0009999999999999E-3</v>
      </c>
      <c r="G282" s="87"/>
      <c r="H282" s="103">
        <v>25.95</v>
      </c>
      <c r="I282" s="103" t="s">
        <v>12</v>
      </c>
      <c r="J282" s="142"/>
      <c r="K282" s="143"/>
    </row>
    <row r="283" spans="1:11">
      <c r="A283" s="103" t="s">
        <v>47</v>
      </c>
      <c r="B283" s="103">
        <v>234.71899260000001</v>
      </c>
      <c r="C283" s="104">
        <v>1.53</v>
      </c>
      <c r="D283" s="103">
        <v>7.2599999999999998E-2</v>
      </c>
      <c r="E283" s="103">
        <v>0.154</v>
      </c>
      <c r="F283" s="103">
        <v>1.0009999999999999E-3</v>
      </c>
      <c r="G283" s="87"/>
      <c r="H283" s="103">
        <v>25.95</v>
      </c>
      <c r="I283" s="103" t="s">
        <v>12</v>
      </c>
      <c r="J283" s="142"/>
      <c r="K283" s="143"/>
    </row>
    <row r="284" spans="1:11">
      <c r="A284" s="103" t="s">
        <v>47</v>
      </c>
      <c r="B284" s="103">
        <v>348.02856109999999</v>
      </c>
      <c r="C284" s="104">
        <v>1.53</v>
      </c>
      <c r="D284" s="103">
        <v>7.2599999999999998E-2</v>
      </c>
      <c r="E284" s="103">
        <v>0.154</v>
      </c>
      <c r="F284" s="103">
        <v>1.0009999999999999E-3</v>
      </c>
      <c r="G284" s="87"/>
      <c r="H284" s="103">
        <v>25.95</v>
      </c>
      <c r="I284" s="103" t="s">
        <v>12</v>
      </c>
      <c r="J284" s="142"/>
      <c r="K284" s="143"/>
    </row>
    <row r="285" spans="1:11">
      <c r="A285" s="103" t="s">
        <v>47</v>
      </c>
      <c r="B285" s="103">
        <v>7.0444161410000001</v>
      </c>
      <c r="C285" s="104">
        <v>1.53</v>
      </c>
      <c r="D285" s="87"/>
      <c r="E285" s="103">
        <v>1.05</v>
      </c>
      <c r="F285" s="87"/>
      <c r="G285" s="87"/>
      <c r="H285" s="87"/>
      <c r="I285" s="103" t="s">
        <v>12</v>
      </c>
      <c r="J285" s="142"/>
      <c r="K285" s="143"/>
    </row>
    <row r="286" spans="1:11">
      <c r="A286" s="103" t="s">
        <v>47</v>
      </c>
      <c r="B286" s="103">
        <v>13.2555031</v>
      </c>
      <c r="C286" s="104">
        <v>1.53</v>
      </c>
      <c r="D286" s="87"/>
      <c r="E286" s="103">
        <v>1.05</v>
      </c>
      <c r="F286" s="87"/>
      <c r="G286" s="87"/>
      <c r="H286" s="87"/>
      <c r="I286" s="103" t="s">
        <v>12</v>
      </c>
      <c r="J286" s="142"/>
      <c r="K286" s="143"/>
    </row>
    <row r="287" spans="1:11">
      <c r="A287" s="103" t="s">
        <v>47</v>
      </c>
      <c r="B287" s="103">
        <v>24.462433950000001</v>
      </c>
      <c r="C287" s="104">
        <v>1.53</v>
      </c>
      <c r="D287" s="87"/>
      <c r="E287" s="103">
        <v>1.05</v>
      </c>
      <c r="F287" s="87"/>
      <c r="G287" s="87"/>
      <c r="H287" s="87"/>
      <c r="I287" s="103" t="s">
        <v>12</v>
      </c>
      <c r="J287" s="142"/>
      <c r="K287" s="143"/>
    </row>
    <row r="288" spans="1:11">
      <c r="A288" s="103" t="s">
        <v>47</v>
      </c>
      <c r="B288" s="103">
        <v>38.6385966</v>
      </c>
      <c r="C288" s="104">
        <v>1.53</v>
      </c>
      <c r="D288" s="87"/>
      <c r="E288" s="103">
        <v>1.05</v>
      </c>
      <c r="F288" s="87"/>
      <c r="G288" s="87"/>
      <c r="H288" s="87"/>
      <c r="I288" s="103" t="s">
        <v>12</v>
      </c>
      <c r="J288" s="142"/>
      <c r="K288" s="143"/>
    </row>
    <row r="289" spans="1:11">
      <c r="A289" s="103" t="s">
        <v>47</v>
      </c>
      <c r="B289" s="103">
        <v>61.029951079999996</v>
      </c>
      <c r="C289" s="104">
        <v>1.53</v>
      </c>
      <c r="D289" s="87"/>
      <c r="E289" s="103">
        <v>1.05</v>
      </c>
      <c r="F289" s="87"/>
      <c r="G289" s="87"/>
      <c r="H289" s="87"/>
      <c r="I289" s="103" t="s">
        <v>12</v>
      </c>
      <c r="J289" s="142"/>
      <c r="K289" s="143"/>
    </row>
    <row r="290" spans="1:11">
      <c r="A290" s="103" t="s">
        <v>47</v>
      </c>
      <c r="B290" s="103">
        <v>96.867167339999995</v>
      </c>
      <c r="C290" s="104">
        <v>1.53</v>
      </c>
      <c r="D290" s="87"/>
      <c r="E290" s="103">
        <v>1.05</v>
      </c>
      <c r="F290" s="87"/>
      <c r="G290" s="87"/>
      <c r="H290" s="87"/>
      <c r="I290" s="103" t="s">
        <v>12</v>
      </c>
      <c r="J290" s="142"/>
      <c r="K290" s="143"/>
    </row>
    <row r="291" spans="1:11">
      <c r="A291" s="103" t="s">
        <v>47</v>
      </c>
      <c r="B291" s="103">
        <v>152.26013710000001</v>
      </c>
      <c r="C291" s="104">
        <v>1.53</v>
      </c>
      <c r="D291" s="87"/>
      <c r="E291" s="103">
        <v>1.05</v>
      </c>
      <c r="F291" s="87"/>
      <c r="G291" s="87"/>
      <c r="H291" s="87"/>
      <c r="I291" s="103" t="s">
        <v>12</v>
      </c>
      <c r="J291" s="142"/>
      <c r="K291" s="143"/>
    </row>
    <row r="292" spans="1:11">
      <c r="A292" s="103" t="s">
        <v>47</v>
      </c>
      <c r="B292" s="103">
        <v>250.0365041</v>
      </c>
      <c r="C292" s="104">
        <v>1.53</v>
      </c>
      <c r="D292" s="87"/>
      <c r="E292" s="103">
        <v>1.05</v>
      </c>
      <c r="F292" s="87"/>
      <c r="G292" s="87"/>
      <c r="H292" s="87"/>
      <c r="I292" s="103" t="s">
        <v>12</v>
      </c>
      <c r="J292" s="142"/>
      <c r="K292" s="143"/>
    </row>
    <row r="293" spans="1:11">
      <c r="A293" s="103" t="s">
        <v>47</v>
      </c>
      <c r="B293" s="103">
        <v>372.54763489999999</v>
      </c>
      <c r="C293" s="104">
        <v>1.53</v>
      </c>
      <c r="D293" s="87"/>
      <c r="E293" s="103">
        <v>1.05</v>
      </c>
      <c r="F293" s="87"/>
      <c r="G293" s="87"/>
      <c r="H293" s="87"/>
      <c r="I293" s="103" t="s">
        <v>12</v>
      </c>
      <c r="J293" s="142"/>
      <c r="K293" s="143"/>
    </row>
    <row r="294" spans="1:11">
      <c r="A294" s="103" t="s">
        <v>47</v>
      </c>
      <c r="B294" s="103">
        <v>508.56407419999999</v>
      </c>
      <c r="C294" s="104">
        <v>1.53</v>
      </c>
      <c r="D294" s="87"/>
      <c r="E294" s="103">
        <v>1.05</v>
      </c>
      <c r="F294" s="87"/>
      <c r="G294" s="87"/>
      <c r="H294" s="87"/>
      <c r="I294" s="103" t="s">
        <v>12</v>
      </c>
      <c r="J294" s="142"/>
      <c r="K294" s="143"/>
    </row>
    <row r="295" spans="1:11">
      <c r="A295" s="103" t="s">
        <v>47</v>
      </c>
      <c r="B295" s="103">
        <v>8.8103642050000008</v>
      </c>
      <c r="C295" s="104">
        <v>1.53</v>
      </c>
      <c r="D295" s="103">
        <v>6.3899999999999998E-2</v>
      </c>
      <c r="E295" s="103">
        <v>2.34</v>
      </c>
      <c r="F295" s="103">
        <v>1.0059999999999999E-3</v>
      </c>
      <c r="G295" s="87"/>
      <c r="H295" s="103">
        <v>25.85</v>
      </c>
      <c r="I295" s="103" t="s">
        <v>12</v>
      </c>
      <c r="J295" s="142"/>
      <c r="K295" s="143"/>
    </row>
    <row r="296" spans="1:11">
      <c r="A296" s="103" t="s">
        <v>47</v>
      </c>
      <c r="B296" s="103">
        <v>17.06933634</v>
      </c>
      <c r="C296" s="104">
        <v>1.53</v>
      </c>
      <c r="D296" s="103">
        <v>6.3899999999999998E-2</v>
      </c>
      <c r="E296" s="103">
        <v>2.34</v>
      </c>
      <c r="F296" s="103">
        <v>1.0059999999999999E-3</v>
      </c>
      <c r="G296" s="87"/>
      <c r="H296" s="103">
        <v>25.85</v>
      </c>
      <c r="I296" s="103" t="s">
        <v>12</v>
      </c>
      <c r="J296" s="142"/>
      <c r="K296" s="143"/>
    </row>
    <row r="297" spans="1:11">
      <c r="A297" s="103" t="s">
        <v>47</v>
      </c>
      <c r="B297" s="103">
        <v>34.382300690000001</v>
      </c>
      <c r="C297" s="104">
        <v>1.53</v>
      </c>
      <c r="D297" s="103">
        <v>6.3899999999999998E-2</v>
      </c>
      <c r="E297" s="103">
        <v>2.34</v>
      </c>
      <c r="F297" s="103">
        <v>1.0059999999999999E-3</v>
      </c>
      <c r="G297" s="87"/>
      <c r="H297" s="103">
        <v>25.85</v>
      </c>
      <c r="I297" s="103" t="s">
        <v>12</v>
      </c>
      <c r="J297" s="142"/>
      <c r="K297" s="143"/>
    </row>
    <row r="298" spans="1:11">
      <c r="A298" s="103" t="s">
        <v>47</v>
      </c>
      <c r="B298" s="103">
        <v>58.133128790000001</v>
      </c>
      <c r="C298" s="104">
        <v>1.53</v>
      </c>
      <c r="D298" s="103">
        <v>6.3899999999999998E-2</v>
      </c>
      <c r="E298" s="103">
        <v>2.34</v>
      </c>
      <c r="F298" s="103">
        <v>1.0059999999999999E-3</v>
      </c>
      <c r="G298" s="87"/>
      <c r="H298" s="103">
        <v>25.85</v>
      </c>
      <c r="I298" s="103" t="s">
        <v>12</v>
      </c>
      <c r="J298" s="142"/>
      <c r="K298" s="143"/>
    </row>
    <row r="299" spans="1:11">
      <c r="A299" s="103" t="s">
        <v>47</v>
      </c>
      <c r="B299" s="103">
        <v>87.463338759999999</v>
      </c>
      <c r="C299" s="104">
        <v>1.53</v>
      </c>
      <c r="D299" s="103">
        <v>6.3899999999999998E-2</v>
      </c>
      <c r="E299" s="103">
        <v>2.34</v>
      </c>
      <c r="F299" s="103">
        <v>1.0059999999999999E-3</v>
      </c>
      <c r="G299" s="87"/>
      <c r="H299" s="103">
        <v>25.85</v>
      </c>
      <c r="I299" s="103" t="s">
        <v>12</v>
      </c>
      <c r="J299" s="142"/>
      <c r="K299" s="143"/>
    </row>
    <row r="300" spans="1:11">
      <c r="A300" s="103" t="s">
        <v>47</v>
      </c>
      <c r="B300" s="103">
        <v>125.3455501</v>
      </c>
      <c r="C300" s="104">
        <v>1.53</v>
      </c>
      <c r="D300" s="103">
        <v>6.3899999999999998E-2</v>
      </c>
      <c r="E300" s="103">
        <v>2.34</v>
      </c>
      <c r="F300" s="103">
        <v>1.0059999999999999E-3</v>
      </c>
      <c r="G300" s="87"/>
      <c r="H300" s="103">
        <v>25.85</v>
      </c>
      <c r="I300" s="103" t="s">
        <v>12</v>
      </c>
      <c r="J300" s="142"/>
      <c r="K300" s="143"/>
    </row>
    <row r="301" spans="1:11">
      <c r="A301" s="103" t="s">
        <v>47</v>
      </c>
      <c r="B301" s="103">
        <v>171.94301060000001</v>
      </c>
      <c r="C301" s="104">
        <v>1.53</v>
      </c>
      <c r="D301" s="103">
        <v>6.3899999999999998E-2</v>
      </c>
      <c r="E301" s="103">
        <v>2.34</v>
      </c>
      <c r="F301" s="103">
        <v>1.0059999999999999E-3</v>
      </c>
      <c r="G301" s="87"/>
      <c r="H301" s="103">
        <v>25.85</v>
      </c>
      <c r="I301" s="103" t="s">
        <v>12</v>
      </c>
      <c r="J301" s="142"/>
      <c r="K301" s="143"/>
    </row>
    <row r="302" spans="1:11">
      <c r="A302" s="103" t="s">
        <v>47</v>
      </c>
      <c r="B302" s="103">
        <v>250.0365041</v>
      </c>
      <c r="C302" s="104">
        <v>1.53</v>
      </c>
      <c r="D302" s="103">
        <v>6.3899999999999998E-2</v>
      </c>
      <c r="E302" s="103">
        <v>2.34</v>
      </c>
      <c r="F302" s="103">
        <v>1.0059999999999999E-3</v>
      </c>
      <c r="G302" s="87"/>
      <c r="H302" s="103">
        <v>25.85</v>
      </c>
      <c r="I302" s="103" t="s">
        <v>12</v>
      </c>
      <c r="J302" s="142"/>
      <c r="K302" s="143"/>
    </row>
    <row r="303" spans="1:11">
      <c r="A303" s="103" t="s">
        <v>47</v>
      </c>
      <c r="B303" s="103">
        <v>334.74905699999999</v>
      </c>
      <c r="C303" s="104">
        <v>1.53</v>
      </c>
      <c r="D303" s="103">
        <v>6.3899999999999998E-2</v>
      </c>
      <c r="E303" s="103">
        <v>2.34</v>
      </c>
      <c r="F303" s="103">
        <v>1.0059999999999999E-3</v>
      </c>
      <c r="G303" s="87"/>
      <c r="H303" s="103">
        <v>25.85</v>
      </c>
      <c r="I303" s="103" t="s">
        <v>12</v>
      </c>
      <c r="J303" s="142"/>
      <c r="K303" s="143"/>
    </row>
    <row r="304" spans="1:11">
      <c r="A304" s="103" t="s">
        <v>47</v>
      </c>
      <c r="B304" s="103">
        <v>437.39684319999998</v>
      </c>
      <c r="C304" s="104">
        <v>1.53</v>
      </c>
      <c r="D304" s="103">
        <v>6.3899999999999998E-2</v>
      </c>
      <c r="E304" s="103">
        <v>2.34</v>
      </c>
      <c r="F304" s="103">
        <v>1.0059999999999999E-3</v>
      </c>
      <c r="G304" s="87"/>
      <c r="H304" s="103">
        <v>25.85</v>
      </c>
      <c r="I304" s="103" t="s">
        <v>12</v>
      </c>
      <c r="J304" s="142"/>
      <c r="K304" s="143"/>
    </row>
    <row r="305" spans="1:11">
      <c r="A305" s="103" t="s">
        <v>47</v>
      </c>
      <c r="B305" s="103">
        <v>12.6</v>
      </c>
      <c r="C305" s="104">
        <v>1.47</v>
      </c>
      <c r="D305" s="103">
        <v>7.0499999999999993E-2</v>
      </c>
      <c r="E305" s="103">
        <v>0.14000000000000001</v>
      </c>
      <c r="F305" s="103">
        <v>1.0009999999999999E-3</v>
      </c>
      <c r="G305" s="87"/>
      <c r="H305" s="103">
        <v>20.85</v>
      </c>
      <c r="I305" s="103" t="s">
        <v>12</v>
      </c>
      <c r="J305" s="142"/>
      <c r="K305" s="143"/>
    </row>
    <row r="306" spans="1:11">
      <c r="A306" s="103" t="s">
        <v>47</v>
      </c>
      <c r="B306" s="103">
        <v>312</v>
      </c>
      <c r="C306" s="104">
        <v>1.47</v>
      </c>
      <c r="D306" s="103">
        <v>7.0499999999999993E-2</v>
      </c>
      <c r="E306" s="103">
        <v>0.14000000000000001</v>
      </c>
      <c r="F306" s="103">
        <v>1.0009999999999999E-3</v>
      </c>
      <c r="G306" s="87"/>
      <c r="H306" s="103">
        <v>20.85</v>
      </c>
      <c r="I306" s="103" t="s">
        <v>12</v>
      </c>
      <c r="J306" s="142"/>
      <c r="K306" s="143"/>
    </row>
    <row r="307" spans="1:11">
      <c r="A307" s="103" t="s">
        <v>47</v>
      </c>
      <c r="B307" s="103">
        <v>12.6</v>
      </c>
      <c r="C307" s="104">
        <v>1.47</v>
      </c>
      <c r="D307" s="103">
        <v>6.7400000000000002E-2</v>
      </c>
      <c r="E307" s="103">
        <v>0.45400000000000001</v>
      </c>
      <c r="F307" s="103">
        <v>1.003E-3</v>
      </c>
      <c r="G307" s="87"/>
      <c r="H307" s="103">
        <v>23.05</v>
      </c>
      <c r="I307" s="103" t="s">
        <v>12</v>
      </c>
      <c r="J307" s="142"/>
      <c r="K307" s="143"/>
    </row>
    <row r="308" spans="1:11">
      <c r="A308" s="103" t="s">
        <v>47</v>
      </c>
      <c r="B308" s="103">
        <v>312</v>
      </c>
      <c r="C308" s="104">
        <v>1.47</v>
      </c>
      <c r="D308" s="103">
        <v>7.2599999999999998E-2</v>
      </c>
      <c r="E308" s="103">
        <v>0.154</v>
      </c>
      <c r="F308" s="103">
        <v>1.003E-3</v>
      </c>
      <c r="G308" s="87"/>
      <c r="H308" s="103">
        <v>25.95</v>
      </c>
      <c r="I308" s="103" t="s">
        <v>12</v>
      </c>
      <c r="J308" s="142"/>
      <c r="K308" s="143"/>
    </row>
    <row r="309" spans="1:11">
      <c r="A309" s="103" t="s">
        <v>47</v>
      </c>
      <c r="B309" s="103">
        <v>6.7410998620000004</v>
      </c>
      <c r="C309" s="104">
        <v>1.53</v>
      </c>
      <c r="D309" s="103">
        <v>6.3799999999999996E-2</v>
      </c>
      <c r="E309" s="103">
        <v>1.37</v>
      </c>
      <c r="F309" s="103">
        <v>1.181E-3</v>
      </c>
      <c r="G309" s="87"/>
      <c r="H309" s="103">
        <v>30.55</v>
      </c>
      <c r="I309" s="103" t="s">
        <v>12</v>
      </c>
      <c r="J309" s="142"/>
      <c r="K309" s="143"/>
    </row>
    <row r="310" spans="1:11">
      <c r="A310" s="103" t="s">
        <v>47</v>
      </c>
      <c r="B310" s="103">
        <v>12.364198310000001</v>
      </c>
      <c r="C310" s="104">
        <v>1.53</v>
      </c>
      <c r="D310" s="103">
        <v>6.3799999999999996E-2</v>
      </c>
      <c r="E310" s="103">
        <v>1.37</v>
      </c>
      <c r="F310" s="103">
        <v>1.181E-3</v>
      </c>
      <c r="G310" s="87"/>
      <c r="H310" s="103">
        <v>30.55</v>
      </c>
      <c r="I310" s="103" t="s">
        <v>12</v>
      </c>
      <c r="J310" s="142"/>
      <c r="K310" s="143"/>
    </row>
    <row r="311" spans="1:11">
      <c r="A311" s="103" t="s">
        <v>47</v>
      </c>
      <c r="B311" s="103">
        <v>24.747760060000001</v>
      </c>
      <c r="C311" s="104">
        <v>1.53</v>
      </c>
      <c r="D311" s="103">
        <v>6.3799999999999996E-2</v>
      </c>
      <c r="E311" s="103">
        <v>1.37</v>
      </c>
      <c r="F311" s="103">
        <v>1.181E-3</v>
      </c>
      <c r="G311" s="87"/>
      <c r="H311" s="103">
        <v>30.55</v>
      </c>
      <c r="I311" s="103" t="s">
        <v>12</v>
      </c>
      <c r="J311" s="142"/>
      <c r="K311" s="143"/>
    </row>
    <row r="312" spans="1:11">
      <c r="A312" s="103" t="s">
        <v>47</v>
      </c>
      <c r="B312" s="103">
        <v>37.564644479999998</v>
      </c>
      <c r="C312" s="104">
        <v>1.53</v>
      </c>
      <c r="D312" s="103">
        <v>6.3799999999999996E-2</v>
      </c>
      <c r="E312" s="103">
        <v>1.37</v>
      </c>
      <c r="F312" s="103">
        <v>1.181E-3</v>
      </c>
      <c r="G312" s="87"/>
      <c r="H312" s="103">
        <v>30.55</v>
      </c>
      <c r="I312" s="103" t="s">
        <v>12</v>
      </c>
      <c r="J312" s="142"/>
      <c r="K312" s="143"/>
    </row>
    <row r="313" spans="1:11">
      <c r="A313" s="103" t="s">
        <v>47</v>
      </c>
      <c r="B313" s="103">
        <v>60.732337190000003</v>
      </c>
      <c r="C313" s="104">
        <v>1.53</v>
      </c>
      <c r="D313" s="103">
        <v>6.3799999999999996E-2</v>
      </c>
      <c r="E313" s="103">
        <v>1.37</v>
      </c>
      <c r="F313" s="103">
        <v>1.181E-3</v>
      </c>
      <c r="G313" s="87"/>
      <c r="H313" s="103">
        <v>30.55</v>
      </c>
      <c r="I313" s="103" t="s">
        <v>12</v>
      </c>
      <c r="J313" s="142"/>
      <c r="K313" s="143"/>
    </row>
    <row r="314" spans="1:11">
      <c r="A314" s="103" t="s">
        <v>47</v>
      </c>
      <c r="B314" s="103">
        <v>98.666143980000001</v>
      </c>
      <c r="C314" s="104">
        <v>1.53</v>
      </c>
      <c r="D314" s="103">
        <v>6.3799999999999996E-2</v>
      </c>
      <c r="E314" s="103">
        <v>1.37</v>
      </c>
      <c r="F314" s="103">
        <v>1.181E-3</v>
      </c>
      <c r="G314" s="87"/>
      <c r="H314" s="103">
        <v>30.55</v>
      </c>
      <c r="I314" s="103" t="s">
        <v>12</v>
      </c>
      <c r="J314" s="142"/>
      <c r="K314" s="143"/>
    </row>
    <row r="315" spans="1:11">
      <c r="A315" s="103" t="s">
        <v>47</v>
      </c>
      <c r="B315" s="103">
        <v>151.22599159999999</v>
      </c>
      <c r="C315" s="104">
        <v>1.53</v>
      </c>
      <c r="D315" s="103">
        <v>6.3799999999999996E-2</v>
      </c>
      <c r="E315" s="103">
        <v>1.37</v>
      </c>
      <c r="F315" s="103">
        <v>1.181E-3</v>
      </c>
      <c r="G315" s="87"/>
      <c r="H315" s="103">
        <v>30.55</v>
      </c>
      <c r="I315" s="103" t="s">
        <v>12</v>
      </c>
      <c r="J315" s="142"/>
      <c r="K315" s="143"/>
    </row>
    <row r="316" spans="1:11">
      <c r="A316" s="103" t="s">
        <v>47</v>
      </c>
      <c r="B316" s="103">
        <v>227.32904540000001</v>
      </c>
      <c r="C316" s="104">
        <v>1.53</v>
      </c>
      <c r="D316" s="103">
        <v>6.3799999999999996E-2</v>
      </c>
      <c r="E316" s="103">
        <v>1.37</v>
      </c>
      <c r="F316" s="103">
        <v>1.181E-3</v>
      </c>
      <c r="G316" s="87"/>
      <c r="H316" s="103">
        <v>30.55</v>
      </c>
      <c r="I316" s="103" t="s">
        <v>12</v>
      </c>
      <c r="J316" s="142"/>
      <c r="K316" s="143"/>
    </row>
    <row r="317" spans="1:11">
      <c r="A317" s="103" t="s">
        <v>47</v>
      </c>
      <c r="B317" s="103">
        <v>356.98566940000001</v>
      </c>
      <c r="C317" s="104">
        <v>1.53</v>
      </c>
      <c r="D317" s="103">
        <v>6.3799999999999996E-2</v>
      </c>
      <c r="E317" s="103">
        <v>1.37</v>
      </c>
      <c r="F317" s="103">
        <v>1.181E-3</v>
      </c>
      <c r="G317" s="87"/>
      <c r="H317" s="103">
        <v>30.55</v>
      </c>
      <c r="I317" s="103" t="s">
        <v>12</v>
      </c>
      <c r="J317" s="142"/>
      <c r="K317" s="143"/>
    </row>
    <row r="318" spans="1:11">
      <c r="A318" s="103" t="s">
        <v>47</v>
      </c>
      <c r="B318" s="103">
        <v>439.81755099999998</v>
      </c>
      <c r="C318" s="104">
        <v>1.53</v>
      </c>
      <c r="D318" s="103">
        <v>6.3799999999999996E-2</v>
      </c>
      <c r="E318" s="103">
        <v>1.37</v>
      </c>
      <c r="F318" s="103">
        <v>1.181E-3</v>
      </c>
      <c r="G318" s="87"/>
      <c r="H318" s="103">
        <v>30.55</v>
      </c>
      <c r="I318" s="103" t="s">
        <v>12</v>
      </c>
      <c r="J318" s="142"/>
      <c r="K318" s="143"/>
    </row>
    <row r="319" spans="1:11">
      <c r="A319" s="103" t="s">
        <v>47</v>
      </c>
      <c r="B319" s="103">
        <v>536.63514150000003</v>
      </c>
      <c r="C319" s="104">
        <v>1.53</v>
      </c>
      <c r="D319" s="103">
        <v>6.3799999999999996E-2</v>
      </c>
      <c r="E319" s="103">
        <v>1.37</v>
      </c>
      <c r="F319" s="103">
        <v>1.181E-3</v>
      </c>
      <c r="G319" s="87"/>
      <c r="H319" s="103">
        <v>30.55</v>
      </c>
      <c r="I319" s="103" t="s">
        <v>12</v>
      </c>
      <c r="J319" s="142"/>
      <c r="K319" s="143"/>
    </row>
    <row r="320" spans="1:11">
      <c r="A320" s="103" t="s">
        <v>47</v>
      </c>
      <c r="B320" s="103">
        <v>7.0762892519999996</v>
      </c>
      <c r="C320" s="104">
        <v>1.53</v>
      </c>
      <c r="D320" s="103">
        <v>7.0300000000000001E-2</v>
      </c>
      <c r="E320" s="103">
        <v>1.36</v>
      </c>
      <c r="F320" s="103">
        <v>1.003E-3</v>
      </c>
      <c r="G320" s="87"/>
      <c r="H320" s="103">
        <v>30.25</v>
      </c>
      <c r="I320" s="103" t="s">
        <v>12</v>
      </c>
      <c r="J320" s="142"/>
      <c r="K320" s="143"/>
    </row>
    <row r="321" spans="1:11">
      <c r="A321" s="103" t="s">
        <v>47</v>
      </c>
      <c r="B321" s="103">
        <v>12.66786336</v>
      </c>
      <c r="C321" s="104">
        <v>1.53</v>
      </c>
      <c r="D321" s="103">
        <v>7.0300000000000001E-2</v>
      </c>
      <c r="E321" s="103">
        <v>1.36</v>
      </c>
      <c r="F321" s="103">
        <v>1.003E-3</v>
      </c>
      <c r="G321" s="87"/>
      <c r="H321" s="103">
        <v>30.25</v>
      </c>
      <c r="I321" s="103" t="s">
        <v>12</v>
      </c>
      <c r="J321" s="142"/>
      <c r="K321" s="143"/>
    </row>
    <row r="322" spans="1:11">
      <c r="A322" s="103" t="s">
        <v>47</v>
      </c>
      <c r="B322" s="103">
        <v>18.40685328</v>
      </c>
      <c r="C322" s="104">
        <v>1.53</v>
      </c>
      <c r="D322" s="103">
        <v>7.0300000000000001E-2</v>
      </c>
      <c r="E322" s="103">
        <v>1.36</v>
      </c>
      <c r="F322" s="103">
        <v>1.003E-3</v>
      </c>
      <c r="G322" s="87"/>
      <c r="H322" s="103">
        <v>30.25</v>
      </c>
      <c r="I322" s="103" t="s">
        <v>12</v>
      </c>
      <c r="J322" s="142"/>
      <c r="K322" s="143"/>
    </row>
    <row r="323" spans="1:11">
      <c r="A323" s="103" t="s">
        <v>47</v>
      </c>
      <c r="B323" s="103">
        <v>25.727385439999999</v>
      </c>
      <c r="C323" s="104">
        <v>1.53</v>
      </c>
      <c r="D323" s="103">
        <v>7.0300000000000001E-2</v>
      </c>
      <c r="E323" s="103">
        <v>1.36</v>
      </c>
      <c r="F323" s="103">
        <v>1.003E-3</v>
      </c>
      <c r="G323" s="87"/>
      <c r="H323" s="103">
        <v>30.25</v>
      </c>
      <c r="I323" s="103" t="s">
        <v>12</v>
      </c>
      <c r="J323" s="142"/>
      <c r="K323" s="143"/>
    </row>
    <row r="324" spans="1:11">
      <c r="A324" s="103" t="s">
        <v>47</v>
      </c>
      <c r="B324" s="103">
        <v>37.564644479999998</v>
      </c>
      <c r="C324" s="104">
        <v>1.53</v>
      </c>
      <c r="D324" s="103">
        <v>7.0300000000000001E-2</v>
      </c>
      <c r="E324" s="103">
        <v>1.36</v>
      </c>
      <c r="F324" s="103">
        <v>1.003E-3</v>
      </c>
      <c r="G324" s="87"/>
      <c r="H324" s="103">
        <v>30.25</v>
      </c>
      <c r="I324" s="103" t="s">
        <v>12</v>
      </c>
      <c r="J324" s="142"/>
      <c r="K324" s="143"/>
    </row>
    <row r="325" spans="1:11">
      <c r="A325" s="103" t="s">
        <v>47</v>
      </c>
      <c r="B325" s="103">
        <v>61.324623920000001</v>
      </c>
      <c r="C325" s="104">
        <v>1.53</v>
      </c>
      <c r="D325" s="103">
        <v>7.0300000000000001E-2</v>
      </c>
      <c r="E325" s="103">
        <v>1.36</v>
      </c>
      <c r="F325" s="103">
        <v>1.003E-3</v>
      </c>
      <c r="G325" s="87"/>
      <c r="H325" s="103">
        <v>30.25</v>
      </c>
      <c r="I325" s="103" t="s">
        <v>12</v>
      </c>
      <c r="J325" s="142"/>
      <c r="K325" s="143"/>
    </row>
    <row r="326" spans="1:11">
      <c r="A326" s="103" t="s">
        <v>47</v>
      </c>
      <c r="B326" s="103">
        <v>96.300989060000006</v>
      </c>
      <c r="C326" s="104">
        <v>1.53</v>
      </c>
      <c r="D326" s="103">
        <v>7.0300000000000001E-2</v>
      </c>
      <c r="E326" s="103">
        <v>1.36</v>
      </c>
      <c r="F326" s="103">
        <v>1.003E-3</v>
      </c>
      <c r="G326" s="87"/>
      <c r="H326" s="103">
        <v>30.25</v>
      </c>
      <c r="I326" s="103" t="s">
        <v>12</v>
      </c>
      <c r="J326" s="142"/>
      <c r="K326" s="143"/>
    </row>
    <row r="327" spans="1:11">
      <c r="A327" s="103" t="s">
        <v>47</v>
      </c>
      <c r="B327" s="103">
        <v>147.60090919999999</v>
      </c>
      <c r="C327" s="104">
        <v>1.53</v>
      </c>
      <c r="D327" s="103">
        <v>7.0300000000000001E-2</v>
      </c>
      <c r="E327" s="103">
        <v>1.36</v>
      </c>
      <c r="F327" s="103">
        <v>1.003E-3</v>
      </c>
      <c r="G327" s="87"/>
      <c r="H327" s="103">
        <v>30.25</v>
      </c>
      <c r="I327" s="103" t="s">
        <v>12</v>
      </c>
      <c r="J327" s="142"/>
      <c r="K327" s="143"/>
    </row>
    <row r="328" spans="1:11">
      <c r="A328" s="103" t="s">
        <v>47</v>
      </c>
      <c r="B328" s="103">
        <v>237.47740519999999</v>
      </c>
      <c r="C328" s="104">
        <v>1.53</v>
      </c>
      <c r="D328" s="103">
        <v>7.0300000000000001E-2</v>
      </c>
      <c r="E328" s="103">
        <v>1.36</v>
      </c>
      <c r="F328" s="103">
        <v>1.003E-3</v>
      </c>
      <c r="G328" s="87"/>
      <c r="H328" s="103">
        <v>30.25</v>
      </c>
      <c r="I328" s="103" t="s">
        <v>12</v>
      </c>
      <c r="J328" s="142"/>
      <c r="K328" s="143"/>
    </row>
    <row r="329" spans="1:11">
      <c r="A329" s="103" t="s">
        <v>47</v>
      </c>
      <c r="B329" s="103">
        <v>356.98566940000001</v>
      </c>
      <c r="C329" s="104">
        <v>1.53</v>
      </c>
      <c r="D329" s="103">
        <v>7.0300000000000001E-2</v>
      </c>
      <c r="E329" s="103">
        <v>1.36</v>
      </c>
      <c r="F329" s="103">
        <v>1.003E-3</v>
      </c>
      <c r="G329" s="87"/>
      <c r="H329" s="103">
        <v>30.25</v>
      </c>
      <c r="I329" s="103" t="s">
        <v>12</v>
      </c>
      <c r="J329" s="142"/>
      <c r="K329" s="143"/>
    </row>
    <row r="330" spans="1:11">
      <c r="A330" s="103" t="s">
        <v>47</v>
      </c>
      <c r="B330" s="103">
        <v>508.74131039999997</v>
      </c>
      <c r="C330" s="104">
        <v>1.53</v>
      </c>
      <c r="D330" s="103">
        <v>7.0300000000000001E-2</v>
      </c>
      <c r="E330" s="103">
        <v>1.36</v>
      </c>
      <c r="F330" s="103">
        <v>1.003E-3</v>
      </c>
      <c r="G330" s="87"/>
      <c r="H330" s="103">
        <v>30.25</v>
      </c>
      <c r="I330" s="103" t="s">
        <v>12</v>
      </c>
      <c r="J330" s="142"/>
      <c r="K330" s="143"/>
    </row>
    <row r="331" spans="1:11">
      <c r="A331" s="103" t="s">
        <v>47</v>
      </c>
      <c r="B331" s="103">
        <v>6.7410998620000004</v>
      </c>
      <c r="C331" s="104">
        <v>1.53</v>
      </c>
      <c r="D331" s="103">
        <v>6.6100000000000006E-2</v>
      </c>
      <c r="E331" s="103">
        <v>1.35</v>
      </c>
      <c r="F331" s="103">
        <v>1.0120000000000001E-3</v>
      </c>
      <c r="G331" s="87"/>
      <c r="H331" s="103">
        <v>30.15</v>
      </c>
      <c r="I331" s="103" t="s">
        <v>12</v>
      </c>
      <c r="J331" s="142"/>
      <c r="K331" s="143"/>
    </row>
    <row r="332" spans="1:11">
      <c r="A332" s="103" t="s">
        <v>47</v>
      </c>
      <c r="B332" s="103">
        <v>9.4220851349999997</v>
      </c>
      <c r="C332" s="104">
        <v>1.53</v>
      </c>
      <c r="D332" s="103">
        <v>6.6100000000000006E-2</v>
      </c>
      <c r="E332" s="103">
        <v>1.35</v>
      </c>
      <c r="F332" s="103">
        <v>1.0120000000000001E-3</v>
      </c>
      <c r="G332" s="87"/>
      <c r="H332" s="103">
        <v>30.15</v>
      </c>
      <c r="I332" s="103" t="s">
        <v>12</v>
      </c>
      <c r="J332" s="142"/>
      <c r="K332" s="143"/>
    </row>
    <row r="333" spans="1:11">
      <c r="A333" s="103" t="s">
        <v>47</v>
      </c>
      <c r="B333" s="103">
        <v>12.48478368</v>
      </c>
      <c r="C333" s="104">
        <v>1.53</v>
      </c>
      <c r="D333" s="103">
        <v>6.6100000000000006E-2</v>
      </c>
      <c r="E333" s="103">
        <v>1.35</v>
      </c>
      <c r="F333" s="103">
        <v>1.0120000000000001E-3</v>
      </c>
      <c r="G333" s="87"/>
      <c r="H333" s="103">
        <v>30.15</v>
      </c>
      <c r="I333" s="103" t="s">
        <v>12</v>
      </c>
      <c r="J333" s="142"/>
      <c r="K333" s="143"/>
    </row>
    <row r="334" spans="1:11">
      <c r="A334" s="103" t="s">
        <v>47</v>
      </c>
      <c r="B334" s="103">
        <v>18.053008720000001</v>
      </c>
      <c r="C334" s="104">
        <v>1.53</v>
      </c>
      <c r="D334" s="103">
        <v>6.6100000000000006E-2</v>
      </c>
      <c r="E334" s="103">
        <v>1.35</v>
      </c>
      <c r="F334" s="103">
        <v>1.0120000000000001E-3</v>
      </c>
      <c r="G334" s="87"/>
      <c r="H334" s="103">
        <v>30.15</v>
      </c>
      <c r="I334" s="103" t="s">
        <v>12</v>
      </c>
      <c r="J334" s="142"/>
      <c r="K334" s="143"/>
    </row>
    <row r="335" spans="1:11">
      <c r="A335" s="103" t="s">
        <v>47</v>
      </c>
      <c r="B335" s="103">
        <v>32.318216450000001</v>
      </c>
      <c r="C335" s="104">
        <v>1.53</v>
      </c>
      <c r="D335" s="103">
        <v>6.6100000000000006E-2</v>
      </c>
      <c r="E335" s="103">
        <v>1.35</v>
      </c>
      <c r="F335" s="103">
        <v>1.0120000000000001E-3</v>
      </c>
      <c r="G335" s="87"/>
      <c r="H335" s="103">
        <v>30.15</v>
      </c>
      <c r="I335" s="103" t="s">
        <v>12</v>
      </c>
      <c r="J335" s="142"/>
      <c r="K335" s="143"/>
    </row>
    <row r="336" spans="1:11">
      <c r="A336" s="103" t="s">
        <v>47</v>
      </c>
      <c r="B336" s="103">
        <v>45.611940320000002</v>
      </c>
      <c r="C336" s="104">
        <v>1.53</v>
      </c>
      <c r="D336" s="103">
        <v>6.6100000000000006E-2</v>
      </c>
      <c r="E336" s="103">
        <v>1.35</v>
      </c>
      <c r="F336" s="103">
        <v>1.0120000000000001E-3</v>
      </c>
      <c r="G336" s="87"/>
      <c r="H336" s="103">
        <v>30.15</v>
      </c>
      <c r="I336" s="103" t="s">
        <v>12</v>
      </c>
      <c r="J336" s="142"/>
      <c r="K336" s="143"/>
    </row>
    <row r="337" spans="1:11">
      <c r="A337" s="103" t="s">
        <v>47</v>
      </c>
      <c r="B337" s="103">
        <v>75.553861740000002</v>
      </c>
      <c r="C337" s="104">
        <v>1.53</v>
      </c>
      <c r="D337" s="103">
        <v>6.6100000000000006E-2</v>
      </c>
      <c r="E337" s="103">
        <v>1.35</v>
      </c>
      <c r="F337" s="103">
        <v>1.0120000000000001E-3</v>
      </c>
      <c r="G337" s="87"/>
      <c r="H337" s="103">
        <v>30.15</v>
      </c>
      <c r="I337" s="103" t="s">
        <v>12</v>
      </c>
      <c r="J337" s="142"/>
      <c r="K337" s="143"/>
    </row>
    <row r="338" spans="1:11">
      <c r="A338" s="103" t="s">
        <v>47</v>
      </c>
      <c r="B338" s="103">
        <v>126.3716586</v>
      </c>
      <c r="C338" s="104">
        <v>1.53</v>
      </c>
      <c r="D338" s="103">
        <v>6.6100000000000006E-2</v>
      </c>
      <c r="E338" s="103">
        <v>1.35</v>
      </c>
      <c r="F338" s="103">
        <v>1.0120000000000001E-3</v>
      </c>
      <c r="G338" s="87"/>
      <c r="H338" s="103">
        <v>30.15</v>
      </c>
      <c r="I338" s="103" t="s">
        <v>12</v>
      </c>
      <c r="J338" s="142"/>
      <c r="K338" s="143"/>
    </row>
    <row r="339" spans="1:11">
      <c r="A339" s="103" t="s">
        <v>47</v>
      </c>
      <c r="B339" s="103">
        <v>196.53073570000001</v>
      </c>
      <c r="C339" s="104">
        <v>1.53</v>
      </c>
      <c r="D339" s="103">
        <v>6.6100000000000006E-2</v>
      </c>
      <c r="E339" s="103">
        <v>1.35</v>
      </c>
      <c r="F339" s="103">
        <v>1.0120000000000001E-3</v>
      </c>
      <c r="G339" s="87"/>
      <c r="H339" s="103">
        <v>30.15</v>
      </c>
      <c r="I339" s="103" t="s">
        <v>12</v>
      </c>
      <c r="J339" s="142"/>
      <c r="K339" s="143"/>
    </row>
    <row r="340" spans="1:11">
      <c r="A340" s="103" t="s">
        <v>47</v>
      </c>
      <c r="B340" s="103">
        <v>255.40801339999999</v>
      </c>
      <c r="C340" s="104">
        <v>1.53</v>
      </c>
      <c r="D340" s="103">
        <v>6.6100000000000006E-2</v>
      </c>
      <c r="E340" s="103">
        <v>1.35</v>
      </c>
      <c r="F340" s="103">
        <v>1.0120000000000001E-3</v>
      </c>
      <c r="G340" s="87"/>
      <c r="H340" s="103">
        <v>30.15</v>
      </c>
      <c r="I340" s="103" t="s">
        <v>12</v>
      </c>
      <c r="J340" s="142"/>
      <c r="K340" s="143"/>
    </row>
    <row r="341" spans="1:11">
      <c r="A341" s="103" t="s">
        <v>47</v>
      </c>
      <c r="B341" s="103">
        <v>446.26729979999999</v>
      </c>
      <c r="C341" s="104">
        <v>1.53</v>
      </c>
      <c r="D341" s="103">
        <v>6.6100000000000006E-2</v>
      </c>
      <c r="E341" s="103">
        <v>1.35</v>
      </c>
      <c r="F341" s="103">
        <v>1.0120000000000001E-3</v>
      </c>
      <c r="G341" s="87"/>
      <c r="H341" s="103">
        <v>30.15</v>
      </c>
      <c r="I341" s="103" t="s">
        <v>12</v>
      </c>
      <c r="J341" s="142"/>
      <c r="K341" s="143"/>
    </row>
    <row r="342" spans="1:11">
      <c r="A342" s="103" t="s">
        <v>47</v>
      </c>
      <c r="B342" s="103">
        <v>560.59166519999997</v>
      </c>
      <c r="C342" s="104">
        <v>1.53</v>
      </c>
      <c r="D342" s="103">
        <v>6.6100000000000006E-2</v>
      </c>
      <c r="E342" s="103">
        <v>1.35</v>
      </c>
      <c r="F342" s="103">
        <v>1.0120000000000001E-3</v>
      </c>
      <c r="G342" s="87"/>
      <c r="H342" s="103">
        <v>30.15</v>
      </c>
      <c r="I342" s="103" t="s">
        <v>12</v>
      </c>
      <c r="J342" s="142"/>
      <c r="K342" s="143"/>
    </row>
    <row r="343" spans="1:11">
      <c r="A343" s="103" t="s">
        <v>47</v>
      </c>
      <c r="B343" s="103">
        <v>8.2250312189999999</v>
      </c>
      <c r="C343" s="104">
        <v>1.53</v>
      </c>
      <c r="D343" s="103">
        <v>6.6100000000000006E-2</v>
      </c>
      <c r="E343" s="103">
        <v>1.35</v>
      </c>
      <c r="F343" s="103">
        <v>1.0120000000000001E-3</v>
      </c>
      <c r="G343" s="87"/>
      <c r="H343" s="103">
        <v>30.15</v>
      </c>
      <c r="I343" s="103" t="s">
        <v>12</v>
      </c>
      <c r="J343" s="142"/>
      <c r="K343" s="143"/>
    </row>
    <row r="344" spans="1:11">
      <c r="A344" s="103" t="s">
        <v>47</v>
      </c>
      <c r="B344" s="103">
        <v>14.867923830000001</v>
      </c>
      <c r="C344" s="104">
        <v>1.53</v>
      </c>
      <c r="D344" s="103">
        <v>6.6100000000000006E-2</v>
      </c>
      <c r="E344" s="103">
        <v>1.35</v>
      </c>
      <c r="F344" s="103">
        <v>1.0120000000000001E-3</v>
      </c>
      <c r="G344" s="87"/>
      <c r="H344" s="103">
        <v>30.15</v>
      </c>
      <c r="I344" s="103" t="s">
        <v>12</v>
      </c>
      <c r="J344" s="142"/>
      <c r="K344" s="143"/>
    </row>
    <row r="345" spans="1:11">
      <c r="A345" s="103" t="s">
        <v>47</v>
      </c>
      <c r="B345" s="103">
        <v>23.234780359999998</v>
      </c>
      <c r="C345" s="104">
        <v>1.53</v>
      </c>
      <c r="D345" s="103">
        <v>6.6100000000000006E-2</v>
      </c>
      <c r="E345" s="103">
        <v>1.35</v>
      </c>
      <c r="F345" s="103">
        <v>1.0120000000000001E-3</v>
      </c>
      <c r="G345" s="87"/>
      <c r="H345" s="103">
        <v>30.15</v>
      </c>
      <c r="I345" s="103" t="s">
        <v>12</v>
      </c>
      <c r="J345" s="142"/>
      <c r="K345" s="143"/>
    </row>
    <row r="346" spans="1:11">
      <c r="A346" s="103" t="s">
        <v>47</v>
      </c>
      <c r="B346" s="103">
        <v>34.92746442</v>
      </c>
      <c r="C346" s="104">
        <v>1.53</v>
      </c>
      <c r="D346" s="103">
        <v>6.6100000000000006E-2</v>
      </c>
      <c r="E346" s="103">
        <v>1.35</v>
      </c>
      <c r="F346" s="103">
        <v>1.0120000000000001E-3</v>
      </c>
      <c r="G346" s="87"/>
      <c r="H346" s="103">
        <v>30.15</v>
      </c>
      <c r="I346" s="103" t="s">
        <v>12</v>
      </c>
      <c r="J346" s="142"/>
      <c r="K346" s="143"/>
    </row>
    <row r="347" spans="1:11">
      <c r="A347" s="103" t="s">
        <v>47</v>
      </c>
      <c r="B347" s="103">
        <v>58.989557320000003</v>
      </c>
      <c r="C347" s="104">
        <v>1.53</v>
      </c>
      <c r="D347" s="103">
        <v>6.6100000000000006E-2</v>
      </c>
      <c r="E347" s="103">
        <v>1.35</v>
      </c>
      <c r="F347" s="103">
        <v>1.0120000000000001E-3</v>
      </c>
      <c r="G347" s="87"/>
      <c r="H347" s="103">
        <v>30.15</v>
      </c>
      <c r="I347" s="103" t="s">
        <v>12</v>
      </c>
      <c r="J347" s="142"/>
      <c r="K347" s="143"/>
    </row>
    <row r="348" spans="1:11">
      <c r="A348" s="103" t="s">
        <v>47</v>
      </c>
      <c r="B348" s="103">
        <v>96.769433140000004</v>
      </c>
      <c r="C348" s="104">
        <v>1.53</v>
      </c>
      <c r="D348" s="103">
        <v>6.6100000000000006E-2</v>
      </c>
      <c r="E348" s="103">
        <v>1.35</v>
      </c>
      <c r="F348" s="103">
        <v>1.0120000000000001E-3</v>
      </c>
      <c r="G348" s="87"/>
      <c r="H348" s="103">
        <v>30.15</v>
      </c>
      <c r="I348" s="103" t="s">
        <v>12</v>
      </c>
      <c r="J348" s="142"/>
      <c r="K348" s="143"/>
    </row>
    <row r="349" spans="1:11">
      <c r="A349" s="103" t="s">
        <v>47</v>
      </c>
      <c r="B349" s="103">
        <v>156.45120360000001</v>
      </c>
      <c r="C349" s="104">
        <v>1.53</v>
      </c>
      <c r="D349" s="103">
        <v>6.6100000000000006E-2</v>
      </c>
      <c r="E349" s="103">
        <v>1.35</v>
      </c>
      <c r="F349" s="103">
        <v>1.0120000000000001E-3</v>
      </c>
      <c r="G349" s="87"/>
      <c r="H349" s="103">
        <v>30.15</v>
      </c>
      <c r="I349" s="103" t="s">
        <v>12</v>
      </c>
      <c r="J349" s="142"/>
      <c r="K349" s="143"/>
    </row>
    <row r="350" spans="1:11">
      <c r="A350" s="103" t="s">
        <v>47</v>
      </c>
      <c r="B350" s="103">
        <v>250.4981717</v>
      </c>
      <c r="C350" s="104">
        <v>1.53</v>
      </c>
      <c r="D350" s="103">
        <v>6.6100000000000006E-2</v>
      </c>
      <c r="E350" s="103">
        <v>1.35</v>
      </c>
      <c r="F350" s="103">
        <v>1.0120000000000001E-3</v>
      </c>
      <c r="G350" s="87"/>
      <c r="H350" s="103">
        <v>30.15</v>
      </c>
      <c r="I350" s="103" t="s">
        <v>12</v>
      </c>
      <c r="J350" s="142"/>
      <c r="K350" s="143"/>
    </row>
    <row r="351" spans="1:11">
      <c r="A351" s="103" t="s">
        <v>47</v>
      </c>
      <c r="B351" s="103">
        <v>395.28289790000002</v>
      </c>
      <c r="C351" s="104">
        <v>1.53</v>
      </c>
      <c r="D351" s="103">
        <v>6.6100000000000006E-2</v>
      </c>
      <c r="E351" s="103">
        <v>1.35</v>
      </c>
      <c r="F351" s="103">
        <v>1.0120000000000001E-3</v>
      </c>
      <c r="G351" s="87"/>
      <c r="H351" s="103">
        <v>30.15</v>
      </c>
      <c r="I351" s="103" t="s">
        <v>12</v>
      </c>
      <c r="J351" s="142"/>
      <c r="K351" s="143"/>
    </row>
    <row r="352" spans="1:11">
      <c r="A352" s="103" t="s">
        <v>47</v>
      </c>
      <c r="B352" s="103">
        <v>534.03758140000002</v>
      </c>
      <c r="C352" s="104">
        <v>1.53</v>
      </c>
      <c r="D352" s="103">
        <v>6.6100000000000006E-2</v>
      </c>
      <c r="E352" s="103">
        <v>1.35</v>
      </c>
      <c r="F352" s="103">
        <v>1.0120000000000001E-3</v>
      </c>
      <c r="G352" s="87"/>
      <c r="H352" s="103">
        <v>30.15</v>
      </c>
      <c r="I352" s="103" t="s">
        <v>12</v>
      </c>
      <c r="J352" s="142"/>
      <c r="K352" s="143"/>
    </row>
    <row r="353" spans="1:11">
      <c r="A353" s="103" t="s">
        <v>47</v>
      </c>
      <c r="B353" s="103">
        <v>7.1970299979999997</v>
      </c>
      <c r="C353" s="104">
        <v>0.75800000000000001</v>
      </c>
      <c r="D353" s="103">
        <v>7.0300000000000001E-2</v>
      </c>
      <c r="E353" s="103">
        <v>1.36</v>
      </c>
      <c r="F353" s="103">
        <v>1.003E-3</v>
      </c>
      <c r="G353" s="87"/>
      <c r="H353" s="103">
        <v>30.25</v>
      </c>
      <c r="I353" s="103" t="s">
        <v>12</v>
      </c>
      <c r="J353" s="142"/>
      <c r="K353" s="143"/>
    </row>
    <row r="354" spans="1:11">
      <c r="A354" s="103" t="s">
        <v>47</v>
      </c>
      <c r="B354" s="103">
        <v>9.8240021070000001</v>
      </c>
      <c r="C354" s="104">
        <v>0.75800000000000001</v>
      </c>
      <c r="D354" s="103">
        <v>7.0300000000000001E-2</v>
      </c>
      <c r="E354" s="103">
        <v>1.36</v>
      </c>
      <c r="F354" s="103">
        <v>1.003E-3</v>
      </c>
      <c r="G354" s="87"/>
      <c r="H354" s="103">
        <v>30.25</v>
      </c>
      <c r="I354" s="103" t="s">
        <v>12</v>
      </c>
      <c r="J354" s="142"/>
      <c r="K354" s="143"/>
    </row>
    <row r="355" spans="1:11">
      <c r="A355" s="103" t="s">
        <v>47</v>
      </c>
      <c r="B355" s="103">
        <v>13.40983954</v>
      </c>
      <c r="C355" s="104">
        <v>0.75800000000000001</v>
      </c>
      <c r="D355" s="103">
        <v>7.0300000000000001E-2</v>
      </c>
      <c r="E355" s="103">
        <v>1.36</v>
      </c>
      <c r="F355" s="103">
        <v>1.003E-3</v>
      </c>
      <c r="G355" s="87"/>
      <c r="H355" s="103">
        <v>30.25</v>
      </c>
      <c r="I355" s="103" t="s">
        <v>12</v>
      </c>
      <c r="J355" s="142"/>
      <c r="K355" s="143"/>
    </row>
    <row r="356" spans="1:11">
      <c r="A356" s="103" t="s">
        <v>47</v>
      </c>
      <c r="B356" s="103">
        <v>19.019136490000001</v>
      </c>
      <c r="C356" s="104">
        <v>0.75800000000000001</v>
      </c>
      <c r="D356" s="103">
        <v>7.0300000000000001E-2</v>
      </c>
      <c r="E356" s="103">
        <v>1.36</v>
      </c>
      <c r="F356" s="103">
        <v>1.003E-3</v>
      </c>
      <c r="G356" s="87"/>
      <c r="H356" s="103">
        <v>30.25</v>
      </c>
      <c r="I356" s="103" t="s">
        <v>12</v>
      </c>
      <c r="J356" s="142"/>
      <c r="K356" s="143"/>
    </row>
    <row r="357" spans="1:11">
      <c r="A357" s="103" t="s">
        <v>47</v>
      </c>
      <c r="B357" s="103">
        <v>26.085844399999999</v>
      </c>
      <c r="C357" s="104">
        <v>0.75800000000000001</v>
      </c>
      <c r="D357" s="103">
        <v>7.0300000000000001E-2</v>
      </c>
      <c r="E357" s="103">
        <v>1.36</v>
      </c>
      <c r="F357" s="103">
        <v>1.003E-3</v>
      </c>
      <c r="G357" s="87"/>
      <c r="H357" s="103">
        <v>30.25</v>
      </c>
      <c r="I357" s="103" t="s">
        <v>12</v>
      </c>
      <c r="J357" s="142"/>
      <c r="K357" s="143"/>
    </row>
    <row r="358" spans="1:11">
      <c r="A358" s="103" t="s">
        <v>47</v>
      </c>
      <c r="B358" s="103">
        <v>38.811638309999999</v>
      </c>
      <c r="C358" s="104">
        <v>0.75800000000000001</v>
      </c>
      <c r="D358" s="103">
        <v>7.0300000000000001E-2</v>
      </c>
      <c r="E358" s="103">
        <v>1.36</v>
      </c>
      <c r="F358" s="103">
        <v>1.003E-3</v>
      </c>
      <c r="G358" s="87"/>
      <c r="H358" s="103">
        <v>30.25</v>
      </c>
      <c r="I358" s="103" t="s">
        <v>12</v>
      </c>
      <c r="J358" s="142"/>
      <c r="K358" s="143"/>
    </row>
    <row r="359" spans="1:11">
      <c r="A359" s="103" t="s">
        <v>47</v>
      </c>
      <c r="B359" s="103">
        <v>47.454801080000003</v>
      </c>
      <c r="C359" s="104">
        <v>0.75800000000000001</v>
      </c>
      <c r="D359" s="103">
        <v>7.0300000000000001E-2</v>
      </c>
      <c r="E359" s="103">
        <v>1.36</v>
      </c>
      <c r="F359" s="103">
        <v>1.003E-3</v>
      </c>
      <c r="G359" s="87"/>
      <c r="H359" s="103">
        <v>30.25</v>
      </c>
      <c r="I359" s="103" t="s">
        <v>12</v>
      </c>
      <c r="J359" s="142"/>
      <c r="K359" s="143"/>
    </row>
    <row r="360" spans="1:11">
      <c r="A360" s="103" t="s">
        <v>47</v>
      </c>
      <c r="B360" s="103">
        <v>62.342356080000002</v>
      </c>
      <c r="C360" s="104">
        <v>0.75800000000000001</v>
      </c>
      <c r="D360" s="103">
        <v>7.0300000000000001E-2</v>
      </c>
      <c r="E360" s="103">
        <v>1.36</v>
      </c>
      <c r="F360" s="103">
        <v>1.003E-3</v>
      </c>
      <c r="G360" s="87"/>
      <c r="H360" s="103">
        <v>30.25</v>
      </c>
      <c r="I360" s="103" t="s">
        <v>12</v>
      </c>
      <c r="J360" s="142"/>
      <c r="K360" s="143"/>
    </row>
    <row r="361" spans="1:11">
      <c r="A361" s="103" t="s">
        <v>47</v>
      </c>
      <c r="B361" s="103">
        <v>97.770860380000002</v>
      </c>
      <c r="C361" s="104">
        <v>0.75800000000000001</v>
      </c>
      <c r="D361" s="103">
        <v>7.0300000000000001E-2</v>
      </c>
      <c r="E361" s="103">
        <v>1.36</v>
      </c>
      <c r="F361" s="103">
        <v>1.003E-3</v>
      </c>
      <c r="G361" s="87"/>
      <c r="H361" s="103">
        <v>30.25</v>
      </c>
      <c r="I361" s="103" t="s">
        <v>12</v>
      </c>
      <c r="J361" s="142"/>
      <c r="K361" s="143"/>
    </row>
    <row r="362" spans="1:11">
      <c r="A362" s="103" t="s">
        <v>47</v>
      </c>
      <c r="B362" s="103">
        <v>127.2197537</v>
      </c>
      <c r="C362" s="104">
        <v>0.75800000000000001</v>
      </c>
      <c r="D362" s="103">
        <v>7.0300000000000001E-2</v>
      </c>
      <c r="E362" s="103">
        <v>1.36</v>
      </c>
      <c r="F362" s="103">
        <v>1.003E-3</v>
      </c>
      <c r="G362" s="87"/>
      <c r="H362" s="103">
        <v>30.25</v>
      </c>
      <c r="I362" s="103" t="s">
        <v>12</v>
      </c>
      <c r="J362" s="142"/>
      <c r="K362" s="143"/>
    </row>
    <row r="363" spans="1:11">
      <c r="A363" s="103" t="s">
        <v>47</v>
      </c>
      <c r="B363" s="103">
        <v>192.0209863</v>
      </c>
      <c r="C363" s="104">
        <v>0.75800000000000001</v>
      </c>
      <c r="D363" s="103">
        <v>7.0300000000000001E-2</v>
      </c>
      <c r="E363" s="103">
        <v>1.36</v>
      </c>
      <c r="F363" s="103">
        <v>1.003E-3</v>
      </c>
      <c r="G363" s="87"/>
      <c r="H363" s="103">
        <v>30.25</v>
      </c>
      <c r="I363" s="103" t="s">
        <v>12</v>
      </c>
      <c r="J363" s="142"/>
      <c r="K363" s="143"/>
    </row>
    <row r="364" spans="1:11">
      <c r="A364" s="103" t="s">
        <v>47</v>
      </c>
      <c r="B364" s="103">
        <v>285.69716490000002</v>
      </c>
      <c r="C364" s="104">
        <v>0.75800000000000001</v>
      </c>
      <c r="D364" s="103">
        <v>7.0300000000000001E-2</v>
      </c>
      <c r="E364" s="103">
        <v>1.36</v>
      </c>
      <c r="F364" s="103">
        <v>1.003E-3</v>
      </c>
      <c r="G364" s="87"/>
      <c r="H364" s="103">
        <v>30.25</v>
      </c>
      <c r="I364" s="103" t="s">
        <v>12</v>
      </c>
      <c r="J364" s="142"/>
      <c r="K364" s="143"/>
    </row>
    <row r="365" spans="1:11">
      <c r="A365" s="103" t="s">
        <v>47</v>
      </c>
      <c r="B365" s="103">
        <v>366.44936589999998</v>
      </c>
      <c r="C365" s="104">
        <v>0.75800000000000001</v>
      </c>
      <c r="D365" s="103">
        <v>7.0300000000000001E-2</v>
      </c>
      <c r="E365" s="103">
        <v>1.36</v>
      </c>
      <c r="F365" s="103">
        <v>1.003E-3</v>
      </c>
      <c r="G365" s="87"/>
      <c r="H365" s="103">
        <v>30.25</v>
      </c>
      <c r="I365" s="103" t="s">
        <v>12</v>
      </c>
      <c r="J365" s="142"/>
      <c r="K365" s="143"/>
    </row>
    <row r="366" spans="1:11">
      <c r="A366" s="103" t="s">
        <v>47</v>
      </c>
      <c r="B366" s="103">
        <v>7.1626587940000004</v>
      </c>
      <c r="C366" s="104">
        <v>2.09</v>
      </c>
      <c r="D366" s="103">
        <v>7.0300000000000001E-2</v>
      </c>
      <c r="E366" s="103">
        <v>1.36</v>
      </c>
      <c r="F366" s="103">
        <v>1.003E-3</v>
      </c>
      <c r="G366" s="87"/>
      <c r="H366" s="103">
        <v>30.25</v>
      </c>
      <c r="I366" s="103" t="s">
        <v>12</v>
      </c>
      <c r="J366" s="142"/>
      <c r="K366" s="143"/>
    </row>
    <row r="367" spans="1:11">
      <c r="A367" s="103" t="s">
        <v>47</v>
      </c>
      <c r="B367" s="103">
        <v>9.7303940230000006</v>
      </c>
      <c r="C367" s="104">
        <v>2.09</v>
      </c>
      <c r="D367" s="103">
        <v>7.0300000000000001E-2</v>
      </c>
      <c r="E367" s="103">
        <v>1.36</v>
      </c>
      <c r="F367" s="103">
        <v>1.003E-3</v>
      </c>
      <c r="G367" s="87"/>
      <c r="H367" s="103">
        <v>30.25</v>
      </c>
      <c r="I367" s="103" t="s">
        <v>12</v>
      </c>
      <c r="J367" s="142"/>
      <c r="K367" s="143"/>
    </row>
    <row r="368" spans="1:11">
      <c r="A368" s="103" t="s">
        <v>47</v>
      </c>
      <c r="B368" s="103">
        <v>12.721976529999999</v>
      </c>
      <c r="C368" s="104">
        <v>2.09</v>
      </c>
      <c r="D368" s="103">
        <v>7.0300000000000001E-2</v>
      </c>
      <c r="E368" s="103">
        <v>1.36</v>
      </c>
      <c r="F368" s="103">
        <v>1.003E-3</v>
      </c>
      <c r="G368" s="87"/>
      <c r="H368" s="103">
        <v>30.25</v>
      </c>
      <c r="I368" s="103" t="s">
        <v>12</v>
      </c>
      <c r="J368" s="142"/>
      <c r="K368" s="143"/>
    </row>
    <row r="369" spans="1:11">
      <c r="A369" s="103" t="s">
        <v>47</v>
      </c>
      <c r="B369" s="103">
        <v>18.217121070000001</v>
      </c>
      <c r="C369" s="104">
        <v>2.09</v>
      </c>
      <c r="D369" s="103">
        <v>7.0300000000000001E-2</v>
      </c>
      <c r="E369" s="103">
        <v>1.36</v>
      </c>
      <c r="F369" s="103">
        <v>1.003E-3</v>
      </c>
      <c r="G369" s="87"/>
      <c r="H369" s="103">
        <v>30.25</v>
      </c>
      <c r="I369" s="103" t="s">
        <v>12</v>
      </c>
      <c r="J369" s="142"/>
      <c r="K369" s="143"/>
    </row>
    <row r="370" spans="1:11">
      <c r="A370" s="103" t="s">
        <v>47</v>
      </c>
      <c r="B370" s="103">
        <v>25.347254110000002</v>
      </c>
      <c r="C370" s="104">
        <v>2.09</v>
      </c>
      <c r="D370" s="103">
        <v>7.0300000000000001E-2</v>
      </c>
      <c r="E370" s="103">
        <v>1.36</v>
      </c>
      <c r="F370" s="103">
        <v>1.003E-3</v>
      </c>
      <c r="G370" s="87"/>
      <c r="H370" s="103">
        <v>30.25</v>
      </c>
      <c r="I370" s="103" t="s">
        <v>12</v>
      </c>
      <c r="J370" s="142"/>
      <c r="K370" s="143"/>
    </row>
    <row r="371" spans="1:11">
      <c r="A371" s="103" t="s">
        <v>47</v>
      </c>
      <c r="B371" s="103">
        <v>32.667652930000003</v>
      </c>
      <c r="C371" s="104">
        <v>2.09</v>
      </c>
      <c r="D371" s="103">
        <v>7.0300000000000001E-2</v>
      </c>
      <c r="E371" s="103">
        <v>1.36</v>
      </c>
      <c r="F371" s="103">
        <v>1.003E-3</v>
      </c>
      <c r="G371" s="87"/>
      <c r="H371" s="103">
        <v>30.25</v>
      </c>
      <c r="I371" s="103" t="s">
        <v>12</v>
      </c>
      <c r="J371" s="142"/>
      <c r="K371" s="143"/>
    </row>
    <row r="372" spans="1:11">
      <c r="A372" s="103" t="s">
        <v>47</v>
      </c>
      <c r="B372" s="103">
        <v>46.778154899999997</v>
      </c>
      <c r="C372" s="104">
        <v>2.09</v>
      </c>
      <c r="D372" s="103">
        <v>7.0300000000000001E-2</v>
      </c>
      <c r="E372" s="103">
        <v>1.36</v>
      </c>
      <c r="F372" s="103">
        <v>1.003E-3</v>
      </c>
      <c r="G372" s="87"/>
      <c r="H372" s="103">
        <v>30.25</v>
      </c>
      <c r="I372" s="103" t="s">
        <v>12</v>
      </c>
      <c r="J372" s="142"/>
      <c r="K372" s="143"/>
    </row>
    <row r="373" spans="1:11">
      <c r="A373" s="103" t="s">
        <v>47</v>
      </c>
      <c r="B373" s="103">
        <v>74.779981469999996</v>
      </c>
      <c r="C373" s="104">
        <v>2.09</v>
      </c>
      <c r="D373" s="103">
        <v>7.0300000000000001E-2</v>
      </c>
      <c r="E373" s="103">
        <v>1.36</v>
      </c>
      <c r="F373" s="103">
        <v>1.003E-3</v>
      </c>
      <c r="G373" s="87"/>
      <c r="H373" s="103">
        <v>30.25</v>
      </c>
      <c r="I373" s="103" t="s">
        <v>12</v>
      </c>
      <c r="J373" s="142"/>
      <c r="K373" s="143"/>
    </row>
    <row r="374" spans="1:11">
      <c r="A374" s="103" t="s">
        <v>47</v>
      </c>
      <c r="B374" s="103">
        <v>127.2197537</v>
      </c>
      <c r="C374" s="104">
        <v>2.09</v>
      </c>
      <c r="D374" s="103">
        <v>7.0300000000000001E-2</v>
      </c>
      <c r="E374" s="103">
        <v>1.36</v>
      </c>
      <c r="F374" s="103">
        <v>1.003E-3</v>
      </c>
      <c r="G374" s="87"/>
      <c r="H374" s="103">
        <v>30.25</v>
      </c>
      <c r="I374" s="103" t="s">
        <v>12</v>
      </c>
      <c r="J374" s="142"/>
      <c r="K374" s="143"/>
    </row>
    <row r="375" spans="1:11">
      <c r="A375" s="103" t="s">
        <v>47</v>
      </c>
      <c r="B375" s="103">
        <v>241.6244389</v>
      </c>
      <c r="C375" s="104">
        <v>2.09</v>
      </c>
      <c r="D375" s="103">
        <v>7.0300000000000001E-2</v>
      </c>
      <c r="E375" s="103">
        <v>1.36</v>
      </c>
      <c r="F375" s="103">
        <v>1.003E-3</v>
      </c>
      <c r="G375" s="87"/>
      <c r="H375" s="103">
        <v>30.25</v>
      </c>
      <c r="I375" s="103" t="s">
        <v>12</v>
      </c>
      <c r="J375" s="142"/>
      <c r="K375" s="143"/>
    </row>
    <row r="376" spans="1:11">
      <c r="A376" s="103" t="s">
        <v>47</v>
      </c>
      <c r="B376" s="103">
        <v>435.36967499999997</v>
      </c>
      <c r="C376" s="104">
        <v>2.09</v>
      </c>
      <c r="D376" s="103">
        <v>7.0300000000000001E-2</v>
      </c>
      <c r="E376" s="103">
        <v>1.36</v>
      </c>
      <c r="F376" s="103">
        <v>1.003E-3</v>
      </c>
      <c r="G376" s="87"/>
      <c r="H376" s="103">
        <v>30.25</v>
      </c>
      <c r="I376" s="103" t="s">
        <v>12</v>
      </c>
      <c r="J376" s="142"/>
      <c r="K376" s="143"/>
    </row>
    <row r="377" spans="1:11">
      <c r="A377" s="103" t="s">
        <v>47</v>
      </c>
      <c r="B377" s="103">
        <v>12</v>
      </c>
      <c r="C377" s="104">
        <v>1.47</v>
      </c>
      <c r="D377" s="103">
        <v>7.0499999999999993E-2</v>
      </c>
      <c r="E377" s="103">
        <v>0.14000000000000001</v>
      </c>
      <c r="F377" s="103">
        <v>1.0009999999999999E-3</v>
      </c>
      <c r="G377" s="87"/>
      <c r="H377" s="103">
        <v>20.85</v>
      </c>
      <c r="I377" s="103" t="s">
        <v>12</v>
      </c>
      <c r="J377" s="142"/>
      <c r="K377" s="143"/>
    </row>
    <row r="378" spans="1:11">
      <c r="A378" s="103" t="s">
        <v>47</v>
      </c>
      <c r="B378" s="103">
        <v>64.8</v>
      </c>
      <c r="C378" s="104">
        <v>1.47</v>
      </c>
      <c r="D378" s="103">
        <v>7.0499999999999993E-2</v>
      </c>
      <c r="E378" s="103">
        <v>0.14000000000000001</v>
      </c>
      <c r="F378" s="103">
        <v>1.0009999999999999E-3</v>
      </c>
      <c r="G378" s="87"/>
      <c r="H378" s="103">
        <v>20.85</v>
      </c>
      <c r="I378" s="103" t="s">
        <v>12</v>
      </c>
      <c r="J378" s="142"/>
      <c r="K378" s="143"/>
    </row>
    <row r="379" spans="1:11">
      <c r="A379" s="103" t="s">
        <v>47</v>
      </c>
      <c r="B379" s="103">
        <v>334.2</v>
      </c>
      <c r="C379" s="104">
        <v>1.47</v>
      </c>
      <c r="D379" s="103">
        <v>7.0499999999999993E-2</v>
      </c>
      <c r="E379" s="103">
        <v>0.14000000000000001</v>
      </c>
      <c r="F379" s="103">
        <v>1.0009999999999999E-3</v>
      </c>
      <c r="G379" s="87"/>
      <c r="H379" s="103">
        <v>20.85</v>
      </c>
      <c r="I379" s="103" t="s">
        <v>12</v>
      </c>
      <c r="J379" s="142"/>
      <c r="K379" s="143"/>
    </row>
    <row r="380" spans="1:11">
      <c r="A380" s="103" t="s">
        <v>47</v>
      </c>
      <c r="B380" s="103">
        <v>7.7467398650000003</v>
      </c>
      <c r="C380" s="104">
        <v>1.53</v>
      </c>
      <c r="D380" s="103">
        <v>6.8000000000000005E-2</v>
      </c>
      <c r="E380" s="103">
        <v>10.199999999999999</v>
      </c>
      <c r="F380" s="103">
        <v>1.0059999999999999E-3</v>
      </c>
      <c r="G380" s="87"/>
      <c r="H380" s="103">
        <v>25.85</v>
      </c>
      <c r="I380" s="103" t="s">
        <v>12</v>
      </c>
      <c r="J380" s="142"/>
      <c r="K380" s="143"/>
    </row>
    <row r="381" spans="1:11">
      <c r="A381" s="103" t="s">
        <v>47</v>
      </c>
      <c r="B381" s="103">
        <v>11.88298213</v>
      </c>
      <c r="C381" s="104">
        <v>1.53</v>
      </c>
      <c r="D381" s="103">
        <v>6.8000000000000005E-2</v>
      </c>
      <c r="E381" s="103">
        <v>10.199999999999999</v>
      </c>
      <c r="F381" s="103">
        <v>1.0059999999999999E-3</v>
      </c>
      <c r="G381" s="87"/>
      <c r="H381" s="103">
        <v>25.85</v>
      </c>
      <c r="I381" s="103" t="s">
        <v>12</v>
      </c>
      <c r="J381" s="142"/>
      <c r="K381" s="143"/>
    </row>
    <row r="382" spans="1:11">
      <c r="A382" s="103" t="s">
        <v>47</v>
      </c>
      <c r="B382" s="103">
        <v>16.772698569999999</v>
      </c>
      <c r="C382" s="104">
        <v>1.53</v>
      </c>
      <c r="D382" s="103">
        <v>6.8000000000000005E-2</v>
      </c>
      <c r="E382" s="103">
        <v>10.199999999999999</v>
      </c>
      <c r="F382" s="103">
        <v>1.0059999999999999E-3</v>
      </c>
      <c r="G382" s="87"/>
      <c r="H382" s="103">
        <v>25.85</v>
      </c>
      <c r="I382" s="103" t="s">
        <v>12</v>
      </c>
      <c r="J382" s="142"/>
      <c r="K382" s="143"/>
    </row>
    <row r="383" spans="1:11">
      <c r="A383" s="103" t="s">
        <v>47</v>
      </c>
      <c r="B383" s="103">
        <v>26.662025929999999</v>
      </c>
      <c r="C383" s="104">
        <v>1.53</v>
      </c>
      <c r="D383" s="103">
        <v>6.8000000000000005E-2</v>
      </c>
      <c r="E383" s="103">
        <v>10.199999999999999</v>
      </c>
      <c r="F383" s="103">
        <v>1.0059999999999999E-3</v>
      </c>
      <c r="G383" s="87"/>
      <c r="H383" s="103">
        <v>25.85</v>
      </c>
      <c r="I383" s="103" t="s">
        <v>12</v>
      </c>
      <c r="J383" s="142"/>
      <c r="K383" s="143"/>
    </row>
    <row r="384" spans="1:11">
      <c r="A384" s="103" t="s">
        <v>47</v>
      </c>
      <c r="B384" s="103">
        <v>35.251985859999998</v>
      </c>
      <c r="C384" s="104">
        <v>1.53</v>
      </c>
      <c r="D384" s="103">
        <v>6.8000000000000005E-2</v>
      </c>
      <c r="E384" s="103">
        <v>10.199999999999999</v>
      </c>
      <c r="F384" s="103">
        <v>1.0059999999999999E-3</v>
      </c>
      <c r="G384" s="87"/>
      <c r="H384" s="103">
        <v>25.85</v>
      </c>
      <c r="I384" s="103" t="s">
        <v>12</v>
      </c>
      <c r="J384" s="142"/>
      <c r="K384" s="143"/>
    </row>
    <row r="385" spans="1:11">
      <c r="A385" s="103" t="s">
        <v>47</v>
      </c>
      <c r="B385" s="103">
        <v>52.804062940000001</v>
      </c>
      <c r="C385" s="104">
        <v>1.53</v>
      </c>
      <c r="D385" s="103">
        <v>6.8000000000000005E-2</v>
      </c>
      <c r="E385" s="103">
        <v>10.199999999999999</v>
      </c>
      <c r="F385" s="103">
        <v>1.0059999999999999E-3</v>
      </c>
      <c r="G385" s="87"/>
      <c r="H385" s="103">
        <v>25.85</v>
      </c>
      <c r="I385" s="103" t="s">
        <v>12</v>
      </c>
      <c r="J385" s="142"/>
      <c r="K385" s="143"/>
    </row>
    <row r="386" spans="1:11">
      <c r="A386" s="103" t="s">
        <v>47</v>
      </c>
      <c r="B386" s="103">
        <v>67.371148219999995</v>
      </c>
      <c r="C386" s="104">
        <v>1.53</v>
      </c>
      <c r="D386" s="103">
        <v>6.8000000000000005E-2</v>
      </c>
      <c r="E386" s="103">
        <v>10.199999999999999</v>
      </c>
      <c r="F386" s="103">
        <v>1.0059999999999999E-3</v>
      </c>
      <c r="G386" s="87"/>
      <c r="H386" s="103">
        <v>25.85</v>
      </c>
      <c r="I386" s="103" t="s">
        <v>12</v>
      </c>
      <c r="J386" s="142"/>
      <c r="K386" s="143"/>
    </row>
    <row r="387" spans="1:11">
      <c r="A387" s="103" t="s">
        <v>47</v>
      </c>
      <c r="B387" s="103">
        <v>85.956824179999998</v>
      </c>
      <c r="C387" s="104">
        <v>1.53</v>
      </c>
      <c r="D387" s="103">
        <v>6.8000000000000005E-2</v>
      </c>
      <c r="E387" s="103">
        <v>10.199999999999999</v>
      </c>
      <c r="F387" s="103">
        <v>1.0059999999999999E-3</v>
      </c>
      <c r="G387" s="87"/>
      <c r="H387" s="103">
        <v>25.85</v>
      </c>
      <c r="I387" s="103" t="s">
        <v>12</v>
      </c>
      <c r="J387" s="142"/>
      <c r="K387" s="143"/>
    </row>
    <row r="388" spans="1:11">
      <c r="A388" s="103" t="s">
        <v>47</v>
      </c>
      <c r="B388" s="103">
        <v>146.73659119999999</v>
      </c>
      <c r="C388" s="104">
        <v>1.53</v>
      </c>
      <c r="D388" s="103">
        <v>6.8000000000000005E-2</v>
      </c>
      <c r="E388" s="103">
        <v>10.199999999999999</v>
      </c>
      <c r="F388" s="103">
        <v>1.0059999999999999E-3</v>
      </c>
      <c r="G388" s="87"/>
      <c r="H388" s="103">
        <v>25.85</v>
      </c>
      <c r="I388" s="103" t="s">
        <v>12</v>
      </c>
      <c r="J388" s="142"/>
      <c r="K388" s="143"/>
    </row>
    <row r="389" spans="1:11">
      <c r="A389" s="103" t="s">
        <v>47</v>
      </c>
      <c r="B389" s="103">
        <v>215.91378040000001</v>
      </c>
      <c r="C389" s="104">
        <v>1.53</v>
      </c>
      <c r="D389" s="103">
        <v>6.8000000000000005E-2</v>
      </c>
      <c r="E389" s="103">
        <v>10.199999999999999</v>
      </c>
      <c r="F389" s="103">
        <v>1.0059999999999999E-3</v>
      </c>
      <c r="G389" s="87"/>
      <c r="H389" s="103">
        <v>25.85</v>
      </c>
      <c r="I389" s="103" t="s">
        <v>12</v>
      </c>
      <c r="J389" s="142"/>
      <c r="K389" s="143"/>
    </row>
    <row r="390" spans="1:11">
      <c r="A390" s="103" t="s">
        <v>47</v>
      </c>
      <c r="B390" s="103">
        <v>277.11968669999999</v>
      </c>
      <c r="C390" s="104">
        <v>1.53</v>
      </c>
      <c r="D390" s="103">
        <v>6.8000000000000005E-2</v>
      </c>
      <c r="E390" s="103">
        <v>10.199999999999999</v>
      </c>
      <c r="F390" s="103">
        <v>1.0059999999999999E-3</v>
      </c>
      <c r="G390" s="87"/>
      <c r="H390" s="103">
        <v>25.85</v>
      </c>
      <c r="I390" s="103" t="s">
        <v>12</v>
      </c>
      <c r="J390" s="142"/>
      <c r="K390" s="143"/>
    </row>
    <row r="391" spans="1:11">
      <c r="A391" s="103" t="s">
        <v>47</v>
      </c>
      <c r="B391" s="103">
        <v>9.8252764559999992</v>
      </c>
      <c r="C391" s="104">
        <v>1.53</v>
      </c>
      <c r="D391" s="103">
        <v>6.7699999999999996E-2</v>
      </c>
      <c r="E391" s="103">
        <v>17.600000000000001</v>
      </c>
      <c r="F391" s="103">
        <v>1.0150000000000001E-3</v>
      </c>
      <c r="G391" s="87"/>
      <c r="H391" s="103">
        <v>25.85</v>
      </c>
      <c r="I391" s="103" t="s">
        <v>12</v>
      </c>
      <c r="J391" s="142"/>
      <c r="K391" s="143"/>
    </row>
    <row r="392" spans="1:11">
      <c r="A392" s="103" t="s">
        <v>47</v>
      </c>
      <c r="B392" s="103">
        <v>18.777390560000001</v>
      </c>
      <c r="C392" s="104">
        <v>1.53</v>
      </c>
      <c r="D392" s="103">
        <v>6.7699999999999996E-2</v>
      </c>
      <c r="E392" s="103">
        <v>17.600000000000001</v>
      </c>
      <c r="F392" s="103">
        <v>1.0150000000000001E-3</v>
      </c>
      <c r="G392" s="87"/>
      <c r="H392" s="103">
        <v>25.85</v>
      </c>
      <c r="I392" s="103" t="s">
        <v>12</v>
      </c>
      <c r="J392" s="142"/>
      <c r="K392" s="143"/>
    </row>
    <row r="393" spans="1:11">
      <c r="A393" s="103" t="s">
        <v>47</v>
      </c>
      <c r="B393" s="103">
        <v>26.504068220000001</v>
      </c>
      <c r="C393" s="104">
        <v>1.53</v>
      </c>
      <c r="D393" s="103">
        <v>6.7699999999999996E-2</v>
      </c>
      <c r="E393" s="103">
        <v>17.600000000000001</v>
      </c>
      <c r="F393" s="103">
        <v>1.0150000000000001E-3</v>
      </c>
      <c r="G393" s="87"/>
      <c r="H393" s="103">
        <v>25.85</v>
      </c>
      <c r="I393" s="103" t="s">
        <v>12</v>
      </c>
      <c r="J393" s="142"/>
      <c r="K393" s="143"/>
    </row>
    <row r="394" spans="1:11">
      <c r="A394" s="103" t="s">
        <v>47</v>
      </c>
      <c r="B394" s="103">
        <v>34.835510450000001</v>
      </c>
      <c r="C394" s="104">
        <v>1.53</v>
      </c>
      <c r="D394" s="103">
        <v>6.7699999999999996E-2</v>
      </c>
      <c r="E394" s="103">
        <v>17.600000000000001</v>
      </c>
      <c r="F394" s="103">
        <v>1.0150000000000001E-3</v>
      </c>
      <c r="G394" s="87"/>
      <c r="H394" s="103">
        <v>25.85</v>
      </c>
      <c r="I394" s="103" t="s">
        <v>12</v>
      </c>
      <c r="J394" s="142"/>
      <c r="K394" s="143"/>
    </row>
    <row r="395" spans="1:11">
      <c r="A395" s="103" t="s">
        <v>47</v>
      </c>
      <c r="B395" s="103">
        <v>50.954613109999997</v>
      </c>
      <c r="C395" s="104">
        <v>1.53</v>
      </c>
      <c r="D395" s="103">
        <v>6.7699999999999996E-2</v>
      </c>
      <c r="E395" s="103">
        <v>17.600000000000001</v>
      </c>
      <c r="F395" s="103">
        <v>1.0150000000000001E-3</v>
      </c>
      <c r="G395" s="87"/>
      <c r="H395" s="103">
        <v>25.85</v>
      </c>
      <c r="I395" s="103" t="s">
        <v>12</v>
      </c>
      <c r="J395" s="142"/>
      <c r="K395" s="143"/>
    </row>
    <row r="396" spans="1:11">
      <c r="A396" s="103" t="s">
        <v>47</v>
      </c>
      <c r="B396" s="103">
        <v>70.651110470000006</v>
      </c>
      <c r="C396" s="104">
        <v>1.53</v>
      </c>
      <c r="D396" s="103">
        <v>6.7699999999999996E-2</v>
      </c>
      <c r="E396" s="103">
        <v>17.600000000000001</v>
      </c>
      <c r="F396" s="103">
        <v>1.0150000000000001E-3</v>
      </c>
      <c r="G396" s="87"/>
      <c r="H396" s="103">
        <v>25.85</v>
      </c>
      <c r="I396" s="103" t="s">
        <v>12</v>
      </c>
      <c r="J396" s="142"/>
      <c r="K396" s="143"/>
    </row>
    <row r="397" spans="1:11">
      <c r="A397" s="103" t="s">
        <v>47</v>
      </c>
      <c r="B397" s="103">
        <v>90.678892489999996</v>
      </c>
      <c r="C397" s="104">
        <v>1.53</v>
      </c>
      <c r="D397" s="103">
        <v>6.7699999999999996E-2</v>
      </c>
      <c r="E397" s="103">
        <v>17.600000000000001</v>
      </c>
      <c r="F397" s="103">
        <v>1.0150000000000001E-3</v>
      </c>
      <c r="G397" s="87"/>
      <c r="H397" s="103">
        <v>25.85</v>
      </c>
      <c r="I397" s="103" t="s">
        <v>12</v>
      </c>
      <c r="J397" s="142"/>
      <c r="K397" s="143"/>
    </row>
    <row r="398" spans="1:11">
      <c r="A398" s="103" t="s">
        <v>47</v>
      </c>
      <c r="B398" s="103">
        <v>112.30766389999999</v>
      </c>
      <c r="C398" s="104">
        <v>1.53</v>
      </c>
      <c r="D398" s="103">
        <v>6.7699999999999996E-2</v>
      </c>
      <c r="E398" s="103">
        <v>17.600000000000001</v>
      </c>
      <c r="F398" s="103">
        <v>1.0150000000000001E-3</v>
      </c>
      <c r="G398" s="87"/>
      <c r="H398" s="103">
        <v>25.85</v>
      </c>
      <c r="I398" s="103" t="s">
        <v>12</v>
      </c>
      <c r="J398" s="142"/>
      <c r="K398" s="143"/>
    </row>
    <row r="399" spans="1:11">
      <c r="A399" s="103" t="s">
        <v>47</v>
      </c>
      <c r="B399" s="103">
        <v>153.8804576</v>
      </c>
      <c r="C399" s="104">
        <v>1.53</v>
      </c>
      <c r="D399" s="103">
        <v>6.7699999999999996E-2</v>
      </c>
      <c r="E399" s="103">
        <v>17.600000000000001</v>
      </c>
      <c r="F399" s="103">
        <v>1.0150000000000001E-3</v>
      </c>
      <c r="G399" s="87"/>
      <c r="H399" s="103">
        <v>25.85</v>
      </c>
      <c r="I399" s="103" t="s">
        <v>12</v>
      </c>
      <c r="J399" s="142"/>
      <c r="K399" s="143"/>
    </row>
    <row r="400" spans="1:11">
      <c r="A400" s="103" t="s">
        <v>47</v>
      </c>
      <c r="B400" s="103">
        <v>208.35145120000001</v>
      </c>
      <c r="C400" s="104">
        <v>1.53</v>
      </c>
      <c r="D400" s="103">
        <v>6.7699999999999996E-2</v>
      </c>
      <c r="E400" s="103">
        <v>17.600000000000001</v>
      </c>
      <c r="F400" s="103">
        <v>1.0150000000000001E-3</v>
      </c>
      <c r="G400" s="87"/>
      <c r="H400" s="103">
        <v>25.85</v>
      </c>
      <c r="I400" s="103" t="s">
        <v>12</v>
      </c>
      <c r="J400" s="142"/>
      <c r="K400" s="143"/>
    </row>
    <row r="401" spans="1:11">
      <c r="A401" s="103" t="s">
        <v>47</v>
      </c>
      <c r="B401" s="103">
        <v>254.99890049999999</v>
      </c>
      <c r="C401" s="104">
        <v>1.53</v>
      </c>
      <c r="D401" s="103">
        <v>6.7699999999999996E-2</v>
      </c>
      <c r="E401" s="103">
        <v>17.600000000000001</v>
      </c>
      <c r="F401" s="103">
        <v>1.0150000000000001E-3</v>
      </c>
      <c r="G401" s="87"/>
      <c r="H401" s="103">
        <v>25.85</v>
      </c>
      <c r="I401" s="103" t="s">
        <v>12</v>
      </c>
      <c r="J401" s="142"/>
      <c r="K401" s="143"/>
    </row>
    <row r="402" spans="1:11">
      <c r="A402" s="103" t="s">
        <v>47</v>
      </c>
      <c r="B402" s="103">
        <v>8.8286273479999995</v>
      </c>
      <c r="C402" s="104">
        <v>1.53</v>
      </c>
      <c r="D402" s="103">
        <v>6.4299999999999996E-2</v>
      </c>
      <c r="E402" s="103">
        <v>24.8</v>
      </c>
      <c r="F402" s="103">
        <v>1.0380000000000001E-3</v>
      </c>
      <c r="G402" s="87"/>
      <c r="H402" s="103">
        <v>25.85</v>
      </c>
      <c r="I402" s="103" t="s">
        <v>12</v>
      </c>
      <c r="J402" s="142"/>
      <c r="K402" s="143"/>
    </row>
    <row r="403" spans="1:11">
      <c r="A403" s="103" t="s">
        <v>47</v>
      </c>
      <c r="B403" s="103">
        <v>12.46150757</v>
      </c>
      <c r="C403" s="104">
        <v>1.53</v>
      </c>
      <c r="D403" s="103">
        <v>6.4299999999999996E-2</v>
      </c>
      <c r="E403" s="103">
        <v>24.8</v>
      </c>
      <c r="F403" s="103">
        <v>1.0380000000000001E-3</v>
      </c>
      <c r="G403" s="87"/>
      <c r="H403" s="103">
        <v>25.85</v>
      </c>
      <c r="I403" s="103" t="s">
        <v>12</v>
      </c>
      <c r="J403" s="142"/>
      <c r="K403" s="143"/>
    </row>
    <row r="404" spans="1:11">
      <c r="A404" s="103" t="s">
        <v>47</v>
      </c>
      <c r="B404" s="103">
        <v>16.476346920000001</v>
      </c>
      <c r="C404" s="104">
        <v>1.53</v>
      </c>
      <c r="D404" s="103">
        <v>6.4299999999999996E-2</v>
      </c>
      <c r="E404" s="103">
        <v>24.8</v>
      </c>
      <c r="F404" s="103">
        <v>1.0380000000000001E-3</v>
      </c>
      <c r="G404" s="87"/>
      <c r="H404" s="103">
        <v>25.85</v>
      </c>
      <c r="I404" s="103" t="s">
        <v>12</v>
      </c>
      <c r="J404" s="142"/>
      <c r="K404" s="143"/>
    </row>
    <row r="405" spans="1:11">
      <c r="A405" s="103" t="s">
        <v>47</v>
      </c>
      <c r="B405" s="103">
        <v>24.10028939</v>
      </c>
      <c r="C405" s="104">
        <v>1.53</v>
      </c>
      <c r="D405" s="103">
        <v>6.4299999999999996E-2</v>
      </c>
      <c r="E405" s="103">
        <v>24.8</v>
      </c>
      <c r="F405" s="103">
        <v>1.0380000000000001E-3</v>
      </c>
      <c r="G405" s="87"/>
      <c r="H405" s="103">
        <v>25.85</v>
      </c>
      <c r="I405" s="103" t="s">
        <v>12</v>
      </c>
      <c r="J405" s="142"/>
      <c r="K405" s="143"/>
    </row>
    <row r="406" spans="1:11">
      <c r="A406" s="103" t="s">
        <v>47</v>
      </c>
      <c r="B406" s="103">
        <v>30.74883526</v>
      </c>
      <c r="C406" s="104">
        <v>1.53</v>
      </c>
      <c r="D406" s="103">
        <v>6.4299999999999996E-2</v>
      </c>
      <c r="E406" s="103">
        <v>24.8</v>
      </c>
      <c r="F406" s="103">
        <v>1.0380000000000001E-3</v>
      </c>
      <c r="G406" s="87"/>
      <c r="H406" s="103">
        <v>25.85</v>
      </c>
      <c r="I406" s="103" t="s">
        <v>12</v>
      </c>
      <c r="J406" s="142"/>
      <c r="K406" s="143"/>
    </row>
    <row r="407" spans="1:11">
      <c r="A407" s="103" t="s">
        <v>47</v>
      </c>
      <c r="B407" s="103">
        <v>40.897778289999998</v>
      </c>
      <c r="C407" s="104">
        <v>1.53</v>
      </c>
      <c r="D407" s="103">
        <v>6.4299999999999996E-2</v>
      </c>
      <c r="E407" s="103">
        <v>24.8</v>
      </c>
      <c r="F407" s="103">
        <v>1.0380000000000001E-3</v>
      </c>
      <c r="G407" s="87"/>
      <c r="H407" s="103">
        <v>25.85</v>
      </c>
      <c r="I407" s="103" t="s">
        <v>12</v>
      </c>
      <c r="J407" s="142"/>
      <c r="K407" s="143"/>
    </row>
    <row r="408" spans="1:11">
      <c r="A408" s="103" t="s">
        <v>47</v>
      </c>
      <c r="B408" s="103">
        <v>48.87863522</v>
      </c>
      <c r="C408" s="104">
        <v>1.53</v>
      </c>
      <c r="D408" s="103">
        <v>6.4299999999999996E-2</v>
      </c>
      <c r="E408" s="103">
        <v>24.8</v>
      </c>
      <c r="F408" s="103">
        <v>1.0380000000000001E-3</v>
      </c>
      <c r="G408" s="87"/>
      <c r="H408" s="103">
        <v>25.85</v>
      </c>
      <c r="I408" s="103" t="s">
        <v>12</v>
      </c>
      <c r="J408" s="142"/>
      <c r="K408" s="143"/>
    </row>
    <row r="409" spans="1:11">
      <c r="A409" s="103" t="s">
        <v>48</v>
      </c>
      <c r="B409" s="103">
        <v>30</v>
      </c>
      <c r="C409" s="104">
        <v>0.66800000000000004</v>
      </c>
      <c r="D409" s="103">
        <v>7.2700000000000001E-2</v>
      </c>
      <c r="E409" s="103"/>
      <c r="F409" s="103">
        <v>1000</v>
      </c>
      <c r="G409" s="103">
        <v>0</v>
      </c>
      <c r="H409" s="103"/>
      <c r="I409" s="107" t="s">
        <v>12</v>
      </c>
      <c r="J409" s="103"/>
      <c r="K409" s="104"/>
    </row>
    <row r="410" spans="1:11">
      <c r="A410" s="103" t="s">
        <v>48</v>
      </c>
      <c r="B410" s="103">
        <v>60</v>
      </c>
      <c r="C410" s="104">
        <v>0.66800000000000004</v>
      </c>
      <c r="D410" s="103">
        <v>7.2700000000000001E-2</v>
      </c>
      <c r="E410" s="103"/>
      <c r="F410" s="103">
        <v>1000</v>
      </c>
      <c r="G410" s="103">
        <v>0</v>
      </c>
      <c r="H410" s="103"/>
      <c r="I410" s="107" t="s">
        <v>12</v>
      </c>
      <c r="J410" s="103"/>
      <c r="K410" s="104"/>
    </row>
    <row r="411" spans="1:11">
      <c r="A411" s="103" t="s">
        <v>48</v>
      </c>
      <c r="B411" s="103">
        <v>90</v>
      </c>
      <c r="C411" s="104">
        <v>0.66800000000000004</v>
      </c>
      <c r="D411" s="103">
        <v>7.2700000000000001E-2</v>
      </c>
      <c r="E411" s="103"/>
      <c r="F411" s="103">
        <v>1000</v>
      </c>
      <c r="G411" s="103">
        <v>0</v>
      </c>
      <c r="H411" s="103"/>
      <c r="I411" s="107" t="s">
        <v>12</v>
      </c>
      <c r="J411" s="103"/>
      <c r="K411" s="104"/>
    </row>
    <row r="412" spans="1:11">
      <c r="A412" s="103" t="s">
        <v>48</v>
      </c>
      <c r="B412" s="103">
        <v>120</v>
      </c>
      <c r="C412" s="104">
        <v>0.66800000000000004</v>
      </c>
      <c r="D412" s="103">
        <v>7.2700000000000001E-2</v>
      </c>
      <c r="E412" s="103"/>
      <c r="F412" s="103">
        <v>1000</v>
      </c>
      <c r="G412" s="103">
        <v>0</v>
      </c>
      <c r="H412" s="103"/>
      <c r="I412" s="107" t="s">
        <v>12</v>
      </c>
      <c r="J412" s="103"/>
      <c r="K412" s="104"/>
    </row>
    <row r="413" spans="1:11">
      <c r="A413" s="103" t="s">
        <v>48</v>
      </c>
      <c r="B413" s="103">
        <v>150</v>
      </c>
      <c r="C413" s="104">
        <v>0.66800000000000004</v>
      </c>
      <c r="D413" s="103">
        <v>7.2700000000000001E-2</v>
      </c>
      <c r="E413" s="103"/>
      <c r="F413" s="103">
        <v>1000</v>
      </c>
      <c r="G413" s="103">
        <v>0</v>
      </c>
      <c r="H413" s="103"/>
      <c r="I413" s="107" t="s">
        <v>12</v>
      </c>
      <c r="J413" s="103"/>
      <c r="K413" s="104"/>
    </row>
    <row r="414" spans="1:11">
      <c r="A414" s="103" t="s">
        <v>48</v>
      </c>
      <c r="B414" s="103">
        <v>30</v>
      </c>
      <c r="C414" s="104">
        <v>0.66800000000000004</v>
      </c>
      <c r="D414" s="103">
        <v>2.7099999999999999E-2</v>
      </c>
      <c r="E414" s="103"/>
      <c r="F414" s="103">
        <v>810</v>
      </c>
      <c r="G414" s="103">
        <v>0</v>
      </c>
      <c r="H414" s="103"/>
      <c r="I414" s="107" t="s">
        <v>12</v>
      </c>
      <c r="J414" s="103"/>
      <c r="K414" s="104"/>
    </row>
    <row r="415" spans="1:11">
      <c r="A415" s="103" t="s">
        <v>48</v>
      </c>
      <c r="B415" s="103">
        <v>60</v>
      </c>
      <c r="C415" s="104">
        <v>0.66800000000000004</v>
      </c>
      <c r="D415" s="103">
        <v>2.7099999999999999E-2</v>
      </c>
      <c r="E415" s="103"/>
      <c r="F415" s="103">
        <v>810</v>
      </c>
      <c r="G415" s="103">
        <v>0</v>
      </c>
      <c r="H415" s="103"/>
      <c r="I415" s="107" t="s">
        <v>12</v>
      </c>
      <c r="J415" s="103"/>
      <c r="K415" s="104"/>
    </row>
    <row r="416" spans="1:11">
      <c r="A416" s="103" t="s">
        <v>48</v>
      </c>
      <c r="B416" s="103">
        <v>300</v>
      </c>
      <c r="C416" s="104">
        <v>4</v>
      </c>
      <c r="D416" s="103">
        <v>7.2700000000000001E-2</v>
      </c>
      <c r="E416" s="103"/>
      <c r="F416" s="103">
        <v>1000</v>
      </c>
      <c r="G416" s="103">
        <v>0</v>
      </c>
      <c r="H416" s="103"/>
      <c r="I416" s="107" t="s">
        <v>12</v>
      </c>
      <c r="J416" s="103"/>
      <c r="K416" s="104"/>
    </row>
    <row r="417" spans="1:11">
      <c r="A417" s="103" t="s">
        <v>48</v>
      </c>
      <c r="B417" s="103">
        <v>600</v>
      </c>
      <c r="C417" s="104">
        <v>4</v>
      </c>
      <c r="D417" s="103">
        <v>7.2700000000000001E-2</v>
      </c>
      <c r="E417" s="103"/>
      <c r="F417" s="103">
        <v>1000</v>
      </c>
      <c r="G417" s="103">
        <v>0</v>
      </c>
      <c r="H417" s="103"/>
      <c r="I417" s="107" t="s">
        <v>12</v>
      </c>
      <c r="J417" s="103"/>
      <c r="K417" s="104"/>
    </row>
    <row r="418" spans="1:11">
      <c r="A418" s="103" t="s">
        <v>48</v>
      </c>
      <c r="B418" s="103">
        <v>1200</v>
      </c>
      <c r="C418" s="104">
        <v>4</v>
      </c>
      <c r="D418" s="103">
        <v>7.2700000000000001E-2</v>
      </c>
      <c r="E418" s="103"/>
      <c r="F418" s="103">
        <v>1000</v>
      </c>
      <c r="G418" s="103">
        <v>0</v>
      </c>
      <c r="H418" s="103"/>
      <c r="I418" s="107" t="s">
        <v>12</v>
      </c>
      <c r="J418" s="103"/>
      <c r="K418" s="104"/>
    </row>
    <row r="419" spans="1:11">
      <c r="A419" s="103" t="s">
        <v>48</v>
      </c>
      <c r="B419" s="103">
        <v>1800</v>
      </c>
      <c r="C419" s="104">
        <v>4</v>
      </c>
      <c r="D419" s="103">
        <v>7.2700000000000001E-2</v>
      </c>
      <c r="E419" s="103"/>
      <c r="F419" s="103">
        <v>1000</v>
      </c>
      <c r="G419" s="103">
        <v>0</v>
      </c>
      <c r="H419" s="103"/>
      <c r="I419" s="107" t="s">
        <v>12</v>
      </c>
      <c r="J419" s="103"/>
      <c r="K419" s="104"/>
    </row>
    <row r="420" spans="1:11">
      <c r="A420" s="103" t="s">
        <v>48</v>
      </c>
      <c r="B420" s="103">
        <v>300</v>
      </c>
      <c r="C420" s="104">
        <v>4</v>
      </c>
      <c r="D420" s="103">
        <v>2.7099999999999999E-2</v>
      </c>
      <c r="E420" s="103"/>
      <c r="F420" s="103">
        <v>810</v>
      </c>
      <c r="G420" s="103">
        <v>0</v>
      </c>
      <c r="H420" s="103"/>
      <c r="I420" s="107" t="s">
        <v>12</v>
      </c>
      <c r="J420" s="103"/>
      <c r="K420" s="104"/>
    </row>
    <row r="421" spans="1:11">
      <c r="A421" s="103" t="s">
        <v>48</v>
      </c>
      <c r="B421" s="103">
        <v>600</v>
      </c>
      <c r="C421" s="104">
        <v>4</v>
      </c>
      <c r="D421" s="103">
        <v>2.7099999999999999E-2</v>
      </c>
      <c r="E421" s="103"/>
      <c r="F421" s="103">
        <v>810</v>
      </c>
      <c r="G421" s="103">
        <v>0</v>
      </c>
      <c r="H421" s="103"/>
      <c r="I421" s="107" t="s">
        <v>12</v>
      </c>
      <c r="J421" s="103"/>
      <c r="K421" s="104"/>
    </row>
    <row r="422" spans="1:11">
      <c r="A422" s="103" t="s">
        <v>48</v>
      </c>
      <c r="B422" s="103">
        <v>1200</v>
      </c>
      <c r="C422" s="104">
        <v>4</v>
      </c>
      <c r="D422" s="103">
        <v>2.7099999999999999E-2</v>
      </c>
      <c r="E422" s="103"/>
      <c r="F422" s="103">
        <v>810</v>
      </c>
      <c r="G422" s="103">
        <v>0</v>
      </c>
      <c r="H422" s="103"/>
      <c r="I422" s="107" t="s">
        <v>12</v>
      </c>
      <c r="J422" s="103"/>
      <c r="K422" s="104"/>
    </row>
    <row r="423" spans="1:11">
      <c r="A423" s="103" t="s">
        <v>48</v>
      </c>
      <c r="B423" s="103">
        <v>1800</v>
      </c>
      <c r="C423" s="104">
        <v>4</v>
      </c>
      <c r="D423" s="103">
        <v>2.7099999999999999E-2</v>
      </c>
      <c r="E423" s="103"/>
      <c r="F423" s="103">
        <v>810</v>
      </c>
      <c r="G423" s="103">
        <v>0</v>
      </c>
      <c r="H423" s="103"/>
      <c r="I423" s="107" t="s">
        <v>12</v>
      </c>
      <c r="J423" s="103"/>
      <c r="K423" s="104"/>
    </row>
    <row r="424" spans="1:11">
      <c r="A424" s="103" t="s">
        <v>48</v>
      </c>
      <c r="B424" s="103">
        <v>0.48599999999999999</v>
      </c>
      <c r="C424" s="104">
        <v>0.36</v>
      </c>
      <c r="D424" s="103">
        <v>7.2800000000000004E-2</v>
      </c>
      <c r="E424" s="103">
        <v>1.1999999999999999E-3</v>
      </c>
      <c r="F424" s="103">
        <v>999.4</v>
      </c>
      <c r="G424" s="103">
        <v>0</v>
      </c>
      <c r="H424" s="103"/>
      <c r="I424" s="107" t="s">
        <v>12</v>
      </c>
      <c r="J424" s="103"/>
      <c r="K424" s="104"/>
    </row>
    <row r="425" spans="1:11">
      <c r="A425" s="103" t="s">
        <v>48</v>
      </c>
      <c r="B425" s="103">
        <v>0.47220000000000001</v>
      </c>
      <c r="C425" s="104">
        <v>0.36</v>
      </c>
      <c r="D425" s="103">
        <v>6.83E-2</v>
      </c>
      <c r="E425" s="103">
        <v>1.54E-2</v>
      </c>
      <c r="F425" s="103">
        <v>1170</v>
      </c>
      <c r="G425" s="103">
        <v>0</v>
      </c>
      <c r="H425" s="103"/>
      <c r="I425" s="107" t="s">
        <v>12</v>
      </c>
      <c r="J425" s="103"/>
      <c r="K425" s="104"/>
    </row>
    <row r="426" spans="1:11">
      <c r="A426" s="103" t="s">
        <v>48</v>
      </c>
      <c r="B426" s="103">
        <v>0.47220000000000001</v>
      </c>
      <c r="C426" s="104">
        <v>0.36</v>
      </c>
      <c r="D426" s="103">
        <v>6.7599999999999993E-2</v>
      </c>
      <c r="E426" s="103">
        <v>2.35E-2</v>
      </c>
      <c r="F426" s="103">
        <v>1185</v>
      </c>
      <c r="G426" s="103">
        <v>0</v>
      </c>
      <c r="H426" s="103"/>
      <c r="I426" s="107" t="s">
        <v>12</v>
      </c>
      <c r="J426" s="103"/>
      <c r="K426" s="104"/>
    </row>
    <row r="427" spans="1:11">
      <c r="A427" s="103" t="s">
        <v>48</v>
      </c>
      <c r="B427" s="103">
        <v>0.45900000000000002</v>
      </c>
      <c r="C427" s="104">
        <v>0.36</v>
      </c>
      <c r="D427" s="103">
        <v>6.6400000000000001E-2</v>
      </c>
      <c r="E427" s="103">
        <v>4.9700000000000001E-2</v>
      </c>
      <c r="F427" s="103">
        <v>1210</v>
      </c>
      <c r="G427" s="103">
        <v>0</v>
      </c>
      <c r="H427" s="103"/>
      <c r="I427" s="107" t="s">
        <v>12</v>
      </c>
      <c r="J427" s="103"/>
      <c r="K427" s="104"/>
    </row>
    <row r="428" spans="1:11">
      <c r="A428" s="103" t="s">
        <v>48</v>
      </c>
      <c r="B428" s="103">
        <v>0.45900000000000002</v>
      </c>
      <c r="C428" s="104">
        <v>0.36</v>
      </c>
      <c r="D428" s="103">
        <v>6.5699999999999995E-2</v>
      </c>
      <c r="E428" s="103">
        <v>0.1108</v>
      </c>
      <c r="F428" s="103">
        <v>1220</v>
      </c>
      <c r="G428" s="103">
        <v>0</v>
      </c>
      <c r="H428" s="103"/>
      <c r="I428" s="107" t="s">
        <v>12</v>
      </c>
      <c r="J428" s="103"/>
      <c r="K428" s="104"/>
    </row>
    <row r="429" spans="1:11">
      <c r="A429" s="103" t="s">
        <v>48</v>
      </c>
      <c r="B429" s="103">
        <v>4.0979999999999999</v>
      </c>
      <c r="C429" s="104">
        <v>1.41</v>
      </c>
      <c r="D429" s="103">
        <v>7.2800000000000004E-2</v>
      </c>
      <c r="E429" s="103">
        <v>1.1999999999999999E-3</v>
      </c>
      <c r="F429" s="103">
        <v>999.4</v>
      </c>
      <c r="G429" s="103">
        <v>0</v>
      </c>
      <c r="H429" s="103"/>
      <c r="I429" s="107" t="s">
        <v>12</v>
      </c>
      <c r="J429" s="103"/>
      <c r="K429" s="104"/>
    </row>
    <row r="430" spans="1:11">
      <c r="A430" s="103" t="s">
        <v>48</v>
      </c>
      <c r="B430" s="103">
        <v>3.1248</v>
      </c>
      <c r="C430" s="104">
        <v>1.41</v>
      </c>
      <c r="D430" s="103">
        <v>6.83E-2</v>
      </c>
      <c r="E430" s="103">
        <v>1.54E-2</v>
      </c>
      <c r="F430" s="103">
        <v>1170</v>
      </c>
      <c r="G430" s="103">
        <v>0</v>
      </c>
      <c r="H430" s="103"/>
      <c r="I430" s="107" t="s">
        <v>12</v>
      </c>
      <c r="J430" s="103"/>
      <c r="K430" s="104"/>
    </row>
    <row r="431" spans="1:11">
      <c r="A431" s="103" t="s">
        <v>48</v>
      </c>
      <c r="B431" s="103">
        <v>3.0623999999999998</v>
      </c>
      <c r="C431" s="104">
        <v>1.41</v>
      </c>
      <c r="D431" s="103">
        <v>6.7599999999999993E-2</v>
      </c>
      <c r="E431" s="103">
        <v>2.35E-2</v>
      </c>
      <c r="F431" s="103">
        <v>1185</v>
      </c>
      <c r="G431" s="103">
        <v>0</v>
      </c>
      <c r="H431" s="103"/>
      <c r="I431" s="107" t="s">
        <v>12</v>
      </c>
      <c r="J431" s="103"/>
      <c r="K431" s="104"/>
    </row>
    <row r="432" spans="1:11">
      <c r="A432" s="103" t="s">
        <v>48</v>
      </c>
      <c r="B432" s="103">
        <v>2.8872</v>
      </c>
      <c r="C432" s="104">
        <v>1.41</v>
      </c>
      <c r="D432" s="103">
        <v>6.6400000000000001E-2</v>
      </c>
      <c r="E432" s="103">
        <v>4.9700000000000001E-2</v>
      </c>
      <c r="F432" s="103">
        <v>1210</v>
      </c>
      <c r="G432" s="103">
        <v>0</v>
      </c>
      <c r="H432" s="103"/>
      <c r="I432" s="107" t="s">
        <v>12</v>
      </c>
      <c r="J432" s="103"/>
      <c r="K432" s="104"/>
    </row>
    <row r="433" spans="1:11">
      <c r="A433" s="103" t="s">
        <v>48</v>
      </c>
      <c r="B433" s="103">
        <v>2.7498</v>
      </c>
      <c r="C433" s="104">
        <v>1.41</v>
      </c>
      <c r="D433" s="103">
        <v>6.5699999999999995E-2</v>
      </c>
      <c r="E433" s="103">
        <v>0.1108</v>
      </c>
      <c r="F433" s="103">
        <v>1220</v>
      </c>
      <c r="G433" s="103">
        <v>0</v>
      </c>
      <c r="H433" s="103"/>
      <c r="I433" s="107" t="s">
        <v>12</v>
      </c>
      <c r="J433" s="103"/>
      <c r="K433" s="104"/>
    </row>
    <row r="434" spans="1:11">
      <c r="A434" s="103" t="s">
        <v>48</v>
      </c>
      <c r="B434" s="103">
        <v>12.3</v>
      </c>
      <c r="C434" s="104">
        <v>3.88</v>
      </c>
      <c r="D434" s="103">
        <v>7.2800000000000004E-2</v>
      </c>
      <c r="E434" s="103">
        <v>1.1999999999999999E-3</v>
      </c>
      <c r="F434" s="103">
        <v>999.4</v>
      </c>
      <c r="G434" s="103">
        <v>0</v>
      </c>
      <c r="H434" s="103"/>
      <c r="I434" s="107" t="s">
        <v>12</v>
      </c>
      <c r="J434" s="103"/>
      <c r="K434" s="104"/>
    </row>
    <row r="435" spans="1:11">
      <c r="A435" s="103" t="s">
        <v>48</v>
      </c>
      <c r="B435" s="103">
        <v>10.872</v>
      </c>
      <c r="C435" s="104">
        <v>3.88</v>
      </c>
      <c r="D435" s="103">
        <v>6.83E-2</v>
      </c>
      <c r="E435" s="103">
        <v>1.54E-2</v>
      </c>
      <c r="F435" s="103">
        <v>1170</v>
      </c>
      <c r="G435" s="103">
        <v>0</v>
      </c>
      <c r="H435" s="103"/>
      <c r="I435" s="107" t="s">
        <v>12</v>
      </c>
      <c r="J435" s="103"/>
      <c r="K435" s="104"/>
    </row>
    <row r="436" spans="1:11">
      <c r="A436" s="103" t="s">
        <v>48</v>
      </c>
      <c r="B436" s="103">
        <v>10.872</v>
      </c>
      <c r="C436" s="104">
        <v>3.88</v>
      </c>
      <c r="D436" s="103">
        <v>6.7599999999999993E-2</v>
      </c>
      <c r="E436" s="103">
        <v>2.35E-2</v>
      </c>
      <c r="F436" s="103">
        <v>1185</v>
      </c>
      <c r="G436" s="103">
        <v>0</v>
      </c>
      <c r="H436" s="103"/>
      <c r="I436" s="107" t="s">
        <v>12</v>
      </c>
      <c r="J436" s="103"/>
      <c r="K436" s="104"/>
    </row>
    <row r="437" spans="1:11">
      <c r="A437" s="103" t="s">
        <v>48</v>
      </c>
      <c r="B437" s="103">
        <v>10.302</v>
      </c>
      <c r="C437" s="104">
        <v>3.88</v>
      </c>
      <c r="D437" s="103">
        <v>6.6400000000000001E-2</v>
      </c>
      <c r="E437" s="103">
        <v>4.9700000000000001E-2</v>
      </c>
      <c r="F437" s="103">
        <v>1210</v>
      </c>
      <c r="G437" s="103">
        <v>0</v>
      </c>
      <c r="H437" s="103"/>
      <c r="I437" s="107" t="s">
        <v>12</v>
      </c>
      <c r="J437" s="103"/>
      <c r="K437" s="104"/>
    </row>
    <row r="438" spans="1:11">
      <c r="A438" s="103" t="s">
        <v>48</v>
      </c>
      <c r="B438" s="103">
        <v>10.5</v>
      </c>
      <c r="C438" s="104">
        <v>3.88</v>
      </c>
      <c r="D438" s="103">
        <v>6.5699999999999995E-2</v>
      </c>
      <c r="E438" s="103">
        <v>0.1108</v>
      </c>
      <c r="F438" s="103">
        <v>1220</v>
      </c>
      <c r="G438" s="103">
        <v>0</v>
      </c>
      <c r="H438" s="103"/>
      <c r="I438" s="107" t="s">
        <v>12</v>
      </c>
      <c r="J438" s="103"/>
      <c r="K438" s="104"/>
    </row>
    <row r="439" spans="1:11">
      <c r="A439" s="103" t="s">
        <v>16</v>
      </c>
      <c r="B439" s="110">
        <v>9.93925670787816</v>
      </c>
      <c r="C439" s="104">
        <v>5</v>
      </c>
      <c r="D439" s="103">
        <v>7.1999999999999995E-2</v>
      </c>
      <c r="E439" s="110">
        <v>8.0000000000000004E-4</v>
      </c>
      <c r="F439" s="110">
        <v>998</v>
      </c>
      <c r="G439" s="132"/>
      <c r="H439" s="132"/>
      <c r="I439" s="103" t="s">
        <v>12</v>
      </c>
      <c r="J439" s="132"/>
      <c r="K439" s="144">
        <v>7.80144266677652</v>
      </c>
    </row>
    <row r="440" spans="1:11">
      <c r="A440" s="103" t="s">
        <v>16</v>
      </c>
      <c r="B440" s="110">
        <v>20.0552167626977</v>
      </c>
      <c r="C440" s="104">
        <v>5</v>
      </c>
      <c r="D440" s="103">
        <v>7.1999999999999995E-2</v>
      </c>
      <c r="E440" s="110">
        <v>8.0000000000000004E-4</v>
      </c>
      <c r="F440" s="110">
        <v>998</v>
      </c>
      <c r="G440" s="132"/>
      <c r="H440" s="132"/>
      <c r="I440" s="103" t="s">
        <v>12</v>
      </c>
      <c r="J440" s="132"/>
      <c r="K440" s="144">
        <v>7.9419134024547002</v>
      </c>
    </row>
    <row r="441" spans="1:11">
      <c r="A441" s="103" t="s">
        <v>16</v>
      </c>
      <c r="B441" s="110">
        <v>29.994476706012101</v>
      </c>
      <c r="C441" s="104">
        <v>5</v>
      </c>
      <c r="D441" s="103">
        <v>7.1999999999999995E-2</v>
      </c>
      <c r="E441" s="110">
        <v>8.0000000000000004E-4</v>
      </c>
      <c r="F441" s="110">
        <v>998</v>
      </c>
      <c r="G441" s="132"/>
      <c r="H441" s="132"/>
      <c r="I441" s="103" t="s">
        <v>12</v>
      </c>
      <c r="J441" s="132"/>
      <c r="K441" s="144">
        <v>8.0808655722594604</v>
      </c>
    </row>
    <row r="442" spans="1:11">
      <c r="A442" s="103" t="s">
        <v>16</v>
      </c>
      <c r="B442" s="110">
        <v>39.977913294920803</v>
      </c>
      <c r="C442" s="104">
        <v>5</v>
      </c>
      <c r="D442" s="103">
        <v>7.1999999999999995E-2</v>
      </c>
      <c r="E442" s="110">
        <v>8.0000000000000004E-4</v>
      </c>
      <c r="F442" s="110">
        <v>998</v>
      </c>
      <c r="G442" s="132"/>
      <c r="H442" s="132"/>
      <c r="I442" s="103" t="s">
        <v>12</v>
      </c>
      <c r="J442" s="132"/>
      <c r="K442" s="144">
        <v>8.2304479812426496</v>
      </c>
    </row>
    <row r="443" spans="1:11">
      <c r="A443" s="103" t="s">
        <v>16</v>
      </c>
      <c r="B443" s="110">
        <v>50.005520058551603</v>
      </c>
      <c r="C443" s="104">
        <v>5</v>
      </c>
      <c r="D443" s="103">
        <v>7.1999999999999995E-2</v>
      </c>
      <c r="E443" s="110">
        <v>8.0000000000000004E-4</v>
      </c>
      <c r="F443" s="110">
        <v>998</v>
      </c>
      <c r="G443" s="145"/>
      <c r="H443" s="132"/>
      <c r="I443" s="103" t="s">
        <v>12</v>
      </c>
      <c r="J443" s="132"/>
      <c r="K443" s="144">
        <v>8.3337129910221108</v>
      </c>
    </row>
    <row r="444" spans="1:11">
      <c r="A444" s="103" t="s">
        <v>16</v>
      </c>
      <c r="B444" s="110">
        <v>60.077296996904501</v>
      </c>
      <c r="C444" s="104">
        <v>5</v>
      </c>
      <c r="D444" s="103">
        <v>7.1999999999999995E-2</v>
      </c>
      <c r="E444" s="110">
        <v>8.0000000000000004E-4</v>
      </c>
      <c r="F444" s="110">
        <v>998</v>
      </c>
      <c r="G444" s="145"/>
      <c r="H444" s="145"/>
      <c r="I444" s="103" t="s">
        <v>12</v>
      </c>
      <c r="J444" s="132"/>
      <c r="K444" s="103">
        <v>8.4498861165965895</v>
      </c>
    </row>
    <row r="445" spans="1:11">
      <c r="A445" s="103" t="s">
        <v>16</v>
      </c>
      <c r="B445" s="110">
        <v>20.108249872639501</v>
      </c>
      <c r="C445" s="104">
        <v>5</v>
      </c>
      <c r="D445" s="103">
        <v>7.1999999999999995E-2</v>
      </c>
      <c r="E445" s="110">
        <v>8.0000000000000004E-4</v>
      </c>
      <c r="F445" s="110">
        <v>998</v>
      </c>
      <c r="G445" s="145"/>
      <c r="H445" s="145"/>
      <c r="I445" s="103" t="s">
        <v>12</v>
      </c>
      <c r="J445" s="132"/>
      <c r="K445" s="144">
        <v>7.7380321493772897</v>
      </c>
    </row>
    <row r="446" spans="1:11">
      <c r="A446" s="103" t="s">
        <v>16</v>
      </c>
      <c r="B446" s="110">
        <v>50.0054889388338</v>
      </c>
      <c r="C446" s="104">
        <v>5</v>
      </c>
      <c r="D446" s="103">
        <v>7.1999999999999995E-2</v>
      </c>
      <c r="E446" s="110">
        <v>8.0000000000000004E-4</v>
      </c>
      <c r="F446" s="110">
        <v>998</v>
      </c>
      <c r="G446" s="145"/>
      <c r="H446" s="145"/>
      <c r="I446" s="103" t="s">
        <v>12</v>
      </c>
      <c r="J446" s="132"/>
      <c r="K446" s="144">
        <v>8.2579985338626791</v>
      </c>
    </row>
    <row r="447" spans="1:11">
      <c r="A447" s="103" t="s">
        <v>16</v>
      </c>
      <c r="B447" s="110">
        <v>60.041910032490897</v>
      </c>
      <c r="C447" s="104">
        <v>5</v>
      </c>
      <c r="D447" s="103">
        <v>7.1999999999999995E-2</v>
      </c>
      <c r="E447" s="110">
        <v>8.0000000000000004E-4</v>
      </c>
      <c r="F447" s="110">
        <v>998</v>
      </c>
      <c r="G447" s="145"/>
      <c r="H447" s="145"/>
      <c r="I447" s="103" t="s">
        <v>12</v>
      </c>
      <c r="J447" s="132"/>
      <c r="K447" s="144">
        <v>8.3819157651691292</v>
      </c>
    </row>
    <row r="448" spans="1:11">
      <c r="A448" s="103" t="s">
        <v>16</v>
      </c>
      <c r="B448" s="110">
        <v>70.2196935443868</v>
      </c>
      <c r="C448" s="104">
        <v>5</v>
      </c>
      <c r="D448" s="103">
        <v>7.1999999999999995E-2</v>
      </c>
      <c r="E448" s="110">
        <v>8.0000000000000004E-4</v>
      </c>
      <c r="F448" s="110">
        <v>998</v>
      </c>
      <c r="G448" s="145"/>
      <c r="H448" s="145"/>
      <c r="I448" s="103" t="s">
        <v>12</v>
      </c>
      <c r="J448" s="132"/>
      <c r="K448" s="144">
        <v>8.4317256511925809</v>
      </c>
    </row>
    <row r="449" spans="1:11">
      <c r="A449" s="103" t="s">
        <v>16</v>
      </c>
      <c r="B449" s="110">
        <v>9.9408269252653092</v>
      </c>
      <c r="C449" s="104">
        <v>2</v>
      </c>
      <c r="D449" s="103">
        <v>7.1999999999999995E-2</v>
      </c>
      <c r="E449" s="110">
        <v>8.0000000000000004E-4</v>
      </c>
      <c r="F449" s="110">
        <v>998</v>
      </c>
      <c r="G449" s="145"/>
      <c r="H449" s="145"/>
      <c r="I449" s="103" t="s">
        <v>12</v>
      </c>
      <c r="J449" s="132"/>
      <c r="K449" s="144">
        <v>5.99755900043938</v>
      </c>
    </row>
    <row r="450" spans="1:11">
      <c r="A450" s="103" t="s">
        <v>16</v>
      </c>
      <c r="B450" s="110">
        <v>19.881653850530601</v>
      </c>
      <c r="C450" s="104">
        <v>2</v>
      </c>
      <c r="D450" s="103">
        <v>7.1999999999999995E-2</v>
      </c>
      <c r="E450" s="110">
        <v>8.0000000000000004E-4</v>
      </c>
      <c r="F450" s="110">
        <v>998</v>
      </c>
      <c r="G450" s="145"/>
      <c r="H450" s="145"/>
      <c r="I450" s="103" t="s">
        <v>12</v>
      </c>
      <c r="J450" s="132"/>
      <c r="K450" s="144">
        <v>6.0634664411251302</v>
      </c>
    </row>
    <row r="451" spans="1:11">
      <c r="A451" s="103" t="s">
        <v>16</v>
      </c>
      <c r="B451" s="110">
        <v>29.822480775795899</v>
      </c>
      <c r="C451" s="104">
        <v>2</v>
      </c>
      <c r="D451" s="103">
        <v>7.1999999999999995E-2</v>
      </c>
      <c r="E451" s="110">
        <v>8.0000000000000004E-4</v>
      </c>
      <c r="F451" s="110">
        <v>998</v>
      </c>
      <c r="G451" s="132"/>
      <c r="H451" s="132"/>
      <c r="I451" s="103" t="s">
        <v>12</v>
      </c>
      <c r="J451" s="132"/>
      <c r="K451" s="144">
        <v>6.0488201420620298</v>
      </c>
    </row>
    <row r="452" spans="1:11">
      <c r="A452" s="103" t="s">
        <v>16</v>
      </c>
      <c r="B452" s="110">
        <v>39.857995541956299</v>
      </c>
      <c r="C452" s="104">
        <v>2</v>
      </c>
      <c r="D452" s="103">
        <v>7.1999999999999995E-2</v>
      </c>
      <c r="E452" s="110">
        <v>8.0000000000000004E-4</v>
      </c>
      <c r="F452" s="110">
        <v>998</v>
      </c>
      <c r="G452" s="132"/>
      <c r="H452" s="132"/>
      <c r="I452" s="103" t="s">
        <v>12</v>
      </c>
      <c r="J452" s="132"/>
      <c r="K452" s="144">
        <v>6.2026038686293798</v>
      </c>
    </row>
    <row r="453" spans="1:11">
      <c r="A453" s="103" t="s">
        <v>16</v>
      </c>
      <c r="B453" s="110">
        <v>49.846150785783998</v>
      </c>
      <c r="C453" s="104">
        <v>2</v>
      </c>
      <c r="D453" s="103">
        <v>7.1999999999999995E-2</v>
      </c>
      <c r="E453" s="110">
        <v>8.0000000000000004E-4</v>
      </c>
      <c r="F453" s="110">
        <v>998</v>
      </c>
      <c r="G453" s="132"/>
      <c r="H453" s="132"/>
      <c r="I453" s="103" t="s">
        <v>12</v>
      </c>
      <c r="J453" s="132"/>
      <c r="K453" s="144">
        <v>6.3637104430288902</v>
      </c>
    </row>
    <row r="454" spans="1:11">
      <c r="A454" s="103" t="s">
        <v>16</v>
      </c>
      <c r="B454" s="110">
        <v>59.692305472039401</v>
      </c>
      <c r="C454" s="104">
        <v>2</v>
      </c>
      <c r="D454" s="103">
        <v>7.1999999999999995E-2</v>
      </c>
      <c r="E454" s="110">
        <v>8.0000000000000004E-4</v>
      </c>
      <c r="F454" s="110">
        <v>998</v>
      </c>
      <c r="G454" s="132"/>
      <c r="H454" s="132"/>
      <c r="I454" s="103" t="s">
        <v>12</v>
      </c>
      <c r="J454" s="132"/>
      <c r="K454" s="144">
        <v>6.41497158465154</v>
      </c>
    </row>
    <row r="455" spans="1:11">
      <c r="A455" s="103" t="s">
        <v>16</v>
      </c>
      <c r="B455" s="111">
        <v>69.869820795772199</v>
      </c>
      <c r="C455" s="104">
        <v>2</v>
      </c>
      <c r="D455" s="103">
        <v>7.1999999999999995E-2</v>
      </c>
      <c r="E455" s="110">
        <v>8.0000000000000004E-4</v>
      </c>
      <c r="F455" s="110">
        <v>998</v>
      </c>
      <c r="G455" s="132"/>
      <c r="H455" s="132"/>
      <c r="I455" s="103" t="s">
        <v>12</v>
      </c>
      <c r="J455" s="132"/>
      <c r="K455" s="103">
        <v>6.5614321616873399</v>
      </c>
    </row>
    <row r="456" spans="1:11">
      <c r="A456" s="103" t="s">
        <v>16</v>
      </c>
      <c r="B456" s="110">
        <v>9.9408269252653092</v>
      </c>
      <c r="C456" s="146">
        <v>3.2</v>
      </c>
      <c r="D456" s="103">
        <v>7.1999999999999995E-2</v>
      </c>
      <c r="E456" s="110">
        <v>8.0000000000000004E-4</v>
      </c>
      <c r="F456" s="110">
        <v>998</v>
      </c>
      <c r="G456" s="132"/>
      <c r="H456" s="132"/>
      <c r="I456" s="103" t="s">
        <v>12</v>
      </c>
      <c r="J456" s="132"/>
      <c r="K456" s="144">
        <v>6.41497158465154</v>
      </c>
    </row>
    <row r="457" spans="1:11">
      <c r="A457" s="103" t="s">
        <v>16</v>
      </c>
      <c r="B457" s="110">
        <v>19.834325531968201</v>
      </c>
      <c r="C457" s="146">
        <v>3.2</v>
      </c>
      <c r="D457" s="103">
        <v>7.1999999999999995E-2</v>
      </c>
      <c r="E457" s="110">
        <v>8.0000000000000004E-4</v>
      </c>
      <c r="F457" s="110">
        <v>998</v>
      </c>
      <c r="G457" s="132"/>
      <c r="H457" s="132"/>
      <c r="I457" s="103" t="s">
        <v>12</v>
      </c>
      <c r="J457" s="132"/>
      <c r="K457" s="144">
        <v>7.41090332747536</v>
      </c>
    </row>
    <row r="458" spans="1:11">
      <c r="A458" s="103" t="s">
        <v>16</v>
      </c>
      <c r="B458" s="110">
        <v>29.869824696243398</v>
      </c>
      <c r="C458" s="146">
        <v>3.2</v>
      </c>
      <c r="D458" s="103">
        <v>7.1999999999999995E-2</v>
      </c>
      <c r="E458" s="110">
        <v>8.0000000000000004E-4</v>
      </c>
      <c r="F458" s="110">
        <v>998</v>
      </c>
      <c r="G458" s="132"/>
      <c r="H458" s="132"/>
      <c r="I458" s="103" t="s">
        <v>12</v>
      </c>
      <c r="J458" s="132"/>
      <c r="K458" s="144">
        <v>7.5573636028117601</v>
      </c>
    </row>
    <row r="459" spans="1:11">
      <c r="A459" s="103" t="s">
        <v>16</v>
      </c>
      <c r="B459" s="110">
        <v>39.952659980023697</v>
      </c>
      <c r="C459" s="146">
        <v>3.2</v>
      </c>
      <c r="D459" s="103">
        <v>7.1999999999999995E-2</v>
      </c>
      <c r="E459" s="110">
        <v>8.0000000000000004E-4</v>
      </c>
      <c r="F459" s="110">
        <v>998</v>
      </c>
      <c r="G459" s="132"/>
      <c r="H459" s="132"/>
      <c r="I459" s="103" t="s">
        <v>12</v>
      </c>
      <c r="J459" s="132"/>
      <c r="K459" s="144">
        <v>7.6232707417981196</v>
      </c>
    </row>
    <row r="460" spans="1:11">
      <c r="A460" s="103" t="s">
        <v>16</v>
      </c>
      <c r="B460" s="110">
        <v>49.751478546774102</v>
      </c>
      <c r="C460" s="146">
        <v>3.2</v>
      </c>
      <c r="D460" s="103">
        <v>7.1999999999999995E-2</v>
      </c>
      <c r="E460" s="110">
        <v>8.0000000000000004E-4</v>
      </c>
      <c r="F460" s="110">
        <v>998</v>
      </c>
      <c r="G460" s="132"/>
      <c r="H460" s="132"/>
      <c r="I460" s="103" t="s">
        <v>12</v>
      </c>
      <c r="J460" s="132"/>
      <c r="K460" s="144">
        <v>7.6452398886933697</v>
      </c>
    </row>
    <row r="461" spans="1:11">
      <c r="A461" s="103" t="s">
        <v>16</v>
      </c>
      <c r="B461" s="110">
        <v>59.881657751001903</v>
      </c>
      <c r="C461" s="146">
        <v>3.2</v>
      </c>
      <c r="D461" s="103">
        <v>7.1999999999999995E-2</v>
      </c>
      <c r="E461" s="110">
        <v>8.0000000000000004E-4</v>
      </c>
      <c r="F461" s="110">
        <v>998</v>
      </c>
      <c r="G461" s="132"/>
      <c r="H461" s="132"/>
      <c r="I461" s="103" t="s">
        <v>12</v>
      </c>
      <c r="J461" s="132"/>
      <c r="K461" s="144">
        <v>7.6965013320154201</v>
      </c>
    </row>
    <row r="462" spans="1:11">
      <c r="A462" s="103" t="s">
        <v>16</v>
      </c>
      <c r="B462" s="110">
        <v>69.917156915277104</v>
      </c>
      <c r="C462" s="146">
        <v>3.2</v>
      </c>
      <c r="D462" s="103">
        <v>7.1999999999999995E-2</v>
      </c>
      <c r="E462" s="110">
        <v>8.0000000000000004E-4</v>
      </c>
      <c r="F462" s="110">
        <v>998</v>
      </c>
      <c r="G462" s="132"/>
      <c r="H462" s="132"/>
      <c r="I462" s="103" t="s">
        <v>12</v>
      </c>
      <c r="J462" s="132"/>
      <c r="K462" s="144">
        <v>7.7038243306972696</v>
      </c>
    </row>
    <row r="463" spans="1:11">
      <c r="A463" s="103" t="s">
        <v>16</v>
      </c>
      <c r="B463" s="110">
        <v>9.7514785467741092</v>
      </c>
      <c r="C463" s="109">
        <v>5</v>
      </c>
      <c r="D463" s="103">
        <v>7.1999999999999995E-2</v>
      </c>
      <c r="E463" s="110">
        <v>8.0000000000000004E-4</v>
      </c>
      <c r="F463" s="110">
        <v>998</v>
      </c>
      <c r="G463" s="132"/>
      <c r="H463" s="132"/>
      <c r="I463" s="103" t="s">
        <v>12</v>
      </c>
      <c r="J463" s="132"/>
      <c r="K463" s="144">
        <v>7.6525630382249199</v>
      </c>
    </row>
    <row r="464" spans="1:11">
      <c r="A464" s="103" t="s">
        <v>16</v>
      </c>
      <c r="B464" s="110">
        <v>19.881653850530601</v>
      </c>
      <c r="C464" s="109">
        <v>5</v>
      </c>
      <c r="D464" s="103">
        <v>7.1999999999999995E-2</v>
      </c>
      <c r="E464" s="110">
        <v>8.0000000000000004E-4</v>
      </c>
      <c r="F464" s="110">
        <v>998</v>
      </c>
      <c r="G464" s="132"/>
      <c r="H464" s="132"/>
      <c r="I464" s="103" t="s">
        <v>12</v>
      </c>
      <c r="J464" s="132"/>
      <c r="K464" s="144">
        <v>7.7624086218514696</v>
      </c>
    </row>
    <row r="465" spans="1:11">
      <c r="A465" s="103" t="s">
        <v>16</v>
      </c>
      <c r="B465" s="110">
        <v>29.869824696243398</v>
      </c>
      <c r="C465" s="109">
        <v>5</v>
      </c>
      <c r="D465" s="103">
        <v>7.1999999999999995E-2</v>
      </c>
      <c r="E465" s="110">
        <v>8.0000000000000004E-4</v>
      </c>
      <c r="F465" s="110">
        <v>998</v>
      </c>
      <c r="G465" s="132"/>
      <c r="H465" s="132"/>
      <c r="I465" s="103" t="s">
        <v>12</v>
      </c>
      <c r="J465" s="132"/>
      <c r="K465" s="144">
        <v>7.9528070401286701</v>
      </c>
    </row>
    <row r="466" spans="1:11">
      <c r="A466" s="103" t="s">
        <v>16</v>
      </c>
      <c r="B466" s="110">
        <v>39.857995541956299</v>
      </c>
      <c r="C466" s="109">
        <v>5</v>
      </c>
      <c r="D466" s="103">
        <v>7.1999999999999995E-2</v>
      </c>
      <c r="E466" s="110">
        <v>8.0000000000000004E-4</v>
      </c>
      <c r="F466" s="110">
        <v>998</v>
      </c>
      <c r="G466" s="132"/>
      <c r="H466" s="132"/>
      <c r="I466" s="103" t="s">
        <v>12</v>
      </c>
      <c r="J466" s="132"/>
      <c r="K466" s="144">
        <v>8.1358829122731304</v>
      </c>
    </row>
    <row r="467" spans="1:11">
      <c r="A467" s="103" t="s">
        <v>16</v>
      </c>
      <c r="B467" s="110">
        <v>49.846150785783998</v>
      </c>
      <c r="C467" s="109">
        <v>5</v>
      </c>
      <c r="D467" s="103">
        <v>7.1999999999999995E-2</v>
      </c>
      <c r="E467" s="110">
        <v>8.0000000000000004E-4</v>
      </c>
      <c r="F467" s="110">
        <v>998</v>
      </c>
      <c r="G467" s="132"/>
      <c r="H467" s="132"/>
      <c r="I467" s="103" t="s">
        <v>12</v>
      </c>
      <c r="J467" s="132"/>
      <c r="K467" s="144">
        <v>8.2676974919452295</v>
      </c>
    </row>
    <row r="468" spans="1:11">
      <c r="A468" s="103" t="s">
        <v>16</v>
      </c>
      <c r="B468" s="110">
        <v>59.786977711049303</v>
      </c>
      <c r="C468" s="109">
        <v>5</v>
      </c>
      <c r="D468" s="103">
        <v>7.1999999999999995E-2</v>
      </c>
      <c r="E468" s="110">
        <v>8.0000000000000004E-4</v>
      </c>
      <c r="F468" s="110">
        <v>998</v>
      </c>
      <c r="G468" s="132"/>
      <c r="H468" s="132"/>
      <c r="I468" s="103" t="s">
        <v>12</v>
      </c>
      <c r="J468" s="132"/>
      <c r="K468" s="144">
        <v>8.3775429247220803</v>
      </c>
    </row>
    <row r="469" spans="1:11">
      <c r="A469" s="103" t="s">
        <v>16</v>
      </c>
      <c r="B469" s="111">
        <v>70.059173074734602</v>
      </c>
      <c r="C469" s="109">
        <v>5</v>
      </c>
      <c r="D469" s="103">
        <v>7.1999999999999995E-2</v>
      </c>
      <c r="E469" s="110">
        <v>8.0000000000000004E-4</v>
      </c>
      <c r="F469" s="110">
        <v>998</v>
      </c>
      <c r="G469" s="132"/>
      <c r="H469" s="132"/>
      <c r="I469" s="103" t="s">
        <v>12</v>
      </c>
      <c r="J469" s="132"/>
      <c r="K469" s="103">
        <v>8.4434500637084309</v>
      </c>
    </row>
    <row r="470" spans="1:11">
      <c r="A470" s="103" t="s">
        <v>16</v>
      </c>
      <c r="B470" s="147">
        <v>10.2306363895547</v>
      </c>
      <c r="C470" s="146">
        <v>2</v>
      </c>
      <c r="D470" s="103">
        <v>2.1680000000000001E-2</v>
      </c>
      <c r="E470" s="103">
        <v>1.745E-3</v>
      </c>
      <c r="F470" s="103">
        <v>836</v>
      </c>
      <c r="G470" s="132"/>
      <c r="H470" s="132"/>
      <c r="I470" s="103" t="s">
        <v>12</v>
      </c>
      <c r="J470" s="132"/>
      <c r="K470" s="148">
        <v>4.3021172297272896</v>
      </c>
    </row>
    <row r="471" spans="1:11">
      <c r="A471" s="103" t="s">
        <v>16</v>
      </c>
      <c r="B471" s="147">
        <v>20.0473120276855</v>
      </c>
      <c r="C471" s="146">
        <v>2</v>
      </c>
      <c r="D471" s="103">
        <v>2.1680000000000001E-2</v>
      </c>
      <c r="E471" s="103">
        <v>1.745E-3</v>
      </c>
      <c r="F471" s="103">
        <v>836</v>
      </c>
      <c r="G471" s="132"/>
      <c r="H471" s="132"/>
      <c r="I471" s="103" t="s">
        <v>12</v>
      </c>
      <c r="J471" s="132"/>
      <c r="K471" s="148">
        <v>4.9910423879991503</v>
      </c>
    </row>
    <row r="472" spans="1:11">
      <c r="A472" s="103" t="s">
        <v>16</v>
      </c>
      <c r="B472" s="147">
        <v>30.218803509927099</v>
      </c>
      <c r="C472" s="146">
        <v>2</v>
      </c>
      <c r="D472" s="103">
        <v>2.1680000000000001E-2</v>
      </c>
      <c r="E472" s="103">
        <v>1.745E-3</v>
      </c>
      <c r="F472" s="103">
        <v>836</v>
      </c>
      <c r="G472" s="132"/>
      <c r="H472" s="132"/>
      <c r="I472" s="103" t="s">
        <v>12</v>
      </c>
      <c r="J472" s="132"/>
      <c r="K472" s="148">
        <v>5.1083057821721001</v>
      </c>
    </row>
    <row r="473" spans="1:11">
      <c r="A473" s="103" t="s">
        <v>16</v>
      </c>
      <c r="B473" s="147">
        <v>40.153754344565698</v>
      </c>
      <c r="C473" s="146">
        <v>2</v>
      </c>
      <c r="D473" s="103">
        <v>2.1680000000000001E-2</v>
      </c>
      <c r="E473" s="103">
        <v>1.745E-3</v>
      </c>
      <c r="F473" s="103">
        <v>836</v>
      </c>
      <c r="G473" s="132"/>
      <c r="H473" s="132"/>
      <c r="I473" s="103" t="s">
        <v>12</v>
      </c>
      <c r="J473" s="132"/>
      <c r="K473" s="148">
        <v>5.1742665923669202</v>
      </c>
    </row>
    <row r="474" spans="1:11">
      <c r="A474" s="103" t="s">
        <v>16</v>
      </c>
      <c r="B474" s="147">
        <v>50.2069852484181</v>
      </c>
      <c r="C474" s="146">
        <v>2</v>
      </c>
      <c r="D474" s="103">
        <v>2.1680000000000001E-2</v>
      </c>
      <c r="E474" s="103">
        <v>1.745E-3</v>
      </c>
      <c r="F474" s="103">
        <v>836</v>
      </c>
      <c r="G474" s="132"/>
      <c r="H474" s="132"/>
      <c r="I474" s="103" t="s">
        <v>12</v>
      </c>
      <c r="J474" s="132"/>
      <c r="K474" s="148">
        <v>5.4600977763614598</v>
      </c>
    </row>
    <row r="475" spans="1:11">
      <c r="A475" s="103" t="s">
        <v>16</v>
      </c>
      <c r="B475" s="147">
        <v>60.023656013842697</v>
      </c>
      <c r="C475" s="146">
        <v>2</v>
      </c>
      <c r="D475" s="103">
        <v>2.1680000000000001E-2</v>
      </c>
      <c r="E475" s="103">
        <v>1.745E-3</v>
      </c>
      <c r="F475" s="103">
        <v>836</v>
      </c>
      <c r="G475" s="132"/>
      <c r="H475" s="132"/>
      <c r="I475" s="103" t="s">
        <v>12</v>
      </c>
      <c r="J475" s="132"/>
      <c r="K475" s="148">
        <v>5.5260585865562897</v>
      </c>
    </row>
    <row r="476" spans="1:11">
      <c r="A476" s="103" t="s">
        <v>16</v>
      </c>
      <c r="B476" s="147">
        <v>69.840336524679699</v>
      </c>
      <c r="C476" s="146">
        <v>2</v>
      </c>
      <c r="D476" s="103">
        <v>2.1680000000000001E-2</v>
      </c>
      <c r="E476" s="103">
        <v>1.745E-3</v>
      </c>
      <c r="F476" s="103">
        <v>836</v>
      </c>
      <c r="G476" s="132"/>
      <c r="H476" s="132"/>
      <c r="I476" s="103" t="s">
        <v>12</v>
      </c>
      <c r="J476" s="132"/>
      <c r="K476" s="148">
        <v>5.6359934715110596</v>
      </c>
    </row>
    <row r="477" spans="1:11">
      <c r="A477" s="103" t="s">
        <v>16</v>
      </c>
      <c r="B477" s="147">
        <v>80.130108076135201</v>
      </c>
      <c r="C477" s="146">
        <v>2</v>
      </c>
      <c r="D477" s="103">
        <v>2.1680000000000001E-2</v>
      </c>
      <c r="E477" s="103">
        <v>1.745E-3</v>
      </c>
      <c r="F477" s="103">
        <v>836</v>
      </c>
      <c r="G477" s="132"/>
      <c r="H477" s="132"/>
      <c r="I477" s="103" t="s">
        <v>12</v>
      </c>
      <c r="J477" s="132"/>
      <c r="K477" s="148">
        <v>5.5040715491763201</v>
      </c>
    </row>
    <row r="478" spans="1:11">
      <c r="A478" s="103" t="s">
        <v>16</v>
      </c>
      <c r="B478" s="149">
        <v>90.0650589107738</v>
      </c>
      <c r="C478" s="146">
        <v>2</v>
      </c>
      <c r="D478" s="103">
        <v>2.1680000000000001E-2</v>
      </c>
      <c r="E478" s="103">
        <v>1.745E-3</v>
      </c>
      <c r="F478" s="103">
        <v>836</v>
      </c>
      <c r="G478" s="132"/>
      <c r="H478" s="132"/>
      <c r="I478" s="103" t="s">
        <v>12</v>
      </c>
      <c r="J478" s="132"/>
      <c r="K478" s="150">
        <v>6.1050488598733796</v>
      </c>
    </row>
    <row r="479" spans="1:11">
      <c r="A479" s="103" t="s">
        <v>16</v>
      </c>
      <c r="B479" s="147">
        <v>10.112361193047001</v>
      </c>
      <c r="C479" s="151">
        <v>3.2</v>
      </c>
      <c r="D479" s="103">
        <v>2.1680000000000001E-2</v>
      </c>
      <c r="E479" s="103">
        <v>1.745E-3</v>
      </c>
      <c r="F479" s="103">
        <v>836</v>
      </c>
      <c r="G479" s="132"/>
      <c r="H479" s="132"/>
      <c r="I479" s="103" t="s">
        <v>12</v>
      </c>
      <c r="J479" s="132"/>
      <c r="K479" s="148">
        <v>5.5407165108279104</v>
      </c>
    </row>
    <row r="480" spans="1:11">
      <c r="A480" s="103" t="s">
        <v>16</v>
      </c>
      <c r="B480" s="147">
        <v>20.1655823514871</v>
      </c>
      <c r="C480" s="151">
        <v>3.2</v>
      </c>
      <c r="D480" s="103">
        <v>2.1680000000000001E-2</v>
      </c>
      <c r="E480" s="103">
        <v>1.745E-3</v>
      </c>
      <c r="F480" s="103">
        <v>836</v>
      </c>
      <c r="G480" s="132"/>
      <c r="H480" s="132"/>
      <c r="I480" s="103" t="s">
        <v>12</v>
      </c>
      <c r="J480" s="132"/>
      <c r="K480" s="148">
        <v>5.9951139749186098</v>
      </c>
    </row>
    <row r="481" spans="1:11">
      <c r="A481" s="103" t="s">
        <v>16</v>
      </c>
      <c r="B481" s="147">
        <v>29.982272607736299</v>
      </c>
      <c r="C481" s="151">
        <v>3.2</v>
      </c>
      <c r="D481" s="103">
        <v>2.1680000000000001E-2</v>
      </c>
      <c r="E481" s="103">
        <v>1.745E-3</v>
      </c>
      <c r="F481" s="103">
        <v>836</v>
      </c>
      <c r="G481" s="132"/>
      <c r="H481" s="132"/>
      <c r="I481" s="103" t="s">
        <v>12</v>
      </c>
      <c r="J481" s="132"/>
      <c r="K481" s="148">
        <v>6.3982085530860999</v>
      </c>
    </row>
    <row r="482" spans="1:11">
      <c r="A482" s="103" t="s">
        <v>16</v>
      </c>
      <c r="B482" s="147">
        <v>40.153754344565698</v>
      </c>
      <c r="C482" s="151">
        <v>3.2</v>
      </c>
      <c r="D482" s="103">
        <v>2.1680000000000001E-2</v>
      </c>
      <c r="E482" s="103">
        <v>1.745E-3</v>
      </c>
      <c r="F482" s="103">
        <v>836</v>
      </c>
      <c r="G482" s="132"/>
      <c r="H482" s="132"/>
      <c r="I482" s="103" t="s">
        <v>12</v>
      </c>
      <c r="J482" s="132"/>
      <c r="K482" s="148">
        <v>6.5521172108557204</v>
      </c>
    </row>
    <row r="483" spans="1:11">
      <c r="A483" s="103" t="s">
        <v>16</v>
      </c>
      <c r="B483" s="147">
        <v>50.088705179204197</v>
      </c>
      <c r="C483" s="151">
        <v>3.2</v>
      </c>
      <c r="D483" s="103">
        <v>2.1680000000000001E-2</v>
      </c>
      <c r="E483" s="103">
        <v>1.745E-3</v>
      </c>
      <c r="F483" s="103">
        <v>836</v>
      </c>
      <c r="G483" s="132"/>
      <c r="H483" s="132"/>
      <c r="I483" s="103" t="s">
        <v>12</v>
      </c>
      <c r="J483" s="132"/>
      <c r="K483" s="148">
        <v>6.6400650584305199</v>
      </c>
    </row>
    <row r="484" spans="1:11">
      <c r="A484" s="103" t="s">
        <v>16</v>
      </c>
      <c r="B484" s="147">
        <v>59.964520851941998</v>
      </c>
      <c r="C484" s="151">
        <v>3.2</v>
      </c>
      <c r="D484" s="103">
        <v>2.1680000000000001E-2</v>
      </c>
      <c r="E484" s="103">
        <v>1.745E-3</v>
      </c>
      <c r="F484" s="103">
        <v>836</v>
      </c>
      <c r="G484" s="132"/>
      <c r="H484" s="132"/>
      <c r="I484" s="103" t="s">
        <v>12</v>
      </c>
      <c r="J484" s="132"/>
      <c r="K484" s="148">
        <v>6.6400650584305199</v>
      </c>
    </row>
    <row r="485" spans="1:11">
      <c r="A485" s="103" t="s">
        <v>16</v>
      </c>
      <c r="B485" s="147">
        <v>70.017742010382094</v>
      </c>
      <c r="C485" s="151">
        <v>3.2</v>
      </c>
      <c r="D485" s="103">
        <v>2.1680000000000001E-2</v>
      </c>
      <c r="E485" s="103">
        <v>1.745E-3</v>
      </c>
      <c r="F485" s="103">
        <v>836</v>
      </c>
      <c r="G485" s="132"/>
      <c r="H485" s="132"/>
      <c r="I485" s="103" t="s">
        <v>12</v>
      </c>
      <c r="J485" s="132"/>
      <c r="K485" s="148">
        <v>6.9112377142632697</v>
      </c>
    </row>
    <row r="486" spans="1:11">
      <c r="A486" s="103" t="s">
        <v>16</v>
      </c>
      <c r="B486" s="147">
        <v>80.189243238035999</v>
      </c>
      <c r="C486" s="151">
        <v>3.2</v>
      </c>
      <c r="D486" s="103">
        <v>2.1680000000000001E-2</v>
      </c>
      <c r="E486" s="103">
        <v>1.745E-3</v>
      </c>
      <c r="F486" s="103">
        <v>836</v>
      </c>
      <c r="G486" s="132"/>
      <c r="H486" s="132"/>
      <c r="I486" s="103" t="s">
        <v>12</v>
      </c>
      <c r="J486" s="132"/>
      <c r="K486" s="148">
        <v>6.6620520958104903</v>
      </c>
    </row>
    <row r="487" spans="1:11">
      <c r="A487" s="103" t="s">
        <v>16</v>
      </c>
      <c r="B487" s="149">
        <v>89.887643679659107</v>
      </c>
      <c r="C487" s="151">
        <v>3.2</v>
      </c>
      <c r="D487" s="103">
        <v>2.1680000000000001E-2</v>
      </c>
      <c r="E487" s="103">
        <v>1.745E-3</v>
      </c>
      <c r="F487" s="103">
        <v>836</v>
      </c>
      <c r="G487" s="132"/>
      <c r="H487" s="132"/>
      <c r="I487" s="103" t="s">
        <v>12</v>
      </c>
      <c r="J487" s="132"/>
      <c r="K487" s="150">
        <v>6.9771988264031899</v>
      </c>
    </row>
    <row r="488" spans="1:11">
      <c r="A488" s="103" t="s">
        <v>16</v>
      </c>
      <c r="B488" s="147">
        <v>10.112361193047001</v>
      </c>
      <c r="C488" s="104">
        <v>5</v>
      </c>
      <c r="D488" s="103">
        <v>2.1680000000000001E-2</v>
      </c>
      <c r="E488" s="103">
        <v>1.745E-3</v>
      </c>
      <c r="F488" s="103">
        <v>836</v>
      </c>
      <c r="G488" s="132"/>
      <c r="H488" s="132"/>
      <c r="I488" s="103" t="s">
        <v>12</v>
      </c>
      <c r="J488" s="132"/>
      <c r="K488" s="148">
        <v>6.5301304754208402</v>
      </c>
    </row>
    <row r="489" spans="1:11">
      <c r="A489" s="103" t="s">
        <v>16</v>
      </c>
      <c r="B489" s="147">
        <v>20.1655823514871</v>
      </c>
      <c r="C489" s="104">
        <v>5</v>
      </c>
      <c r="D489" s="103">
        <v>2.1680000000000001E-2</v>
      </c>
      <c r="E489" s="103">
        <v>1.745E-3</v>
      </c>
      <c r="F489" s="103">
        <v>836</v>
      </c>
      <c r="G489" s="132"/>
      <c r="H489" s="132"/>
      <c r="I489" s="103" t="s">
        <v>12</v>
      </c>
      <c r="J489" s="132"/>
      <c r="K489" s="148">
        <v>6.74267083027694</v>
      </c>
    </row>
    <row r="490" spans="1:11">
      <c r="A490" s="103" t="s">
        <v>16</v>
      </c>
      <c r="B490" s="147">
        <v>30.041398024224801</v>
      </c>
      <c r="C490" s="104">
        <v>5</v>
      </c>
      <c r="D490" s="103">
        <v>2.1680000000000001E-2</v>
      </c>
      <c r="E490" s="103">
        <v>1.745E-3</v>
      </c>
      <c r="F490" s="103">
        <v>836</v>
      </c>
      <c r="G490" s="132"/>
      <c r="H490" s="132"/>
      <c r="I490" s="103" t="s">
        <v>12</v>
      </c>
      <c r="J490" s="132"/>
      <c r="K490" s="148">
        <v>7.0065143730013304</v>
      </c>
    </row>
    <row r="491" spans="1:11">
      <c r="A491" s="103" t="s">
        <v>16</v>
      </c>
      <c r="B491" s="147">
        <v>40.153754344565698</v>
      </c>
      <c r="C491" s="104">
        <v>5</v>
      </c>
      <c r="D491" s="103">
        <v>2.1680000000000001E-2</v>
      </c>
      <c r="E491" s="103">
        <v>1.745E-3</v>
      </c>
      <c r="F491" s="103">
        <v>836</v>
      </c>
      <c r="G491" s="132"/>
      <c r="H491" s="132"/>
      <c r="I491" s="103" t="s">
        <v>12</v>
      </c>
      <c r="J491" s="132"/>
      <c r="K491" s="148">
        <v>7.2483711802908397</v>
      </c>
    </row>
    <row r="492" spans="1:11">
      <c r="A492" s="103" t="s">
        <v>16</v>
      </c>
      <c r="B492" s="147">
        <v>50.029579762715699</v>
      </c>
      <c r="C492" s="104">
        <v>5</v>
      </c>
      <c r="D492" s="103">
        <v>2.1680000000000001E-2</v>
      </c>
      <c r="E492" s="103">
        <v>1.745E-3</v>
      </c>
      <c r="F492" s="103">
        <v>836</v>
      </c>
      <c r="G492" s="132"/>
      <c r="H492" s="132"/>
      <c r="I492" s="103" t="s">
        <v>12</v>
      </c>
      <c r="J492" s="132"/>
      <c r="K492" s="148">
        <v>7.4242668754404404</v>
      </c>
    </row>
    <row r="493" spans="1:11">
      <c r="A493" s="103" t="s">
        <v>16</v>
      </c>
      <c r="B493" s="147">
        <v>59.964520851941998</v>
      </c>
      <c r="C493" s="104">
        <v>5</v>
      </c>
      <c r="D493" s="103">
        <v>2.1680000000000001E-2</v>
      </c>
      <c r="E493" s="103">
        <v>1.745E-3</v>
      </c>
      <c r="F493" s="103">
        <v>836</v>
      </c>
      <c r="G493" s="132"/>
      <c r="H493" s="132"/>
      <c r="I493" s="103" t="s">
        <v>12</v>
      </c>
      <c r="J493" s="132"/>
      <c r="K493" s="148">
        <v>7.4462539128204099</v>
      </c>
    </row>
    <row r="494" spans="1:11">
      <c r="A494" s="103" t="s">
        <v>16</v>
      </c>
      <c r="B494" s="147">
        <v>70.136022079595904</v>
      </c>
      <c r="C494" s="104">
        <v>5</v>
      </c>
      <c r="D494" s="103">
        <v>2.1680000000000001E-2</v>
      </c>
      <c r="E494" s="103">
        <v>1.745E-3</v>
      </c>
      <c r="F494" s="103">
        <v>836</v>
      </c>
      <c r="G494" s="132"/>
      <c r="H494" s="132"/>
      <c r="I494" s="103" t="s">
        <v>12</v>
      </c>
      <c r="J494" s="132"/>
      <c r="K494" s="148">
        <v>7.7614007943856498</v>
      </c>
    </row>
    <row r="495" spans="1:11">
      <c r="A495" s="103" t="s">
        <v>16</v>
      </c>
      <c r="B495" s="147">
        <v>80.189243238035999</v>
      </c>
      <c r="C495" s="104">
        <v>5</v>
      </c>
      <c r="D495" s="103">
        <v>2.1680000000000001E-2</v>
      </c>
      <c r="E495" s="103">
        <v>1.745E-3</v>
      </c>
      <c r="F495" s="103">
        <v>836</v>
      </c>
      <c r="G495" s="132"/>
      <c r="H495" s="132"/>
      <c r="I495" s="103" t="s">
        <v>12</v>
      </c>
      <c r="J495" s="132"/>
      <c r="K495" s="148">
        <v>7.8273616045804797</v>
      </c>
    </row>
    <row r="496" spans="1:11">
      <c r="A496" s="103" t="s">
        <v>16</v>
      </c>
      <c r="B496" s="149">
        <v>90.005923748873002</v>
      </c>
      <c r="C496" s="104">
        <v>5</v>
      </c>
      <c r="D496" s="103">
        <v>2.1680000000000001E-2</v>
      </c>
      <c r="E496" s="103">
        <v>1.745E-3</v>
      </c>
      <c r="F496" s="103">
        <v>836</v>
      </c>
      <c r="G496" s="132"/>
      <c r="H496" s="132"/>
      <c r="I496" s="103" t="s">
        <v>12</v>
      </c>
      <c r="J496" s="132"/>
      <c r="K496" s="150">
        <v>7.7687297565214601</v>
      </c>
    </row>
    <row r="497" spans="1:11">
      <c r="A497" s="103" t="s">
        <v>16</v>
      </c>
      <c r="B497" s="147">
        <v>10.079121112569201</v>
      </c>
      <c r="C497" s="104">
        <v>3.2</v>
      </c>
      <c r="D497" s="103">
        <v>5.3620000000000001E-2</v>
      </c>
      <c r="E497" s="103">
        <v>8.7000000000000001E-4</v>
      </c>
      <c r="F497" s="103">
        <v>1056</v>
      </c>
      <c r="G497" s="132"/>
      <c r="H497" s="132"/>
      <c r="I497" s="103" t="s">
        <v>12</v>
      </c>
      <c r="J497" s="132"/>
      <c r="K497" s="148">
        <v>6.7254409011943297</v>
      </c>
    </row>
    <row r="498" spans="1:11">
      <c r="A498" s="103" t="s">
        <v>16</v>
      </c>
      <c r="B498" s="147">
        <v>20.2069364612335</v>
      </c>
      <c r="C498" s="104">
        <v>3.2</v>
      </c>
      <c r="D498" s="103">
        <v>5.3620000000000001E-2</v>
      </c>
      <c r="E498" s="103">
        <v>8.7000000000000001E-4</v>
      </c>
      <c r="F498" s="103">
        <v>1056</v>
      </c>
      <c r="G498" s="132"/>
      <c r="H498" s="132"/>
      <c r="I498" s="103" t="s">
        <v>12</v>
      </c>
      <c r="J498" s="132"/>
      <c r="K498" s="148">
        <v>6.8916877311450504</v>
      </c>
    </row>
    <row r="499" spans="1:11">
      <c r="A499" s="103" t="s">
        <v>16</v>
      </c>
      <c r="B499" s="147">
        <v>30.042610465619799</v>
      </c>
      <c r="C499" s="104">
        <v>3.2</v>
      </c>
      <c r="D499" s="103">
        <v>5.3620000000000001E-2</v>
      </c>
      <c r="E499" s="103">
        <v>8.7000000000000001E-4</v>
      </c>
      <c r="F499" s="103">
        <v>1056</v>
      </c>
      <c r="G499" s="132"/>
      <c r="H499" s="132"/>
      <c r="I499" s="103" t="s">
        <v>12</v>
      </c>
      <c r="J499" s="132"/>
      <c r="K499" s="148">
        <v>7.0654913625448401</v>
      </c>
    </row>
    <row r="500" spans="1:11">
      <c r="A500" s="103" t="s">
        <v>16</v>
      </c>
      <c r="B500" s="147">
        <v>40.073037342093897</v>
      </c>
      <c r="C500" s="104">
        <v>3.2</v>
      </c>
      <c r="D500" s="103">
        <v>5.3620000000000001E-2</v>
      </c>
      <c r="E500" s="103">
        <v>8.7000000000000001E-4</v>
      </c>
      <c r="F500" s="103">
        <v>1056</v>
      </c>
      <c r="G500" s="132"/>
      <c r="H500" s="132"/>
      <c r="I500" s="103" t="s">
        <v>12</v>
      </c>
      <c r="J500" s="132"/>
      <c r="K500" s="148">
        <v>7.25440828551735</v>
      </c>
    </row>
    <row r="501" spans="1:11">
      <c r="A501" s="103" t="s">
        <v>16</v>
      </c>
      <c r="B501" s="147">
        <v>50.200852690758197</v>
      </c>
      <c r="C501" s="104">
        <v>3.2</v>
      </c>
      <c r="D501" s="103">
        <v>5.3620000000000001E-2</v>
      </c>
      <c r="E501" s="103">
        <v>8.7000000000000001E-4</v>
      </c>
      <c r="F501" s="103">
        <v>1056</v>
      </c>
      <c r="G501" s="132"/>
      <c r="H501" s="132"/>
      <c r="I501" s="103" t="s">
        <v>12</v>
      </c>
      <c r="J501" s="132"/>
      <c r="K501" s="148">
        <v>7.4055415125699602</v>
      </c>
    </row>
    <row r="502" spans="1:11">
      <c r="A502" s="103" t="s">
        <v>16</v>
      </c>
      <c r="B502" s="147">
        <v>60.182589343185903</v>
      </c>
      <c r="C502" s="104">
        <v>3.2</v>
      </c>
      <c r="D502" s="103">
        <v>5.3620000000000001E-2</v>
      </c>
      <c r="E502" s="103">
        <v>8.7000000000000001E-4</v>
      </c>
      <c r="F502" s="103">
        <v>1056</v>
      </c>
      <c r="G502" s="132"/>
      <c r="H502" s="132"/>
      <c r="I502" s="103" t="s">
        <v>12</v>
      </c>
      <c r="J502" s="132"/>
      <c r="K502" s="148">
        <v>7.5340049579261796</v>
      </c>
    </row>
    <row r="503" spans="1:11">
      <c r="A503" s="103" t="s">
        <v>16</v>
      </c>
      <c r="B503" s="149">
        <v>69.920874875381998</v>
      </c>
      <c r="C503" s="104">
        <v>3.2</v>
      </c>
      <c r="D503" s="103">
        <v>5.3620000000000001E-2</v>
      </c>
      <c r="E503" s="103">
        <v>8.7000000000000001E-4</v>
      </c>
      <c r="F503" s="103">
        <v>1056</v>
      </c>
      <c r="G503" s="132"/>
      <c r="H503" s="132"/>
      <c r="I503" s="103" t="s">
        <v>12</v>
      </c>
      <c r="J503" s="132"/>
      <c r="K503" s="150">
        <v>7.5717884981833903</v>
      </c>
    </row>
    <row r="504" spans="1:11">
      <c r="A504" s="103" t="s">
        <v>16</v>
      </c>
      <c r="B504" s="147">
        <v>10.079121112569201</v>
      </c>
      <c r="C504" s="104">
        <v>3.2</v>
      </c>
      <c r="D504" s="144">
        <v>4.7399999999999998E-2</v>
      </c>
      <c r="E504" s="144">
        <v>9.5E-4</v>
      </c>
      <c r="F504" s="103">
        <v>1128</v>
      </c>
      <c r="G504" s="132"/>
      <c r="H504" s="132"/>
      <c r="I504" s="103" t="s">
        <v>12</v>
      </c>
      <c r="J504" s="132"/>
      <c r="K504" s="148">
        <v>6.6120907474108197</v>
      </c>
    </row>
    <row r="505" spans="1:11">
      <c r="A505" s="103" t="s">
        <v>16</v>
      </c>
      <c r="B505" s="147">
        <v>20.0608657890945</v>
      </c>
      <c r="C505" s="104">
        <v>3.2</v>
      </c>
      <c r="D505" s="144">
        <v>4.7399999999999998E-2</v>
      </c>
      <c r="E505" s="144">
        <v>9.5E-4</v>
      </c>
      <c r="F505" s="103">
        <v>1128</v>
      </c>
      <c r="G505" s="132"/>
      <c r="H505" s="132"/>
      <c r="I505" s="103" t="s">
        <v>12</v>
      </c>
      <c r="J505" s="132"/>
      <c r="K505" s="148">
        <v>6.5743073628163202</v>
      </c>
    </row>
    <row r="506" spans="1:11">
      <c r="A506" s="103" t="s">
        <v>16</v>
      </c>
      <c r="B506" s="147">
        <v>30.091292665568599</v>
      </c>
      <c r="C506" s="104">
        <v>3.2</v>
      </c>
      <c r="D506" s="144">
        <v>4.7399999999999998E-2</v>
      </c>
      <c r="E506" s="144">
        <v>9.5E-4</v>
      </c>
      <c r="F506" s="103">
        <v>1128</v>
      </c>
      <c r="G506" s="132"/>
      <c r="H506" s="132"/>
      <c r="I506" s="103" t="s">
        <v>12</v>
      </c>
      <c r="J506" s="132"/>
      <c r="K506" s="148">
        <v>6.7481109942161099</v>
      </c>
    </row>
    <row r="507" spans="1:11">
      <c r="A507" s="103" t="s">
        <v>16</v>
      </c>
      <c r="B507" s="147">
        <v>40.073037342093897</v>
      </c>
      <c r="C507" s="104">
        <v>3.2</v>
      </c>
      <c r="D507" s="144">
        <v>4.7399999999999998E-2</v>
      </c>
      <c r="E507" s="144">
        <v>9.5E-4</v>
      </c>
      <c r="F507" s="103">
        <v>1128</v>
      </c>
      <c r="G507" s="132"/>
      <c r="H507" s="132"/>
      <c r="I507" s="103" t="s">
        <v>12</v>
      </c>
      <c r="J507" s="132"/>
      <c r="K507" s="148">
        <v>6.8614611479996102</v>
      </c>
    </row>
    <row r="508" spans="1:11">
      <c r="A508" s="103" t="s">
        <v>16</v>
      </c>
      <c r="B508" s="147">
        <v>50.152154442614297</v>
      </c>
      <c r="C508" s="104">
        <v>3.2</v>
      </c>
      <c r="D508" s="144">
        <v>4.7399999999999998E-2</v>
      </c>
      <c r="E508" s="144">
        <v>9.5E-4</v>
      </c>
      <c r="F508" s="103">
        <v>1128</v>
      </c>
      <c r="G508" s="132"/>
      <c r="H508" s="132"/>
      <c r="I508" s="103" t="s">
        <v>12</v>
      </c>
      <c r="J508" s="132"/>
      <c r="K508" s="148">
        <v>7.25440828551735</v>
      </c>
    </row>
    <row r="509" spans="1:11">
      <c r="A509" s="103" t="s">
        <v>16</v>
      </c>
      <c r="B509" s="147">
        <v>60.085208895093302</v>
      </c>
      <c r="C509" s="104">
        <v>3.2</v>
      </c>
      <c r="D509" s="144">
        <v>4.7399999999999998E-2</v>
      </c>
      <c r="E509" s="144">
        <v>9.5E-4</v>
      </c>
      <c r="F509" s="103">
        <v>1128</v>
      </c>
      <c r="G509" s="132"/>
      <c r="H509" s="132"/>
      <c r="I509" s="103" t="s">
        <v>12</v>
      </c>
      <c r="J509" s="132"/>
      <c r="K509" s="148">
        <v>7.4130983140190203</v>
      </c>
    </row>
    <row r="510" spans="1:11">
      <c r="A510" s="103" t="s">
        <v>16</v>
      </c>
      <c r="B510" s="147">
        <v>70.066945547521001</v>
      </c>
      <c r="C510" s="104">
        <v>3.2</v>
      </c>
      <c r="D510" s="144">
        <v>4.7399999999999998E-2</v>
      </c>
      <c r="E510" s="144">
        <v>9.5E-4</v>
      </c>
      <c r="F510" s="103">
        <v>1128</v>
      </c>
      <c r="G510" s="132"/>
      <c r="H510" s="132"/>
      <c r="I510" s="103" t="s">
        <v>12</v>
      </c>
      <c r="J510" s="132"/>
      <c r="K510" s="148">
        <v>7.6700250490687703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53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26" customWidth="1"/>
    <col min="3" max="3" width="19.77734375" customWidth="1"/>
    <col min="11" max="11" width="22.21875" customWidth="1"/>
  </cols>
  <sheetData>
    <row r="1" spans="1:18" ht="39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8" ht="13.2">
      <c r="A2" s="103" t="s">
        <v>11</v>
      </c>
      <c r="B2" s="105">
        <v>30</v>
      </c>
      <c r="C2" s="152">
        <v>0.30062117755169299</v>
      </c>
      <c r="D2" s="105">
        <v>0.06</v>
      </c>
      <c r="E2" s="105">
        <v>4.2999999999999997E-2</v>
      </c>
      <c r="F2" s="103"/>
      <c r="G2" s="103"/>
      <c r="H2" s="105">
        <v>20</v>
      </c>
      <c r="I2" s="105" t="s">
        <v>12</v>
      </c>
      <c r="J2" s="103"/>
      <c r="K2" s="153">
        <v>3.1960000000000002</v>
      </c>
    </row>
    <row r="3" spans="1:18" ht="13.2">
      <c r="A3" s="103" t="s">
        <v>11</v>
      </c>
      <c r="B3" s="105">
        <v>30</v>
      </c>
      <c r="C3" s="152">
        <v>0.40062109631590798</v>
      </c>
      <c r="D3" s="105">
        <v>0.06</v>
      </c>
      <c r="E3" s="105">
        <v>4.2999999999999997E-2</v>
      </c>
      <c r="F3" s="103"/>
      <c r="G3" s="103"/>
      <c r="H3" s="105">
        <v>20</v>
      </c>
      <c r="I3" s="105" t="s">
        <v>12</v>
      </c>
      <c r="J3" s="103"/>
      <c r="K3" s="153">
        <v>3.08</v>
      </c>
    </row>
    <row r="4" spans="1:18" ht="13.2">
      <c r="A4" s="103" t="s">
        <v>11</v>
      </c>
      <c r="B4" s="105">
        <v>30</v>
      </c>
      <c r="C4" s="154">
        <v>0.59937888743693402</v>
      </c>
      <c r="D4" s="105">
        <v>0.06</v>
      </c>
      <c r="E4" s="105">
        <v>4.2999999999999997E-2</v>
      </c>
      <c r="F4" s="103"/>
      <c r="G4" s="103"/>
      <c r="H4" s="105">
        <v>20</v>
      </c>
      <c r="I4" s="105" t="s">
        <v>12</v>
      </c>
      <c r="J4" s="103"/>
      <c r="K4" s="153">
        <v>3.45</v>
      </c>
    </row>
    <row r="5" spans="1:18" ht="13.2">
      <c r="A5" s="103" t="s">
        <v>11</v>
      </c>
      <c r="B5" s="105">
        <v>60</v>
      </c>
      <c r="C5" s="154">
        <v>0.29937890368409098</v>
      </c>
      <c r="D5" s="105">
        <v>0.06</v>
      </c>
      <c r="E5" s="105">
        <v>4.2999999999999997E-2</v>
      </c>
      <c r="F5" s="103"/>
      <c r="G5" s="103"/>
      <c r="H5" s="105">
        <v>20</v>
      </c>
      <c r="I5" s="105" t="s">
        <v>12</v>
      </c>
      <c r="J5" s="103"/>
      <c r="K5" s="153">
        <v>3.79</v>
      </c>
      <c r="M5" s="92"/>
      <c r="N5" s="92"/>
    </row>
    <row r="6" spans="1:18" ht="13.2">
      <c r="A6" s="103" t="s">
        <v>11</v>
      </c>
      <c r="B6" s="105">
        <v>60</v>
      </c>
      <c r="C6" s="154">
        <v>0.40000001624715698</v>
      </c>
      <c r="D6" s="105">
        <v>0.06</v>
      </c>
      <c r="E6" s="105">
        <v>4.2999999999999997E-2</v>
      </c>
      <c r="F6" s="103"/>
      <c r="G6" s="103"/>
      <c r="H6" s="105">
        <v>20</v>
      </c>
      <c r="I6" s="105" t="s">
        <v>12</v>
      </c>
      <c r="J6" s="103"/>
      <c r="K6" s="153">
        <v>3.76</v>
      </c>
      <c r="M6" s="92"/>
      <c r="N6" s="92"/>
    </row>
    <row r="7" spans="1:18" ht="13.2">
      <c r="A7" s="103" t="s">
        <v>11</v>
      </c>
      <c r="B7" s="105">
        <v>60</v>
      </c>
      <c r="C7" s="155">
        <v>0.59999996750568596</v>
      </c>
      <c r="D7" s="105">
        <v>0.06</v>
      </c>
      <c r="E7" s="105">
        <v>4.2999999999999997E-2</v>
      </c>
      <c r="F7" s="103"/>
      <c r="G7" s="103"/>
      <c r="H7" s="105">
        <v>20</v>
      </c>
      <c r="I7" s="105" t="s">
        <v>12</v>
      </c>
      <c r="J7" s="103"/>
      <c r="K7" s="153">
        <v>3.96</v>
      </c>
      <c r="M7" s="92"/>
      <c r="N7" s="92"/>
    </row>
    <row r="8" spans="1:18" ht="13.2">
      <c r="A8" s="103" t="s">
        <v>11</v>
      </c>
      <c r="B8" s="105">
        <v>30</v>
      </c>
      <c r="C8" s="154">
        <v>0.29751554974773797</v>
      </c>
      <c r="D8" s="105">
        <v>0.06</v>
      </c>
      <c r="E8" s="105">
        <v>0.8</v>
      </c>
      <c r="F8" s="103"/>
      <c r="G8" s="103"/>
      <c r="H8" s="105">
        <v>20</v>
      </c>
      <c r="I8" s="105" t="s">
        <v>12</v>
      </c>
      <c r="J8" s="103"/>
      <c r="K8" s="153">
        <v>5.415</v>
      </c>
      <c r="M8" s="92"/>
      <c r="N8" s="92"/>
    </row>
    <row r="9" spans="1:18" ht="13.2">
      <c r="A9" s="103" t="s">
        <v>11</v>
      </c>
      <c r="B9" s="105">
        <v>30</v>
      </c>
      <c r="C9" s="154">
        <v>0.39689438844320202</v>
      </c>
      <c r="D9" s="105">
        <v>0.06</v>
      </c>
      <c r="E9" s="105">
        <v>0.8</v>
      </c>
      <c r="F9" s="103"/>
      <c r="G9" s="103"/>
      <c r="H9" s="105">
        <v>20</v>
      </c>
      <c r="I9" s="105" t="s">
        <v>12</v>
      </c>
      <c r="J9" s="103"/>
      <c r="K9" s="153">
        <v>5.55</v>
      </c>
      <c r="M9" s="92"/>
      <c r="N9" s="92"/>
      <c r="O9" s="92"/>
      <c r="Q9" s="92"/>
      <c r="R9" s="92"/>
    </row>
    <row r="10" spans="1:18" ht="13.2">
      <c r="A10" s="103" t="s">
        <v>11</v>
      </c>
      <c r="B10" s="105">
        <v>30</v>
      </c>
      <c r="C10" s="154">
        <v>0.59689445343183001</v>
      </c>
      <c r="D10" s="105">
        <v>0.06</v>
      </c>
      <c r="E10" s="105">
        <v>0.8</v>
      </c>
      <c r="F10" s="103"/>
      <c r="G10" s="103"/>
      <c r="H10" s="105">
        <v>20</v>
      </c>
      <c r="I10" s="105" t="s">
        <v>12</v>
      </c>
      <c r="J10" s="103"/>
      <c r="K10" s="153">
        <v>5.62</v>
      </c>
      <c r="M10" s="92"/>
      <c r="N10" s="92"/>
      <c r="O10" s="92"/>
      <c r="Q10" s="92"/>
      <c r="R10" s="92"/>
    </row>
    <row r="11" spans="1:18" ht="13.2">
      <c r="A11" s="103" t="s">
        <v>11</v>
      </c>
      <c r="B11" s="105">
        <v>60</v>
      </c>
      <c r="C11" s="154">
        <v>0.29689446967898703</v>
      </c>
      <c r="D11" s="105">
        <v>0.06</v>
      </c>
      <c r="E11" s="105">
        <v>0.8</v>
      </c>
      <c r="F11" s="103"/>
      <c r="G11" s="103"/>
      <c r="H11" s="105">
        <v>20</v>
      </c>
      <c r="I11" s="105" t="s">
        <v>12</v>
      </c>
      <c r="J11" s="103"/>
      <c r="K11" s="153">
        <v>6.33</v>
      </c>
      <c r="M11" s="92"/>
      <c r="N11" s="92"/>
      <c r="O11" s="92"/>
      <c r="Q11" s="92"/>
      <c r="R11" s="92"/>
    </row>
    <row r="12" spans="1:18" ht="13.2">
      <c r="A12" s="103" t="s">
        <v>11</v>
      </c>
      <c r="B12" s="105">
        <v>60</v>
      </c>
      <c r="C12" s="154">
        <v>0.39751558224205202</v>
      </c>
      <c r="D12" s="105">
        <v>0.06</v>
      </c>
      <c r="E12" s="105">
        <v>0.8</v>
      </c>
      <c r="F12" s="103"/>
      <c r="G12" s="103"/>
      <c r="H12" s="105">
        <v>20</v>
      </c>
      <c r="I12" s="105" t="s">
        <v>12</v>
      </c>
      <c r="J12" s="103"/>
      <c r="K12" s="153">
        <v>6.44</v>
      </c>
      <c r="M12" s="92"/>
      <c r="N12" s="92"/>
      <c r="O12" s="92"/>
      <c r="Q12" s="88"/>
      <c r="R12" s="88"/>
    </row>
    <row r="13" spans="1:18" ht="13.2">
      <c r="A13" s="103" t="s">
        <v>11</v>
      </c>
      <c r="B13" s="105">
        <v>60</v>
      </c>
      <c r="C13" s="154">
        <v>0.60062116130453602</v>
      </c>
      <c r="D13" s="105">
        <v>0.06</v>
      </c>
      <c r="E13" s="105">
        <v>0.8</v>
      </c>
      <c r="F13" s="103"/>
      <c r="G13" s="103"/>
      <c r="H13" s="105">
        <v>20</v>
      </c>
      <c r="I13" s="105" t="s">
        <v>12</v>
      </c>
      <c r="J13" s="103"/>
      <c r="K13" s="153">
        <v>6.55</v>
      </c>
      <c r="M13" s="92"/>
      <c r="N13" s="92"/>
    </row>
    <row r="14" spans="1:18" ht="13.2">
      <c r="A14" s="103" t="s">
        <v>11</v>
      </c>
      <c r="B14" s="105">
        <v>39.279895111000002</v>
      </c>
      <c r="C14" s="105">
        <v>0.6</v>
      </c>
      <c r="D14" s="105">
        <v>0.06</v>
      </c>
      <c r="E14" s="105">
        <v>4.2999999999999997E-2</v>
      </c>
      <c r="F14" s="103"/>
      <c r="G14" s="103"/>
      <c r="H14" s="105">
        <v>20</v>
      </c>
      <c r="I14" s="105" t="s">
        <v>12</v>
      </c>
      <c r="J14" s="103"/>
      <c r="K14" s="153">
        <v>3.56</v>
      </c>
      <c r="M14" s="92"/>
      <c r="N14" s="92"/>
    </row>
    <row r="15" spans="1:18" ht="13.2">
      <c r="A15" s="103" t="s">
        <v>11</v>
      </c>
      <c r="B15" s="105">
        <v>60.883850907999999</v>
      </c>
      <c r="C15" s="105">
        <v>0.6</v>
      </c>
      <c r="D15" s="105">
        <v>0.06</v>
      </c>
      <c r="E15" s="105">
        <v>4.2999999999999997E-2</v>
      </c>
      <c r="F15" s="103"/>
      <c r="G15" s="103"/>
      <c r="H15" s="105">
        <v>20</v>
      </c>
      <c r="I15" s="105" t="s">
        <v>12</v>
      </c>
      <c r="J15" s="103"/>
      <c r="K15" s="153">
        <v>3.81</v>
      </c>
      <c r="M15" s="92"/>
      <c r="N15" s="92"/>
    </row>
    <row r="16" spans="1:18" ht="13.2">
      <c r="A16" s="103" t="s">
        <v>11</v>
      </c>
      <c r="B16" s="105">
        <v>81.505780109</v>
      </c>
      <c r="C16" s="105">
        <v>0.6</v>
      </c>
      <c r="D16" s="105">
        <v>0.06</v>
      </c>
      <c r="E16" s="105">
        <v>4.2999999999999997E-2</v>
      </c>
      <c r="F16" s="103"/>
      <c r="G16" s="103"/>
      <c r="H16" s="105">
        <v>20</v>
      </c>
      <c r="I16" s="105" t="s">
        <v>12</v>
      </c>
      <c r="J16" s="103"/>
      <c r="K16" s="153">
        <v>3.89</v>
      </c>
      <c r="M16" s="92"/>
      <c r="N16" s="92"/>
    </row>
    <row r="17" spans="1:14" ht="13.2">
      <c r="A17" s="103" t="s">
        <v>11</v>
      </c>
      <c r="B17" s="105">
        <v>97.217666230000006</v>
      </c>
      <c r="C17" s="105">
        <v>0.6</v>
      </c>
      <c r="D17" s="105">
        <v>0.06</v>
      </c>
      <c r="E17" s="105">
        <v>4.2999999999999997E-2</v>
      </c>
      <c r="F17" s="103"/>
      <c r="G17" s="103"/>
      <c r="H17" s="105">
        <v>20</v>
      </c>
      <c r="I17" s="105" t="s">
        <v>12</v>
      </c>
      <c r="J17" s="103"/>
      <c r="K17" s="153">
        <v>4.03</v>
      </c>
      <c r="M17" s="92"/>
      <c r="N17" s="92"/>
    </row>
    <row r="18" spans="1:14" ht="13.2">
      <c r="A18" s="103" t="s">
        <v>11</v>
      </c>
      <c r="B18" s="105">
        <v>46.644869825999997</v>
      </c>
      <c r="C18" s="105">
        <v>0.6</v>
      </c>
      <c r="D18" s="105">
        <v>0.06</v>
      </c>
      <c r="E18" s="105">
        <v>0.105</v>
      </c>
      <c r="F18" s="103"/>
      <c r="G18" s="103"/>
      <c r="H18" s="105">
        <v>20</v>
      </c>
      <c r="I18" s="105" t="s">
        <v>12</v>
      </c>
      <c r="J18" s="103"/>
      <c r="K18" s="153">
        <v>4.2699999999999996</v>
      </c>
      <c r="M18" s="92"/>
      <c r="N18" s="92"/>
    </row>
    <row r="19" spans="1:14" ht="13.2">
      <c r="A19" s="103" t="s">
        <v>11</v>
      </c>
      <c r="B19" s="105">
        <v>61.374819254999998</v>
      </c>
      <c r="C19" s="105">
        <v>0.6</v>
      </c>
      <c r="D19" s="105">
        <v>0.06</v>
      </c>
      <c r="E19" s="105">
        <v>0.105</v>
      </c>
      <c r="F19" s="103"/>
      <c r="G19" s="103"/>
      <c r="H19" s="105">
        <v>20</v>
      </c>
      <c r="I19" s="105" t="s">
        <v>12</v>
      </c>
      <c r="J19" s="103"/>
      <c r="K19" s="153">
        <v>4.29</v>
      </c>
      <c r="L19" s="92"/>
      <c r="M19" s="92"/>
      <c r="N19" s="92"/>
    </row>
    <row r="20" spans="1:14" ht="13.2">
      <c r="A20" s="103" t="s">
        <v>11</v>
      </c>
      <c r="B20" s="105">
        <v>80.032785165999996</v>
      </c>
      <c r="C20" s="105">
        <v>0.6</v>
      </c>
      <c r="D20" s="105">
        <v>0.06</v>
      </c>
      <c r="E20" s="105">
        <v>0.105</v>
      </c>
      <c r="F20" s="103"/>
      <c r="G20" s="103"/>
      <c r="H20" s="105">
        <v>20</v>
      </c>
      <c r="I20" s="105" t="s">
        <v>12</v>
      </c>
      <c r="J20" s="103"/>
      <c r="K20" s="153">
        <v>4.47</v>
      </c>
      <c r="L20" s="92"/>
      <c r="M20" s="92"/>
      <c r="N20" s="92"/>
    </row>
    <row r="21" spans="1:14" ht="13.2">
      <c r="A21" s="103" t="s">
        <v>11</v>
      </c>
      <c r="B21" s="105">
        <v>99.672687769000007</v>
      </c>
      <c r="C21" s="105">
        <v>0.6</v>
      </c>
      <c r="D21" s="105">
        <v>0.06</v>
      </c>
      <c r="E21" s="105">
        <v>0.105</v>
      </c>
      <c r="F21" s="103"/>
      <c r="G21" s="103"/>
      <c r="H21" s="105">
        <v>20</v>
      </c>
      <c r="I21" s="105" t="s">
        <v>12</v>
      </c>
      <c r="J21" s="103"/>
      <c r="K21" s="153">
        <v>5.17</v>
      </c>
      <c r="L21" s="92"/>
      <c r="M21" s="92"/>
      <c r="N21" s="92"/>
    </row>
    <row r="22" spans="1:14" ht="13.2">
      <c r="A22" s="103" t="s">
        <v>11</v>
      </c>
      <c r="B22" s="92">
        <v>45.245887760000002</v>
      </c>
      <c r="C22" s="105">
        <v>0.6</v>
      </c>
      <c r="D22" s="105">
        <v>0.06</v>
      </c>
      <c r="E22" s="105">
        <v>0.16400000000000001</v>
      </c>
      <c r="F22" s="103"/>
      <c r="G22" s="103"/>
      <c r="H22" s="105">
        <v>20</v>
      </c>
      <c r="I22" s="105" t="s">
        <v>12</v>
      </c>
      <c r="J22" s="103"/>
      <c r="K22" s="153">
        <v>4.63</v>
      </c>
      <c r="L22" s="92"/>
      <c r="M22" s="92"/>
    </row>
    <row r="23" spans="1:14" ht="13.2">
      <c r="A23" s="103" t="s">
        <v>11</v>
      </c>
      <c r="B23" s="92">
        <v>58.524576619999998</v>
      </c>
      <c r="C23" s="105">
        <v>0.6</v>
      </c>
      <c r="D23" s="105">
        <v>0.06</v>
      </c>
      <c r="E23" s="105">
        <v>0.16400000000000001</v>
      </c>
      <c r="F23" s="103"/>
      <c r="G23" s="103"/>
      <c r="H23" s="105">
        <v>20</v>
      </c>
      <c r="I23" s="105" t="s">
        <v>12</v>
      </c>
      <c r="J23" s="103"/>
      <c r="K23" s="153">
        <v>4.75</v>
      </c>
      <c r="L23" s="88"/>
      <c r="M23" s="88"/>
    </row>
    <row r="24" spans="1:14" ht="13.2">
      <c r="A24" s="103" t="s">
        <v>11</v>
      </c>
      <c r="B24" s="92">
        <v>82.131134590000002</v>
      </c>
      <c r="C24" s="105">
        <v>0.6</v>
      </c>
      <c r="D24" s="105">
        <v>0.06</v>
      </c>
      <c r="E24" s="105">
        <v>0.16400000000000001</v>
      </c>
      <c r="F24" s="103"/>
      <c r="G24" s="103"/>
      <c r="H24" s="105">
        <v>20</v>
      </c>
      <c r="I24" s="105" t="s">
        <v>12</v>
      </c>
      <c r="J24" s="103"/>
      <c r="K24" s="153">
        <v>4.96</v>
      </c>
    </row>
    <row r="25" spans="1:14" ht="13.2">
      <c r="A25" s="103" t="s">
        <v>11</v>
      </c>
      <c r="B25" s="92">
        <v>99.344279790000002</v>
      </c>
      <c r="C25" s="105">
        <v>0.6</v>
      </c>
      <c r="D25" s="105">
        <v>0.06</v>
      </c>
      <c r="E25" s="105">
        <v>0.16400000000000001</v>
      </c>
      <c r="F25" s="103"/>
      <c r="G25" s="103"/>
      <c r="H25" s="105">
        <v>20</v>
      </c>
      <c r="I25" s="105" t="s">
        <v>12</v>
      </c>
      <c r="J25" s="103"/>
      <c r="K25" s="153">
        <v>5.56</v>
      </c>
    </row>
    <row r="26" spans="1:14" ht="13.2">
      <c r="A26" s="103" t="s">
        <v>11</v>
      </c>
      <c r="B26" s="105">
        <v>8.8524592379999998</v>
      </c>
      <c r="C26" s="105">
        <v>0.6</v>
      </c>
      <c r="D26" s="105">
        <v>0.06</v>
      </c>
      <c r="E26" s="105">
        <v>0.47499999999999998</v>
      </c>
      <c r="F26" s="103"/>
      <c r="G26" s="103"/>
      <c r="H26" s="105">
        <v>20</v>
      </c>
      <c r="I26" s="105" t="s">
        <v>12</v>
      </c>
      <c r="J26" s="103"/>
      <c r="K26" s="153">
        <v>4.1399999999999997</v>
      </c>
      <c r="L26" s="92"/>
      <c r="M26" s="92"/>
    </row>
    <row r="27" spans="1:14" ht="13.2">
      <c r="A27" s="103" t="s">
        <v>11</v>
      </c>
      <c r="B27" s="105">
        <v>20.163919920000001</v>
      </c>
      <c r="C27" s="105">
        <v>0.6</v>
      </c>
      <c r="D27" s="105">
        <v>0.06</v>
      </c>
      <c r="E27" s="105">
        <v>0.47499999999999998</v>
      </c>
      <c r="F27" s="103"/>
      <c r="G27" s="103"/>
      <c r="H27" s="105">
        <v>20</v>
      </c>
      <c r="I27" s="105" t="s">
        <v>12</v>
      </c>
      <c r="J27" s="103"/>
      <c r="K27" s="153">
        <v>4.29</v>
      </c>
      <c r="L27" s="92"/>
      <c r="M27" s="92"/>
    </row>
    <row r="28" spans="1:14" ht="13.2">
      <c r="A28" s="103" t="s">
        <v>11</v>
      </c>
      <c r="B28" s="105">
        <v>46.229524359999999</v>
      </c>
      <c r="C28" s="105">
        <v>0.6</v>
      </c>
      <c r="D28" s="105">
        <v>0.06</v>
      </c>
      <c r="E28" s="105">
        <v>0.47499999999999998</v>
      </c>
      <c r="F28" s="103"/>
      <c r="G28" s="103"/>
      <c r="H28" s="105">
        <v>20</v>
      </c>
      <c r="I28" s="105" t="s">
        <v>12</v>
      </c>
      <c r="J28" s="103"/>
      <c r="K28" s="153">
        <v>5.64</v>
      </c>
      <c r="L28" s="92"/>
      <c r="M28" s="92"/>
    </row>
    <row r="29" spans="1:14" ht="13.2">
      <c r="A29" s="103" t="s">
        <v>11</v>
      </c>
      <c r="B29" s="105">
        <v>60.983623090000002</v>
      </c>
      <c r="C29" s="105">
        <v>0.6</v>
      </c>
      <c r="D29" s="105">
        <v>0.06</v>
      </c>
      <c r="E29" s="105">
        <v>0.47499999999999998</v>
      </c>
      <c r="F29" s="103"/>
      <c r="G29" s="103"/>
      <c r="H29" s="105">
        <v>20</v>
      </c>
      <c r="I29" s="105" t="s">
        <v>12</v>
      </c>
      <c r="J29" s="103"/>
      <c r="K29" s="153">
        <v>5.71</v>
      </c>
      <c r="L29" s="92"/>
      <c r="M29" s="92"/>
    </row>
    <row r="30" spans="1:14" ht="13.2">
      <c r="A30" s="103" t="s">
        <v>11</v>
      </c>
      <c r="B30" s="105">
        <v>80.163951440000005</v>
      </c>
      <c r="C30" s="105">
        <v>0.6</v>
      </c>
      <c r="D30" s="105">
        <v>0.06</v>
      </c>
      <c r="E30" s="105">
        <v>0.47499999999999998</v>
      </c>
      <c r="F30" s="103"/>
      <c r="G30" s="103"/>
      <c r="H30" s="105">
        <v>20</v>
      </c>
      <c r="I30" s="105" t="s">
        <v>12</v>
      </c>
      <c r="J30" s="103"/>
      <c r="K30" s="153">
        <v>5.91</v>
      </c>
      <c r="L30" s="92"/>
      <c r="M30" s="92"/>
    </row>
    <row r="31" spans="1:14" ht="13.2">
      <c r="A31" s="103" t="s">
        <v>11</v>
      </c>
      <c r="B31" s="105">
        <v>99.344279790000002</v>
      </c>
      <c r="C31" s="105">
        <v>0.6</v>
      </c>
      <c r="D31" s="105">
        <v>0.06</v>
      </c>
      <c r="E31" s="105">
        <v>0.47499999999999998</v>
      </c>
      <c r="F31" s="103"/>
      <c r="G31" s="103"/>
      <c r="H31" s="105">
        <v>20</v>
      </c>
      <c r="I31" s="105" t="s">
        <v>12</v>
      </c>
      <c r="J31" s="103"/>
      <c r="K31" s="153">
        <v>7.02</v>
      </c>
      <c r="L31" s="92"/>
      <c r="M31" s="92"/>
    </row>
    <row r="32" spans="1:14" ht="13.2">
      <c r="A32" s="103" t="s">
        <v>11</v>
      </c>
      <c r="B32" s="105">
        <v>24.098376269999999</v>
      </c>
      <c r="C32" s="105">
        <v>0.6</v>
      </c>
      <c r="D32" s="105">
        <v>0.06</v>
      </c>
      <c r="E32" s="105">
        <v>0.8</v>
      </c>
      <c r="F32" s="103"/>
      <c r="G32" s="103"/>
      <c r="H32" s="105">
        <v>20</v>
      </c>
      <c r="I32" s="105" t="s">
        <v>12</v>
      </c>
      <c r="J32" s="103"/>
      <c r="K32" s="153">
        <v>5.23</v>
      </c>
      <c r="L32" s="92"/>
      <c r="M32" s="92"/>
    </row>
    <row r="33" spans="1:13" ht="13.2">
      <c r="A33" s="103" t="s">
        <v>11</v>
      </c>
      <c r="B33" s="105">
        <v>32.459017209999999</v>
      </c>
      <c r="C33" s="105">
        <v>0.6</v>
      </c>
      <c r="D33" s="105">
        <v>0.06</v>
      </c>
      <c r="E33" s="105">
        <v>0.8</v>
      </c>
      <c r="F33" s="103"/>
      <c r="G33" s="103"/>
      <c r="H33" s="105">
        <v>20</v>
      </c>
      <c r="I33" s="105" t="s">
        <v>12</v>
      </c>
      <c r="J33" s="103"/>
      <c r="K33" s="153">
        <v>5.82</v>
      </c>
      <c r="L33" s="92"/>
      <c r="M33" s="92"/>
    </row>
    <row r="34" spans="1:13" ht="13.2">
      <c r="A34" s="103" t="s">
        <v>11</v>
      </c>
      <c r="B34" s="105">
        <v>40.819658140000001</v>
      </c>
      <c r="C34" s="105">
        <v>0.6</v>
      </c>
      <c r="D34" s="105">
        <v>0.06</v>
      </c>
      <c r="E34" s="105">
        <v>0.8</v>
      </c>
      <c r="F34" s="103"/>
      <c r="G34" s="103"/>
      <c r="H34" s="105">
        <v>20</v>
      </c>
      <c r="I34" s="105" t="s">
        <v>12</v>
      </c>
      <c r="J34" s="103"/>
      <c r="K34" s="153">
        <v>6.24</v>
      </c>
      <c r="L34" s="92"/>
      <c r="M34" s="92"/>
    </row>
    <row r="35" spans="1:13" ht="14.25" customHeight="1">
      <c r="A35" s="103" t="s">
        <v>11</v>
      </c>
      <c r="B35" s="105">
        <v>11.80327898</v>
      </c>
      <c r="C35" s="105">
        <v>0.6</v>
      </c>
      <c r="D35" s="105">
        <v>0.06</v>
      </c>
      <c r="E35" s="105">
        <v>0.8</v>
      </c>
      <c r="F35" s="103"/>
      <c r="G35" s="103"/>
      <c r="H35" s="105">
        <v>20</v>
      </c>
      <c r="I35" s="105" t="s">
        <v>12</v>
      </c>
      <c r="J35" s="103"/>
      <c r="K35" s="153">
        <v>4.6100000000000003</v>
      </c>
      <c r="L35" s="88"/>
      <c r="M35" s="88"/>
    </row>
    <row r="36" spans="1:13" ht="13.2">
      <c r="A36" s="105" t="s">
        <v>13</v>
      </c>
      <c r="B36" s="105">
        <v>23.478324275999999</v>
      </c>
      <c r="C36" s="105">
        <v>3.01</v>
      </c>
      <c r="D36" s="105"/>
      <c r="E36" s="105">
        <v>0.61899999999999999</v>
      </c>
      <c r="F36" s="103"/>
      <c r="G36" s="103"/>
      <c r="H36" s="105">
        <v>20</v>
      </c>
      <c r="I36" s="105" t="s">
        <v>14</v>
      </c>
      <c r="J36" s="103"/>
      <c r="K36" s="153">
        <v>6.7</v>
      </c>
      <c r="L36" s="92"/>
      <c r="M36" s="92"/>
    </row>
    <row r="37" spans="1:13" ht="13.2">
      <c r="A37" s="105" t="s">
        <v>13</v>
      </c>
      <c r="B37" s="105">
        <v>35.778254808</v>
      </c>
      <c r="C37" s="105">
        <v>3.01</v>
      </c>
      <c r="D37" s="105"/>
      <c r="E37" s="105">
        <v>0.61899999999999999</v>
      </c>
      <c r="F37" s="103"/>
      <c r="G37" s="103"/>
      <c r="H37" s="105">
        <v>20</v>
      </c>
      <c r="I37" s="105" t="s">
        <v>14</v>
      </c>
      <c r="J37" s="103"/>
      <c r="K37" s="153">
        <v>7.15</v>
      </c>
      <c r="L37" s="92"/>
      <c r="M37" s="92"/>
    </row>
    <row r="38" spans="1:13" ht="13.2">
      <c r="A38" s="105" t="s">
        <v>13</v>
      </c>
      <c r="B38" s="105">
        <v>60.577243619999997</v>
      </c>
      <c r="C38" s="105">
        <v>3.01</v>
      </c>
      <c r="D38" s="105"/>
      <c r="E38" s="105">
        <v>0.61899999999999999</v>
      </c>
      <c r="F38" s="103"/>
      <c r="G38" s="103"/>
      <c r="H38" s="105">
        <v>20</v>
      </c>
      <c r="I38" s="105" t="s">
        <v>14</v>
      </c>
      <c r="J38" s="103"/>
      <c r="K38" s="153">
        <v>7.55</v>
      </c>
      <c r="L38" s="92"/>
      <c r="M38" s="92"/>
    </row>
    <row r="39" spans="1:13" ht="13.2">
      <c r="A39" s="105" t="s">
        <v>13</v>
      </c>
      <c r="B39" s="105">
        <v>114.50294531999999</v>
      </c>
      <c r="C39" s="105">
        <v>3.01</v>
      </c>
      <c r="D39" s="105"/>
      <c r="E39" s="105">
        <v>0.61899999999999999</v>
      </c>
      <c r="F39" s="103"/>
      <c r="G39" s="103"/>
      <c r="H39" s="105">
        <v>20</v>
      </c>
      <c r="I39" s="105" t="s">
        <v>14</v>
      </c>
      <c r="J39" s="103"/>
      <c r="K39" s="153">
        <v>8.5</v>
      </c>
      <c r="L39" s="92"/>
      <c r="M39" s="92"/>
    </row>
    <row r="40" spans="1:13" ht="13.2">
      <c r="A40" s="105" t="s">
        <v>13</v>
      </c>
      <c r="B40" s="105">
        <v>165.53885424000001</v>
      </c>
      <c r="C40" s="105">
        <v>3.01</v>
      </c>
      <c r="D40" s="105"/>
      <c r="E40" s="105">
        <v>0.61899999999999999</v>
      </c>
      <c r="F40" s="103"/>
      <c r="G40" s="103"/>
      <c r="H40" s="105">
        <v>20</v>
      </c>
      <c r="I40" s="105" t="s">
        <v>14</v>
      </c>
      <c r="J40" s="103"/>
      <c r="K40" s="153">
        <v>9.17</v>
      </c>
      <c r="L40" s="92"/>
      <c r="M40" s="92"/>
    </row>
    <row r="41" spans="1:13" ht="13.2">
      <c r="A41" s="105" t="s">
        <v>13</v>
      </c>
      <c r="B41" s="105">
        <v>246.2957193</v>
      </c>
      <c r="C41" s="105">
        <v>3.01</v>
      </c>
      <c r="D41" s="105"/>
      <c r="E41" s="105">
        <v>0.61899999999999999</v>
      </c>
      <c r="F41" s="103"/>
      <c r="G41" s="103"/>
      <c r="H41" s="105">
        <v>20</v>
      </c>
      <c r="I41" s="105" t="s">
        <v>14</v>
      </c>
      <c r="J41" s="103"/>
      <c r="K41" s="153">
        <v>9.9</v>
      </c>
      <c r="L41" s="92"/>
      <c r="M41" s="92"/>
    </row>
    <row r="42" spans="1:13" ht="13.2">
      <c r="A42" s="105" t="s">
        <v>13</v>
      </c>
      <c r="B42" s="105">
        <v>488.37597119999998</v>
      </c>
      <c r="C42" s="105">
        <v>3.01</v>
      </c>
      <c r="D42" s="105"/>
      <c r="E42" s="105">
        <v>0.61899999999999999</v>
      </c>
      <c r="F42" s="103"/>
      <c r="G42" s="103"/>
      <c r="H42" s="105">
        <v>20</v>
      </c>
      <c r="I42" s="105" t="s">
        <v>14</v>
      </c>
      <c r="J42" s="103"/>
      <c r="K42" s="153">
        <v>11.43</v>
      </c>
      <c r="L42" s="92"/>
      <c r="M42" s="92"/>
    </row>
    <row r="43" spans="1:13" ht="13.2">
      <c r="A43" s="105" t="s">
        <v>13</v>
      </c>
      <c r="B43" s="105">
        <v>21.956390219999999</v>
      </c>
      <c r="C43" s="105">
        <v>3.01</v>
      </c>
      <c r="D43" s="105"/>
      <c r="E43" s="105">
        <v>0.109</v>
      </c>
      <c r="F43" s="103"/>
      <c r="G43" s="103"/>
      <c r="H43" s="105">
        <v>20</v>
      </c>
      <c r="I43" s="105" t="s">
        <v>14</v>
      </c>
      <c r="J43" s="103"/>
      <c r="K43" s="153">
        <v>5.84</v>
      </c>
      <c r="L43" s="92"/>
      <c r="M43" s="92"/>
    </row>
    <row r="44" spans="1:13" ht="13.2">
      <c r="A44" s="105" t="s">
        <v>13</v>
      </c>
      <c r="B44" s="105">
        <v>35.949928247999999</v>
      </c>
      <c r="C44" s="105">
        <v>3.01</v>
      </c>
      <c r="D44" s="105"/>
      <c r="E44" s="105">
        <v>0.109</v>
      </c>
      <c r="F44" s="103"/>
      <c r="G44" s="103"/>
      <c r="H44" s="105">
        <v>20</v>
      </c>
      <c r="I44" s="105" t="s">
        <v>14</v>
      </c>
      <c r="J44" s="103"/>
      <c r="K44" s="153">
        <v>6.09</v>
      </c>
      <c r="L44" s="92"/>
      <c r="M44" s="92"/>
    </row>
    <row r="45" spans="1:13" ht="13.2">
      <c r="A45" s="105" t="s">
        <v>13</v>
      </c>
      <c r="B45" s="105">
        <v>60.00001752</v>
      </c>
      <c r="C45" s="105">
        <v>3.01</v>
      </c>
      <c r="D45" s="105"/>
      <c r="E45" s="105">
        <v>0.109</v>
      </c>
      <c r="F45" s="103"/>
      <c r="G45" s="103"/>
      <c r="H45" s="105">
        <v>20</v>
      </c>
      <c r="I45" s="105" t="s">
        <v>14</v>
      </c>
      <c r="J45" s="103"/>
      <c r="K45" s="153">
        <v>6.4</v>
      </c>
      <c r="L45" s="92"/>
      <c r="M45" s="92"/>
    </row>
    <row r="46" spans="1:13" ht="13.2">
      <c r="A46" s="105" t="s">
        <v>13</v>
      </c>
      <c r="B46" s="105">
        <v>101.58784152</v>
      </c>
      <c r="C46" s="105">
        <v>3.01</v>
      </c>
      <c r="D46" s="105"/>
      <c r="E46" s="105">
        <v>0.109</v>
      </c>
      <c r="F46" s="103"/>
      <c r="G46" s="103"/>
      <c r="H46" s="105">
        <v>20</v>
      </c>
      <c r="I46" s="105" t="s">
        <v>14</v>
      </c>
      <c r="J46" s="103"/>
      <c r="K46" s="153">
        <v>6.92</v>
      </c>
      <c r="L46" s="92"/>
      <c r="M46" s="92"/>
    </row>
    <row r="47" spans="1:13" ht="13.2">
      <c r="A47" s="105" t="s">
        <v>13</v>
      </c>
      <c r="B47" s="105">
        <v>163.17850079999999</v>
      </c>
      <c r="C47" s="105">
        <v>3.01</v>
      </c>
      <c r="D47" s="105"/>
      <c r="E47" s="105">
        <v>0.109</v>
      </c>
      <c r="F47" s="103"/>
      <c r="G47" s="103"/>
      <c r="H47" s="105">
        <v>20</v>
      </c>
      <c r="I47" s="105" t="s">
        <v>14</v>
      </c>
      <c r="J47" s="103"/>
      <c r="K47" s="153">
        <v>7.57</v>
      </c>
      <c r="L47" s="92"/>
      <c r="M47" s="92"/>
    </row>
    <row r="48" spans="1:13" ht="13.2">
      <c r="A48" s="105" t="s">
        <v>13</v>
      </c>
      <c r="B48" s="105">
        <v>238.17927888</v>
      </c>
      <c r="C48" s="105">
        <v>3.01</v>
      </c>
      <c r="D48" s="105"/>
      <c r="E48" s="105">
        <v>0.109</v>
      </c>
      <c r="F48" s="103"/>
      <c r="G48" s="103"/>
      <c r="H48" s="105">
        <v>20</v>
      </c>
      <c r="I48" s="105" t="s">
        <v>14</v>
      </c>
      <c r="J48" s="103"/>
      <c r="K48" s="153">
        <v>8.14</v>
      </c>
      <c r="L48" s="92"/>
      <c r="M48" s="92"/>
    </row>
    <row r="49" spans="1:13" ht="13.2">
      <c r="A49" s="105" t="s">
        <v>13</v>
      </c>
      <c r="B49" s="105">
        <v>472.28200709999999</v>
      </c>
      <c r="C49" s="105">
        <v>3.01</v>
      </c>
      <c r="D49" s="105"/>
      <c r="E49" s="105">
        <v>0.109</v>
      </c>
      <c r="F49" s="103"/>
      <c r="G49" s="103"/>
      <c r="H49" s="105">
        <v>20</v>
      </c>
      <c r="I49" s="105" t="s">
        <v>14</v>
      </c>
      <c r="J49" s="103"/>
      <c r="K49" s="153">
        <v>9.42</v>
      </c>
      <c r="L49" s="92"/>
      <c r="M49" s="92"/>
    </row>
    <row r="50" spans="1:13" ht="13.2">
      <c r="A50" s="105" t="s">
        <v>13</v>
      </c>
      <c r="B50" s="105">
        <v>1.0669678469999999</v>
      </c>
      <c r="C50" s="105">
        <v>0.91500000000000004</v>
      </c>
      <c r="D50" s="105">
        <v>5.7000000000000002E-2</v>
      </c>
      <c r="E50" s="105"/>
      <c r="F50" s="103"/>
      <c r="G50" s="103"/>
      <c r="H50" s="105">
        <v>20</v>
      </c>
      <c r="I50" s="105" t="s">
        <v>14</v>
      </c>
      <c r="J50" s="103"/>
      <c r="K50" s="153">
        <v>3.36</v>
      </c>
      <c r="L50" s="92"/>
      <c r="M50" s="92"/>
    </row>
    <row r="51" spans="1:13" ht="13.2">
      <c r="A51" s="105" t="s">
        <v>13</v>
      </c>
      <c r="B51" s="105">
        <v>1.2020900052000001</v>
      </c>
      <c r="C51" s="105">
        <v>0.91500000000000004</v>
      </c>
      <c r="D51" s="105">
        <v>5.7000000000000002E-2</v>
      </c>
      <c r="E51" s="105"/>
      <c r="F51" s="103"/>
      <c r="G51" s="103"/>
      <c r="H51" s="105">
        <v>20</v>
      </c>
      <c r="I51" s="105" t="s">
        <v>14</v>
      </c>
      <c r="J51" s="103"/>
      <c r="K51" s="153">
        <v>3.37</v>
      </c>
      <c r="L51" s="92"/>
      <c r="M51" s="92"/>
    </row>
    <row r="52" spans="1:13" ht="13.2">
      <c r="A52" s="105" t="s">
        <v>13</v>
      </c>
      <c r="B52" s="105">
        <v>1.9933335798</v>
      </c>
      <c r="C52" s="105">
        <v>0.91500000000000004</v>
      </c>
      <c r="D52" s="105">
        <v>5.7000000000000002E-2</v>
      </c>
      <c r="E52" s="105"/>
      <c r="F52" s="103"/>
      <c r="G52" s="103"/>
      <c r="H52" s="105">
        <v>20</v>
      </c>
      <c r="I52" s="105" t="s">
        <v>14</v>
      </c>
      <c r="J52" s="103"/>
      <c r="K52" s="153">
        <v>3.43</v>
      </c>
      <c r="L52" s="92"/>
      <c r="M52" s="92"/>
    </row>
    <row r="53" spans="1:13" ht="13.2">
      <c r="A53" s="105" t="s">
        <v>13</v>
      </c>
      <c r="B53" s="105">
        <v>3.1204893876000002</v>
      </c>
      <c r="C53" s="105">
        <v>0.91500000000000004</v>
      </c>
      <c r="D53" s="105">
        <v>5.7000000000000002E-2</v>
      </c>
      <c r="E53" s="105"/>
      <c r="F53" s="103"/>
      <c r="G53" s="103"/>
      <c r="H53" s="105">
        <v>20</v>
      </c>
      <c r="I53" s="105" t="s">
        <v>14</v>
      </c>
      <c r="J53" s="103"/>
      <c r="K53" s="153">
        <v>3.49</v>
      </c>
      <c r="L53" s="92"/>
      <c r="M53" s="92"/>
    </row>
    <row r="54" spans="1:13" ht="13.2">
      <c r="A54" s="105" t="s">
        <v>13</v>
      </c>
      <c r="B54" s="105">
        <v>5.7820231152000003</v>
      </c>
      <c r="C54" s="105">
        <v>0.91500000000000004</v>
      </c>
      <c r="D54" s="105">
        <v>5.7000000000000002E-2</v>
      </c>
      <c r="E54" s="105"/>
      <c r="F54" s="103"/>
      <c r="G54" s="103"/>
      <c r="H54" s="105">
        <v>20</v>
      </c>
      <c r="I54" s="105" t="s">
        <v>14</v>
      </c>
      <c r="J54" s="103"/>
      <c r="K54" s="153">
        <v>3.55</v>
      </c>
      <c r="L54" s="92"/>
      <c r="M54" s="92"/>
    </row>
    <row r="55" spans="1:13" ht="13.2">
      <c r="A55" s="105" t="s">
        <v>13</v>
      </c>
      <c r="B55" s="105">
        <v>7.7422222319999996</v>
      </c>
      <c r="C55" s="105">
        <v>0.91500000000000004</v>
      </c>
      <c r="D55" s="105">
        <v>5.7000000000000002E-2</v>
      </c>
      <c r="E55" s="105"/>
      <c r="F55" s="103"/>
      <c r="G55" s="103"/>
      <c r="H55" s="105">
        <v>20</v>
      </c>
      <c r="I55" s="105" t="s">
        <v>14</v>
      </c>
      <c r="J55" s="103"/>
      <c r="K55" s="153">
        <v>3.6</v>
      </c>
      <c r="L55" s="92"/>
      <c r="M55" s="92"/>
    </row>
    <row r="56" spans="1:13" ht="13.2">
      <c r="A56" s="105" t="s">
        <v>13</v>
      </c>
      <c r="B56" s="154">
        <v>11.4893163</v>
      </c>
      <c r="C56" s="105">
        <v>0.91500000000000004</v>
      </c>
      <c r="D56" s="105">
        <v>5.7000000000000002E-2</v>
      </c>
      <c r="E56" s="105"/>
      <c r="F56" s="103"/>
      <c r="G56" s="103"/>
      <c r="H56" s="105">
        <v>20</v>
      </c>
      <c r="I56" s="105" t="s">
        <v>14</v>
      </c>
      <c r="J56" s="103"/>
      <c r="K56" s="153">
        <v>3.64</v>
      </c>
      <c r="L56" s="92"/>
      <c r="M56" s="92"/>
    </row>
    <row r="57" spans="1:13" ht="13.2">
      <c r="A57" s="105" t="s">
        <v>13</v>
      </c>
      <c r="B57" s="105">
        <v>12.070430364</v>
      </c>
      <c r="C57" s="105">
        <v>0.91500000000000004</v>
      </c>
      <c r="D57" s="105">
        <v>5.7000000000000002E-2</v>
      </c>
      <c r="E57" s="105"/>
      <c r="F57" s="103"/>
      <c r="G57" s="103"/>
      <c r="H57" s="105">
        <v>20</v>
      </c>
      <c r="I57" s="105" t="s">
        <v>14</v>
      </c>
      <c r="J57" s="103"/>
      <c r="K57" s="153">
        <v>3.68</v>
      </c>
      <c r="L57" s="92"/>
      <c r="M57" s="92"/>
    </row>
    <row r="58" spans="1:13" ht="13.2">
      <c r="A58" s="105" t="s">
        <v>13</v>
      </c>
      <c r="B58" s="105">
        <v>17.986096230000001</v>
      </c>
      <c r="C58" s="105">
        <v>0.91500000000000004</v>
      </c>
      <c r="D58" s="105">
        <v>5.7000000000000002E-2</v>
      </c>
      <c r="E58" s="105"/>
      <c r="F58" s="103"/>
      <c r="G58" s="103"/>
      <c r="H58" s="105">
        <v>20</v>
      </c>
      <c r="I58" s="105" t="s">
        <v>14</v>
      </c>
      <c r="J58" s="103"/>
      <c r="K58" s="153">
        <v>3.73</v>
      </c>
      <c r="L58" s="92"/>
      <c r="M58" s="92"/>
    </row>
    <row r="59" spans="1:13" ht="13.2">
      <c r="A59" s="105" t="s">
        <v>13</v>
      </c>
      <c r="B59" s="105">
        <v>28.623498485999999</v>
      </c>
      <c r="C59" s="105">
        <v>0.91500000000000004</v>
      </c>
      <c r="D59" s="105">
        <v>5.7000000000000002E-2</v>
      </c>
      <c r="E59" s="105"/>
      <c r="F59" s="103"/>
      <c r="G59" s="103"/>
      <c r="H59" s="105">
        <v>20</v>
      </c>
      <c r="I59" s="105" t="s">
        <v>14</v>
      </c>
      <c r="J59" s="103"/>
      <c r="K59" s="153">
        <v>3.84</v>
      </c>
      <c r="L59" s="92"/>
      <c r="M59" s="92"/>
    </row>
    <row r="60" spans="1:13" ht="13.2">
      <c r="A60" s="105" t="s">
        <v>13</v>
      </c>
      <c r="B60" s="105">
        <v>40.265840189999999</v>
      </c>
      <c r="C60" s="105">
        <v>0.91500000000000004</v>
      </c>
      <c r="D60" s="105">
        <v>5.7000000000000002E-2</v>
      </c>
      <c r="E60" s="105"/>
      <c r="F60" s="103"/>
      <c r="G60" s="103"/>
      <c r="H60" s="105">
        <v>20</v>
      </c>
      <c r="I60" s="105" t="s">
        <v>14</v>
      </c>
      <c r="J60" s="103"/>
      <c r="K60" s="153">
        <v>3.99</v>
      </c>
      <c r="L60" s="92"/>
      <c r="M60" s="92"/>
    </row>
    <row r="61" spans="1:13" ht="13.2">
      <c r="A61" s="105" t="s">
        <v>13</v>
      </c>
      <c r="B61" s="105">
        <v>58.058448857999998</v>
      </c>
      <c r="C61" s="105">
        <v>0.91500000000000004</v>
      </c>
      <c r="D61" s="105">
        <v>5.7000000000000002E-2</v>
      </c>
      <c r="E61" s="105"/>
      <c r="F61" s="103"/>
      <c r="G61" s="103"/>
      <c r="H61" s="105">
        <v>20</v>
      </c>
      <c r="I61" s="105" t="s">
        <v>14</v>
      </c>
      <c r="J61" s="103"/>
      <c r="K61" s="153">
        <v>4.1399999999999997</v>
      </c>
      <c r="L61" s="92"/>
      <c r="M61" s="92"/>
    </row>
    <row r="62" spans="1:13" ht="13.2">
      <c r="A62" s="105" t="s">
        <v>13</v>
      </c>
      <c r="B62" s="105">
        <v>7.981831068</v>
      </c>
      <c r="C62" s="105">
        <v>0.91500000000000004</v>
      </c>
      <c r="D62" s="105">
        <v>3.5000000000000003E-2</v>
      </c>
      <c r="E62" s="105"/>
      <c r="F62" s="103"/>
      <c r="G62" s="103"/>
      <c r="H62" s="105">
        <v>20</v>
      </c>
      <c r="I62" s="105" t="s">
        <v>14</v>
      </c>
      <c r="J62" s="103"/>
      <c r="K62" s="153">
        <v>3.9</v>
      </c>
      <c r="L62" s="92"/>
      <c r="M62" s="92"/>
    </row>
    <row r="63" spans="1:13" ht="13.2">
      <c r="A63" s="105" t="s">
        <v>13</v>
      </c>
      <c r="B63" s="105">
        <v>13.421075009999999</v>
      </c>
      <c r="C63" s="105">
        <v>0.91500000000000004</v>
      </c>
      <c r="D63" s="105">
        <v>3.5000000000000003E-2</v>
      </c>
      <c r="E63" s="105"/>
      <c r="F63" s="103"/>
      <c r="G63" s="103"/>
      <c r="H63" s="105">
        <v>20</v>
      </c>
      <c r="I63" s="105" t="s">
        <v>14</v>
      </c>
      <c r="J63" s="103"/>
      <c r="K63" s="153">
        <v>4</v>
      </c>
      <c r="L63" s="92"/>
      <c r="M63" s="92"/>
    </row>
    <row r="64" spans="1:13" ht="13.2">
      <c r="A64" s="105" t="s">
        <v>13</v>
      </c>
      <c r="B64" s="105">
        <v>21.148257539999999</v>
      </c>
      <c r="C64" s="105">
        <v>0.91500000000000004</v>
      </c>
      <c r="D64" s="105">
        <v>3.5000000000000003E-2</v>
      </c>
      <c r="E64" s="105"/>
      <c r="F64" s="103"/>
      <c r="G64" s="103"/>
      <c r="H64" s="105">
        <v>20</v>
      </c>
      <c r="I64" s="105" t="s">
        <v>14</v>
      </c>
      <c r="J64" s="103"/>
      <c r="K64" s="153">
        <v>4.0999999999999996</v>
      </c>
      <c r="L64" s="92"/>
      <c r="M64" s="92"/>
    </row>
    <row r="65" spans="1:13" ht="13.2">
      <c r="A65" s="105" t="s">
        <v>13</v>
      </c>
      <c r="B65" s="105">
        <v>29.091277806000001</v>
      </c>
      <c r="C65" s="105">
        <v>0.91500000000000004</v>
      </c>
      <c r="D65" s="105">
        <v>3.5000000000000003E-2</v>
      </c>
      <c r="E65" s="105"/>
      <c r="F65" s="103"/>
      <c r="G65" s="103"/>
      <c r="H65" s="105">
        <v>20</v>
      </c>
      <c r="I65" s="105" t="s">
        <v>14</v>
      </c>
      <c r="J65" s="103"/>
      <c r="K65" s="153">
        <v>4.21</v>
      </c>
      <c r="L65" s="92"/>
      <c r="M65" s="92"/>
    </row>
    <row r="66" spans="1:13" ht="13.2">
      <c r="A66" s="105" t="s">
        <v>13</v>
      </c>
      <c r="B66" s="105">
        <v>33.494475287999997</v>
      </c>
      <c r="C66" s="105">
        <v>0.91500000000000004</v>
      </c>
      <c r="D66" s="105">
        <v>3.5000000000000003E-2</v>
      </c>
      <c r="E66" s="105"/>
      <c r="F66" s="103"/>
      <c r="G66" s="103"/>
      <c r="H66" s="105">
        <v>20</v>
      </c>
      <c r="I66" s="105" t="s">
        <v>14</v>
      </c>
      <c r="J66" s="103"/>
      <c r="K66" s="153">
        <v>4.26</v>
      </c>
      <c r="L66" s="92"/>
      <c r="M66" s="92"/>
    </row>
    <row r="67" spans="1:13" ht="13.2">
      <c r="A67" s="105" t="s">
        <v>13</v>
      </c>
      <c r="B67" s="105">
        <v>38.847379392000001</v>
      </c>
      <c r="C67" s="105">
        <v>0.91500000000000004</v>
      </c>
      <c r="D67" s="105">
        <v>3.5000000000000003E-2</v>
      </c>
      <c r="E67" s="105"/>
      <c r="F67" s="103"/>
      <c r="G67" s="103"/>
      <c r="H67" s="105">
        <v>20</v>
      </c>
      <c r="I67" s="105" t="s">
        <v>14</v>
      </c>
      <c r="J67" s="103"/>
      <c r="K67" s="153">
        <v>4.34</v>
      </c>
      <c r="L67" s="92"/>
      <c r="M67" s="92"/>
    </row>
    <row r="68" spans="1:13" ht="13.2">
      <c r="A68" s="105" t="s">
        <v>13</v>
      </c>
      <c r="B68" s="105">
        <v>40.919472317999997</v>
      </c>
      <c r="C68" s="105">
        <v>0.91500000000000004</v>
      </c>
      <c r="D68" s="105">
        <v>3.5000000000000003E-2</v>
      </c>
      <c r="E68" s="105"/>
      <c r="F68" s="103"/>
      <c r="G68" s="103"/>
      <c r="H68" s="105">
        <v>20</v>
      </c>
      <c r="I68" s="105" t="s">
        <v>14</v>
      </c>
      <c r="J68" s="103"/>
      <c r="K68" s="153">
        <v>4.41</v>
      </c>
      <c r="L68" s="92"/>
      <c r="M68" s="92"/>
    </row>
    <row r="69" spans="1:13" ht="13.2">
      <c r="A69" s="105" t="s">
        <v>13</v>
      </c>
      <c r="B69" s="105">
        <v>46.531395947999997</v>
      </c>
      <c r="C69" s="105">
        <v>0.91500000000000004</v>
      </c>
      <c r="D69" s="105">
        <v>3.5000000000000003E-2</v>
      </c>
      <c r="E69" s="105"/>
      <c r="F69" s="103"/>
      <c r="G69" s="103"/>
      <c r="H69" s="105">
        <v>20</v>
      </c>
      <c r="I69" s="105" t="s">
        <v>14</v>
      </c>
      <c r="J69" s="103"/>
      <c r="K69" s="153">
        <v>4.5199999999999996</v>
      </c>
      <c r="L69" s="92"/>
      <c r="M69" s="92"/>
    </row>
    <row r="70" spans="1:13" ht="13.2">
      <c r="A70" s="105" t="s">
        <v>13</v>
      </c>
      <c r="B70" s="105">
        <v>49.553195502000001</v>
      </c>
      <c r="C70" s="105">
        <v>0.91500000000000004</v>
      </c>
      <c r="D70" s="105">
        <v>3.5000000000000003E-2</v>
      </c>
      <c r="E70" s="105"/>
      <c r="F70" s="103"/>
      <c r="G70" s="103"/>
      <c r="H70" s="105">
        <v>20</v>
      </c>
      <c r="I70" s="105" t="s">
        <v>14</v>
      </c>
      <c r="J70" s="103"/>
      <c r="K70" s="153">
        <v>4.5999999999999996</v>
      </c>
      <c r="L70" s="92"/>
      <c r="M70" s="92"/>
    </row>
    <row r="71" spans="1:13" ht="13.2">
      <c r="A71" s="105" t="s">
        <v>13</v>
      </c>
      <c r="B71" s="105">
        <v>54.431250245999998</v>
      </c>
      <c r="C71" s="105">
        <v>0.91500000000000004</v>
      </c>
      <c r="D71" s="105">
        <v>3.5000000000000003E-2</v>
      </c>
      <c r="E71" s="105"/>
      <c r="F71" s="103"/>
      <c r="G71" s="103"/>
      <c r="H71" s="105">
        <v>20</v>
      </c>
      <c r="I71" s="105" t="s">
        <v>14</v>
      </c>
      <c r="J71" s="103"/>
      <c r="K71" s="153">
        <v>4.74</v>
      </c>
      <c r="L71" s="92"/>
      <c r="M71" s="92"/>
    </row>
    <row r="72" spans="1:13" ht="13.2">
      <c r="A72" s="105" t="s">
        <v>13</v>
      </c>
      <c r="B72" s="105">
        <v>3.9167537513999999</v>
      </c>
      <c r="C72" s="105">
        <v>0.91500000000000004</v>
      </c>
      <c r="D72" s="105">
        <v>3.5000000000000003E-2</v>
      </c>
      <c r="E72" s="105"/>
      <c r="F72" s="103"/>
      <c r="G72" s="103"/>
      <c r="H72" s="105">
        <v>20</v>
      </c>
      <c r="I72" s="105" t="s">
        <v>14</v>
      </c>
      <c r="J72" s="103"/>
      <c r="K72" s="153">
        <v>3.13</v>
      </c>
      <c r="L72" s="92"/>
      <c r="M72" s="92"/>
    </row>
    <row r="73" spans="1:13" ht="13.2">
      <c r="A73" s="105" t="s">
        <v>13</v>
      </c>
      <c r="B73" s="105">
        <v>6.2858590679999997</v>
      </c>
      <c r="C73" s="105">
        <v>0.91500000000000004</v>
      </c>
      <c r="D73" s="105">
        <v>3.5000000000000003E-2</v>
      </c>
      <c r="E73" s="105"/>
      <c r="F73" s="103"/>
      <c r="G73" s="103"/>
      <c r="H73" s="105">
        <v>20</v>
      </c>
      <c r="I73" s="105" t="s">
        <v>14</v>
      </c>
      <c r="J73" s="103"/>
      <c r="K73" s="153">
        <v>3.2</v>
      </c>
      <c r="L73" s="92"/>
      <c r="M73" s="92"/>
    </row>
    <row r="74" spans="1:13" ht="13.2">
      <c r="A74" s="105" t="s">
        <v>13</v>
      </c>
      <c r="B74" s="105">
        <v>10.4641053</v>
      </c>
      <c r="C74" s="105">
        <v>0.91500000000000004</v>
      </c>
      <c r="D74" s="105">
        <v>3.5000000000000003E-2</v>
      </c>
      <c r="E74" s="105"/>
      <c r="F74" s="103"/>
      <c r="G74" s="103"/>
      <c r="H74" s="105">
        <v>20</v>
      </c>
      <c r="I74" s="105" t="s">
        <v>14</v>
      </c>
      <c r="J74" s="103"/>
      <c r="K74" s="153">
        <v>3.3</v>
      </c>
      <c r="L74" s="92"/>
      <c r="M74" s="92"/>
    </row>
    <row r="75" spans="1:13" ht="13.2">
      <c r="A75" s="105" t="s">
        <v>13</v>
      </c>
      <c r="B75" s="105">
        <v>14.513127468</v>
      </c>
      <c r="C75" s="105">
        <v>0.91500000000000004</v>
      </c>
      <c r="D75" s="105">
        <v>3.5000000000000003E-2</v>
      </c>
      <c r="E75" s="105"/>
      <c r="F75" s="103"/>
      <c r="G75" s="103"/>
      <c r="H75" s="105">
        <v>20</v>
      </c>
      <c r="I75" s="105" t="s">
        <v>14</v>
      </c>
      <c r="J75" s="103"/>
      <c r="K75" s="153">
        <v>3.42</v>
      </c>
      <c r="L75" s="92"/>
      <c r="M75" s="92"/>
    </row>
    <row r="76" spans="1:13" ht="13.2">
      <c r="A76" s="105" t="s">
        <v>13</v>
      </c>
      <c r="B76" s="105">
        <v>15.848440224000001</v>
      </c>
      <c r="C76" s="105">
        <v>0.91500000000000004</v>
      </c>
      <c r="D76" s="105">
        <v>3.5000000000000003E-2</v>
      </c>
      <c r="E76" s="105"/>
      <c r="F76" s="103"/>
      <c r="G76" s="103"/>
      <c r="H76" s="105">
        <v>20</v>
      </c>
      <c r="I76" s="105" t="s">
        <v>14</v>
      </c>
      <c r="J76" s="103"/>
      <c r="K76" s="153">
        <v>3.43</v>
      </c>
      <c r="L76" s="92"/>
      <c r="M76" s="92"/>
    </row>
    <row r="77" spans="1:13" ht="13.2">
      <c r="A77" s="105" t="s">
        <v>13</v>
      </c>
      <c r="B77" s="105">
        <v>21.318931098</v>
      </c>
      <c r="C77" s="105">
        <v>0.91500000000000004</v>
      </c>
      <c r="D77" s="105">
        <v>3.5000000000000003E-2</v>
      </c>
      <c r="E77" s="105"/>
      <c r="F77" s="103"/>
      <c r="G77" s="103"/>
      <c r="H77" s="105">
        <v>20</v>
      </c>
      <c r="I77" s="105" t="s">
        <v>14</v>
      </c>
      <c r="J77" s="103"/>
      <c r="K77" s="153">
        <v>3.6</v>
      </c>
      <c r="L77" s="92"/>
      <c r="M77" s="92"/>
    </row>
    <row r="78" spans="1:13" ht="13.2">
      <c r="A78" s="105" t="s">
        <v>13</v>
      </c>
      <c r="B78" s="105">
        <v>26.186365800000001</v>
      </c>
      <c r="C78" s="105">
        <v>0.91500000000000004</v>
      </c>
      <c r="D78" s="105">
        <v>3.5000000000000003E-2</v>
      </c>
      <c r="E78" s="105"/>
      <c r="F78" s="103"/>
      <c r="G78" s="103"/>
      <c r="H78" s="105">
        <v>20</v>
      </c>
      <c r="I78" s="105" t="s">
        <v>14</v>
      </c>
      <c r="J78" s="103"/>
      <c r="K78" s="153">
        <v>3.69</v>
      </c>
      <c r="L78" s="92"/>
      <c r="M78" s="92"/>
    </row>
    <row r="79" spans="1:13" ht="13.2">
      <c r="A79" s="105" t="s">
        <v>13</v>
      </c>
      <c r="B79" s="105">
        <v>31.139960393999999</v>
      </c>
      <c r="C79" s="105">
        <v>0.91500000000000004</v>
      </c>
      <c r="D79" s="105">
        <v>3.5000000000000003E-2</v>
      </c>
      <c r="E79" s="105"/>
      <c r="F79" s="103"/>
      <c r="G79" s="103"/>
      <c r="H79" s="105">
        <v>20</v>
      </c>
      <c r="I79" s="105" t="s">
        <v>14</v>
      </c>
      <c r="J79" s="103"/>
      <c r="K79" s="153">
        <v>3.77</v>
      </c>
      <c r="L79" s="92"/>
      <c r="M79" s="92"/>
    </row>
    <row r="80" spans="1:13" ht="13.2">
      <c r="A80" s="105" t="s">
        <v>13</v>
      </c>
      <c r="B80" s="105">
        <v>33.379841640000002</v>
      </c>
      <c r="C80" s="105">
        <v>0.91500000000000004</v>
      </c>
      <c r="D80" s="105">
        <v>3.5000000000000003E-2</v>
      </c>
      <c r="E80" s="105"/>
      <c r="F80" s="103"/>
      <c r="G80" s="103"/>
      <c r="H80" s="105">
        <v>20</v>
      </c>
      <c r="I80" s="105" t="s">
        <v>14</v>
      </c>
      <c r="J80" s="103"/>
      <c r="K80" s="153">
        <v>3.9</v>
      </c>
      <c r="L80" s="92"/>
      <c r="M80" s="92"/>
    </row>
    <row r="81" spans="1:13" ht="13.2">
      <c r="A81" s="105" t="s">
        <v>13</v>
      </c>
      <c r="B81" s="105">
        <v>37.94575614</v>
      </c>
      <c r="C81" s="105">
        <v>0.91500000000000004</v>
      </c>
      <c r="D81" s="105">
        <v>3.5000000000000003E-2</v>
      </c>
      <c r="E81" s="105"/>
      <c r="F81" s="103"/>
      <c r="G81" s="103"/>
      <c r="H81" s="105">
        <v>20</v>
      </c>
      <c r="I81" s="105" t="s">
        <v>14</v>
      </c>
      <c r="J81" s="103"/>
      <c r="K81" s="153">
        <v>3.94</v>
      </c>
      <c r="L81" s="92"/>
      <c r="M81" s="92"/>
    </row>
    <row r="82" spans="1:13" ht="13.2">
      <c r="A82" s="105" t="s">
        <v>13</v>
      </c>
      <c r="B82" s="105">
        <v>40.573317486000001</v>
      </c>
      <c r="C82" s="105">
        <v>0.91500000000000004</v>
      </c>
      <c r="D82" s="105">
        <v>3.5000000000000003E-2</v>
      </c>
      <c r="E82" s="105"/>
      <c r="F82" s="103"/>
      <c r="G82" s="103"/>
      <c r="H82" s="105">
        <v>20</v>
      </c>
      <c r="I82" s="105" t="s">
        <v>14</v>
      </c>
      <c r="J82" s="103"/>
      <c r="K82" s="153">
        <v>4</v>
      </c>
      <c r="L82" s="92"/>
      <c r="M82" s="92"/>
    </row>
    <row r="83" spans="1:13" ht="13.2">
      <c r="A83" s="105" t="s">
        <v>13</v>
      </c>
      <c r="B83" s="105">
        <v>45.742280274000002</v>
      </c>
      <c r="C83" s="105">
        <v>0.91500000000000004</v>
      </c>
      <c r="D83" s="105">
        <v>3.5000000000000003E-2</v>
      </c>
      <c r="E83" s="105"/>
      <c r="F83" s="103"/>
      <c r="G83" s="103"/>
      <c r="H83" s="105">
        <v>20</v>
      </c>
      <c r="I83" s="105" t="s">
        <v>14</v>
      </c>
      <c r="J83" s="103"/>
      <c r="K83" s="153">
        <v>4.2</v>
      </c>
      <c r="L83" s="92"/>
      <c r="M83" s="92"/>
    </row>
    <row r="84" spans="1:13" ht="13.2">
      <c r="A84" s="105" t="s">
        <v>13</v>
      </c>
      <c r="B84" s="105">
        <v>50.351266836000001</v>
      </c>
      <c r="C84" s="105">
        <v>0.91500000000000004</v>
      </c>
      <c r="D84" s="105">
        <v>3.5000000000000003E-2</v>
      </c>
      <c r="E84" s="105"/>
      <c r="F84" s="103"/>
      <c r="G84" s="103"/>
      <c r="H84" s="105">
        <v>20</v>
      </c>
      <c r="I84" s="105" t="s">
        <v>14</v>
      </c>
      <c r="J84" s="103"/>
      <c r="K84" s="153">
        <v>4.38</v>
      </c>
      <c r="L84" s="92"/>
      <c r="M84" s="92"/>
    </row>
    <row r="85" spans="1:13" ht="13.2">
      <c r="A85" s="105" t="s">
        <v>13</v>
      </c>
      <c r="B85" s="105">
        <v>4.3673344289999996</v>
      </c>
      <c r="C85" s="105">
        <v>0.91500000000000004</v>
      </c>
      <c r="D85" s="105">
        <v>5.7000000000000002E-2</v>
      </c>
      <c r="E85" s="105"/>
      <c r="F85" s="103"/>
      <c r="G85" s="103"/>
      <c r="H85" s="105">
        <v>20</v>
      </c>
      <c r="I85" s="105" t="s">
        <v>14</v>
      </c>
      <c r="J85" s="103"/>
      <c r="K85" s="153">
        <v>5.23</v>
      </c>
      <c r="L85" s="92"/>
      <c r="M85" s="92"/>
    </row>
    <row r="86" spans="1:13" ht="13.2">
      <c r="A86" s="105" t="s">
        <v>13</v>
      </c>
      <c r="B86" s="105">
        <v>8.4443079300000008</v>
      </c>
      <c r="C86" s="105">
        <v>0.91500000000000004</v>
      </c>
      <c r="D86" s="105">
        <v>5.7000000000000002E-2</v>
      </c>
      <c r="E86" s="105"/>
      <c r="F86" s="103"/>
      <c r="G86" s="103"/>
      <c r="H86" s="105">
        <v>20</v>
      </c>
      <c r="I86" s="105" t="s">
        <v>14</v>
      </c>
      <c r="J86" s="103"/>
      <c r="K86" s="153">
        <v>5.18</v>
      </c>
      <c r="L86" s="92"/>
      <c r="M86" s="92"/>
    </row>
    <row r="87" spans="1:13" ht="13.2">
      <c r="A87" s="105" t="s">
        <v>13</v>
      </c>
      <c r="B87" s="105">
        <v>12.211647084000001</v>
      </c>
      <c r="C87" s="105">
        <v>0.91500000000000004</v>
      </c>
      <c r="D87" s="105">
        <v>5.7000000000000002E-2</v>
      </c>
      <c r="E87" s="105"/>
      <c r="F87" s="103"/>
      <c r="G87" s="103"/>
      <c r="H87" s="105">
        <v>20</v>
      </c>
      <c r="I87" s="105" t="s">
        <v>14</v>
      </c>
      <c r="J87" s="103"/>
      <c r="K87" s="153">
        <v>5.17</v>
      </c>
      <c r="L87" s="92"/>
      <c r="M87" s="92"/>
    </row>
    <row r="88" spans="1:13" ht="13.2">
      <c r="A88" s="105" t="s">
        <v>13</v>
      </c>
      <c r="B88" s="105">
        <v>17.578799916000001</v>
      </c>
      <c r="C88" s="105">
        <v>0.91500000000000004</v>
      </c>
      <c r="D88" s="105">
        <v>5.7000000000000002E-2</v>
      </c>
      <c r="E88" s="105"/>
      <c r="F88" s="103"/>
      <c r="G88" s="103"/>
      <c r="H88" s="105">
        <v>20</v>
      </c>
      <c r="I88" s="105" t="s">
        <v>14</v>
      </c>
      <c r="J88" s="103"/>
      <c r="K88" s="153">
        <v>5.15</v>
      </c>
      <c r="L88" s="92"/>
      <c r="M88" s="92"/>
    </row>
    <row r="89" spans="1:13" ht="13.2">
      <c r="A89" s="105" t="s">
        <v>13</v>
      </c>
      <c r="B89" s="105">
        <v>21.604169268</v>
      </c>
      <c r="C89" s="105">
        <v>0.91500000000000004</v>
      </c>
      <c r="D89" s="105">
        <v>5.7000000000000002E-2</v>
      </c>
      <c r="E89" s="105"/>
      <c r="F89" s="103"/>
      <c r="G89" s="103"/>
      <c r="H89" s="105">
        <v>20</v>
      </c>
      <c r="I89" s="105" t="s">
        <v>14</v>
      </c>
      <c r="J89" s="103"/>
      <c r="K89" s="153">
        <v>5.1100000000000003</v>
      </c>
      <c r="L89" s="92"/>
      <c r="M89" s="92"/>
    </row>
    <row r="90" spans="1:13" ht="13.2">
      <c r="A90" s="105" t="s">
        <v>13</v>
      </c>
      <c r="B90" s="105">
        <v>28.467946386000001</v>
      </c>
      <c r="C90" s="105">
        <v>0.91500000000000004</v>
      </c>
      <c r="D90" s="105">
        <v>5.7000000000000002E-2</v>
      </c>
      <c r="E90" s="105"/>
      <c r="F90" s="103"/>
      <c r="G90" s="103"/>
      <c r="H90" s="105">
        <v>20</v>
      </c>
      <c r="I90" s="105" t="s">
        <v>14</v>
      </c>
      <c r="J90" s="103"/>
      <c r="K90" s="153">
        <v>5.08</v>
      </c>
      <c r="L90" s="92"/>
      <c r="M90" s="92"/>
    </row>
    <row r="91" spans="1:13" ht="13.2">
      <c r="A91" s="105" t="s">
        <v>13</v>
      </c>
      <c r="B91" s="105">
        <v>31.667592647999999</v>
      </c>
      <c r="C91" s="105">
        <v>0.91500000000000004</v>
      </c>
      <c r="D91" s="105">
        <v>5.7000000000000002E-2</v>
      </c>
      <c r="E91" s="105"/>
      <c r="F91" s="103"/>
      <c r="G91" s="103"/>
      <c r="H91" s="105">
        <v>20</v>
      </c>
      <c r="I91" s="105" t="s">
        <v>14</v>
      </c>
      <c r="J91" s="103"/>
      <c r="K91" s="153">
        <v>5.05</v>
      </c>
      <c r="L91" s="92"/>
      <c r="M91" s="92"/>
    </row>
    <row r="92" spans="1:13" ht="13.2">
      <c r="A92" s="105" t="s">
        <v>13</v>
      </c>
      <c r="B92" s="105">
        <v>35.899397495999999</v>
      </c>
      <c r="C92" s="105">
        <v>0.91500000000000004</v>
      </c>
      <c r="D92" s="105">
        <v>5.7000000000000002E-2</v>
      </c>
      <c r="E92" s="105"/>
      <c r="F92" s="103"/>
      <c r="G92" s="103"/>
      <c r="H92" s="105">
        <v>20</v>
      </c>
      <c r="I92" s="105" t="s">
        <v>14</v>
      </c>
      <c r="J92" s="103"/>
      <c r="K92" s="153">
        <v>5.03</v>
      </c>
      <c r="L92" s="92"/>
      <c r="M92" s="92"/>
    </row>
    <row r="93" spans="1:13" ht="13.2">
      <c r="A93" s="105" t="s">
        <v>13</v>
      </c>
      <c r="B93" s="105">
        <v>39.202261505999999</v>
      </c>
      <c r="C93" s="105">
        <v>0.91500000000000004</v>
      </c>
      <c r="D93" s="105">
        <v>5.7000000000000002E-2</v>
      </c>
      <c r="E93" s="105"/>
      <c r="F93" s="103"/>
      <c r="G93" s="103"/>
      <c r="H93" s="105">
        <v>20</v>
      </c>
      <c r="I93" s="105" t="s">
        <v>14</v>
      </c>
      <c r="J93" s="103"/>
      <c r="K93" s="153">
        <v>5.01</v>
      </c>
      <c r="L93" s="92"/>
      <c r="M93" s="92"/>
    </row>
    <row r="94" spans="1:13" ht="13.2">
      <c r="A94" s="105" t="s">
        <v>13</v>
      </c>
      <c r="B94" s="105">
        <v>43.485670499999998</v>
      </c>
      <c r="C94" s="105">
        <v>0.91500000000000004</v>
      </c>
      <c r="D94" s="105">
        <v>5.7000000000000002E-2</v>
      </c>
      <c r="E94" s="105"/>
      <c r="F94" s="103"/>
      <c r="G94" s="103"/>
      <c r="H94" s="105">
        <v>20</v>
      </c>
      <c r="I94" s="105" t="s">
        <v>14</v>
      </c>
      <c r="J94" s="103"/>
      <c r="K94" s="153">
        <v>4.9400000000000004</v>
      </c>
      <c r="L94" s="92"/>
      <c r="M94" s="92"/>
    </row>
    <row r="95" spans="1:13" ht="13.2">
      <c r="A95" s="105" t="s">
        <v>13</v>
      </c>
      <c r="B95" s="105">
        <v>46.840138662000001</v>
      </c>
      <c r="C95" s="105">
        <v>0.91500000000000004</v>
      </c>
      <c r="D95" s="105">
        <v>5.7000000000000002E-2</v>
      </c>
      <c r="E95" s="105"/>
      <c r="F95" s="103"/>
      <c r="G95" s="103"/>
      <c r="H95" s="105">
        <v>20</v>
      </c>
      <c r="I95" s="105" t="s">
        <v>14</v>
      </c>
      <c r="J95" s="103"/>
      <c r="K95" s="153">
        <v>4.9000000000000004</v>
      </c>
      <c r="L95" s="92"/>
      <c r="M95" s="92"/>
    </row>
    <row r="96" spans="1:13" ht="13.2">
      <c r="A96" s="105" t="s">
        <v>13</v>
      </c>
      <c r="B96" s="105">
        <v>50.504260068000001</v>
      </c>
      <c r="C96" s="105">
        <v>0.91500000000000004</v>
      </c>
      <c r="D96" s="105">
        <v>5.7000000000000002E-2</v>
      </c>
      <c r="E96" s="105"/>
      <c r="F96" s="103"/>
      <c r="G96" s="103"/>
      <c r="H96" s="105">
        <v>20</v>
      </c>
      <c r="I96" s="105" t="s">
        <v>14</v>
      </c>
      <c r="J96" s="103"/>
      <c r="K96" s="153">
        <v>4.83</v>
      </c>
      <c r="L96" s="92"/>
      <c r="M96" s="92"/>
    </row>
    <row r="97" spans="1:13" ht="13.2">
      <c r="A97" s="105" t="s">
        <v>13</v>
      </c>
      <c r="B97" s="105">
        <v>54.632847167999998</v>
      </c>
      <c r="C97" s="105">
        <v>0.91500000000000004</v>
      </c>
      <c r="D97" s="105">
        <v>5.7000000000000002E-2</v>
      </c>
      <c r="E97" s="105"/>
      <c r="F97" s="103"/>
      <c r="G97" s="103"/>
      <c r="H97" s="105">
        <v>20</v>
      </c>
      <c r="I97" s="105" t="s">
        <v>14</v>
      </c>
      <c r="J97" s="103"/>
      <c r="K97" s="153">
        <v>4.7</v>
      </c>
      <c r="L97" s="92"/>
      <c r="M97" s="92"/>
    </row>
    <row r="98" spans="1:13" ht="13.2">
      <c r="A98" s="105" t="s">
        <v>13</v>
      </c>
      <c r="B98" s="105">
        <v>58.709820665999999</v>
      </c>
      <c r="C98" s="105">
        <v>0.91500000000000004</v>
      </c>
      <c r="D98" s="105">
        <v>5.7000000000000002E-2</v>
      </c>
      <c r="E98" s="105"/>
      <c r="F98" s="103"/>
      <c r="G98" s="103"/>
      <c r="H98" s="105">
        <v>20</v>
      </c>
      <c r="I98" s="105" t="s">
        <v>14</v>
      </c>
      <c r="J98" s="103"/>
      <c r="K98" s="153">
        <v>4.57</v>
      </c>
      <c r="L98" s="92"/>
      <c r="M98" s="92"/>
    </row>
    <row r="99" spans="1:13" ht="13.2">
      <c r="A99" s="105" t="s">
        <v>13</v>
      </c>
      <c r="B99" s="105">
        <v>62.012684700000001</v>
      </c>
      <c r="C99" s="105">
        <v>0.91500000000000004</v>
      </c>
      <c r="D99" s="105">
        <v>5.7000000000000002E-2</v>
      </c>
      <c r="E99" s="105"/>
      <c r="F99" s="103"/>
      <c r="G99" s="103"/>
      <c r="H99" s="105">
        <v>20</v>
      </c>
      <c r="I99" s="105" t="s">
        <v>14</v>
      </c>
      <c r="J99" s="103"/>
      <c r="K99" s="153">
        <v>4.4800000000000004</v>
      </c>
      <c r="L99" s="92"/>
      <c r="M99" s="92"/>
    </row>
    <row r="100" spans="1:13" ht="13.2">
      <c r="A100" s="105" t="s">
        <v>13</v>
      </c>
      <c r="B100" s="105">
        <v>64.386626759999999</v>
      </c>
      <c r="C100" s="105">
        <v>0.91500000000000004</v>
      </c>
      <c r="D100" s="105">
        <v>5.7000000000000002E-2</v>
      </c>
      <c r="E100" s="105"/>
      <c r="F100" s="103"/>
      <c r="G100" s="103"/>
      <c r="H100" s="105">
        <v>20</v>
      </c>
      <c r="I100" s="105" t="s">
        <v>14</v>
      </c>
      <c r="J100" s="103"/>
      <c r="K100" s="153">
        <v>4.41</v>
      </c>
      <c r="L100" s="92"/>
      <c r="M100" s="92"/>
    </row>
    <row r="101" spans="1:13" ht="13.2">
      <c r="A101" s="105" t="s">
        <v>15</v>
      </c>
      <c r="B101" s="103">
        <v>30</v>
      </c>
      <c r="C101" s="156">
        <v>0.66800000000000004</v>
      </c>
      <c r="D101" s="103">
        <v>7.2700000000000001E-2</v>
      </c>
      <c r="E101" s="103"/>
      <c r="F101" s="103">
        <v>1000</v>
      </c>
      <c r="G101" s="103"/>
      <c r="H101" s="103"/>
      <c r="I101" s="107" t="s">
        <v>12</v>
      </c>
      <c r="J101" s="103"/>
      <c r="K101" s="153">
        <v>3.9916140000000002</v>
      </c>
    </row>
    <row r="102" spans="1:13" ht="13.2">
      <c r="A102" s="105" t="s">
        <v>15</v>
      </c>
      <c r="B102" s="103">
        <v>60</v>
      </c>
      <c r="C102" s="156">
        <v>0.66800000000000004</v>
      </c>
      <c r="D102" s="103">
        <v>7.2700000000000001E-2</v>
      </c>
      <c r="E102" s="103"/>
      <c r="F102" s="103">
        <v>1000</v>
      </c>
      <c r="G102" s="103"/>
      <c r="H102" s="103"/>
      <c r="I102" s="107" t="s">
        <v>12</v>
      </c>
      <c r="J102" s="103"/>
      <c r="K102" s="153">
        <v>4.51213569</v>
      </c>
    </row>
    <row r="103" spans="1:13" ht="13.2">
      <c r="A103" s="105" t="s">
        <v>15</v>
      </c>
      <c r="B103" s="103">
        <v>90</v>
      </c>
      <c r="C103" s="156">
        <v>0.66800000000000004</v>
      </c>
      <c r="D103" s="103">
        <v>7.2700000000000001E-2</v>
      </c>
      <c r="E103" s="103"/>
      <c r="F103" s="103">
        <v>1000</v>
      </c>
      <c r="G103" s="103"/>
      <c r="H103" s="103"/>
      <c r="I103" s="107" t="s">
        <v>12</v>
      </c>
      <c r="J103" s="103"/>
      <c r="K103" s="153">
        <v>4.9420388099999997</v>
      </c>
    </row>
    <row r="104" spans="1:13" ht="13.2">
      <c r="A104" s="105" t="s">
        <v>15</v>
      </c>
      <c r="B104" s="103">
        <v>120</v>
      </c>
      <c r="C104" s="156">
        <v>0.66800000000000004</v>
      </c>
      <c r="D104" s="103">
        <v>7.2700000000000001E-2</v>
      </c>
      <c r="E104" s="103"/>
      <c r="F104" s="103">
        <v>1000</v>
      </c>
      <c r="G104" s="103"/>
      <c r="H104" s="103"/>
      <c r="I104" s="107" t="s">
        <v>12</v>
      </c>
      <c r="J104" s="103"/>
      <c r="K104" s="153">
        <v>5.32140272</v>
      </c>
    </row>
    <row r="105" spans="1:13" ht="13.2">
      <c r="A105" s="105" t="s">
        <v>15</v>
      </c>
      <c r="B105" s="103">
        <v>150</v>
      </c>
      <c r="C105" s="156">
        <v>0.66800000000000004</v>
      </c>
      <c r="D105" s="103">
        <v>7.2700000000000001E-2</v>
      </c>
      <c r="E105" s="103"/>
      <c r="F105" s="103">
        <v>1000</v>
      </c>
      <c r="G105" s="103"/>
      <c r="H105" s="103"/>
      <c r="I105" s="107" t="s">
        <v>12</v>
      </c>
      <c r="J105" s="103"/>
      <c r="K105" s="153">
        <v>5.66516777</v>
      </c>
    </row>
    <row r="106" spans="1:13" ht="13.2">
      <c r="A106" s="105" t="s">
        <v>15</v>
      </c>
      <c r="B106" s="103">
        <v>30</v>
      </c>
      <c r="C106" s="156">
        <v>0.66800000000000004</v>
      </c>
      <c r="D106" s="103">
        <v>2.7099999999999999E-2</v>
      </c>
      <c r="E106" s="103"/>
      <c r="F106" s="103">
        <v>810</v>
      </c>
      <c r="G106" s="103"/>
      <c r="H106" s="103"/>
      <c r="I106" s="107" t="s">
        <v>12</v>
      </c>
      <c r="J106" s="103"/>
      <c r="K106" s="153">
        <v>3.4499537999999998</v>
      </c>
    </row>
    <row r="107" spans="1:13" ht="13.2">
      <c r="A107" s="105" t="s">
        <v>15</v>
      </c>
      <c r="B107" s="103">
        <v>60</v>
      </c>
      <c r="C107" s="156">
        <v>0.66800000000000004</v>
      </c>
      <c r="D107" s="103">
        <v>2.7099999999999999E-2</v>
      </c>
      <c r="E107" s="103"/>
      <c r="F107" s="103">
        <v>810</v>
      </c>
      <c r="G107" s="103"/>
      <c r="H107" s="103"/>
      <c r="I107" s="107" t="s">
        <v>12</v>
      </c>
      <c r="J107" s="103"/>
      <c r="K107" s="153">
        <v>4.0584151799999999</v>
      </c>
    </row>
    <row r="108" spans="1:13" ht="13.2">
      <c r="A108" s="105" t="s">
        <v>15</v>
      </c>
      <c r="B108" s="103">
        <v>300</v>
      </c>
      <c r="C108" s="156">
        <v>4</v>
      </c>
      <c r="D108" s="103">
        <v>7.2700000000000001E-2</v>
      </c>
      <c r="E108" s="103"/>
      <c r="F108" s="103">
        <v>1000</v>
      </c>
      <c r="G108" s="103"/>
      <c r="H108" s="103"/>
      <c r="I108" s="107" t="s">
        <v>12</v>
      </c>
      <c r="J108" s="103"/>
      <c r="K108" s="153">
        <v>8.4023533799999992</v>
      </c>
    </row>
    <row r="109" spans="1:13" ht="13.2">
      <c r="A109" s="105" t="s">
        <v>15</v>
      </c>
      <c r="B109" s="103">
        <v>600</v>
      </c>
      <c r="C109" s="156">
        <v>4</v>
      </c>
      <c r="D109" s="103">
        <v>7.2700000000000001E-2</v>
      </c>
      <c r="E109" s="103"/>
      <c r="F109" s="103">
        <v>1000</v>
      </c>
      <c r="G109" s="103"/>
      <c r="H109" s="103"/>
      <c r="I109" s="107" t="s">
        <v>12</v>
      </c>
      <c r="J109" s="103"/>
      <c r="K109" s="153">
        <v>9.9834282299999995</v>
      </c>
    </row>
    <row r="110" spans="1:13" ht="13.2">
      <c r="A110" s="105" t="s">
        <v>15</v>
      </c>
      <c r="B110" s="103">
        <v>1200</v>
      </c>
      <c r="C110" s="156">
        <v>4</v>
      </c>
      <c r="D110" s="103">
        <v>7.2700000000000001E-2</v>
      </c>
      <c r="E110" s="103"/>
      <c r="F110" s="103">
        <v>1000</v>
      </c>
      <c r="G110" s="103"/>
      <c r="H110" s="103"/>
      <c r="I110" s="107" t="s">
        <v>12</v>
      </c>
      <c r="J110" s="103"/>
      <c r="K110" s="153">
        <v>12.3642653</v>
      </c>
    </row>
    <row r="111" spans="1:13" ht="13.2">
      <c r="A111" s="105" t="s">
        <v>15</v>
      </c>
      <c r="B111" s="103">
        <v>1800</v>
      </c>
      <c r="C111" s="156">
        <v>4</v>
      </c>
      <c r="D111" s="103">
        <v>7.2700000000000001E-2</v>
      </c>
      <c r="E111" s="103"/>
      <c r="F111" s="103">
        <v>1000</v>
      </c>
      <c r="G111" s="103"/>
      <c r="H111" s="103"/>
      <c r="I111" s="107" t="s">
        <v>12</v>
      </c>
      <c r="J111" s="103"/>
      <c r="K111" s="153">
        <v>14.22391</v>
      </c>
    </row>
    <row r="112" spans="1:13" ht="13.2">
      <c r="A112" s="105" t="s">
        <v>15</v>
      </c>
      <c r="B112" s="103">
        <v>300</v>
      </c>
      <c r="C112" s="156">
        <v>4</v>
      </c>
      <c r="D112" s="103">
        <v>2.7099999999999999E-2</v>
      </c>
      <c r="E112" s="103"/>
      <c r="F112" s="103">
        <v>810</v>
      </c>
      <c r="G112" s="103"/>
      <c r="H112" s="103"/>
      <c r="I112" s="107" t="s">
        <v>12</v>
      </c>
      <c r="J112" s="103"/>
      <c r="K112" s="153">
        <v>7.60828712</v>
      </c>
    </row>
    <row r="113" spans="1:13" ht="13.2">
      <c r="A113" s="105" t="s">
        <v>15</v>
      </c>
      <c r="B113" s="103">
        <v>600</v>
      </c>
      <c r="C113" s="156">
        <v>4</v>
      </c>
      <c r="D113" s="103">
        <v>2.7099999999999999E-2</v>
      </c>
      <c r="E113" s="103"/>
      <c r="F113" s="103">
        <v>810</v>
      </c>
      <c r="G113" s="103"/>
      <c r="H113" s="103"/>
      <c r="I113" s="107" t="s">
        <v>12</v>
      </c>
      <c r="J113" s="103"/>
      <c r="K113" s="153">
        <v>9.3993315899999992</v>
      </c>
    </row>
    <row r="114" spans="1:13" ht="13.2">
      <c r="A114" s="105" t="s">
        <v>15</v>
      </c>
      <c r="B114" s="103">
        <v>1200</v>
      </c>
      <c r="C114" s="156">
        <v>4</v>
      </c>
      <c r="D114" s="103">
        <v>2.7099999999999999E-2</v>
      </c>
      <c r="E114" s="103"/>
      <c r="F114" s="103">
        <v>810</v>
      </c>
      <c r="G114" s="103"/>
      <c r="H114" s="103"/>
      <c r="I114" s="107" t="s">
        <v>12</v>
      </c>
      <c r="J114" s="103"/>
      <c r="K114" s="153">
        <v>11.9819411</v>
      </c>
    </row>
    <row r="115" spans="1:13" ht="13.2">
      <c r="A115" s="105" t="s">
        <v>15</v>
      </c>
      <c r="B115" s="103">
        <v>1800</v>
      </c>
      <c r="C115" s="156">
        <v>4</v>
      </c>
      <c r="D115" s="103">
        <v>2.7099999999999999E-2</v>
      </c>
      <c r="E115" s="103"/>
      <c r="F115" s="103">
        <v>810</v>
      </c>
      <c r="G115" s="103"/>
      <c r="H115" s="103"/>
      <c r="I115" s="107" t="s">
        <v>12</v>
      </c>
      <c r="J115" s="103"/>
      <c r="K115" s="153">
        <v>13.9365215</v>
      </c>
    </row>
    <row r="116" spans="1:13" ht="13.2">
      <c r="A116" s="105" t="s">
        <v>15</v>
      </c>
      <c r="B116" s="103">
        <v>0.48599999999999999</v>
      </c>
      <c r="C116" s="104">
        <v>0.36</v>
      </c>
      <c r="D116" s="103">
        <v>7.2800000000000004E-2</v>
      </c>
      <c r="E116" s="103">
        <v>1.1999999999999999E-3</v>
      </c>
      <c r="F116" s="103">
        <v>999.4</v>
      </c>
      <c r="G116" s="103"/>
      <c r="H116" s="103"/>
      <c r="I116" s="107" t="s">
        <v>12</v>
      </c>
      <c r="J116" s="103"/>
      <c r="K116" s="153">
        <v>2.73397823</v>
      </c>
      <c r="L116" s="92"/>
      <c r="M116" s="92"/>
    </row>
    <row r="117" spans="1:13" ht="13.2">
      <c r="A117" s="105" t="s">
        <v>15</v>
      </c>
      <c r="B117" s="103">
        <v>0.47220000000000001</v>
      </c>
      <c r="C117" s="104">
        <v>0.36</v>
      </c>
      <c r="D117" s="103">
        <v>6.83E-2</v>
      </c>
      <c r="E117" s="103">
        <v>1.54E-2</v>
      </c>
      <c r="F117" s="103">
        <v>1170</v>
      </c>
      <c r="G117" s="103"/>
      <c r="H117" s="103"/>
      <c r="I117" s="107" t="s">
        <v>12</v>
      </c>
      <c r="J117" s="103"/>
      <c r="K117" s="153">
        <v>2.4499884299999999</v>
      </c>
      <c r="L117" s="92"/>
      <c r="M117" s="92"/>
    </row>
    <row r="118" spans="1:13" ht="13.2">
      <c r="A118" s="105" t="s">
        <v>15</v>
      </c>
      <c r="B118" s="103">
        <v>0.47220000000000001</v>
      </c>
      <c r="C118" s="104">
        <v>0.36</v>
      </c>
      <c r="D118" s="103">
        <v>6.7599999999999993E-2</v>
      </c>
      <c r="E118" s="103">
        <v>2.35E-2</v>
      </c>
      <c r="F118" s="103">
        <v>1185</v>
      </c>
      <c r="G118" s="103"/>
      <c r="H118" s="103"/>
      <c r="I118" s="107" t="s">
        <v>12</v>
      </c>
      <c r="J118" s="103"/>
      <c r="K118" s="153">
        <v>2.4499884299999999</v>
      </c>
      <c r="L118" s="92"/>
      <c r="M118" s="92"/>
    </row>
    <row r="119" spans="1:13" ht="13.2">
      <c r="A119" s="105" t="s">
        <v>15</v>
      </c>
      <c r="B119" s="103">
        <v>0.45900000000000002</v>
      </c>
      <c r="C119" s="104">
        <v>0.36</v>
      </c>
      <c r="D119" s="103">
        <v>6.6400000000000001E-2</v>
      </c>
      <c r="E119" s="103">
        <v>4.9700000000000001E-2</v>
      </c>
      <c r="F119" s="103">
        <v>1210</v>
      </c>
      <c r="G119" s="103"/>
      <c r="H119" s="103"/>
      <c r="I119" s="107" t="s">
        <v>12</v>
      </c>
      <c r="J119" s="103"/>
      <c r="K119" s="153">
        <v>2.4285900599999999</v>
      </c>
      <c r="L119" s="92"/>
      <c r="M119" s="92"/>
    </row>
    <row r="120" spans="1:13" ht="13.2">
      <c r="A120" s="105" t="s">
        <v>15</v>
      </c>
      <c r="B120" s="103">
        <v>0.45900000000000002</v>
      </c>
      <c r="C120" s="104">
        <v>0.36</v>
      </c>
      <c r="D120" s="103">
        <v>6.5699999999999995E-2</v>
      </c>
      <c r="E120" s="103">
        <v>0.1108</v>
      </c>
      <c r="F120" s="103">
        <v>1220</v>
      </c>
      <c r="G120" s="103"/>
      <c r="H120" s="103"/>
      <c r="I120" s="107" t="s">
        <v>12</v>
      </c>
      <c r="J120" s="103"/>
      <c r="K120" s="153">
        <v>2.417748</v>
      </c>
      <c r="L120" s="92"/>
      <c r="M120" s="92"/>
    </row>
    <row r="121" spans="1:13" ht="13.2">
      <c r="A121" s="105" t="s">
        <v>15</v>
      </c>
      <c r="B121" s="103">
        <v>4.0979999999999999</v>
      </c>
      <c r="C121" s="104">
        <v>1.41</v>
      </c>
      <c r="D121" s="103">
        <v>7.2800000000000004E-2</v>
      </c>
      <c r="E121" s="103">
        <v>1.1999999999999999E-3</v>
      </c>
      <c r="F121" s="103">
        <v>999.4</v>
      </c>
      <c r="G121" s="103"/>
      <c r="H121" s="103"/>
      <c r="I121" s="107" t="s">
        <v>12</v>
      </c>
      <c r="J121" s="103"/>
      <c r="K121" s="153">
        <v>4.8872164600000003</v>
      </c>
      <c r="L121" s="92"/>
      <c r="M121" s="92"/>
    </row>
    <row r="122" spans="1:13" ht="13.2">
      <c r="A122" s="105" t="s">
        <v>15</v>
      </c>
      <c r="B122" s="103">
        <v>3.1248</v>
      </c>
      <c r="C122" s="104">
        <v>1.41</v>
      </c>
      <c r="D122" s="103">
        <v>6.83E-2</v>
      </c>
      <c r="E122" s="103">
        <v>1.54E-2</v>
      </c>
      <c r="F122" s="103">
        <v>1170</v>
      </c>
      <c r="G122" s="103"/>
      <c r="H122" s="103"/>
      <c r="I122" s="107" t="s">
        <v>12</v>
      </c>
      <c r="J122" s="103"/>
      <c r="K122" s="153">
        <v>3.9340501899999998</v>
      </c>
      <c r="L122" s="92"/>
      <c r="M122" s="92"/>
    </row>
    <row r="123" spans="1:13" ht="13.2">
      <c r="A123" s="105" t="s">
        <v>15</v>
      </c>
      <c r="B123" s="103">
        <v>3.0623999999999998</v>
      </c>
      <c r="C123" s="104">
        <v>1.41</v>
      </c>
      <c r="D123" s="103">
        <v>6.7599999999999993E-2</v>
      </c>
      <c r="E123" s="103">
        <v>2.35E-2</v>
      </c>
      <c r="F123" s="103">
        <v>1185</v>
      </c>
      <c r="G123" s="103"/>
      <c r="H123" s="103"/>
      <c r="I123" s="107" t="s">
        <v>12</v>
      </c>
      <c r="J123" s="103"/>
      <c r="K123" s="153">
        <v>3.9062950999999999</v>
      </c>
      <c r="L123" s="92"/>
      <c r="M123" s="92"/>
    </row>
    <row r="124" spans="1:13" ht="13.2">
      <c r="A124" s="105" t="s">
        <v>15</v>
      </c>
      <c r="B124" s="103">
        <v>2.8872</v>
      </c>
      <c r="C124" s="104">
        <v>1.41</v>
      </c>
      <c r="D124" s="103">
        <v>6.6400000000000001E-2</v>
      </c>
      <c r="E124" s="103">
        <v>4.9700000000000001E-2</v>
      </c>
      <c r="F124" s="103">
        <v>1210</v>
      </c>
      <c r="G124" s="103"/>
      <c r="H124" s="103"/>
      <c r="I124" s="107" t="s">
        <v>12</v>
      </c>
      <c r="J124" s="103"/>
      <c r="K124" s="153">
        <v>3.9033724699999999</v>
      </c>
      <c r="L124" s="92"/>
      <c r="M124" s="92"/>
    </row>
    <row r="125" spans="1:13" ht="13.2">
      <c r="A125" s="105" t="s">
        <v>15</v>
      </c>
      <c r="B125" s="103">
        <v>2.7498</v>
      </c>
      <c r="C125" s="104">
        <v>1.41</v>
      </c>
      <c r="D125" s="103">
        <v>6.5699999999999995E-2</v>
      </c>
      <c r="E125" s="103">
        <v>0.1108</v>
      </c>
      <c r="F125" s="103">
        <v>1220</v>
      </c>
      <c r="G125" s="103"/>
      <c r="H125" s="103"/>
      <c r="I125" s="107" t="s">
        <v>12</v>
      </c>
      <c r="J125" s="103"/>
      <c r="K125" s="153">
        <v>3.85771481</v>
      </c>
      <c r="L125" s="92"/>
      <c r="M125" s="92"/>
    </row>
    <row r="126" spans="1:13" ht="13.2">
      <c r="A126" s="105" t="s">
        <v>15</v>
      </c>
      <c r="B126" s="103">
        <v>12.3</v>
      </c>
      <c r="C126" s="104">
        <v>3.88</v>
      </c>
      <c r="D126" s="103">
        <v>7.2800000000000004E-2</v>
      </c>
      <c r="E126" s="103">
        <v>1.1999999999999999E-3</v>
      </c>
      <c r="F126" s="103">
        <v>999.4</v>
      </c>
      <c r="G126" s="103"/>
      <c r="H126" s="103"/>
      <c r="I126" s="107" t="s">
        <v>12</v>
      </c>
      <c r="J126" s="103"/>
      <c r="K126" s="153">
        <v>7.3420612199999997</v>
      </c>
      <c r="L126" s="92"/>
      <c r="M126" s="92"/>
    </row>
    <row r="127" spans="1:13" ht="13.2">
      <c r="A127" s="105" t="s">
        <v>15</v>
      </c>
      <c r="B127" s="103">
        <v>10.872</v>
      </c>
      <c r="C127" s="104">
        <v>3.88</v>
      </c>
      <c r="D127" s="103">
        <v>6.83E-2</v>
      </c>
      <c r="E127" s="103">
        <v>1.54E-2</v>
      </c>
      <c r="F127" s="103">
        <v>1170</v>
      </c>
      <c r="G127" s="103"/>
      <c r="H127" s="103"/>
      <c r="I127" s="107" t="s">
        <v>12</v>
      </c>
      <c r="J127" s="103"/>
      <c r="K127" s="153">
        <v>5.6914277599999998</v>
      </c>
      <c r="L127" s="92"/>
      <c r="M127" s="92"/>
    </row>
    <row r="128" spans="1:13" ht="13.2">
      <c r="A128" s="105" t="s">
        <v>15</v>
      </c>
      <c r="B128" s="103">
        <v>10.872</v>
      </c>
      <c r="C128" s="104">
        <v>3.88</v>
      </c>
      <c r="D128" s="103">
        <v>6.7599999999999993E-2</v>
      </c>
      <c r="E128" s="103">
        <v>2.35E-2</v>
      </c>
      <c r="F128" s="103">
        <v>1185</v>
      </c>
      <c r="G128" s="103"/>
      <c r="H128" s="103"/>
      <c r="I128" s="107" t="s">
        <v>12</v>
      </c>
      <c r="J128" s="103"/>
      <c r="K128" s="153">
        <v>5.59222793</v>
      </c>
      <c r="L128" s="92"/>
      <c r="M128" s="92"/>
    </row>
    <row r="129" spans="1:13" ht="13.2">
      <c r="A129" s="105" t="s">
        <v>15</v>
      </c>
      <c r="B129" s="103">
        <v>10.302</v>
      </c>
      <c r="C129" s="104">
        <v>3.88</v>
      </c>
      <c r="D129" s="103">
        <v>6.6400000000000001E-2</v>
      </c>
      <c r="E129" s="103">
        <v>4.9700000000000001E-2</v>
      </c>
      <c r="F129" s="103">
        <v>1210</v>
      </c>
      <c r="G129" s="103"/>
      <c r="H129" s="103"/>
      <c r="I129" s="107" t="s">
        <v>12</v>
      </c>
      <c r="J129" s="103"/>
      <c r="K129" s="153">
        <v>5.5106336799999998</v>
      </c>
      <c r="L129" s="92"/>
      <c r="M129" s="92"/>
    </row>
    <row r="130" spans="1:13" ht="13.2">
      <c r="A130" s="105" t="s">
        <v>15</v>
      </c>
      <c r="B130" s="103">
        <v>10.5</v>
      </c>
      <c r="C130" s="104">
        <v>3.88</v>
      </c>
      <c r="D130" s="103">
        <v>6.5699999999999995E-2</v>
      </c>
      <c r="E130" s="103">
        <v>0.1108</v>
      </c>
      <c r="F130" s="103">
        <v>1220</v>
      </c>
      <c r="G130" s="103"/>
      <c r="H130" s="103"/>
      <c r="I130" s="107" t="s">
        <v>12</v>
      </c>
      <c r="J130" s="103"/>
      <c r="K130" s="153">
        <v>5.4859956399999996</v>
      </c>
      <c r="L130" s="88"/>
      <c r="M130" s="88"/>
    </row>
    <row r="131" spans="1:13" ht="13.2">
      <c r="A131" s="105" t="s">
        <v>15</v>
      </c>
      <c r="B131" s="105">
        <v>94.327183140000002</v>
      </c>
      <c r="C131" s="105">
        <v>3.673</v>
      </c>
      <c r="D131" s="105">
        <v>6.3E-2</v>
      </c>
      <c r="E131" s="105">
        <v>5.5199999999999999E-2</v>
      </c>
      <c r="F131" s="105">
        <v>1257</v>
      </c>
      <c r="G131" s="103"/>
      <c r="H131" s="105"/>
      <c r="I131" s="107" t="s">
        <v>12</v>
      </c>
      <c r="J131" s="103"/>
      <c r="K131" s="153">
        <v>7.8506568000000003</v>
      </c>
      <c r="L131" s="88"/>
      <c r="M131" s="88"/>
    </row>
    <row r="132" spans="1:13" ht="13.2">
      <c r="A132" s="105" t="s">
        <v>15</v>
      </c>
      <c r="B132" s="105">
        <v>151.60275966</v>
      </c>
      <c r="C132" s="105">
        <v>3.673</v>
      </c>
      <c r="D132" s="105">
        <v>6.3E-2</v>
      </c>
      <c r="E132" s="105">
        <v>5.5199999999999999E-2</v>
      </c>
      <c r="F132" s="105">
        <v>1257</v>
      </c>
      <c r="G132" s="103"/>
      <c r="H132" s="105"/>
      <c r="I132" s="107" t="s">
        <v>12</v>
      </c>
      <c r="J132" s="103"/>
      <c r="K132" s="153">
        <v>8.5758655000000008</v>
      </c>
      <c r="L132" s="88"/>
      <c r="M132" s="88"/>
    </row>
    <row r="133" spans="1:13" ht="13.2">
      <c r="A133" s="105" t="s">
        <v>15</v>
      </c>
      <c r="B133" s="105">
        <v>210.31956402</v>
      </c>
      <c r="C133" s="105">
        <v>3.673</v>
      </c>
      <c r="D133" s="105">
        <v>6.3E-2</v>
      </c>
      <c r="E133" s="105">
        <v>5.5199999999999999E-2</v>
      </c>
      <c r="F133" s="105">
        <v>1257</v>
      </c>
      <c r="G133" s="103"/>
      <c r="H133" s="105"/>
      <c r="I133" s="107" t="s">
        <v>12</v>
      </c>
      <c r="J133" s="103"/>
      <c r="K133" s="153">
        <v>9.20626882</v>
      </c>
      <c r="L133" s="88"/>
      <c r="M133" s="88"/>
    </row>
    <row r="134" spans="1:13" ht="13.2">
      <c r="A134" s="105" t="s">
        <v>15</v>
      </c>
      <c r="B134" s="105">
        <v>291.77772174</v>
      </c>
      <c r="C134" s="105">
        <v>3.673</v>
      </c>
      <c r="D134" s="105">
        <v>6.3E-2</v>
      </c>
      <c r="E134" s="105">
        <v>5.5199999999999999E-2</v>
      </c>
      <c r="F134" s="105">
        <v>1257</v>
      </c>
      <c r="G134" s="103"/>
      <c r="H134" s="105"/>
      <c r="I134" s="107" t="s">
        <v>12</v>
      </c>
      <c r="J134" s="103"/>
      <c r="K134" s="153">
        <v>9.9943233800000009</v>
      </c>
      <c r="L134" s="88"/>
      <c r="M134" s="88"/>
    </row>
    <row r="135" spans="1:13" ht="13.2">
      <c r="A135" s="105" t="s">
        <v>15</v>
      </c>
      <c r="B135" s="105">
        <v>363.83018304000001</v>
      </c>
      <c r="C135" s="105">
        <v>3.673</v>
      </c>
      <c r="D135" s="105">
        <v>6.3E-2</v>
      </c>
      <c r="E135" s="105">
        <v>5.5199999999999999E-2</v>
      </c>
      <c r="F135" s="105">
        <v>1257</v>
      </c>
      <c r="G135" s="103"/>
      <c r="H135" s="105"/>
      <c r="I135" s="107" t="s">
        <v>12</v>
      </c>
      <c r="J135" s="103"/>
      <c r="K135" s="153">
        <v>10.5305803</v>
      </c>
      <c r="L135" s="88"/>
      <c r="M135" s="88"/>
    </row>
    <row r="136" spans="1:13" ht="13.2">
      <c r="A136" s="105" t="s">
        <v>15</v>
      </c>
      <c r="B136" s="105">
        <v>429.32254907999999</v>
      </c>
      <c r="C136" s="105">
        <v>3.673</v>
      </c>
      <c r="D136" s="105">
        <v>6.3E-2</v>
      </c>
      <c r="E136" s="105">
        <v>5.5199999999999999E-2</v>
      </c>
      <c r="F136" s="105">
        <v>1257</v>
      </c>
      <c r="G136" s="103"/>
      <c r="H136" s="105"/>
      <c r="I136" s="107" t="s">
        <v>12</v>
      </c>
      <c r="J136" s="103"/>
      <c r="K136" s="153">
        <v>11.0542654</v>
      </c>
      <c r="L136" s="88"/>
      <c r="M136" s="88"/>
    </row>
    <row r="137" spans="1:13" ht="13.2">
      <c r="A137" s="105" t="s">
        <v>15</v>
      </c>
      <c r="B137" s="105">
        <v>502.8910515</v>
      </c>
      <c r="C137" s="105">
        <v>3.673</v>
      </c>
      <c r="D137" s="105">
        <v>6.3E-2</v>
      </c>
      <c r="E137" s="105">
        <v>5.5199999999999999E-2</v>
      </c>
      <c r="F137" s="105">
        <v>1257</v>
      </c>
      <c r="G137" s="103"/>
      <c r="H137" s="105"/>
      <c r="I137" s="107" t="s">
        <v>12</v>
      </c>
      <c r="J137" s="103"/>
      <c r="K137" s="153">
        <v>11.389395800000001</v>
      </c>
      <c r="L137" s="88"/>
      <c r="M137" s="88"/>
    </row>
    <row r="138" spans="1:13" ht="13.2">
      <c r="A138" s="105" t="s">
        <v>15</v>
      </c>
      <c r="B138" s="105">
        <v>576.20798219999995</v>
      </c>
      <c r="C138" s="105">
        <v>3.673</v>
      </c>
      <c r="D138" s="105">
        <v>6.3E-2</v>
      </c>
      <c r="E138" s="105">
        <v>5.5199999999999999E-2</v>
      </c>
      <c r="F138" s="105">
        <v>1257</v>
      </c>
      <c r="G138" s="103"/>
      <c r="H138" s="105"/>
      <c r="I138" s="107" t="s">
        <v>12</v>
      </c>
      <c r="J138" s="103"/>
      <c r="K138" s="153">
        <v>11.807929400000001</v>
      </c>
      <c r="L138" s="88"/>
      <c r="M138" s="88"/>
    </row>
    <row r="139" spans="1:13" ht="13.2">
      <c r="A139" s="105" t="s">
        <v>15</v>
      </c>
      <c r="B139" s="105">
        <v>648.18279419999999</v>
      </c>
      <c r="C139" s="105">
        <v>3.673</v>
      </c>
      <c r="D139" s="105">
        <v>6.3E-2</v>
      </c>
      <c r="E139" s="105">
        <v>5.5199999999999999E-2</v>
      </c>
      <c r="F139" s="105">
        <v>1257</v>
      </c>
      <c r="G139" s="103"/>
      <c r="H139" s="105"/>
      <c r="I139" s="107" t="s">
        <v>12</v>
      </c>
      <c r="J139" s="103"/>
      <c r="K139" s="153">
        <v>12.075409199999999</v>
      </c>
      <c r="L139" s="88"/>
      <c r="M139" s="88"/>
    </row>
    <row r="140" spans="1:13" ht="13.2">
      <c r="A140" s="105" t="s">
        <v>15</v>
      </c>
      <c r="B140" s="105">
        <v>718.49850060000006</v>
      </c>
      <c r="C140" s="105">
        <v>3.673</v>
      </c>
      <c r="D140" s="105">
        <v>6.3E-2</v>
      </c>
      <c r="E140" s="105">
        <v>5.5199999999999999E-2</v>
      </c>
      <c r="F140" s="105">
        <v>1257</v>
      </c>
      <c r="G140" s="103"/>
      <c r="H140" s="105"/>
      <c r="I140" s="107" t="s">
        <v>12</v>
      </c>
      <c r="J140" s="103"/>
      <c r="K140" s="153">
        <v>12.488032499999999</v>
      </c>
      <c r="L140" s="88"/>
      <c r="M140" s="88"/>
    </row>
    <row r="141" spans="1:13" ht="13.2">
      <c r="A141" s="105" t="s">
        <v>15</v>
      </c>
      <c r="B141" s="105">
        <v>793.51812480000001</v>
      </c>
      <c r="C141" s="105">
        <v>3.673</v>
      </c>
      <c r="D141" s="105">
        <v>6.3E-2</v>
      </c>
      <c r="E141" s="105">
        <v>5.5199999999999999E-2</v>
      </c>
      <c r="F141" s="105">
        <v>1257</v>
      </c>
      <c r="G141" s="103"/>
      <c r="H141" s="105"/>
      <c r="I141" s="107" t="s">
        <v>12</v>
      </c>
      <c r="J141" s="103"/>
      <c r="K141" s="153">
        <v>12.723330300000001</v>
      </c>
      <c r="L141" s="88"/>
      <c r="M141" s="88"/>
    </row>
    <row r="142" spans="1:13" ht="13.2">
      <c r="A142" s="105" t="s">
        <v>15</v>
      </c>
      <c r="B142" s="105">
        <v>882.84144119999996</v>
      </c>
      <c r="C142" s="105">
        <v>3.673</v>
      </c>
      <c r="D142" s="105">
        <v>6.3E-2</v>
      </c>
      <c r="E142" s="105">
        <v>5.5199999999999999E-2</v>
      </c>
      <c r="F142" s="105">
        <v>1257</v>
      </c>
      <c r="G142" s="103"/>
      <c r="H142" s="105"/>
      <c r="I142" s="107" t="s">
        <v>12</v>
      </c>
      <c r="J142" s="103"/>
      <c r="K142" s="153">
        <v>13.1580934</v>
      </c>
      <c r="L142" s="88"/>
      <c r="M142" s="88"/>
    </row>
    <row r="143" spans="1:13" ht="13.2">
      <c r="A143" s="105" t="s">
        <v>15</v>
      </c>
      <c r="B143" s="105">
        <v>1229.2855296</v>
      </c>
      <c r="C143" s="105">
        <v>3.673</v>
      </c>
      <c r="D143" s="105">
        <v>6.3E-2</v>
      </c>
      <c r="E143" s="105">
        <v>5.5199999999999999E-2</v>
      </c>
      <c r="F143" s="105">
        <v>1257</v>
      </c>
      <c r="G143" s="103"/>
      <c r="H143" s="105"/>
      <c r="I143" s="107" t="s">
        <v>12</v>
      </c>
      <c r="J143" s="103"/>
      <c r="K143" s="153">
        <v>14.3735783</v>
      </c>
      <c r="L143" s="88"/>
      <c r="M143" s="88"/>
    </row>
    <row r="144" spans="1:13" ht="13.2">
      <c r="A144" s="105" t="s">
        <v>15</v>
      </c>
      <c r="B144" s="105">
        <v>1510.4609591999999</v>
      </c>
      <c r="C144" s="105">
        <v>3.673</v>
      </c>
      <c r="D144" s="105">
        <v>6.3E-2</v>
      </c>
      <c r="E144" s="105">
        <v>5.5199999999999999E-2</v>
      </c>
      <c r="F144" s="105">
        <v>1257</v>
      </c>
      <c r="G144" s="103"/>
      <c r="H144" s="105"/>
      <c r="I144" s="107" t="s">
        <v>12</v>
      </c>
      <c r="J144" s="103"/>
      <c r="K144" s="153">
        <v>15.239338099999999</v>
      </c>
      <c r="L144" s="88"/>
      <c r="M144" s="88"/>
    </row>
    <row r="145" spans="1:13" ht="13.2">
      <c r="A145" s="105" t="s">
        <v>15</v>
      </c>
      <c r="B145" s="105">
        <v>1788.9243342</v>
      </c>
      <c r="C145" s="105">
        <v>3.673</v>
      </c>
      <c r="D145" s="105">
        <v>6.3E-2</v>
      </c>
      <c r="E145" s="105">
        <v>5.5199999999999999E-2</v>
      </c>
      <c r="F145" s="105">
        <v>1257</v>
      </c>
      <c r="G145" s="103"/>
      <c r="H145" s="105"/>
      <c r="I145" s="107" t="s">
        <v>12</v>
      </c>
      <c r="J145" s="103"/>
      <c r="K145" s="153">
        <v>15.9971894</v>
      </c>
      <c r="L145" s="88"/>
      <c r="M145" s="88"/>
    </row>
    <row r="146" spans="1:13" ht="13.2">
      <c r="A146" s="105" t="s">
        <v>15</v>
      </c>
      <c r="B146" s="105">
        <v>2103.1945775999998</v>
      </c>
      <c r="C146" s="105">
        <v>3.673</v>
      </c>
      <c r="D146" s="105">
        <v>6.3E-2</v>
      </c>
      <c r="E146" s="105">
        <v>5.5199999999999999E-2</v>
      </c>
      <c r="F146" s="105">
        <v>1257</v>
      </c>
      <c r="G146" s="103"/>
      <c r="H146" s="105"/>
      <c r="I146" s="107" t="s">
        <v>12</v>
      </c>
      <c r="J146" s="103"/>
      <c r="K146" s="153">
        <v>16.7093454</v>
      </c>
      <c r="L146" s="88"/>
      <c r="M146" s="88"/>
    </row>
    <row r="147" spans="1:13" ht="13.2">
      <c r="A147" s="105" t="s">
        <v>15</v>
      </c>
      <c r="B147" s="105">
        <v>2348.5667927999998</v>
      </c>
      <c r="C147" s="105">
        <v>3.673</v>
      </c>
      <c r="D147" s="105">
        <v>6.3E-2</v>
      </c>
      <c r="E147" s="105">
        <v>5.5199999999999999E-2</v>
      </c>
      <c r="F147" s="105">
        <v>1257</v>
      </c>
      <c r="G147" s="103"/>
      <c r="H147" s="105"/>
      <c r="I147" s="107" t="s">
        <v>12</v>
      </c>
      <c r="J147" s="103"/>
      <c r="K147" s="153">
        <v>17.409821900000001</v>
      </c>
      <c r="L147" s="88"/>
      <c r="M147" s="88"/>
    </row>
    <row r="148" spans="1:13" ht="13.2">
      <c r="A148" s="105" t="s">
        <v>15</v>
      </c>
      <c r="B148" s="105">
        <v>2730.8504646000001</v>
      </c>
      <c r="C148" s="105">
        <v>3.673</v>
      </c>
      <c r="D148" s="105">
        <v>6.3E-2</v>
      </c>
      <c r="E148" s="105">
        <v>5.5199999999999999E-2</v>
      </c>
      <c r="F148" s="105">
        <v>1257</v>
      </c>
      <c r="G148" s="103"/>
      <c r="H148" s="105"/>
      <c r="I148" s="107" t="s">
        <v>12</v>
      </c>
      <c r="J148" s="103"/>
      <c r="K148" s="153">
        <v>18.027143800000001</v>
      </c>
      <c r="L148" s="88"/>
      <c r="M148" s="88"/>
    </row>
    <row r="149" spans="1:13" ht="13.2">
      <c r="A149" s="105" t="s">
        <v>15</v>
      </c>
      <c r="B149" s="105">
        <v>3060.6866903999999</v>
      </c>
      <c r="C149" s="105">
        <v>3.673</v>
      </c>
      <c r="D149" s="105">
        <v>6.3E-2</v>
      </c>
      <c r="E149" s="105">
        <v>5.5199999999999999E-2</v>
      </c>
      <c r="F149" s="105">
        <v>1257</v>
      </c>
      <c r="G149" s="103"/>
      <c r="H149" s="105"/>
      <c r="I149" s="107" t="s">
        <v>12</v>
      </c>
      <c r="J149" s="103"/>
      <c r="K149" s="153">
        <v>18.527500100000001</v>
      </c>
      <c r="L149" s="88"/>
      <c r="M149" s="88"/>
    </row>
    <row r="150" spans="1:13" ht="13.2">
      <c r="A150" s="105" t="s">
        <v>15</v>
      </c>
      <c r="B150" s="105">
        <v>3380.2580802000002</v>
      </c>
      <c r="C150" s="105">
        <v>3.673</v>
      </c>
      <c r="D150" s="105">
        <v>6.3E-2</v>
      </c>
      <c r="E150" s="105">
        <v>5.5199999999999999E-2</v>
      </c>
      <c r="F150" s="105">
        <v>1257</v>
      </c>
      <c r="G150" s="103"/>
      <c r="H150" s="105"/>
      <c r="I150" s="107" t="s">
        <v>12</v>
      </c>
      <c r="J150" s="103"/>
      <c r="K150" s="153">
        <v>19.1367665</v>
      </c>
      <c r="L150" s="157"/>
      <c r="M150" s="92"/>
    </row>
    <row r="151" spans="1:13" ht="13.2">
      <c r="A151" s="105" t="s">
        <v>15</v>
      </c>
      <c r="B151" s="105">
        <v>102.27761832</v>
      </c>
      <c r="C151" s="105">
        <v>5.9450000000000003</v>
      </c>
      <c r="D151" s="105">
        <v>6.3E-2</v>
      </c>
      <c r="E151" s="105">
        <v>5.5199999999999999E-2</v>
      </c>
      <c r="F151" s="105">
        <v>1257</v>
      </c>
      <c r="G151" s="103"/>
      <c r="H151" s="105"/>
      <c r="I151" s="107" t="s">
        <v>12</v>
      </c>
      <c r="J151" s="103"/>
      <c r="K151" s="153">
        <v>8.71573083</v>
      </c>
      <c r="L151" s="158"/>
      <c r="M151" s="92"/>
    </row>
    <row r="152" spans="1:13" ht="13.2">
      <c r="A152" s="105" t="s">
        <v>15</v>
      </c>
      <c r="B152" s="105">
        <v>174.34518671999999</v>
      </c>
      <c r="C152" s="105">
        <v>5.9450000000000003</v>
      </c>
      <c r="D152" s="105">
        <v>6.3E-2</v>
      </c>
      <c r="E152" s="105">
        <v>5.5199999999999999E-2</v>
      </c>
      <c r="F152" s="105">
        <v>1257</v>
      </c>
      <c r="G152" s="103"/>
      <c r="H152" s="105"/>
      <c r="I152" s="107" t="s">
        <v>12</v>
      </c>
      <c r="J152" s="103"/>
      <c r="K152" s="153">
        <v>9.4853746399999999</v>
      </c>
      <c r="L152" s="158"/>
      <c r="M152" s="92"/>
    </row>
    <row r="153" spans="1:13" ht="13.2">
      <c r="A153" s="105" t="s">
        <v>15</v>
      </c>
      <c r="B153" s="105">
        <v>236.59076664</v>
      </c>
      <c r="C153" s="105">
        <v>5.9450000000000003</v>
      </c>
      <c r="D153" s="105">
        <v>6.3E-2</v>
      </c>
      <c r="E153" s="105">
        <v>5.5199999999999999E-2</v>
      </c>
      <c r="F153" s="105">
        <v>1257</v>
      </c>
      <c r="G153" s="103"/>
      <c r="H153" s="105"/>
      <c r="I153" s="107" t="s">
        <v>12</v>
      </c>
      <c r="J153" s="103"/>
      <c r="K153" s="153">
        <v>9.8953183899999999</v>
      </c>
      <c r="L153" s="158"/>
      <c r="M153" s="92"/>
    </row>
    <row r="154" spans="1:13" ht="13.2">
      <c r="A154" s="105" t="s">
        <v>15</v>
      </c>
      <c r="B154" s="105">
        <v>296.10244247999998</v>
      </c>
      <c r="C154" s="105">
        <v>5.9450000000000003</v>
      </c>
      <c r="D154" s="105">
        <v>6.3E-2</v>
      </c>
      <c r="E154" s="105">
        <v>5.5199999999999999E-2</v>
      </c>
      <c r="F154" s="105">
        <v>1257</v>
      </c>
      <c r="G154" s="103"/>
      <c r="H154" s="105"/>
      <c r="I154" s="107" t="s">
        <v>12</v>
      </c>
      <c r="J154" s="103"/>
      <c r="K154" s="153">
        <v>10.465260499999999</v>
      </c>
      <c r="L154" s="158"/>
      <c r="M154" s="92"/>
    </row>
    <row r="155" spans="1:13" ht="13.2">
      <c r="A155" s="105" t="s">
        <v>15</v>
      </c>
      <c r="B155" s="105">
        <v>354.58193490000002</v>
      </c>
      <c r="C155" s="105">
        <v>5.9450000000000003</v>
      </c>
      <c r="D155" s="105">
        <v>6.3E-2</v>
      </c>
      <c r="E155" s="105">
        <v>5.5199999999999999E-2</v>
      </c>
      <c r="F155" s="105">
        <v>1257</v>
      </c>
      <c r="G155" s="103"/>
      <c r="H155" s="105"/>
      <c r="I155" s="107" t="s">
        <v>12</v>
      </c>
      <c r="J155" s="103"/>
      <c r="K155" s="153">
        <v>10.9311495</v>
      </c>
      <c r="L155" s="158"/>
      <c r="M155" s="92"/>
    </row>
    <row r="156" spans="1:13" ht="13.2">
      <c r="A156" s="105" t="s">
        <v>15</v>
      </c>
      <c r="B156" s="105">
        <v>419.95143791999999</v>
      </c>
      <c r="C156" s="105">
        <v>5.9450000000000003</v>
      </c>
      <c r="D156" s="105">
        <v>6.3E-2</v>
      </c>
      <c r="E156" s="105">
        <v>5.5199999999999999E-2</v>
      </c>
      <c r="F156" s="105">
        <v>1257</v>
      </c>
      <c r="G156" s="103"/>
      <c r="H156" s="105"/>
      <c r="I156" s="107" t="s">
        <v>12</v>
      </c>
      <c r="J156" s="103"/>
      <c r="K156" s="153">
        <v>11.346955700000001</v>
      </c>
      <c r="L156" s="158"/>
      <c r="M156" s="92"/>
    </row>
    <row r="157" spans="1:13" ht="13.2">
      <c r="A157" s="105" t="s">
        <v>15</v>
      </c>
      <c r="B157" s="105">
        <v>514.11293939999996</v>
      </c>
      <c r="C157" s="105">
        <v>5.9450000000000003</v>
      </c>
      <c r="D157" s="105">
        <v>6.3E-2</v>
      </c>
      <c r="E157" s="105">
        <v>5.5199999999999999E-2</v>
      </c>
      <c r="F157" s="105">
        <v>1257</v>
      </c>
      <c r="G157" s="103"/>
      <c r="H157" s="105"/>
      <c r="I157" s="107" t="s">
        <v>12</v>
      </c>
      <c r="J157" s="103"/>
      <c r="K157" s="153">
        <v>11.7785777</v>
      </c>
      <c r="L157" s="158"/>
      <c r="M157" s="92"/>
    </row>
    <row r="158" spans="1:13" ht="13.2">
      <c r="A158" s="105" t="s">
        <v>15</v>
      </c>
      <c r="B158" s="105">
        <v>606.6574134</v>
      </c>
      <c r="C158" s="105">
        <v>5.9450000000000003</v>
      </c>
      <c r="D158" s="105">
        <v>6.3E-2</v>
      </c>
      <c r="E158" s="105">
        <v>5.5199999999999999E-2</v>
      </c>
      <c r="F158" s="105">
        <v>1257</v>
      </c>
      <c r="G158" s="103"/>
      <c r="H158" s="105"/>
      <c r="I158" s="107" t="s">
        <v>12</v>
      </c>
      <c r="J158" s="103"/>
      <c r="K158" s="153">
        <v>12.165909600000001</v>
      </c>
      <c r="L158" s="158"/>
      <c r="M158" s="92"/>
    </row>
    <row r="159" spans="1:13" ht="13.2">
      <c r="A159" s="105" t="s">
        <v>15</v>
      </c>
      <c r="B159" s="105">
        <v>672.46839239999997</v>
      </c>
      <c r="C159" s="105">
        <v>5.9450000000000003</v>
      </c>
      <c r="D159" s="105">
        <v>6.3E-2</v>
      </c>
      <c r="E159" s="105">
        <v>5.5199999999999999E-2</v>
      </c>
      <c r="F159" s="105">
        <v>1257</v>
      </c>
      <c r="G159" s="103"/>
      <c r="H159" s="105"/>
      <c r="I159" s="107" t="s">
        <v>12</v>
      </c>
      <c r="J159" s="103"/>
      <c r="K159" s="153">
        <v>12.581625300000001</v>
      </c>
      <c r="L159" s="158"/>
      <c r="M159" s="92"/>
    </row>
    <row r="160" spans="1:13" ht="13.2">
      <c r="A160" s="105" t="s">
        <v>15</v>
      </c>
      <c r="B160" s="105">
        <v>767.67934560000003</v>
      </c>
      <c r="C160" s="105">
        <v>5.9450000000000003</v>
      </c>
      <c r="D160" s="105">
        <v>6.3E-2</v>
      </c>
      <c r="E160" s="105">
        <v>5.5199999999999999E-2</v>
      </c>
      <c r="F160" s="105">
        <v>1257</v>
      </c>
      <c r="G160" s="103"/>
      <c r="H160" s="105"/>
      <c r="I160" s="107" t="s">
        <v>12</v>
      </c>
      <c r="J160" s="103"/>
      <c r="K160" s="153">
        <v>13.0277478</v>
      </c>
      <c r="L160" s="158"/>
      <c r="M160" s="92"/>
    </row>
    <row r="161" spans="1:13" ht="13.2">
      <c r="A161" s="105" t="s">
        <v>15</v>
      </c>
      <c r="B161" s="105">
        <v>863.57106899999997</v>
      </c>
      <c r="C161" s="105">
        <v>5.9450000000000003</v>
      </c>
      <c r="D161" s="105">
        <v>6.3E-2</v>
      </c>
      <c r="E161" s="105">
        <v>5.5199999999999999E-2</v>
      </c>
      <c r="F161" s="105">
        <v>1257</v>
      </c>
      <c r="G161" s="103"/>
      <c r="H161" s="105"/>
      <c r="I161" s="107" t="s">
        <v>12</v>
      </c>
      <c r="J161" s="103"/>
      <c r="K161" s="153">
        <v>13.3560596</v>
      </c>
      <c r="L161" s="158"/>
      <c r="M161" s="92"/>
    </row>
    <row r="162" spans="1:13" ht="13.2">
      <c r="A162" s="105" t="s">
        <v>15</v>
      </c>
      <c r="B162" s="105">
        <v>1184.8906758000001</v>
      </c>
      <c r="C162" s="105">
        <v>5.9450000000000003</v>
      </c>
      <c r="D162" s="105">
        <v>6.3E-2</v>
      </c>
      <c r="E162" s="105">
        <v>5.5199999999999999E-2</v>
      </c>
      <c r="F162" s="105">
        <v>1257</v>
      </c>
      <c r="G162" s="103"/>
      <c r="H162" s="105"/>
      <c r="I162" s="107" t="s">
        <v>12</v>
      </c>
      <c r="J162" s="103"/>
      <c r="K162" s="153">
        <v>14.4993353</v>
      </c>
      <c r="L162" s="158"/>
      <c r="M162" s="92"/>
    </row>
    <row r="163" spans="1:13" ht="13.2">
      <c r="A163" s="105" t="s">
        <v>15</v>
      </c>
      <c r="B163" s="105">
        <v>1455.9116363999999</v>
      </c>
      <c r="C163" s="105">
        <v>5.9450000000000003</v>
      </c>
      <c r="D163" s="105">
        <v>6.3E-2</v>
      </c>
      <c r="E163" s="105">
        <v>5.5199999999999999E-2</v>
      </c>
      <c r="F163" s="105">
        <v>1257</v>
      </c>
      <c r="G163" s="103"/>
      <c r="H163" s="105"/>
      <c r="I163" s="107" t="s">
        <v>12</v>
      </c>
      <c r="J163" s="103"/>
      <c r="K163" s="153">
        <v>15.44938</v>
      </c>
      <c r="L163" s="158"/>
      <c r="M163" s="92"/>
    </row>
    <row r="164" spans="1:13" ht="13.2">
      <c r="A164" s="105" t="s">
        <v>15</v>
      </c>
      <c r="B164" s="105">
        <v>1762.7966664</v>
      </c>
      <c r="C164" s="105">
        <v>5.9450000000000003</v>
      </c>
      <c r="D164" s="105">
        <v>6.3E-2</v>
      </c>
      <c r="E164" s="105">
        <v>5.5199999999999999E-2</v>
      </c>
      <c r="F164" s="105">
        <v>1257</v>
      </c>
      <c r="G164" s="103"/>
      <c r="H164" s="105"/>
      <c r="I164" s="107" t="s">
        <v>12</v>
      </c>
      <c r="J164" s="103"/>
      <c r="K164" s="153">
        <v>16.197506799999999</v>
      </c>
      <c r="L164" s="158"/>
      <c r="M164" s="92"/>
    </row>
    <row r="165" spans="1:13" ht="13.2">
      <c r="A165" s="105" t="s">
        <v>15</v>
      </c>
      <c r="B165" s="105">
        <v>2095.4724762000001</v>
      </c>
      <c r="C165" s="105">
        <v>5.9450000000000003</v>
      </c>
      <c r="D165" s="105">
        <v>6.3E-2</v>
      </c>
      <c r="E165" s="105">
        <v>5.5199999999999999E-2</v>
      </c>
      <c r="F165" s="105">
        <v>1257</v>
      </c>
      <c r="G165" s="103"/>
      <c r="H165" s="105"/>
      <c r="I165" s="107" t="s">
        <v>12</v>
      </c>
      <c r="J165" s="103"/>
      <c r="K165" s="153">
        <v>17.024180699999999</v>
      </c>
      <c r="L165" s="158"/>
      <c r="M165" s="92"/>
    </row>
    <row r="166" spans="1:13" ht="13.2">
      <c r="A166" s="105" t="s">
        <v>15</v>
      </c>
      <c r="B166" s="105">
        <v>2472.674415</v>
      </c>
      <c r="C166" s="105">
        <v>5.9450000000000003</v>
      </c>
      <c r="D166" s="105">
        <v>6.3E-2</v>
      </c>
      <c r="E166" s="105">
        <v>5.5199999999999999E-2</v>
      </c>
      <c r="F166" s="105">
        <v>1257</v>
      </c>
      <c r="G166" s="103"/>
      <c r="H166" s="105"/>
      <c r="I166" s="107" t="s">
        <v>12</v>
      </c>
      <c r="J166" s="103"/>
      <c r="K166" s="153">
        <v>17.870790499999998</v>
      </c>
      <c r="L166" s="158"/>
      <c r="M166" s="92"/>
    </row>
    <row r="167" spans="1:13" ht="13.2">
      <c r="A167" s="105" t="s">
        <v>15</v>
      </c>
      <c r="B167" s="105">
        <v>2802.0775386</v>
      </c>
      <c r="C167" s="105">
        <v>5.9450000000000003</v>
      </c>
      <c r="D167" s="105">
        <v>6.3E-2</v>
      </c>
      <c r="E167" s="105">
        <v>5.5199999999999999E-2</v>
      </c>
      <c r="F167" s="105">
        <v>1257</v>
      </c>
      <c r="G167" s="103"/>
      <c r="H167" s="105"/>
      <c r="I167" s="107" t="s">
        <v>12</v>
      </c>
      <c r="J167" s="103"/>
      <c r="K167" s="153">
        <v>18.458461400000001</v>
      </c>
      <c r="L167" s="158"/>
      <c r="M167" s="92"/>
    </row>
    <row r="168" spans="1:13" ht="13.2">
      <c r="A168" s="105" t="s">
        <v>15</v>
      </c>
      <c r="B168" s="105">
        <v>3210.5957094</v>
      </c>
      <c r="C168" s="105">
        <v>5.9450000000000003</v>
      </c>
      <c r="D168" s="105">
        <v>6.3E-2</v>
      </c>
      <c r="E168" s="105">
        <v>5.5199999999999999E-2</v>
      </c>
      <c r="F168" s="105">
        <v>1257</v>
      </c>
      <c r="G168" s="103"/>
      <c r="H168" s="105"/>
      <c r="I168" s="107" t="s">
        <v>12</v>
      </c>
      <c r="J168" s="103"/>
      <c r="K168" s="153">
        <v>19.232261399999999</v>
      </c>
      <c r="L168" s="157"/>
      <c r="M168" s="92"/>
    </row>
    <row r="169" spans="1:13" ht="13.2">
      <c r="A169" s="105" t="s">
        <v>15</v>
      </c>
      <c r="B169" s="105">
        <v>92.268228780000001</v>
      </c>
      <c r="C169" s="105">
        <v>7.0419999999999998</v>
      </c>
      <c r="D169" s="105">
        <v>6.3E-2</v>
      </c>
      <c r="E169" s="105">
        <v>5.5199999999999999E-2</v>
      </c>
      <c r="F169" s="105">
        <v>1257</v>
      </c>
      <c r="G169" s="103"/>
      <c r="H169" s="105"/>
      <c r="I169" s="107" t="s">
        <v>12</v>
      </c>
      <c r="J169" s="103"/>
      <c r="K169" s="153">
        <v>8.3546550899999996</v>
      </c>
      <c r="L169" s="158"/>
      <c r="M169" s="92"/>
    </row>
    <row r="170" spans="1:13" ht="13.2">
      <c r="A170" s="105" t="s">
        <v>15</v>
      </c>
      <c r="B170" s="105">
        <v>144.52412910000001</v>
      </c>
      <c r="C170" s="105">
        <v>7.0419999999999998</v>
      </c>
      <c r="D170" s="105">
        <v>6.3E-2</v>
      </c>
      <c r="E170" s="105">
        <v>5.5199999999999999E-2</v>
      </c>
      <c r="F170" s="105">
        <v>1257</v>
      </c>
      <c r="G170" s="103"/>
      <c r="H170" s="105"/>
      <c r="I170" s="107" t="s">
        <v>12</v>
      </c>
      <c r="J170" s="103"/>
      <c r="K170" s="153">
        <v>9.4853746399999999</v>
      </c>
      <c r="L170" s="158"/>
      <c r="M170" s="92"/>
    </row>
    <row r="171" spans="1:13" ht="13.2">
      <c r="A171" s="105" t="s">
        <v>15</v>
      </c>
      <c r="B171" s="105">
        <v>206.48686427999999</v>
      </c>
      <c r="C171" s="105">
        <v>7.0419999999999998</v>
      </c>
      <c r="D171" s="105">
        <v>6.3E-2</v>
      </c>
      <c r="E171" s="105">
        <v>5.5199999999999999E-2</v>
      </c>
      <c r="F171" s="105">
        <v>1257</v>
      </c>
      <c r="G171" s="103"/>
      <c r="H171" s="105"/>
      <c r="I171" s="107" t="s">
        <v>12</v>
      </c>
      <c r="J171" s="103"/>
      <c r="K171" s="153">
        <v>10.0817646</v>
      </c>
      <c r="L171" s="158"/>
      <c r="M171" s="92"/>
    </row>
    <row r="172" spans="1:13" ht="13.2">
      <c r="A172" s="105" t="s">
        <v>15</v>
      </c>
      <c r="B172" s="105">
        <v>264.19290138000002</v>
      </c>
      <c r="C172" s="105">
        <v>7.0419999999999998</v>
      </c>
      <c r="D172" s="105">
        <v>6.3E-2</v>
      </c>
      <c r="E172" s="105">
        <v>5.5199999999999999E-2</v>
      </c>
      <c r="F172" s="105">
        <v>1257</v>
      </c>
      <c r="G172" s="103"/>
      <c r="H172" s="105"/>
      <c r="I172" s="107" t="s">
        <v>12</v>
      </c>
      <c r="J172" s="103"/>
      <c r="K172" s="153">
        <v>10.5044038</v>
      </c>
      <c r="L172" s="158"/>
      <c r="M172" s="92"/>
    </row>
    <row r="173" spans="1:13" ht="13.2">
      <c r="A173" s="105" t="s">
        <v>15</v>
      </c>
      <c r="B173" s="105">
        <v>328.22401775999998</v>
      </c>
      <c r="C173" s="105">
        <v>7.0419999999999998</v>
      </c>
      <c r="D173" s="105">
        <v>6.3E-2</v>
      </c>
      <c r="E173" s="105">
        <v>5.5199999999999999E-2</v>
      </c>
      <c r="F173" s="105">
        <v>1257</v>
      </c>
      <c r="G173" s="103"/>
      <c r="H173" s="105"/>
      <c r="I173" s="107" t="s">
        <v>12</v>
      </c>
      <c r="J173" s="103"/>
      <c r="K173" s="153">
        <v>10.9993772</v>
      </c>
      <c r="L173" s="158"/>
      <c r="M173" s="92"/>
    </row>
    <row r="174" spans="1:13" ht="13.2">
      <c r="A174" s="105" t="s">
        <v>15</v>
      </c>
      <c r="B174" s="105">
        <v>387.30698699999999</v>
      </c>
      <c r="C174" s="105">
        <v>7.0419999999999998</v>
      </c>
      <c r="D174" s="105">
        <v>6.3E-2</v>
      </c>
      <c r="E174" s="105">
        <v>5.5199999999999999E-2</v>
      </c>
      <c r="F174" s="105">
        <v>1257</v>
      </c>
      <c r="G174" s="103"/>
      <c r="H174" s="105"/>
      <c r="I174" s="107" t="s">
        <v>12</v>
      </c>
      <c r="J174" s="103"/>
      <c r="K174" s="153">
        <v>11.403577500000001</v>
      </c>
      <c r="L174" s="158"/>
      <c r="M174" s="92"/>
    </row>
    <row r="175" spans="1:13" ht="13.2">
      <c r="A175" s="105" t="s">
        <v>15</v>
      </c>
      <c r="B175" s="105">
        <v>453.67560864000001</v>
      </c>
      <c r="C175" s="105">
        <v>7.0419999999999998</v>
      </c>
      <c r="D175" s="105">
        <v>6.3E-2</v>
      </c>
      <c r="E175" s="105">
        <v>5.5199999999999999E-2</v>
      </c>
      <c r="F175" s="105">
        <v>1257</v>
      </c>
      <c r="G175" s="103"/>
      <c r="H175" s="105"/>
      <c r="I175" s="107" t="s">
        <v>12</v>
      </c>
      <c r="J175" s="103"/>
      <c r="K175" s="153">
        <v>11.7785777</v>
      </c>
      <c r="L175" s="158"/>
      <c r="M175" s="92"/>
    </row>
    <row r="176" spans="1:13" ht="13.2">
      <c r="A176" s="105" t="s">
        <v>15</v>
      </c>
      <c r="B176" s="105">
        <v>506.60406899999998</v>
      </c>
      <c r="C176" s="105">
        <v>7.0419999999999998</v>
      </c>
      <c r="D176" s="105">
        <v>6.3E-2</v>
      </c>
      <c r="E176" s="105">
        <v>5.5199999999999999E-2</v>
      </c>
      <c r="F176" s="105">
        <v>1257</v>
      </c>
      <c r="G176" s="103"/>
      <c r="H176" s="105"/>
      <c r="I176" s="107" t="s">
        <v>12</v>
      </c>
      <c r="J176" s="103"/>
      <c r="K176" s="153">
        <v>11.970676599999999</v>
      </c>
      <c r="L176" s="158"/>
      <c r="M176" s="92"/>
    </row>
    <row r="177" spans="1:13" ht="13.2">
      <c r="A177" s="105" t="s">
        <v>15</v>
      </c>
      <c r="B177" s="105">
        <v>563.63056182000003</v>
      </c>
      <c r="C177" s="105">
        <v>7.0419999999999998</v>
      </c>
      <c r="D177" s="105">
        <v>6.3E-2</v>
      </c>
      <c r="E177" s="105">
        <v>5.5199999999999999E-2</v>
      </c>
      <c r="F177" s="105">
        <v>1257</v>
      </c>
      <c r="G177" s="103"/>
      <c r="H177" s="105"/>
      <c r="I177" s="107" t="s">
        <v>12</v>
      </c>
      <c r="J177" s="103"/>
      <c r="K177" s="153">
        <v>12.272350299999999</v>
      </c>
      <c r="L177" s="158"/>
      <c r="M177" s="92"/>
    </row>
    <row r="178" spans="1:13" ht="13.2">
      <c r="A178" s="105" t="s">
        <v>15</v>
      </c>
      <c r="B178" s="105">
        <v>629.38717140000006</v>
      </c>
      <c r="C178" s="105">
        <v>7.0419999999999998</v>
      </c>
      <c r="D178" s="105">
        <v>6.3E-2</v>
      </c>
      <c r="E178" s="105">
        <v>5.5199999999999999E-2</v>
      </c>
      <c r="F178" s="105">
        <v>1257</v>
      </c>
      <c r="G178" s="103"/>
      <c r="H178" s="105"/>
      <c r="I178" s="107" t="s">
        <v>12</v>
      </c>
      <c r="J178" s="103"/>
      <c r="K178" s="153">
        <v>12.5347416</v>
      </c>
      <c r="L178" s="158"/>
      <c r="M178" s="92"/>
    </row>
    <row r="179" spans="1:13" ht="13.2">
      <c r="A179" s="105" t="s">
        <v>15</v>
      </c>
      <c r="B179" s="105">
        <v>713.23228019999999</v>
      </c>
      <c r="C179" s="105">
        <v>7.0419999999999998</v>
      </c>
      <c r="D179" s="105">
        <v>6.3E-2</v>
      </c>
      <c r="E179" s="105">
        <v>5.5199999999999999E-2</v>
      </c>
      <c r="F179" s="105">
        <v>1257</v>
      </c>
      <c r="G179" s="103"/>
      <c r="H179" s="105"/>
      <c r="I179" s="107" t="s">
        <v>12</v>
      </c>
      <c r="J179" s="103"/>
      <c r="K179" s="153">
        <v>13.0277478</v>
      </c>
      <c r="L179" s="158"/>
      <c r="M179" s="92"/>
    </row>
    <row r="180" spans="1:13" ht="13.2">
      <c r="A180" s="105" t="s">
        <v>15</v>
      </c>
      <c r="B180" s="105">
        <v>787.70204939999996</v>
      </c>
      <c r="C180" s="105">
        <v>7.0419999999999998</v>
      </c>
      <c r="D180" s="105">
        <v>6.3E-2</v>
      </c>
      <c r="E180" s="105">
        <v>5.5199999999999999E-2</v>
      </c>
      <c r="F180" s="105">
        <v>1257</v>
      </c>
      <c r="G180" s="103"/>
      <c r="H180" s="105"/>
      <c r="I180" s="107" t="s">
        <v>12</v>
      </c>
      <c r="J180" s="103"/>
      <c r="K180" s="153">
        <v>13.256707</v>
      </c>
      <c r="L180" s="158"/>
      <c r="M180" s="92"/>
    </row>
    <row r="181" spans="1:13" ht="13.2">
      <c r="A181" s="105" t="s">
        <v>15</v>
      </c>
      <c r="B181" s="105">
        <v>1108.9814766</v>
      </c>
      <c r="C181" s="105">
        <v>7.0419999999999998</v>
      </c>
      <c r="D181" s="105">
        <v>6.3E-2</v>
      </c>
      <c r="E181" s="105">
        <v>5.5199999999999999E-2</v>
      </c>
      <c r="F181" s="105">
        <v>1257</v>
      </c>
      <c r="G181" s="103"/>
      <c r="H181" s="105"/>
      <c r="I181" s="107" t="s">
        <v>12</v>
      </c>
      <c r="J181" s="103"/>
      <c r="K181" s="153">
        <v>14.409397800000001</v>
      </c>
      <c r="L181" s="158"/>
      <c r="M181" s="92"/>
    </row>
    <row r="182" spans="1:13" ht="13.2">
      <c r="A182" s="105" t="s">
        <v>15</v>
      </c>
      <c r="B182" s="105">
        <v>1377.7597883999999</v>
      </c>
      <c r="C182" s="105">
        <v>7.0419999999999998</v>
      </c>
      <c r="D182" s="105">
        <v>6.3E-2</v>
      </c>
      <c r="E182" s="105">
        <v>5.5199999999999999E-2</v>
      </c>
      <c r="F182" s="105">
        <v>1257</v>
      </c>
      <c r="G182" s="103"/>
      <c r="H182" s="105"/>
      <c r="I182" s="107" t="s">
        <v>12</v>
      </c>
      <c r="J182" s="103"/>
      <c r="K182" s="153">
        <v>15.3153843</v>
      </c>
      <c r="L182" s="158"/>
      <c r="M182" s="92"/>
    </row>
    <row r="183" spans="1:13" ht="13.2">
      <c r="A183" s="105" t="s">
        <v>15</v>
      </c>
      <c r="B183" s="105">
        <v>1631.7588330000001</v>
      </c>
      <c r="C183" s="105">
        <v>7.0419999999999998</v>
      </c>
      <c r="D183" s="105">
        <v>6.3E-2</v>
      </c>
      <c r="E183" s="105">
        <v>5.5199999999999999E-2</v>
      </c>
      <c r="F183" s="105">
        <v>1257</v>
      </c>
      <c r="G183" s="103"/>
      <c r="H183" s="105"/>
      <c r="I183" s="107" t="s">
        <v>12</v>
      </c>
      <c r="J183" s="103"/>
      <c r="K183" s="153">
        <v>16.097037199999999</v>
      </c>
      <c r="L183" s="158"/>
      <c r="M183" s="92"/>
    </row>
    <row r="184" spans="1:13" ht="13.2">
      <c r="A184" s="105" t="s">
        <v>15</v>
      </c>
      <c r="B184" s="105">
        <v>2042.2078968000001</v>
      </c>
      <c r="C184" s="105">
        <v>7.0419999999999998</v>
      </c>
      <c r="D184" s="105">
        <v>6.3E-2</v>
      </c>
      <c r="E184" s="105">
        <v>5.5199999999999999E-2</v>
      </c>
      <c r="F184" s="105">
        <v>1257</v>
      </c>
      <c r="G184" s="103"/>
      <c r="H184" s="105"/>
      <c r="I184" s="107" t="s">
        <v>12</v>
      </c>
      <c r="J184" s="103"/>
      <c r="K184" s="153">
        <v>16.981862599999999</v>
      </c>
      <c r="L184" s="159"/>
      <c r="M184" s="88"/>
    </row>
    <row r="185" spans="1:13" ht="13.2">
      <c r="A185" s="105" t="s">
        <v>15</v>
      </c>
      <c r="B185" s="105">
        <v>2348.5667927999998</v>
      </c>
      <c r="C185" s="105">
        <v>7.0419999999999998</v>
      </c>
      <c r="D185" s="105">
        <v>6.3E-2</v>
      </c>
      <c r="E185" s="105">
        <v>5.5199999999999999E-2</v>
      </c>
      <c r="F185" s="105">
        <v>1257</v>
      </c>
      <c r="G185" s="103"/>
      <c r="H185" s="105"/>
      <c r="I185" s="107" t="s">
        <v>12</v>
      </c>
      <c r="J185" s="103"/>
      <c r="K185" s="153">
        <v>17.737853900000001</v>
      </c>
      <c r="L185" s="157"/>
      <c r="M185" s="92"/>
    </row>
    <row r="186" spans="1:13" ht="13.2">
      <c r="A186" s="105" t="s">
        <v>15</v>
      </c>
      <c r="B186" s="105">
        <v>65.72652798</v>
      </c>
      <c r="C186" s="105">
        <v>7.0419999999999998</v>
      </c>
      <c r="D186" s="92">
        <v>6.4000000000000001E-2</v>
      </c>
      <c r="E186" s="105">
        <v>3.0200000000000001E-2</v>
      </c>
      <c r="F186" s="105">
        <v>1247</v>
      </c>
      <c r="G186" s="103"/>
      <c r="H186" s="105"/>
      <c r="I186" s="107" t="s">
        <v>12</v>
      </c>
      <c r="J186" s="103"/>
      <c r="K186" s="153">
        <v>7.5342044799999996</v>
      </c>
      <c r="L186" s="158"/>
      <c r="M186" s="92"/>
    </row>
    <row r="187" spans="1:13" ht="13.2">
      <c r="A187" s="105" t="s">
        <v>15</v>
      </c>
      <c r="B187" s="105">
        <v>119.07080694</v>
      </c>
      <c r="C187" s="105">
        <v>7.0419999999999998</v>
      </c>
      <c r="D187" s="92">
        <v>6.4000000000000001E-2</v>
      </c>
      <c r="E187" s="105">
        <v>3.0200000000000001E-2</v>
      </c>
      <c r="F187" s="105">
        <v>1247</v>
      </c>
      <c r="G187" s="103"/>
      <c r="H187" s="105"/>
      <c r="I187" s="107" t="s">
        <v>12</v>
      </c>
      <c r="J187" s="103"/>
      <c r="K187" s="153">
        <v>8.6127722599999998</v>
      </c>
      <c r="L187" s="158"/>
      <c r="M187" s="92"/>
    </row>
    <row r="188" spans="1:13" ht="13.2">
      <c r="A188" s="105" t="s">
        <v>15</v>
      </c>
      <c r="B188" s="105">
        <v>176.75001516</v>
      </c>
      <c r="C188" s="105">
        <v>7.0419999999999998</v>
      </c>
      <c r="D188" s="92">
        <v>6.4000000000000001E-2</v>
      </c>
      <c r="E188" s="105">
        <v>3.0200000000000001E-2</v>
      </c>
      <c r="F188" s="105">
        <v>1247</v>
      </c>
      <c r="G188" s="103"/>
      <c r="H188" s="105"/>
      <c r="I188" s="107" t="s">
        <v>12</v>
      </c>
      <c r="J188" s="103"/>
      <c r="K188" s="153">
        <v>9.0430937700000005</v>
      </c>
      <c r="L188" s="158"/>
      <c r="M188" s="92"/>
    </row>
    <row r="189" spans="1:13" ht="13.2">
      <c r="A189" s="105" t="s">
        <v>15</v>
      </c>
      <c r="B189" s="105">
        <v>242.76698472000001</v>
      </c>
      <c r="C189" s="105">
        <v>7.0419999999999998</v>
      </c>
      <c r="D189" s="92">
        <v>6.4000000000000001E-2</v>
      </c>
      <c r="E189" s="105">
        <v>3.0200000000000001E-2</v>
      </c>
      <c r="F189" s="105">
        <v>1247</v>
      </c>
      <c r="G189" s="103"/>
      <c r="H189" s="105"/>
      <c r="I189" s="107" t="s">
        <v>12</v>
      </c>
      <c r="J189" s="103"/>
      <c r="K189" s="153">
        <v>9.5705752200000003</v>
      </c>
      <c r="L189" s="158"/>
      <c r="M189" s="92"/>
    </row>
    <row r="190" spans="1:13" ht="13.2">
      <c r="A190" s="105" t="s">
        <v>15</v>
      </c>
      <c r="B190" s="105">
        <v>300.30661967999998</v>
      </c>
      <c r="C190" s="105">
        <v>7.0419999999999998</v>
      </c>
      <c r="D190" s="92">
        <v>6.4000000000000001E-2</v>
      </c>
      <c r="E190" s="105">
        <v>3.0200000000000001E-2</v>
      </c>
      <c r="F190" s="105">
        <v>1247</v>
      </c>
      <c r="G190" s="103"/>
      <c r="H190" s="105"/>
      <c r="I190" s="107" t="s">
        <v>12</v>
      </c>
      <c r="J190" s="103"/>
      <c r="K190" s="153">
        <v>10.0373637</v>
      </c>
      <c r="L190" s="158"/>
      <c r="M190" s="92"/>
    </row>
    <row r="191" spans="1:13" ht="13.2">
      <c r="A191" s="105" t="s">
        <v>15</v>
      </c>
      <c r="B191" s="105">
        <v>354.33360804</v>
      </c>
      <c r="C191" s="105">
        <v>7.0419999999999998</v>
      </c>
      <c r="D191" s="92">
        <v>6.4000000000000001E-2</v>
      </c>
      <c r="E191" s="105">
        <v>3.0200000000000001E-2</v>
      </c>
      <c r="F191" s="105">
        <v>1247</v>
      </c>
      <c r="G191" s="103"/>
      <c r="H191" s="105"/>
      <c r="I191" s="107" t="s">
        <v>12</v>
      </c>
      <c r="J191" s="103"/>
      <c r="K191" s="153">
        <v>10.3611378</v>
      </c>
      <c r="L191" s="158"/>
      <c r="M191" s="92"/>
    </row>
    <row r="192" spans="1:13" ht="13.2">
      <c r="A192" s="105" t="s">
        <v>15</v>
      </c>
      <c r="B192" s="105">
        <v>411.08212092000002</v>
      </c>
      <c r="C192" s="105">
        <v>7.0419999999999998</v>
      </c>
      <c r="D192" s="92">
        <v>6.4000000000000001E-2</v>
      </c>
      <c r="E192" s="105">
        <v>3.0200000000000001E-2</v>
      </c>
      <c r="F192" s="105">
        <v>1247</v>
      </c>
      <c r="G192" s="103"/>
      <c r="H192" s="105"/>
      <c r="I192" s="107" t="s">
        <v>12</v>
      </c>
      <c r="J192" s="103"/>
      <c r="K192" s="153">
        <v>10.7196354</v>
      </c>
      <c r="L192" s="158"/>
      <c r="M192" s="92"/>
    </row>
    <row r="193" spans="1:13" ht="13.2">
      <c r="A193" s="105" t="s">
        <v>15</v>
      </c>
      <c r="B193" s="105">
        <v>475.31152967999998</v>
      </c>
      <c r="C193" s="105">
        <v>7.0419999999999998</v>
      </c>
      <c r="D193" s="92">
        <v>6.4000000000000001E-2</v>
      </c>
      <c r="E193" s="105">
        <v>3.0200000000000001E-2</v>
      </c>
      <c r="F193" s="105">
        <v>1247</v>
      </c>
      <c r="G193" s="103"/>
      <c r="H193" s="105"/>
      <c r="I193" s="107" t="s">
        <v>12</v>
      </c>
      <c r="J193" s="103"/>
      <c r="K193" s="153">
        <v>10.953073699999999</v>
      </c>
      <c r="L193" s="158"/>
      <c r="M193" s="92"/>
    </row>
    <row r="194" spans="1:13" ht="13.2">
      <c r="A194" s="105" t="s">
        <v>15</v>
      </c>
      <c r="B194" s="105">
        <v>533.12826726000003</v>
      </c>
      <c r="C194" s="105">
        <v>7.0419999999999998</v>
      </c>
      <c r="D194" s="92">
        <v>6.4000000000000001E-2</v>
      </c>
      <c r="E194" s="105">
        <v>3.0200000000000001E-2</v>
      </c>
      <c r="F194" s="105">
        <v>1247</v>
      </c>
      <c r="G194" s="103"/>
      <c r="H194" s="105"/>
      <c r="I194" s="107" t="s">
        <v>12</v>
      </c>
      <c r="J194" s="103"/>
      <c r="K194" s="153">
        <v>11.2297288</v>
      </c>
      <c r="L194" s="158"/>
      <c r="M194" s="92"/>
    </row>
    <row r="195" spans="1:13" ht="13.2">
      <c r="A195" s="105" t="s">
        <v>15</v>
      </c>
      <c r="B195" s="105">
        <v>578.12558544000001</v>
      </c>
      <c r="C195" s="105">
        <v>7.0419999999999998</v>
      </c>
      <c r="D195" s="92">
        <v>6.4000000000000001E-2</v>
      </c>
      <c r="E195" s="105">
        <v>3.0200000000000001E-2</v>
      </c>
      <c r="F195" s="105">
        <v>1247</v>
      </c>
      <c r="G195" s="103"/>
      <c r="H195" s="105"/>
      <c r="I195" s="107" t="s">
        <v>12</v>
      </c>
      <c r="J195" s="103"/>
      <c r="K195" s="153">
        <v>11.3835649</v>
      </c>
      <c r="L195" s="158"/>
      <c r="M195" s="92"/>
    </row>
    <row r="196" spans="1:13" ht="13.2">
      <c r="A196" s="105" t="s">
        <v>15</v>
      </c>
      <c r="B196" s="105">
        <v>663.95626140000002</v>
      </c>
      <c r="C196" s="105">
        <v>7.0419999999999998</v>
      </c>
      <c r="D196" s="92">
        <v>6.4000000000000001E-2</v>
      </c>
      <c r="E196" s="105">
        <v>3.0200000000000001E-2</v>
      </c>
      <c r="F196" s="105">
        <v>1247</v>
      </c>
      <c r="G196" s="103"/>
      <c r="H196" s="105"/>
      <c r="I196" s="107" t="s">
        <v>12</v>
      </c>
      <c r="J196" s="103"/>
      <c r="K196" s="153">
        <v>11.7774397</v>
      </c>
      <c r="L196" s="158"/>
      <c r="M196" s="92"/>
    </row>
    <row r="197" spans="1:13" ht="13.2">
      <c r="A197" s="105" t="s">
        <v>15</v>
      </c>
      <c r="B197" s="105">
        <v>739.70847419999996</v>
      </c>
      <c r="C197" s="105">
        <v>7.0419999999999998</v>
      </c>
      <c r="D197" s="92">
        <v>6.4000000000000001E-2</v>
      </c>
      <c r="E197" s="105">
        <v>3.0200000000000001E-2</v>
      </c>
      <c r="F197" s="105">
        <v>1247</v>
      </c>
      <c r="G197" s="103"/>
      <c r="H197" s="105"/>
      <c r="I197" s="107" t="s">
        <v>12</v>
      </c>
      <c r="J197" s="103"/>
      <c r="K197" s="153">
        <v>12.116058900000001</v>
      </c>
      <c r="L197" s="158"/>
      <c r="M197" s="92"/>
    </row>
    <row r="198" spans="1:13" ht="13.2">
      <c r="A198" s="105" t="s">
        <v>15</v>
      </c>
      <c r="B198" s="105">
        <v>846.66458399999999</v>
      </c>
      <c r="C198" s="105">
        <v>7.0419999999999998</v>
      </c>
      <c r="D198" s="92">
        <v>6.4000000000000001E-2</v>
      </c>
      <c r="E198" s="105">
        <v>3.0200000000000001E-2</v>
      </c>
      <c r="F198" s="105">
        <v>1247</v>
      </c>
      <c r="G198" s="103"/>
      <c r="H198" s="105"/>
      <c r="I198" s="107" t="s">
        <v>12</v>
      </c>
      <c r="J198" s="103"/>
      <c r="K198" s="153">
        <v>12.5352782</v>
      </c>
      <c r="L198" s="158"/>
      <c r="M198" s="92"/>
    </row>
    <row r="199" spans="1:13" ht="13.2">
      <c r="A199" s="105" t="s">
        <v>15</v>
      </c>
      <c r="B199" s="105">
        <v>1198.7751072000001</v>
      </c>
      <c r="C199" s="105">
        <v>7.0419999999999998</v>
      </c>
      <c r="D199" s="92">
        <v>6.4000000000000001E-2</v>
      </c>
      <c r="E199" s="105">
        <v>3.0200000000000001E-2</v>
      </c>
      <c r="F199" s="105">
        <v>1247</v>
      </c>
      <c r="G199" s="103"/>
      <c r="H199" s="105"/>
      <c r="I199" s="107" t="s">
        <v>12</v>
      </c>
      <c r="J199" s="103"/>
      <c r="K199" s="153">
        <v>13.7878726</v>
      </c>
      <c r="L199" s="158"/>
      <c r="M199" s="92"/>
    </row>
    <row r="200" spans="1:13" ht="13.2">
      <c r="A200" s="105" t="s">
        <v>15</v>
      </c>
      <c r="B200" s="105">
        <v>1498.0005000000001</v>
      </c>
      <c r="C200" s="105">
        <v>7.0419999999999998</v>
      </c>
      <c r="D200" s="92">
        <v>6.4000000000000001E-2</v>
      </c>
      <c r="E200" s="105">
        <v>3.0200000000000001E-2</v>
      </c>
      <c r="F200" s="105">
        <v>1247</v>
      </c>
      <c r="G200" s="103"/>
      <c r="H200" s="105"/>
      <c r="I200" s="107" t="s">
        <v>12</v>
      </c>
      <c r="J200" s="103"/>
      <c r="K200" s="153">
        <v>14.4112489</v>
      </c>
      <c r="L200" s="158"/>
      <c r="M200" s="92"/>
    </row>
    <row r="201" spans="1:13" ht="13.2">
      <c r="A201" s="105" t="s">
        <v>15</v>
      </c>
      <c r="B201" s="105">
        <v>1749.688269</v>
      </c>
      <c r="C201" s="105">
        <v>7.0419999999999998</v>
      </c>
      <c r="D201" s="92">
        <v>6.4000000000000001E-2</v>
      </c>
      <c r="E201" s="105">
        <v>3.0200000000000001E-2</v>
      </c>
      <c r="F201" s="105">
        <v>1247</v>
      </c>
      <c r="G201" s="103"/>
      <c r="H201" s="105"/>
      <c r="I201" s="107" t="s">
        <v>12</v>
      </c>
      <c r="J201" s="103"/>
      <c r="K201" s="153">
        <v>15.079900200000001</v>
      </c>
      <c r="L201" s="158"/>
      <c r="M201" s="92"/>
    </row>
    <row r="202" spans="1:13" ht="13.2">
      <c r="A202" s="105" t="s">
        <v>15</v>
      </c>
      <c r="B202" s="105">
        <v>2092.5378473999999</v>
      </c>
      <c r="C202" s="105">
        <v>7.0419999999999998</v>
      </c>
      <c r="D202" s="92">
        <v>6.4000000000000001E-2</v>
      </c>
      <c r="E202" s="105">
        <v>3.0200000000000001E-2</v>
      </c>
      <c r="F202" s="105">
        <v>1247</v>
      </c>
      <c r="G202" s="103"/>
      <c r="H202" s="105"/>
      <c r="I202" s="107" t="s">
        <v>12</v>
      </c>
      <c r="J202" s="103"/>
      <c r="K202" s="153">
        <v>15.941421500000001</v>
      </c>
      <c r="L202" s="158"/>
      <c r="M202" s="92"/>
    </row>
    <row r="203" spans="1:13" ht="13.2">
      <c r="A203" s="105" t="s">
        <v>15</v>
      </c>
      <c r="B203" s="105">
        <v>2444.1172901999998</v>
      </c>
      <c r="C203" s="105">
        <v>7.0419999999999998</v>
      </c>
      <c r="D203" s="92">
        <v>6.4000000000000001E-2</v>
      </c>
      <c r="E203" s="105">
        <v>3.0200000000000001E-2</v>
      </c>
      <c r="F203" s="105">
        <v>1247</v>
      </c>
      <c r="G203" s="103"/>
      <c r="H203" s="105"/>
      <c r="I203" s="107" t="s">
        <v>12</v>
      </c>
      <c r="J203" s="103"/>
      <c r="K203" s="153">
        <v>16.662164700000002</v>
      </c>
      <c r="L203" s="157"/>
      <c r="M203" s="92"/>
    </row>
    <row r="204" spans="1:13" ht="13.2">
      <c r="A204" s="105" t="s">
        <v>15</v>
      </c>
      <c r="B204" s="105">
        <v>74.471978579999998</v>
      </c>
      <c r="C204" s="105">
        <v>7.0419999999999998</v>
      </c>
      <c r="D204" s="92">
        <v>6.6000000000000003E-2</v>
      </c>
      <c r="E204" s="105">
        <v>4.4900000000000002E-2</v>
      </c>
      <c r="F204" s="105">
        <v>1210</v>
      </c>
      <c r="G204" s="103"/>
      <c r="H204" s="105"/>
      <c r="I204" s="107" t="s">
        <v>12</v>
      </c>
      <c r="J204" s="103"/>
      <c r="K204" s="153">
        <v>7.2083031999999996</v>
      </c>
      <c r="L204" s="158"/>
      <c r="M204" s="92"/>
    </row>
    <row r="205" spans="1:13" ht="13.2">
      <c r="A205" s="105" t="s">
        <v>15</v>
      </c>
      <c r="B205" s="105">
        <v>118.26944958</v>
      </c>
      <c r="C205" s="105">
        <v>7.0419999999999998</v>
      </c>
      <c r="D205" s="92">
        <v>6.6000000000000003E-2</v>
      </c>
      <c r="E205" s="105">
        <v>4.4900000000000002E-2</v>
      </c>
      <c r="F205" s="105">
        <v>1210</v>
      </c>
      <c r="G205" s="103"/>
      <c r="H205" s="105"/>
      <c r="I205" s="107" t="s">
        <v>12</v>
      </c>
      <c r="J205" s="103"/>
      <c r="K205" s="153">
        <v>7.5513093099999997</v>
      </c>
      <c r="L205" s="158"/>
      <c r="M205" s="92"/>
    </row>
    <row r="206" spans="1:13" ht="13.2">
      <c r="A206" s="105" t="s">
        <v>15</v>
      </c>
      <c r="B206" s="105">
        <v>182.20314096000001</v>
      </c>
      <c r="C206" s="105">
        <v>7.0419999999999998</v>
      </c>
      <c r="D206" s="92">
        <v>6.6000000000000003E-2</v>
      </c>
      <c r="E206" s="105">
        <v>4.4900000000000002E-2</v>
      </c>
      <c r="F206" s="105">
        <v>1210</v>
      </c>
      <c r="G206" s="103"/>
      <c r="H206" s="105"/>
      <c r="I206" s="107" t="s">
        <v>12</v>
      </c>
      <c r="J206" s="103"/>
      <c r="K206" s="153">
        <v>8.0008416400000009</v>
      </c>
      <c r="L206" s="158"/>
      <c r="M206" s="92"/>
    </row>
    <row r="207" spans="1:13" ht="13.2">
      <c r="A207" s="105" t="s">
        <v>15</v>
      </c>
      <c r="B207" s="105">
        <v>237.89863152000001</v>
      </c>
      <c r="C207" s="105">
        <v>7.0419999999999998</v>
      </c>
      <c r="D207" s="92">
        <v>6.6000000000000003E-2</v>
      </c>
      <c r="E207" s="105">
        <v>4.4900000000000002E-2</v>
      </c>
      <c r="F207" s="105">
        <v>1210</v>
      </c>
      <c r="G207" s="103"/>
      <c r="H207" s="105"/>
      <c r="I207" s="107" t="s">
        <v>12</v>
      </c>
      <c r="J207" s="103"/>
      <c r="K207" s="153">
        <v>8.3815605800000004</v>
      </c>
      <c r="L207" s="158"/>
      <c r="M207" s="92"/>
    </row>
    <row r="208" spans="1:13" ht="13.2">
      <c r="A208" s="105" t="s">
        <v>15</v>
      </c>
      <c r="B208" s="105">
        <v>299.29428497999999</v>
      </c>
      <c r="C208" s="105">
        <v>7.0419999999999998</v>
      </c>
      <c r="D208" s="92">
        <v>6.6000000000000003E-2</v>
      </c>
      <c r="E208" s="105">
        <v>4.4900000000000002E-2</v>
      </c>
      <c r="F208" s="105">
        <v>1210</v>
      </c>
      <c r="G208" s="103"/>
      <c r="H208" s="105"/>
      <c r="I208" s="107" t="s">
        <v>12</v>
      </c>
      <c r="J208" s="103"/>
      <c r="K208" s="153">
        <v>8.8503620900000008</v>
      </c>
      <c r="L208" s="158"/>
      <c r="M208" s="92"/>
    </row>
    <row r="209" spans="1:13" ht="13.2">
      <c r="A209" s="105" t="s">
        <v>15</v>
      </c>
      <c r="B209" s="105">
        <v>356.73446339999998</v>
      </c>
      <c r="C209" s="105">
        <v>7.0419999999999998</v>
      </c>
      <c r="D209" s="92">
        <v>6.6000000000000003E-2</v>
      </c>
      <c r="E209" s="105">
        <v>4.4900000000000002E-2</v>
      </c>
      <c r="F209" s="105">
        <v>1210</v>
      </c>
      <c r="G209" s="103"/>
      <c r="H209" s="105"/>
      <c r="I209" s="107" t="s">
        <v>12</v>
      </c>
      <c r="J209" s="103"/>
      <c r="K209" s="153">
        <v>9.0739064700000007</v>
      </c>
      <c r="L209" s="158"/>
      <c r="M209" s="92"/>
    </row>
    <row r="210" spans="1:13" ht="13.2">
      <c r="A210" s="105" t="s">
        <v>15</v>
      </c>
      <c r="B210" s="105">
        <v>428.07902544000001</v>
      </c>
      <c r="C210" s="105">
        <v>7.0419999999999998</v>
      </c>
      <c r="D210" s="92">
        <v>6.6000000000000003E-2</v>
      </c>
      <c r="E210" s="105">
        <v>4.4900000000000002E-2</v>
      </c>
      <c r="F210" s="105">
        <v>1210</v>
      </c>
      <c r="G210" s="103"/>
      <c r="H210" s="105"/>
      <c r="I210" s="107" t="s">
        <v>12</v>
      </c>
      <c r="J210" s="103"/>
      <c r="K210" s="153">
        <v>9.4305403000000005</v>
      </c>
      <c r="L210" s="158"/>
      <c r="M210" s="92"/>
    </row>
    <row r="211" spans="1:13" ht="13.2">
      <c r="A211" s="105" t="s">
        <v>15</v>
      </c>
      <c r="B211" s="105">
        <v>473.70951636000001</v>
      </c>
      <c r="C211" s="105">
        <v>7.0419999999999998</v>
      </c>
      <c r="D211" s="92">
        <v>6.6000000000000003E-2</v>
      </c>
      <c r="E211" s="105">
        <v>4.4900000000000002E-2</v>
      </c>
      <c r="F211" s="105">
        <v>1210</v>
      </c>
      <c r="G211" s="103"/>
      <c r="H211" s="105"/>
      <c r="I211" s="107" t="s">
        <v>12</v>
      </c>
      <c r="J211" s="103"/>
      <c r="K211" s="153">
        <v>9.6797076900000008</v>
      </c>
      <c r="L211" s="158"/>
      <c r="M211" s="92"/>
    </row>
    <row r="212" spans="1:13" ht="13.2">
      <c r="A212" s="105" t="s">
        <v>15</v>
      </c>
      <c r="B212" s="105">
        <v>533.12826726000003</v>
      </c>
      <c r="C212" s="105">
        <v>7.0419999999999998</v>
      </c>
      <c r="D212" s="92">
        <v>6.6000000000000003E-2</v>
      </c>
      <c r="E212" s="105">
        <v>4.4900000000000002E-2</v>
      </c>
      <c r="F212" s="105">
        <v>1210</v>
      </c>
      <c r="G212" s="103"/>
      <c r="H212" s="105"/>
      <c r="I212" s="107" t="s">
        <v>12</v>
      </c>
      <c r="J212" s="103"/>
      <c r="K212" s="153">
        <v>9.9693116899999996</v>
      </c>
      <c r="L212" s="158"/>
      <c r="M212" s="92"/>
    </row>
    <row r="213" spans="1:13" ht="13.2">
      <c r="A213" s="105" t="s">
        <v>15</v>
      </c>
      <c r="B213" s="105">
        <v>597.97781369999996</v>
      </c>
      <c r="C213" s="105">
        <v>7.0419999999999998</v>
      </c>
      <c r="D213" s="92">
        <v>6.6000000000000003E-2</v>
      </c>
      <c r="E213" s="105">
        <v>4.4900000000000002E-2</v>
      </c>
      <c r="F213" s="105">
        <v>1210</v>
      </c>
      <c r="G213" s="103"/>
      <c r="H213" s="105"/>
      <c r="I213" s="107" t="s">
        <v>12</v>
      </c>
      <c r="J213" s="103"/>
      <c r="K213" s="153">
        <v>10.255944400000001</v>
      </c>
      <c r="L213" s="158"/>
      <c r="M213" s="92"/>
    </row>
    <row r="214" spans="1:13" ht="13.2">
      <c r="A214" s="105" t="s">
        <v>15</v>
      </c>
      <c r="B214" s="105">
        <v>655.05009180000002</v>
      </c>
      <c r="C214" s="105">
        <v>7.0419999999999998</v>
      </c>
      <c r="D214" s="92">
        <v>6.6000000000000003E-2</v>
      </c>
      <c r="E214" s="105">
        <v>4.4900000000000002E-2</v>
      </c>
      <c r="F214" s="105">
        <v>1210</v>
      </c>
      <c r="G214" s="103"/>
      <c r="H214" s="105"/>
      <c r="I214" s="107" t="s">
        <v>12</v>
      </c>
      <c r="J214" s="103"/>
      <c r="K214" s="153">
        <v>10.503075000000001</v>
      </c>
      <c r="L214" s="158"/>
      <c r="M214" s="92"/>
    </row>
    <row r="215" spans="1:13" ht="13.2">
      <c r="A215" s="105" t="s">
        <v>15</v>
      </c>
      <c r="B215" s="105">
        <v>739.70847419999996</v>
      </c>
      <c r="C215" s="105">
        <v>7.0419999999999998</v>
      </c>
      <c r="D215" s="92">
        <v>6.6000000000000003E-2</v>
      </c>
      <c r="E215" s="105">
        <v>4.4900000000000002E-2</v>
      </c>
      <c r="F215" s="105">
        <v>1210</v>
      </c>
      <c r="G215" s="103"/>
      <c r="H215" s="105"/>
      <c r="I215" s="107" t="s">
        <v>12</v>
      </c>
      <c r="J215" s="103"/>
      <c r="K215" s="153">
        <v>10.768364</v>
      </c>
      <c r="L215" s="158"/>
      <c r="M215" s="92"/>
    </row>
    <row r="216" spans="1:13" ht="13.2">
      <c r="A216" s="105" t="s">
        <v>15</v>
      </c>
      <c r="B216" s="105">
        <v>843.81094380000002</v>
      </c>
      <c r="C216" s="105">
        <v>7.0419999999999998</v>
      </c>
      <c r="D216" s="92">
        <v>6.6000000000000003E-2</v>
      </c>
      <c r="E216" s="105">
        <v>4.4900000000000002E-2</v>
      </c>
      <c r="F216" s="105">
        <v>1210</v>
      </c>
      <c r="G216" s="103"/>
      <c r="H216" s="105"/>
      <c r="I216" s="107" t="s">
        <v>12</v>
      </c>
      <c r="J216" s="103"/>
      <c r="K216" s="153">
        <v>11.2552225</v>
      </c>
      <c r="L216" s="158"/>
      <c r="M216" s="92"/>
    </row>
    <row r="217" spans="1:13" ht="13.2">
      <c r="A217" s="105" t="s">
        <v>15</v>
      </c>
      <c r="B217" s="105">
        <v>1162.8971772</v>
      </c>
      <c r="C217" s="105">
        <v>7.0419999999999998</v>
      </c>
      <c r="D217" s="92">
        <v>6.6000000000000003E-2</v>
      </c>
      <c r="E217" s="105">
        <v>4.4900000000000002E-2</v>
      </c>
      <c r="F217" s="105">
        <v>1210</v>
      </c>
      <c r="G217" s="103"/>
      <c r="H217" s="105"/>
      <c r="I217" s="107" t="s">
        <v>12</v>
      </c>
      <c r="J217" s="103"/>
      <c r="K217" s="153">
        <v>12.2403312</v>
      </c>
      <c r="L217" s="157"/>
      <c r="M217" s="92"/>
    </row>
    <row r="218" spans="1:13" ht="13.2">
      <c r="A218" s="105" t="s">
        <v>15</v>
      </c>
      <c r="B218" s="105">
        <v>61.607473319999997</v>
      </c>
      <c r="C218" s="105">
        <v>5.9450000000000003</v>
      </c>
      <c r="D218" s="92">
        <v>6.4000000000000001E-2</v>
      </c>
      <c r="E218" s="105">
        <v>3.0200000000000001E-2</v>
      </c>
      <c r="F218" s="105">
        <v>1247</v>
      </c>
      <c r="G218" s="103"/>
      <c r="H218" s="105"/>
      <c r="I218" s="107" t="s">
        <v>12</v>
      </c>
      <c r="J218" s="103"/>
      <c r="K218" s="153">
        <v>7.0877220100000002</v>
      </c>
      <c r="L218" s="158"/>
      <c r="M218" s="92"/>
    </row>
    <row r="219" spans="1:13" ht="13.2">
      <c r="A219" s="105" t="s">
        <v>15</v>
      </c>
      <c r="B219" s="105">
        <v>97.500567239999995</v>
      </c>
      <c r="C219" s="105">
        <v>5.9450000000000003</v>
      </c>
      <c r="D219" s="92">
        <v>6.4000000000000001E-2</v>
      </c>
      <c r="E219" s="105">
        <v>3.0200000000000001E-2</v>
      </c>
      <c r="F219" s="105">
        <v>1247</v>
      </c>
      <c r="G219" s="103"/>
      <c r="H219" s="105"/>
      <c r="I219" s="107" t="s">
        <v>12</v>
      </c>
      <c r="J219" s="103"/>
      <c r="K219" s="153">
        <v>8.0592488800000002</v>
      </c>
      <c r="L219" s="158"/>
      <c r="M219" s="92"/>
    </row>
    <row r="220" spans="1:13" ht="13.2">
      <c r="A220" s="105" t="s">
        <v>15</v>
      </c>
      <c r="B220" s="105">
        <v>156.17087838</v>
      </c>
      <c r="C220" s="105">
        <v>5.9450000000000003</v>
      </c>
      <c r="D220" s="92">
        <v>6.4000000000000001E-2</v>
      </c>
      <c r="E220" s="105">
        <v>3.0200000000000001E-2</v>
      </c>
      <c r="F220" s="105">
        <v>1247</v>
      </c>
      <c r="G220" s="103"/>
      <c r="H220" s="105"/>
      <c r="I220" s="107" t="s">
        <v>12</v>
      </c>
      <c r="J220" s="103"/>
      <c r="K220" s="153">
        <v>8.5973371299999997</v>
      </c>
      <c r="L220" s="158"/>
      <c r="M220" s="92"/>
    </row>
    <row r="221" spans="1:13" ht="13.2">
      <c r="A221" s="105" t="s">
        <v>15</v>
      </c>
      <c r="B221" s="105">
        <v>221.28759102000001</v>
      </c>
      <c r="C221" s="105">
        <v>5.9450000000000003</v>
      </c>
      <c r="D221" s="92">
        <v>6.4000000000000001E-2</v>
      </c>
      <c r="E221" s="105">
        <v>3.0200000000000001E-2</v>
      </c>
      <c r="F221" s="105">
        <v>1247</v>
      </c>
      <c r="G221" s="103"/>
      <c r="H221" s="105"/>
      <c r="I221" s="107" t="s">
        <v>12</v>
      </c>
      <c r="J221" s="103"/>
      <c r="K221" s="153">
        <v>9.1565443000000002</v>
      </c>
      <c r="L221" s="158"/>
      <c r="M221" s="92"/>
    </row>
    <row r="222" spans="1:13" ht="13.2">
      <c r="A222" s="105" t="s">
        <v>15</v>
      </c>
      <c r="B222" s="105">
        <v>284.12972423999997</v>
      </c>
      <c r="C222" s="105">
        <v>5.9450000000000003</v>
      </c>
      <c r="D222" s="92">
        <v>6.4000000000000001E-2</v>
      </c>
      <c r="E222" s="105">
        <v>3.0200000000000001E-2</v>
      </c>
      <c r="F222" s="105">
        <v>1247</v>
      </c>
      <c r="G222" s="103"/>
      <c r="H222" s="105"/>
      <c r="I222" s="107" t="s">
        <v>12</v>
      </c>
      <c r="J222" s="103"/>
      <c r="K222" s="153">
        <v>9.6113327799999997</v>
      </c>
      <c r="L222" s="158"/>
      <c r="M222" s="92"/>
    </row>
    <row r="223" spans="1:13" ht="13.2">
      <c r="A223" s="105" t="s">
        <v>15</v>
      </c>
      <c r="B223" s="105">
        <v>340.25518865999999</v>
      </c>
      <c r="C223" s="105">
        <v>5.9450000000000003</v>
      </c>
      <c r="D223" s="92">
        <v>6.4000000000000001E-2</v>
      </c>
      <c r="E223" s="105">
        <v>3.0200000000000001E-2</v>
      </c>
      <c r="F223" s="105">
        <v>1247</v>
      </c>
      <c r="G223" s="103"/>
      <c r="H223" s="105"/>
      <c r="I223" s="107" t="s">
        <v>12</v>
      </c>
      <c r="J223" s="103"/>
      <c r="K223" s="153">
        <v>10.056161100000001</v>
      </c>
      <c r="L223" s="158"/>
      <c r="M223" s="92"/>
    </row>
    <row r="224" spans="1:13" ht="13.2">
      <c r="A224" s="105" t="s">
        <v>15</v>
      </c>
      <c r="B224" s="105">
        <v>389.27796816</v>
      </c>
      <c r="C224" s="105">
        <v>5.9450000000000003</v>
      </c>
      <c r="D224" s="92">
        <v>6.4000000000000001E-2</v>
      </c>
      <c r="E224" s="105">
        <v>3.0200000000000001E-2</v>
      </c>
      <c r="F224" s="105">
        <v>1247</v>
      </c>
      <c r="G224" s="103"/>
      <c r="H224" s="105"/>
      <c r="I224" s="107" t="s">
        <v>12</v>
      </c>
      <c r="J224" s="103"/>
      <c r="K224" s="153">
        <v>10.3948392</v>
      </c>
      <c r="L224" s="158"/>
      <c r="M224" s="92"/>
    </row>
    <row r="225" spans="1:13" ht="13.2">
      <c r="A225" s="105" t="s">
        <v>15</v>
      </c>
      <c r="B225" s="105">
        <v>452.92028970000001</v>
      </c>
      <c r="C225" s="105">
        <v>5.9450000000000003</v>
      </c>
      <c r="D225" s="92">
        <v>6.4000000000000001E-2</v>
      </c>
      <c r="E225" s="105">
        <v>3.0200000000000001E-2</v>
      </c>
      <c r="F225" s="105">
        <v>1247</v>
      </c>
      <c r="G225" s="103"/>
      <c r="H225" s="105"/>
      <c r="I225" s="107" t="s">
        <v>12</v>
      </c>
      <c r="J225" s="103"/>
      <c r="K225" s="153">
        <v>10.710256299999999</v>
      </c>
      <c r="L225" s="158"/>
      <c r="M225" s="92"/>
    </row>
    <row r="226" spans="1:13" ht="13.2">
      <c r="A226" s="105" t="s">
        <v>15</v>
      </c>
      <c r="B226" s="105">
        <v>516.93174197999997</v>
      </c>
      <c r="C226" s="105">
        <v>5.9450000000000003</v>
      </c>
      <c r="D226" s="92">
        <v>6.4000000000000001E-2</v>
      </c>
      <c r="E226" s="105">
        <v>3.0200000000000001E-2</v>
      </c>
      <c r="F226" s="105">
        <v>1247</v>
      </c>
      <c r="G226" s="103"/>
      <c r="H226" s="105"/>
      <c r="I226" s="107" t="s">
        <v>12</v>
      </c>
      <c r="J226" s="103"/>
      <c r="K226" s="153">
        <v>11.017427700000001</v>
      </c>
      <c r="L226" s="158"/>
      <c r="M226" s="92"/>
    </row>
    <row r="227" spans="1:13" ht="13.2">
      <c r="A227" s="105" t="s">
        <v>15</v>
      </c>
      <c r="B227" s="105">
        <v>566.36846748000005</v>
      </c>
      <c r="C227" s="105">
        <v>5.9450000000000003</v>
      </c>
      <c r="D227" s="92">
        <v>6.4000000000000001E-2</v>
      </c>
      <c r="E227" s="105">
        <v>3.0200000000000001E-2</v>
      </c>
      <c r="F227" s="105">
        <v>1247</v>
      </c>
      <c r="G227" s="103"/>
      <c r="H227" s="105"/>
      <c r="I227" s="107" t="s">
        <v>12</v>
      </c>
      <c r="J227" s="103"/>
      <c r="K227" s="153">
        <v>11.233136099999999</v>
      </c>
      <c r="L227" s="158"/>
      <c r="M227" s="92"/>
    </row>
    <row r="228" spans="1:13" ht="13.2">
      <c r="A228" s="105" t="s">
        <v>15</v>
      </c>
      <c r="B228" s="105">
        <v>637.15841399999999</v>
      </c>
      <c r="C228" s="105">
        <v>5.9450000000000003</v>
      </c>
      <c r="D228" s="92">
        <v>6.4000000000000001E-2</v>
      </c>
      <c r="E228" s="105">
        <v>3.0200000000000001E-2</v>
      </c>
      <c r="F228" s="105">
        <v>1247</v>
      </c>
      <c r="G228" s="103"/>
      <c r="H228" s="105"/>
      <c r="I228" s="107" t="s">
        <v>12</v>
      </c>
      <c r="J228" s="103"/>
      <c r="K228" s="153">
        <v>11.545972900000001</v>
      </c>
      <c r="L228" s="158"/>
      <c r="M228" s="92"/>
    </row>
    <row r="229" spans="1:13" ht="13.2">
      <c r="A229" s="105" t="s">
        <v>15</v>
      </c>
      <c r="B229" s="105">
        <v>693.07756380000001</v>
      </c>
      <c r="C229" s="105">
        <v>5.9450000000000003</v>
      </c>
      <c r="D229" s="92">
        <v>6.4000000000000001E-2</v>
      </c>
      <c r="E229" s="105">
        <v>3.0200000000000001E-2</v>
      </c>
      <c r="F229" s="105">
        <v>1247</v>
      </c>
      <c r="G229" s="103"/>
      <c r="H229" s="105"/>
      <c r="I229" s="107" t="s">
        <v>12</v>
      </c>
      <c r="J229" s="103"/>
      <c r="K229" s="153">
        <v>11.829231399999999</v>
      </c>
      <c r="L229" s="158"/>
      <c r="M229" s="92"/>
    </row>
    <row r="230" spans="1:13" ht="13.2">
      <c r="A230" s="105" t="s">
        <v>15</v>
      </c>
      <c r="B230" s="105">
        <v>775.96546499999999</v>
      </c>
      <c r="C230" s="105">
        <v>5.9450000000000003</v>
      </c>
      <c r="D230" s="92">
        <v>6.4000000000000001E-2</v>
      </c>
      <c r="E230" s="105">
        <v>3.0200000000000001E-2</v>
      </c>
      <c r="F230" s="105">
        <v>1247</v>
      </c>
      <c r="G230" s="103"/>
      <c r="H230" s="105"/>
      <c r="I230" s="107" t="s">
        <v>12</v>
      </c>
      <c r="J230" s="103"/>
      <c r="K230" s="153">
        <v>12.2078831</v>
      </c>
      <c r="L230" s="157"/>
      <c r="M230" s="92"/>
    </row>
    <row r="231" spans="1:13" ht="13.2">
      <c r="A231" s="105" t="s">
        <v>15</v>
      </c>
      <c r="B231" s="105">
        <v>73.071182339999993</v>
      </c>
      <c r="C231" s="105">
        <v>5.9450000000000003</v>
      </c>
      <c r="D231" s="92">
        <v>6.6000000000000003E-2</v>
      </c>
      <c r="E231" s="105">
        <v>4.4900000000000002E-2</v>
      </c>
      <c r="F231" s="105">
        <v>1210</v>
      </c>
      <c r="G231" s="103"/>
      <c r="H231" s="105"/>
      <c r="I231" s="107" t="s">
        <v>12</v>
      </c>
      <c r="J231" s="103"/>
      <c r="K231" s="153">
        <v>6.9684856699999997</v>
      </c>
      <c r="L231" s="158"/>
      <c r="M231" s="92"/>
    </row>
    <row r="232" spans="1:13" ht="13.2">
      <c r="A232" s="105" t="s">
        <v>15</v>
      </c>
      <c r="B232" s="105">
        <v>94.728594419999993</v>
      </c>
      <c r="C232" s="105">
        <v>5.9450000000000003</v>
      </c>
      <c r="D232" s="92">
        <v>6.6000000000000003E-2</v>
      </c>
      <c r="E232" s="105">
        <v>4.4900000000000002E-2</v>
      </c>
      <c r="F232" s="105">
        <v>1210</v>
      </c>
      <c r="G232" s="103"/>
      <c r="H232" s="105"/>
      <c r="I232" s="107" t="s">
        <v>12</v>
      </c>
      <c r="J232" s="103"/>
      <c r="K232" s="153">
        <v>6.9347881999999998</v>
      </c>
      <c r="L232" s="158"/>
      <c r="M232" s="92"/>
    </row>
    <row r="233" spans="1:13" ht="13.2">
      <c r="A233" s="105" t="s">
        <v>15</v>
      </c>
      <c r="B233" s="105">
        <v>144.26243796</v>
      </c>
      <c r="C233" s="105">
        <v>5.9450000000000003</v>
      </c>
      <c r="D233" s="92">
        <v>6.6000000000000003E-2</v>
      </c>
      <c r="E233" s="105">
        <v>4.4900000000000002E-2</v>
      </c>
      <c r="F233" s="105">
        <v>1210</v>
      </c>
      <c r="G233" s="103"/>
      <c r="H233" s="105"/>
      <c r="I233" s="107" t="s">
        <v>12</v>
      </c>
      <c r="J233" s="103"/>
      <c r="K233" s="153">
        <v>7.3560823199999996</v>
      </c>
      <c r="L233" s="158"/>
      <c r="M233" s="92"/>
    </row>
    <row r="234" spans="1:13" ht="13.2">
      <c r="A234" s="105" t="s">
        <v>15</v>
      </c>
      <c r="B234" s="105">
        <v>209.38654872000001</v>
      </c>
      <c r="C234" s="105">
        <v>5.9450000000000003</v>
      </c>
      <c r="D234" s="92">
        <v>6.6000000000000003E-2</v>
      </c>
      <c r="E234" s="105">
        <v>4.4900000000000002E-2</v>
      </c>
      <c r="F234" s="105">
        <v>1210</v>
      </c>
      <c r="G234" s="103"/>
      <c r="H234" s="105"/>
      <c r="I234" s="107" t="s">
        <v>12</v>
      </c>
      <c r="J234" s="103"/>
      <c r="K234" s="153">
        <v>7.8789853399999998</v>
      </c>
      <c r="L234" s="158"/>
      <c r="M234" s="92"/>
    </row>
    <row r="235" spans="1:13" ht="13.2">
      <c r="A235" s="105" t="s">
        <v>15</v>
      </c>
      <c r="B235" s="105">
        <v>259.9527693</v>
      </c>
      <c r="C235" s="105">
        <v>5.9450000000000003</v>
      </c>
      <c r="D235" s="92">
        <v>6.6000000000000003E-2</v>
      </c>
      <c r="E235" s="105">
        <v>4.4900000000000002E-2</v>
      </c>
      <c r="F235" s="105">
        <v>1210</v>
      </c>
      <c r="G235" s="103"/>
      <c r="H235" s="105"/>
      <c r="I235" s="107" t="s">
        <v>12</v>
      </c>
      <c r="J235" s="103"/>
      <c r="K235" s="153">
        <v>8.1311903700000006</v>
      </c>
      <c r="L235" s="158"/>
      <c r="M235" s="92"/>
    </row>
    <row r="236" spans="1:13" ht="13.2">
      <c r="A236" s="105" t="s">
        <v>15</v>
      </c>
      <c r="B236" s="105">
        <v>325.06614275999999</v>
      </c>
      <c r="C236" s="105">
        <v>5.9450000000000003</v>
      </c>
      <c r="D236" s="92">
        <v>6.6000000000000003E-2</v>
      </c>
      <c r="E236" s="105">
        <v>4.4900000000000002E-2</v>
      </c>
      <c r="F236" s="105">
        <v>1210</v>
      </c>
      <c r="G236" s="103"/>
      <c r="H236" s="105"/>
      <c r="I236" s="107" t="s">
        <v>12</v>
      </c>
      <c r="J236" s="103"/>
      <c r="K236" s="153">
        <v>8.5419500999999993</v>
      </c>
      <c r="L236" s="158"/>
      <c r="M236" s="92"/>
    </row>
    <row r="237" spans="1:13" ht="13.2">
      <c r="A237" s="105" t="s">
        <v>15</v>
      </c>
      <c r="B237" s="105">
        <v>379.12085711999998</v>
      </c>
      <c r="C237" s="105">
        <v>5.9450000000000003</v>
      </c>
      <c r="D237" s="92">
        <v>6.6000000000000003E-2</v>
      </c>
      <c r="E237" s="105">
        <v>4.4900000000000002E-2</v>
      </c>
      <c r="F237" s="105">
        <v>1210</v>
      </c>
      <c r="G237" s="103"/>
      <c r="H237" s="105"/>
      <c r="I237" s="107" t="s">
        <v>12</v>
      </c>
      <c r="J237" s="103"/>
      <c r="K237" s="153">
        <v>8.8868839899999994</v>
      </c>
      <c r="L237" s="158"/>
      <c r="M237" s="92"/>
    </row>
    <row r="238" spans="1:13" ht="13.2">
      <c r="A238" s="105" t="s">
        <v>15</v>
      </c>
      <c r="B238" s="105">
        <v>441.10278648000002</v>
      </c>
      <c r="C238" s="105">
        <v>5.9450000000000003</v>
      </c>
      <c r="D238" s="92">
        <v>6.6000000000000003E-2</v>
      </c>
      <c r="E238" s="105">
        <v>4.4900000000000002E-2</v>
      </c>
      <c r="F238" s="105">
        <v>1210</v>
      </c>
      <c r="G238" s="103"/>
      <c r="H238" s="105"/>
      <c r="I238" s="107" t="s">
        <v>12</v>
      </c>
      <c r="J238" s="103"/>
      <c r="K238" s="153">
        <v>9.1639453</v>
      </c>
      <c r="L238" s="158"/>
      <c r="M238" s="92"/>
    </row>
    <row r="239" spans="1:13" ht="13.2">
      <c r="A239" s="105" t="s">
        <v>15</v>
      </c>
      <c r="B239" s="105">
        <v>507.08682762000001</v>
      </c>
      <c r="C239" s="105">
        <v>5.9450000000000003</v>
      </c>
      <c r="D239" s="92">
        <v>6.6000000000000003E-2</v>
      </c>
      <c r="E239" s="105">
        <v>4.4900000000000002E-2</v>
      </c>
      <c r="F239" s="105">
        <v>1210</v>
      </c>
      <c r="G239" s="103"/>
      <c r="H239" s="105"/>
      <c r="I239" s="107" t="s">
        <v>12</v>
      </c>
      <c r="J239" s="103"/>
      <c r="K239" s="153">
        <v>9.4039481699999996</v>
      </c>
      <c r="L239" s="158"/>
      <c r="M239" s="92"/>
    </row>
    <row r="240" spans="1:13" ht="13.2">
      <c r="A240" s="105" t="s">
        <v>15</v>
      </c>
      <c r="B240" s="105">
        <v>559.60293858</v>
      </c>
      <c r="C240" s="105">
        <v>5.9450000000000003</v>
      </c>
      <c r="D240" s="92">
        <v>6.6000000000000003E-2</v>
      </c>
      <c r="E240" s="105">
        <v>4.4900000000000002E-2</v>
      </c>
      <c r="F240" s="105">
        <v>1210</v>
      </c>
      <c r="G240" s="103"/>
      <c r="H240" s="105"/>
      <c r="I240" s="107" t="s">
        <v>12</v>
      </c>
      <c r="J240" s="103"/>
      <c r="K240" s="153">
        <v>9.6424435899999992</v>
      </c>
      <c r="L240" s="158"/>
      <c r="M240" s="92"/>
    </row>
    <row r="241" spans="1:13" ht="13.2">
      <c r="A241" s="105" t="s">
        <v>15</v>
      </c>
      <c r="B241" s="105">
        <v>619.04367060000004</v>
      </c>
      <c r="C241" s="105">
        <v>5.9450000000000003</v>
      </c>
      <c r="D241" s="92">
        <v>6.6000000000000003E-2</v>
      </c>
      <c r="E241" s="105">
        <v>4.4900000000000002E-2</v>
      </c>
      <c r="F241" s="105">
        <v>1210</v>
      </c>
      <c r="G241" s="103"/>
      <c r="H241" s="105"/>
      <c r="I241" s="107" t="s">
        <v>12</v>
      </c>
      <c r="J241" s="103"/>
      <c r="K241" s="153">
        <v>9.9430598900000007</v>
      </c>
      <c r="L241" s="158"/>
      <c r="M241" s="92"/>
    </row>
    <row r="242" spans="1:13" ht="13.2">
      <c r="A242" s="105" t="s">
        <v>15</v>
      </c>
      <c r="B242" s="105">
        <v>694.74563699999999</v>
      </c>
      <c r="C242" s="105">
        <v>5.9450000000000003</v>
      </c>
      <c r="D242" s="92">
        <v>6.6000000000000003E-2</v>
      </c>
      <c r="E242" s="105">
        <v>4.4900000000000002E-2</v>
      </c>
      <c r="F242" s="105">
        <v>1210</v>
      </c>
      <c r="G242" s="103"/>
      <c r="H242" s="105"/>
      <c r="I242" s="107" t="s">
        <v>12</v>
      </c>
      <c r="J242" s="103"/>
      <c r="K242" s="153">
        <v>10.2117149</v>
      </c>
      <c r="L242" s="157"/>
      <c r="M242" s="92"/>
    </row>
    <row r="243" spans="1:13" ht="13.2">
      <c r="A243" s="105" t="s">
        <v>15</v>
      </c>
      <c r="B243" s="105">
        <v>112.57006698000001</v>
      </c>
      <c r="C243" s="105">
        <v>3.673</v>
      </c>
      <c r="D243" s="92">
        <v>6.4000000000000001E-2</v>
      </c>
      <c r="E243" s="105">
        <v>3.0200000000000001E-2</v>
      </c>
      <c r="F243" s="105">
        <v>1247</v>
      </c>
      <c r="G243" s="103"/>
      <c r="H243" s="105"/>
      <c r="I243" s="107" t="s">
        <v>12</v>
      </c>
      <c r="J243" s="103"/>
      <c r="K243" s="153">
        <v>7.30860691</v>
      </c>
      <c r="L243" s="158"/>
      <c r="M243" s="92"/>
    </row>
    <row r="244" spans="1:13" ht="13.2">
      <c r="A244" s="105" t="s">
        <v>15</v>
      </c>
      <c r="B244" s="105">
        <v>173.25459174</v>
      </c>
      <c r="C244" s="105">
        <v>3.673</v>
      </c>
      <c r="D244" s="92">
        <v>6.4000000000000001E-2</v>
      </c>
      <c r="E244" s="105">
        <v>3.0200000000000001E-2</v>
      </c>
      <c r="F244" s="105">
        <v>1247</v>
      </c>
      <c r="G244" s="103"/>
      <c r="H244" s="105"/>
      <c r="I244" s="107" t="s">
        <v>12</v>
      </c>
      <c r="J244" s="103"/>
      <c r="K244" s="153">
        <v>7.9531104900000003</v>
      </c>
      <c r="L244" s="158"/>
      <c r="M244" s="92"/>
    </row>
    <row r="245" spans="1:13" ht="13.2">
      <c r="A245" s="105" t="s">
        <v>15</v>
      </c>
      <c r="B245" s="105">
        <v>234.65039178000001</v>
      </c>
      <c r="C245" s="105">
        <v>3.673</v>
      </c>
      <c r="D245" s="92">
        <v>6.4000000000000001E-2</v>
      </c>
      <c r="E245" s="105">
        <v>3.0200000000000001E-2</v>
      </c>
      <c r="F245" s="105">
        <v>1247</v>
      </c>
      <c r="G245" s="103"/>
      <c r="H245" s="105"/>
      <c r="I245" s="107" t="s">
        <v>12</v>
      </c>
      <c r="J245" s="103"/>
      <c r="K245" s="153">
        <v>8.4735190300000003</v>
      </c>
      <c r="L245" s="158"/>
      <c r="M245" s="92"/>
    </row>
    <row r="246" spans="1:13" ht="13.2">
      <c r="A246" s="105" t="s">
        <v>15</v>
      </c>
      <c r="B246" s="105">
        <v>297.00383843999998</v>
      </c>
      <c r="C246" s="105">
        <v>3.673</v>
      </c>
      <c r="D246" s="92">
        <v>6.4000000000000001E-2</v>
      </c>
      <c r="E246" s="105">
        <v>3.0200000000000001E-2</v>
      </c>
      <c r="F246" s="105">
        <v>1247</v>
      </c>
      <c r="G246" s="103"/>
      <c r="H246" s="105"/>
      <c r="I246" s="107" t="s">
        <v>12</v>
      </c>
      <c r="J246" s="103"/>
      <c r="K246" s="153">
        <v>8.9595749399999995</v>
      </c>
      <c r="L246" s="158"/>
      <c r="M246" s="92"/>
    </row>
    <row r="247" spans="1:13" ht="13.2">
      <c r="A247" s="105" t="s">
        <v>15</v>
      </c>
      <c r="B247" s="105">
        <v>353.97564618000001</v>
      </c>
      <c r="C247" s="105">
        <v>3.673</v>
      </c>
      <c r="D247" s="92">
        <v>6.4000000000000001E-2</v>
      </c>
      <c r="E247" s="105">
        <v>3.0200000000000001E-2</v>
      </c>
      <c r="F247" s="105">
        <v>1247</v>
      </c>
      <c r="G247" s="103"/>
      <c r="H247" s="105"/>
      <c r="I247" s="107" t="s">
        <v>12</v>
      </c>
      <c r="J247" s="103"/>
      <c r="K247" s="153">
        <v>9.3620863500000002</v>
      </c>
      <c r="L247" s="158"/>
      <c r="M247" s="92"/>
    </row>
    <row r="248" spans="1:13" ht="13.2">
      <c r="A248" s="105" t="s">
        <v>15</v>
      </c>
      <c r="B248" s="105">
        <v>409.37348154</v>
      </c>
      <c r="C248" s="105">
        <v>3.673</v>
      </c>
      <c r="D248" s="92">
        <v>6.4000000000000001E-2</v>
      </c>
      <c r="E248" s="105">
        <v>3.0200000000000001E-2</v>
      </c>
      <c r="F248" s="105">
        <v>1247</v>
      </c>
      <c r="G248" s="103"/>
      <c r="H248" s="105"/>
      <c r="I248" s="107" t="s">
        <v>12</v>
      </c>
      <c r="J248" s="103"/>
      <c r="K248" s="153">
        <v>9.7661602900000002</v>
      </c>
      <c r="L248" s="158"/>
      <c r="M248" s="92"/>
    </row>
    <row r="249" spans="1:13" ht="13.2">
      <c r="A249" s="105" t="s">
        <v>15</v>
      </c>
      <c r="B249" s="105">
        <v>472.25582645999998</v>
      </c>
      <c r="C249" s="105">
        <v>3.673</v>
      </c>
      <c r="D249" s="92">
        <v>6.4000000000000001E-2</v>
      </c>
      <c r="E249" s="105">
        <v>3.0200000000000001E-2</v>
      </c>
      <c r="F249" s="105">
        <v>1247</v>
      </c>
      <c r="G249" s="103"/>
      <c r="H249" s="105"/>
      <c r="I249" s="107" t="s">
        <v>12</v>
      </c>
      <c r="J249" s="103"/>
      <c r="K249" s="153">
        <v>10.0763607</v>
      </c>
      <c r="L249" s="158"/>
      <c r="M249" s="92"/>
    </row>
    <row r="250" spans="1:13" ht="13.2">
      <c r="A250" s="105" t="s">
        <v>15</v>
      </c>
      <c r="B250" s="105">
        <v>536.66430888000002</v>
      </c>
      <c r="C250" s="105">
        <v>3.673</v>
      </c>
      <c r="D250" s="92">
        <v>6.4000000000000001E-2</v>
      </c>
      <c r="E250" s="105">
        <v>3.0200000000000001E-2</v>
      </c>
      <c r="F250" s="105">
        <v>1247</v>
      </c>
      <c r="G250" s="103"/>
      <c r="H250" s="105"/>
      <c r="I250" s="107" t="s">
        <v>12</v>
      </c>
      <c r="J250" s="103"/>
      <c r="K250" s="153">
        <v>10.3089244</v>
      </c>
      <c r="L250" s="158"/>
      <c r="M250" s="92"/>
    </row>
    <row r="251" spans="1:13" ht="13.2">
      <c r="A251" s="105" t="s">
        <v>15</v>
      </c>
      <c r="B251" s="105">
        <v>626.90858219999996</v>
      </c>
      <c r="C251" s="105">
        <v>3.673</v>
      </c>
      <c r="D251" s="92">
        <v>6.4000000000000001E-2</v>
      </c>
      <c r="E251" s="105">
        <v>3.0200000000000001E-2</v>
      </c>
      <c r="F251" s="105">
        <v>1247</v>
      </c>
      <c r="G251" s="103"/>
      <c r="H251" s="105"/>
      <c r="I251" s="107" t="s">
        <v>12</v>
      </c>
      <c r="J251" s="103"/>
      <c r="K251" s="153">
        <v>10.5379472</v>
      </c>
      <c r="L251" s="158"/>
      <c r="M251" s="92"/>
    </row>
    <row r="252" spans="1:13" ht="13.2">
      <c r="A252" s="105" t="s">
        <v>15</v>
      </c>
      <c r="B252" s="105">
        <v>714.19717679999997</v>
      </c>
      <c r="C252" s="105">
        <v>3.673</v>
      </c>
      <c r="D252" s="92">
        <v>6.4000000000000001E-2</v>
      </c>
      <c r="E252" s="105">
        <v>3.0200000000000001E-2</v>
      </c>
      <c r="F252" s="105">
        <v>1247</v>
      </c>
      <c r="G252" s="103"/>
      <c r="H252" s="105"/>
      <c r="I252" s="107" t="s">
        <v>12</v>
      </c>
      <c r="J252" s="103"/>
      <c r="K252" s="153">
        <v>10.909478699999999</v>
      </c>
      <c r="L252" s="157"/>
      <c r="M252" s="92"/>
    </row>
    <row r="253" spans="1:13" ht="13.2">
      <c r="A253" s="105" t="s">
        <v>15</v>
      </c>
      <c r="B253" s="105">
        <v>68.183069579999994</v>
      </c>
      <c r="C253" s="105">
        <v>3.673</v>
      </c>
      <c r="D253" s="92">
        <v>6.6000000000000003E-2</v>
      </c>
      <c r="E253" s="105">
        <v>4.4900000000000002E-2</v>
      </c>
      <c r="F253" s="105">
        <v>1210</v>
      </c>
      <c r="G253" s="103"/>
      <c r="H253" s="105"/>
      <c r="I253" s="107" t="s">
        <v>12</v>
      </c>
      <c r="J253" s="103"/>
      <c r="K253" s="153">
        <v>5.7929931999999997</v>
      </c>
      <c r="L253" s="158"/>
      <c r="M253" s="92"/>
    </row>
    <row r="254" spans="1:13" ht="13.2">
      <c r="A254" s="105" t="s">
        <v>15</v>
      </c>
      <c r="B254" s="105">
        <v>90.058718040000002</v>
      </c>
      <c r="C254" s="105">
        <v>3.673</v>
      </c>
      <c r="D254" s="92">
        <v>6.6000000000000003E-2</v>
      </c>
      <c r="E254" s="105">
        <v>4.4900000000000002E-2</v>
      </c>
      <c r="F254" s="105">
        <v>1210</v>
      </c>
      <c r="G254" s="103"/>
      <c r="H254" s="105"/>
      <c r="I254" s="107" t="s">
        <v>12</v>
      </c>
      <c r="J254" s="103"/>
      <c r="K254" s="153">
        <v>5.8967201400000002</v>
      </c>
      <c r="L254" s="158"/>
      <c r="M254" s="92"/>
    </row>
    <row r="255" spans="1:13" ht="13.2">
      <c r="A255" s="105" t="s">
        <v>15</v>
      </c>
      <c r="B255" s="105">
        <v>149.43404274</v>
      </c>
      <c r="C255" s="105">
        <v>3.673</v>
      </c>
      <c r="D255" s="92">
        <v>6.6000000000000003E-2</v>
      </c>
      <c r="E255" s="105">
        <v>4.4900000000000002E-2</v>
      </c>
      <c r="F255" s="105">
        <v>1210</v>
      </c>
      <c r="G255" s="103"/>
      <c r="H255" s="105"/>
      <c r="I255" s="107" t="s">
        <v>12</v>
      </c>
      <c r="J255" s="103"/>
      <c r="K255" s="153">
        <v>6.4602467800000003</v>
      </c>
      <c r="L255" s="158"/>
      <c r="M255" s="92"/>
    </row>
    <row r="256" spans="1:13" ht="13.2">
      <c r="A256" s="105" t="s">
        <v>15</v>
      </c>
      <c r="B256" s="105">
        <v>210.67146450000001</v>
      </c>
      <c r="C256" s="105">
        <v>3.673</v>
      </c>
      <c r="D256" s="92">
        <v>6.6000000000000003E-2</v>
      </c>
      <c r="E256" s="105">
        <v>4.4900000000000002E-2</v>
      </c>
      <c r="F256" s="105">
        <v>1210</v>
      </c>
      <c r="G256" s="103"/>
      <c r="H256" s="105"/>
      <c r="I256" s="107" t="s">
        <v>12</v>
      </c>
      <c r="J256" s="103"/>
      <c r="K256" s="153">
        <v>6.8829703899999997</v>
      </c>
      <c r="L256" s="158"/>
      <c r="M256" s="92"/>
    </row>
    <row r="257" spans="1:13" ht="13.2">
      <c r="A257" s="105" t="s">
        <v>15</v>
      </c>
      <c r="B257" s="105">
        <v>265.31944662000001</v>
      </c>
      <c r="C257" s="105">
        <v>3.673</v>
      </c>
      <c r="D257" s="92">
        <v>6.6000000000000003E-2</v>
      </c>
      <c r="E257" s="105">
        <v>4.4900000000000002E-2</v>
      </c>
      <c r="F257" s="105">
        <v>1210</v>
      </c>
      <c r="G257" s="103"/>
      <c r="H257" s="105"/>
      <c r="I257" s="107" t="s">
        <v>12</v>
      </c>
      <c r="J257" s="103"/>
      <c r="K257" s="153">
        <v>7.2654988600000001</v>
      </c>
      <c r="L257" s="158"/>
      <c r="M257" s="92"/>
    </row>
    <row r="258" spans="1:13" ht="13.2">
      <c r="A258" s="105" t="s">
        <v>15</v>
      </c>
      <c r="B258" s="105">
        <v>324.24077813999997</v>
      </c>
      <c r="C258" s="105">
        <v>3.673</v>
      </c>
      <c r="D258" s="92">
        <v>6.6000000000000003E-2</v>
      </c>
      <c r="E258" s="105">
        <v>4.4900000000000002E-2</v>
      </c>
      <c r="F258" s="105">
        <v>1210</v>
      </c>
      <c r="G258" s="103"/>
      <c r="H258" s="105"/>
      <c r="I258" s="107" t="s">
        <v>12</v>
      </c>
      <c r="J258" s="103"/>
      <c r="K258" s="153">
        <v>7.6240512999999996</v>
      </c>
      <c r="L258" s="158"/>
      <c r="M258" s="92"/>
    </row>
    <row r="259" spans="1:13" ht="13.2">
      <c r="A259" s="105" t="s">
        <v>15</v>
      </c>
      <c r="B259" s="105">
        <v>400.24047281999998</v>
      </c>
      <c r="C259" s="105">
        <v>3.673</v>
      </c>
      <c r="D259" s="92">
        <v>6.6000000000000003E-2</v>
      </c>
      <c r="E259" s="105">
        <v>4.4900000000000002E-2</v>
      </c>
      <c r="F259" s="105">
        <v>1210</v>
      </c>
      <c r="G259" s="103"/>
      <c r="H259" s="105"/>
      <c r="I259" s="107" t="s">
        <v>12</v>
      </c>
      <c r="J259" s="103"/>
      <c r="K259" s="153">
        <v>8.0955155800000007</v>
      </c>
      <c r="L259" s="158"/>
      <c r="M259" s="92"/>
    </row>
    <row r="260" spans="1:13" ht="13.2">
      <c r="A260" s="105" t="s">
        <v>15</v>
      </c>
      <c r="B260" s="105">
        <v>458.26058621999999</v>
      </c>
      <c r="C260" s="105">
        <v>3.673</v>
      </c>
      <c r="D260" s="92">
        <v>6.6000000000000003E-2</v>
      </c>
      <c r="E260" s="105">
        <v>4.4900000000000002E-2</v>
      </c>
      <c r="F260" s="105">
        <v>1210</v>
      </c>
      <c r="G260" s="103"/>
      <c r="H260" s="105"/>
      <c r="I260" s="107" t="s">
        <v>12</v>
      </c>
      <c r="J260" s="103"/>
      <c r="K260" s="153">
        <v>8.4592094699999993</v>
      </c>
      <c r="L260" s="158"/>
      <c r="M260" s="92"/>
    </row>
    <row r="261" spans="1:13" ht="13.2">
      <c r="A261" s="105" t="s">
        <v>15</v>
      </c>
      <c r="B261" s="105">
        <v>529.97942423999996</v>
      </c>
      <c r="C261" s="105">
        <v>3.673</v>
      </c>
      <c r="D261" s="92">
        <v>6.6000000000000003E-2</v>
      </c>
      <c r="E261" s="105">
        <v>4.4900000000000002E-2</v>
      </c>
      <c r="F261" s="105">
        <v>1210</v>
      </c>
      <c r="G261" s="103"/>
      <c r="H261" s="105"/>
      <c r="I261" s="107" t="s">
        <v>12</v>
      </c>
      <c r="J261" s="103"/>
      <c r="K261" s="153">
        <v>8.7352770399999997</v>
      </c>
      <c r="L261" s="158"/>
      <c r="M261" s="92"/>
    </row>
    <row r="262" spans="1:13" ht="13.2">
      <c r="A262" s="105" t="s">
        <v>15</v>
      </c>
      <c r="B262" s="105">
        <v>606.80690279999999</v>
      </c>
      <c r="C262" s="105">
        <v>3.673</v>
      </c>
      <c r="D262" s="92">
        <v>6.6000000000000003E-2</v>
      </c>
      <c r="E262" s="105">
        <v>4.4900000000000002E-2</v>
      </c>
      <c r="F262" s="105">
        <v>1210</v>
      </c>
      <c r="G262" s="103"/>
      <c r="H262" s="105"/>
      <c r="I262" s="107" t="s">
        <v>12</v>
      </c>
      <c r="J262" s="103"/>
      <c r="K262" s="153">
        <v>9.1122974699999997</v>
      </c>
      <c r="L262" s="158"/>
      <c r="M262" s="92"/>
    </row>
    <row r="263" spans="1:13" ht="13.2">
      <c r="A263" s="105" t="s">
        <v>15</v>
      </c>
      <c r="B263" s="105">
        <v>691.29718019999996</v>
      </c>
      <c r="C263" s="105">
        <v>3.673</v>
      </c>
      <c r="D263" s="92">
        <v>6.6000000000000003E-2</v>
      </c>
      <c r="E263" s="105">
        <v>4.4900000000000002E-2</v>
      </c>
      <c r="F263" s="105">
        <v>1210</v>
      </c>
      <c r="G263" s="103"/>
      <c r="H263" s="105"/>
      <c r="I263" s="107" t="s">
        <v>12</v>
      </c>
      <c r="J263" s="103"/>
      <c r="K263" s="153">
        <v>9.4815205099999993</v>
      </c>
      <c r="L263" s="158"/>
      <c r="M263" s="92"/>
    </row>
    <row r="264" spans="1:13" ht="13.2">
      <c r="A264" s="105" t="s">
        <v>15</v>
      </c>
      <c r="B264" s="105">
        <v>785.57923319999998</v>
      </c>
      <c r="C264" s="105">
        <v>3.673</v>
      </c>
      <c r="D264" s="92">
        <v>6.6000000000000003E-2</v>
      </c>
      <c r="E264" s="105">
        <v>4.4900000000000002E-2</v>
      </c>
      <c r="F264" s="105">
        <v>1210</v>
      </c>
      <c r="G264" s="103"/>
      <c r="H264" s="105"/>
      <c r="I264" s="107" t="s">
        <v>12</v>
      </c>
      <c r="J264" s="103"/>
      <c r="K264" s="153">
        <v>9.8490435699999992</v>
      </c>
      <c r="L264" s="158"/>
      <c r="M264" s="92"/>
    </row>
    <row r="265" spans="1:13" ht="13.2">
      <c r="A265" s="105" t="s">
        <v>15</v>
      </c>
      <c r="B265" s="105">
        <v>881.59983299999999</v>
      </c>
      <c r="C265" s="105">
        <v>3.673</v>
      </c>
      <c r="D265" s="92">
        <v>6.6000000000000003E-2</v>
      </c>
      <c r="E265" s="105">
        <v>4.4900000000000002E-2</v>
      </c>
      <c r="F265" s="105">
        <v>1210</v>
      </c>
      <c r="G265" s="103"/>
      <c r="H265" s="105"/>
      <c r="I265" s="107" t="s">
        <v>12</v>
      </c>
      <c r="J265" s="103"/>
      <c r="K265" s="153">
        <v>10.187674299999999</v>
      </c>
      <c r="L265" s="158"/>
      <c r="M265" s="92"/>
    </row>
    <row r="266" spans="1:13" ht="13.2">
      <c r="A266" s="105" t="s">
        <v>15</v>
      </c>
      <c r="B266" s="105">
        <v>1419.4838838000001</v>
      </c>
      <c r="C266" s="105">
        <v>3.673</v>
      </c>
      <c r="D266" s="92">
        <v>6.6000000000000003E-2</v>
      </c>
      <c r="E266" s="105">
        <v>4.4900000000000002E-2</v>
      </c>
      <c r="F266" s="105">
        <v>1210</v>
      </c>
      <c r="G266" s="103"/>
      <c r="H266" s="105"/>
      <c r="I266" s="107" t="s">
        <v>12</v>
      </c>
      <c r="J266" s="103"/>
      <c r="K266" s="153">
        <v>11.8414622</v>
      </c>
      <c r="L266" s="158"/>
      <c r="M266" s="92"/>
    </row>
    <row r="267" spans="1:13" ht="13.2">
      <c r="A267" s="105" t="s">
        <v>15</v>
      </c>
      <c r="B267" s="105">
        <v>1814.7894414</v>
      </c>
      <c r="C267" s="105">
        <v>3.673</v>
      </c>
      <c r="D267" s="92">
        <v>6.6000000000000003E-2</v>
      </c>
      <c r="E267" s="105">
        <v>4.4900000000000002E-2</v>
      </c>
      <c r="F267" s="105">
        <v>1210</v>
      </c>
      <c r="G267" s="103"/>
      <c r="H267" s="105"/>
      <c r="I267" s="107" t="s">
        <v>12</v>
      </c>
      <c r="J267" s="103"/>
      <c r="K267" s="153">
        <v>12.788054799999999</v>
      </c>
      <c r="L267" s="158"/>
      <c r="M267" s="92"/>
    </row>
    <row r="268" spans="1:13" ht="13.2">
      <c r="A268" s="105" t="s">
        <v>15</v>
      </c>
      <c r="B268" s="105">
        <v>2320.1818314000002</v>
      </c>
      <c r="C268" s="105">
        <v>3.673</v>
      </c>
      <c r="D268" s="92">
        <v>6.6000000000000003E-2</v>
      </c>
      <c r="E268" s="105">
        <v>4.4900000000000002E-2</v>
      </c>
      <c r="F268" s="105">
        <v>1210</v>
      </c>
      <c r="G268" s="103"/>
      <c r="H268" s="105"/>
      <c r="I268" s="107" t="s">
        <v>12</v>
      </c>
      <c r="J268" s="103"/>
      <c r="K268" s="153">
        <v>13.763712699999999</v>
      </c>
      <c r="L268" s="157"/>
      <c r="M268" s="92"/>
    </row>
    <row r="269" spans="1:13" ht="13.2">
      <c r="A269" s="105" t="s">
        <v>15</v>
      </c>
      <c r="B269" s="105">
        <v>125.44210962</v>
      </c>
      <c r="C269" s="105">
        <v>5.9450000000000003</v>
      </c>
      <c r="D269" s="105">
        <v>7.17E-2</v>
      </c>
      <c r="E269" s="105">
        <v>1E-3</v>
      </c>
      <c r="F269" s="105">
        <v>1000</v>
      </c>
      <c r="G269" s="103"/>
      <c r="H269" s="105"/>
      <c r="I269" s="107" t="s">
        <v>12</v>
      </c>
      <c r="J269" s="103"/>
      <c r="K269" s="153">
        <v>7.3170559099999997</v>
      </c>
      <c r="L269" s="158"/>
      <c r="M269" s="92"/>
    </row>
    <row r="270" spans="1:13" ht="13.2">
      <c r="A270" s="105" t="s">
        <v>15</v>
      </c>
      <c r="B270" s="105">
        <v>226.51363728000001</v>
      </c>
      <c r="C270" s="105">
        <v>5.9450000000000003</v>
      </c>
      <c r="D270" s="105">
        <v>7.17E-2</v>
      </c>
      <c r="E270" s="105">
        <v>1E-3</v>
      </c>
      <c r="F270" s="105">
        <v>1000</v>
      </c>
      <c r="G270" s="103"/>
      <c r="H270" s="105"/>
      <c r="I270" s="107" t="s">
        <v>12</v>
      </c>
      <c r="J270" s="103"/>
      <c r="K270" s="153">
        <v>7.8995651999999996</v>
      </c>
      <c r="L270" s="158"/>
      <c r="M270" s="92"/>
    </row>
    <row r="271" spans="1:13" ht="13.2">
      <c r="A271" s="105" t="s">
        <v>15</v>
      </c>
      <c r="B271" s="105">
        <v>285.95272842000003</v>
      </c>
      <c r="C271" s="105">
        <v>5.9450000000000003</v>
      </c>
      <c r="D271" s="105">
        <v>7.17E-2</v>
      </c>
      <c r="E271" s="105">
        <v>1E-3</v>
      </c>
      <c r="F271" s="105">
        <v>1000</v>
      </c>
      <c r="G271" s="103"/>
      <c r="H271" s="105"/>
      <c r="I271" s="107" t="s">
        <v>12</v>
      </c>
      <c r="J271" s="103"/>
      <c r="K271" s="153">
        <v>8.3649963700000001</v>
      </c>
      <c r="L271" s="158"/>
      <c r="M271" s="92"/>
    </row>
    <row r="272" spans="1:13" ht="13.2">
      <c r="A272" s="105" t="s">
        <v>15</v>
      </c>
      <c r="B272" s="105">
        <v>392.65335929999998</v>
      </c>
      <c r="C272" s="105">
        <v>5.9450000000000003</v>
      </c>
      <c r="D272" s="105">
        <v>7.17E-2</v>
      </c>
      <c r="E272" s="105">
        <v>1E-3</v>
      </c>
      <c r="F272" s="105">
        <v>1000</v>
      </c>
      <c r="G272" s="103"/>
      <c r="H272" s="105"/>
      <c r="I272" s="107" t="s">
        <v>12</v>
      </c>
      <c r="J272" s="103"/>
      <c r="K272" s="153">
        <v>8.8864648699999993</v>
      </c>
      <c r="L272" s="158"/>
      <c r="M272" s="92"/>
    </row>
    <row r="273" spans="1:13" ht="13.2">
      <c r="A273" s="105" t="s">
        <v>15</v>
      </c>
      <c r="B273" s="105">
        <v>460.11558048000001</v>
      </c>
      <c r="C273" s="105">
        <v>5.9450000000000003</v>
      </c>
      <c r="D273" s="105">
        <v>7.17E-2</v>
      </c>
      <c r="E273" s="105">
        <v>1E-3</v>
      </c>
      <c r="F273" s="105">
        <v>1000</v>
      </c>
      <c r="G273" s="103"/>
      <c r="H273" s="105"/>
      <c r="I273" s="107" t="s">
        <v>12</v>
      </c>
      <c r="J273" s="103"/>
      <c r="K273" s="153">
        <v>9.1481949599999997</v>
      </c>
      <c r="L273" s="158"/>
      <c r="M273" s="92"/>
    </row>
    <row r="274" spans="1:13" ht="13.2">
      <c r="A274" s="105" t="s">
        <v>15</v>
      </c>
      <c r="B274" s="105">
        <v>511.41316841999998</v>
      </c>
      <c r="C274" s="105">
        <v>5.9450000000000003</v>
      </c>
      <c r="D274" s="105">
        <v>7.17E-2</v>
      </c>
      <c r="E274" s="105">
        <v>1E-3</v>
      </c>
      <c r="F274" s="105">
        <v>1000</v>
      </c>
      <c r="G274" s="103"/>
      <c r="H274" s="105"/>
      <c r="I274" s="107" t="s">
        <v>12</v>
      </c>
      <c r="J274" s="103"/>
      <c r="K274" s="153">
        <v>9.3269501800000008</v>
      </c>
      <c r="L274" s="158"/>
      <c r="M274" s="92"/>
    </row>
    <row r="275" spans="1:13" ht="13.2">
      <c r="A275" s="105" t="s">
        <v>15</v>
      </c>
      <c r="B275" s="105">
        <v>548.31206801999997</v>
      </c>
      <c r="C275" s="105">
        <v>5.9450000000000003</v>
      </c>
      <c r="D275" s="105">
        <v>7.17E-2</v>
      </c>
      <c r="E275" s="105">
        <v>1E-3</v>
      </c>
      <c r="F275" s="105">
        <v>1000</v>
      </c>
      <c r="G275" s="103"/>
      <c r="H275" s="105"/>
      <c r="I275" s="107" t="s">
        <v>12</v>
      </c>
      <c r="J275" s="103"/>
      <c r="K275" s="153">
        <v>9.3721822600000007</v>
      </c>
      <c r="L275" s="158"/>
      <c r="M275" s="92"/>
    </row>
    <row r="276" spans="1:13" ht="13.2">
      <c r="A276" s="105" t="s">
        <v>15</v>
      </c>
      <c r="B276" s="105">
        <v>618.29025119999994</v>
      </c>
      <c r="C276" s="105">
        <v>5.9450000000000003</v>
      </c>
      <c r="D276" s="105">
        <v>7.17E-2</v>
      </c>
      <c r="E276" s="105">
        <v>1E-3</v>
      </c>
      <c r="F276" s="105">
        <v>1000</v>
      </c>
      <c r="G276" s="103"/>
      <c r="H276" s="105"/>
      <c r="I276" s="107" t="s">
        <v>12</v>
      </c>
      <c r="J276" s="103"/>
      <c r="K276" s="153">
        <v>9.6950074799999992</v>
      </c>
      <c r="L276" s="158"/>
      <c r="M276" s="92"/>
    </row>
    <row r="277" spans="1:13" ht="13.2">
      <c r="A277" s="105" t="s">
        <v>15</v>
      </c>
      <c r="B277" s="105">
        <v>687.2227656</v>
      </c>
      <c r="C277" s="105">
        <v>5.9450000000000003</v>
      </c>
      <c r="D277" s="105">
        <v>7.17E-2</v>
      </c>
      <c r="E277" s="105">
        <v>1E-3</v>
      </c>
      <c r="F277" s="105">
        <v>1000</v>
      </c>
      <c r="G277" s="103"/>
      <c r="H277" s="105"/>
      <c r="I277" s="107" t="s">
        <v>12</v>
      </c>
      <c r="J277" s="103"/>
      <c r="K277" s="153">
        <v>9.8526190600000003</v>
      </c>
      <c r="L277" s="158"/>
      <c r="M277" s="92"/>
    </row>
    <row r="278" spans="1:13" ht="13.2">
      <c r="A278" s="105" t="s">
        <v>15</v>
      </c>
      <c r="B278" s="105">
        <v>886.51659540000003</v>
      </c>
      <c r="C278" s="105">
        <v>5.9450000000000003</v>
      </c>
      <c r="D278" s="105">
        <v>7.17E-2</v>
      </c>
      <c r="E278" s="105">
        <v>1E-3</v>
      </c>
      <c r="F278" s="105">
        <v>1000</v>
      </c>
      <c r="G278" s="103"/>
      <c r="H278" s="105"/>
      <c r="I278" s="107" t="s">
        <v>12</v>
      </c>
      <c r="J278" s="103"/>
      <c r="K278" s="153">
        <v>10.611285499999999</v>
      </c>
      <c r="L278" s="158"/>
      <c r="M278" s="92"/>
    </row>
    <row r="279" spans="1:13" ht="13.2">
      <c r="A279" s="105" t="s">
        <v>15</v>
      </c>
      <c r="B279" s="105">
        <v>1143.6058656</v>
      </c>
      <c r="C279" s="105">
        <v>5.9450000000000003</v>
      </c>
      <c r="D279" s="105">
        <v>7.17E-2</v>
      </c>
      <c r="E279" s="105">
        <v>1E-3</v>
      </c>
      <c r="F279" s="105">
        <v>1000</v>
      </c>
      <c r="G279" s="103"/>
      <c r="H279" s="105"/>
      <c r="I279" s="107" t="s">
        <v>12</v>
      </c>
      <c r="J279" s="103"/>
      <c r="K279" s="153">
        <v>11.511605100000001</v>
      </c>
      <c r="L279" s="157"/>
      <c r="M279" s="92"/>
    </row>
    <row r="280" spans="1:13" ht="13.2">
      <c r="A280" s="105" t="s">
        <v>15</v>
      </c>
      <c r="B280" s="105">
        <v>64.638834779999996</v>
      </c>
      <c r="C280" s="105">
        <v>3.673</v>
      </c>
      <c r="D280" s="105">
        <v>7.17E-2</v>
      </c>
      <c r="E280" s="105">
        <v>1E-3</v>
      </c>
      <c r="F280" s="105">
        <v>1000</v>
      </c>
      <c r="G280" s="103"/>
      <c r="H280" s="105"/>
      <c r="I280" s="105"/>
      <c r="J280" s="103"/>
      <c r="K280" s="153">
        <v>5.94279446</v>
      </c>
      <c r="L280" s="158"/>
      <c r="M280" s="92"/>
    </row>
    <row r="281" spans="1:13" ht="13.2">
      <c r="A281" s="105" t="s">
        <v>15</v>
      </c>
      <c r="B281" s="105">
        <v>115.8816147</v>
      </c>
      <c r="C281" s="105">
        <v>3.673</v>
      </c>
      <c r="D281" s="105">
        <v>7.17E-2</v>
      </c>
      <c r="E281" s="105">
        <v>1E-3</v>
      </c>
      <c r="F281" s="105">
        <v>1000</v>
      </c>
      <c r="G281" s="103"/>
      <c r="H281" s="105"/>
      <c r="I281" s="105"/>
      <c r="J281" s="103"/>
      <c r="K281" s="153">
        <v>6.3132644500000001</v>
      </c>
      <c r="L281" s="158"/>
      <c r="M281" s="92"/>
    </row>
    <row r="282" spans="1:13" ht="13.2">
      <c r="A282" s="105" t="s">
        <v>15</v>
      </c>
      <c r="B282" s="105">
        <v>180.72758640000001</v>
      </c>
      <c r="C282" s="105">
        <v>3.673</v>
      </c>
      <c r="D282" s="105">
        <v>7.17E-2</v>
      </c>
      <c r="E282" s="105">
        <v>1E-3</v>
      </c>
      <c r="F282" s="105">
        <v>1000</v>
      </c>
      <c r="G282" s="103"/>
      <c r="H282" s="105"/>
      <c r="I282" s="105"/>
      <c r="J282" s="103"/>
      <c r="K282" s="153">
        <v>6.93225464</v>
      </c>
      <c r="L282" s="158"/>
      <c r="M282" s="92"/>
    </row>
    <row r="283" spans="1:13" ht="13.2">
      <c r="A283" s="105" t="s">
        <v>15</v>
      </c>
      <c r="B283" s="105">
        <v>242.85659856000001</v>
      </c>
      <c r="C283" s="105">
        <v>3.673</v>
      </c>
      <c r="D283" s="105">
        <v>7.17E-2</v>
      </c>
      <c r="E283" s="105">
        <v>1E-3</v>
      </c>
      <c r="F283" s="105">
        <v>1000</v>
      </c>
      <c r="G283" s="103"/>
      <c r="H283" s="105"/>
      <c r="I283" s="105"/>
      <c r="J283" s="103"/>
      <c r="K283" s="153">
        <v>7.1884042700000004</v>
      </c>
      <c r="L283" s="158"/>
      <c r="M283" s="92"/>
    </row>
    <row r="284" spans="1:13" ht="13.2">
      <c r="A284" s="105" t="s">
        <v>15</v>
      </c>
      <c r="B284" s="105">
        <v>299.30702789999998</v>
      </c>
      <c r="C284" s="105">
        <v>3.673</v>
      </c>
      <c r="D284" s="105">
        <v>7.17E-2</v>
      </c>
      <c r="E284" s="105">
        <v>1E-3</v>
      </c>
      <c r="F284" s="105">
        <v>1000</v>
      </c>
      <c r="G284" s="103"/>
      <c r="H284" s="105"/>
      <c r="I284" s="105"/>
      <c r="J284" s="103"/>
      <c r="K284" s="153">
        <v>7.5204251099999997</v>
      </c>
      <c r="L284" s="158"/>
      <c r="M284" s="92"/>
    </row>
    <row r="285" spans="1:13" ht="13.2">
      <c r="A285" s="105" t="s">
        <v>15</v>
      </c>
      <c r="B285" s="105">
        <v>358.39682196000001</v>
      </c>
      <c r="C285" s="105">
        <v>3.673</v>
      </c>
      <c r="D285" s="105">
        <v>7.17E-2</v>
      </c>
      <c r="E285" s="105">
        <v>1E-3</v>
      </c>
      <c r="F285" s="105">
        <v>1000</v>
      </c>
      <c r="G285" s="103"/>
      <c r="H285" s="105"/>
      <c r="I285" s="105"/>
      <c r="J285" s="103"/>
      <c r="K285" s="153">
        <v>7.8741282699999999</v>
      </c>
      <c r="L285" s="158"/>
      <c r="M285" s="92"/>
    </row>
    <row r="286" spans="1:13" ht="13.2">
      <c r="A286" s="105" t="s">
        <v>15</v>
      </c>
      <c r="B286" s="105">
        <v>432.25633926</v>
      </c>
      <c r="C286" s="105">
        <v>3.673</v>
      </c>
      <c r="D286" s="105">
        <v>7.17E-2</v>
      </c>
      <c r="E286" s="105">
        <v>1E-3</v>
      </c>
      <c r="F286" s="105">
        <v>1000</v>
      </c>
      <c r="G286" s="103"/>
      <c r="H286" s="105"/>
      <c r="I286" s="105"/>
      <c r="J286" s="103"/>
      <c r="K286" s="153">
        <v>8.1980647199999996</v>
      </c>
      <c r="L286" s="158"/>
      <c r="M286" s="92"/>
    </row>
    <row r="287" spans="1:13" ht="13.2">
      <c r="A287" s="105" t="s">
        <v>15</v>
      </c>
      <c r="B287" s="105">
        <v>516.35116770000002</v>
      </c>
      <c r="C287" s="105">
        <v>3.673</v>
      </c>
      <c r="D287" s="105">
        <v>7.17E-2</v>
      </c>
      <c r="E287" s="105">
        <v>1E-3</v>
      </c>
      <c r="F287" s="105">
        <v>1000</v>
      </c>
      <c r="G287" s="103"/>
      <c r="H287" s="105"/>
      <c r="I287" s="105"/>
      <c r="J287" s="103"/>
      <c r="K287" s="153">
        <v>8.5147061599999994</v>
      </c>
      <c r="L287" s="158"/>
      <c r="M287" s="92"/>
    </row>
    <row r="288" spans="1:13" ht="13.2">
      <c r="A288" s="105" t="s">
        <v>15</v>
      </c>
      <c r="B288" s="105">
        <v>600.72098040000003</v>
      </c>
      <c r="C288" s="105">
        <v>3.673</v>
      </c>
      <c r="D288" s="105">
        <v>7.17E-2</v>
      </c>
      <c r="E288" s="105">
        <v>1E-3</v>
      </c>
      <c r="F288" s="105">
        <v>1000</v>
      </c>
      <c r="G288" s="103"/>
      <c r="H288" s="105"/>
      <c r="I288" s="105"/>
      <c r="J288" s="103"/>
      <c r="K288" s="153">
        <v>8.9151720900000004</v>
      </c>
      <c r="L288" s="158"/>
      <c r="M288" s="92"/>
    </row>
    <row r="289" spans="1:13" ht="13.2">
      <c r="A289" s="105" t="s">
        <v>15</v>
      </c>
      <c r="B289" s="105">
        <v>672.5239464</v>
      </c>
      <c r="C289" s="105">
        <v>3.673</v>
      </c>
      <c r="D289" s="105">
        <v>7.17E-2</v>
      </c>
      <c r="E289" s="105">
        <v>1E-3</v>
      </c>
      <c r="F289" s="105">
        <v>1000</v>
      </c>
      <c r="G289" s="103"/>
      <c r="H289" s="105"/>
      <c r="I289" s="105"/>
      <c r="J289" s="103"/>
      <c r="K289" s="153">
        <v>9.2148233499999996</v>
      </c>
      <c r="L289" s="158"/>
      <c r="M289" s="92"/>
    </row>
    <row r="290" spans="1:13" ht="13.2">
      <c r="A290" s="105" t="s">
        <v>15</v>
      </c>
      <c r="B290" s="105">
        <v>780.53483459999995</v>
      </c>
      <c r="C290" s="105">
        <v>3.673</v>
      </c>
      <c r="D290" s="105">
        <v>7.17E-2</v>
      </c>
      <c r="E290" s="105">
        <v>1E-3</v>
      </c>
      <c r="F290" s="105">
        <v>1000</v>
      </c>
      <c r="G290" s="103"/>
      <c r="H290" s="105"/>
      <c r="I290" s="105"/>
      <c r="J290" s="103"/>
      <c r="K290" s="153">
        <v>9.6637891499999995</v>
      </c>
      <c r="L290" s="158"/>
      <c r="M290" s="92"/>
    </row>
    <row r="291" spans="1:13" ht="13.2">
      <c r="A291" s="105" t="s">
        <v>15</v>
      </c>
      <c r="B291" s="105">
        <v>871.73362740000005</v>
      </c>
      <c r="C291" s="105">
        <v>3.673</v>
      </c>
      <c r="D291" s="105">
        <v>7.17E-2</v>
      </c>
      <c r="E291" s="105">
        <v>1E-3</v>
      </c>
      <c r="F291" s="105">
        <v>1000</v>
      </c>
      <c r="G291" s="103"/>
      <c r="H291" s="105"/>
      <c r="I291" s="105"/>
      <c r="J291" s="103"/>
      <c r="K291" s="153">
        <v>10.0775896</v>
      </c>
      <c r="L291" s="158"/>
      <c r="M291" s="92"/>
    </row>
    <row r="292" spans="1:13" ht="13.2">
      <c r="A292" s="105" t="s">
        <v>15</v>
      </c>
      <c r="B292" s="105">
        <v>1220.2403609999999</v>
      </c>
      <c r="C292" s="105">
        <v>3.673</v>
      </c>
      <c r="D292" s="105">
        <v>7.17E-2</v>
      </c>
      <c r="E292" s="105">
        <v>1E-3</v>
      </c>
      <c r="F292" s="105">
        <v>1000</v>
      </c>
      <c r="G292" s="103"/>
      <c r="H292" s="105"/>
      <c r="I292" s="105"/>
      <c r="J292" s="103"/>
      <c r="K292" s="153">
        <v>11.2003047</v>
      </c>
      <c r="L292" s="158"/>
      <c r="M292" s="92"/>
    </row>
    <row r="293" spans="1:13" ht="13.2">
      <c r="A293" s="105" t="s">
        <v>15</v>
      </c>
      <c r="B293" s="105">
        <v>1703.9768928000001</v>
      </c>
      <c r="C293" s="105">
        <v>3.673</v>
      </c>
      <c r="D293" s="105">
        <v>7.17E-2</v>
      </c>
      <c r="E293" s="105">
        <v>1E-3</v>
      </c>
      <c r="F293" s="105">
        <v>1000</v>
      </c>
      <c r="G293" s="103"/>
      <c r="H293" s="105"/>
      <c r="I293" s="105"/>
      <c r="J293" s="103"/>
      <c r="K293" s="153">
        <v>12.398014399999999</v>
      </c>
      <c r="L293" s="158"/>
      <c r="M293" s="92"/>
    </row>
    <row r="294" spans="1:13" ht="13.2">
      <c r="A294" s="105" t="s">
        <v>15</v>
      </c>
      <c r="B294" s="105">
        <v>2306.3177747999998</v>
      </c>
      <c r="C294" s="105">
        <v>3.673</v>
      </c>
      <c r="D294" s="105">
        <v>7.17E-2</v>
      </c>
      <c r="E294" s="105">
        <v>1E-3</v>
      </c>
      <c r="F294" s="105">
        <v>1000</v>
      </c>
      <c r="G294" s="103"/>
      <c r="H294" s="105"/>
      <c r="I294" s="105"/>
      <c r="J294" s="103"/>
      <c r="K294" s="153">
        <v>13.4066209</v>
      </c>
      <c r="L294" s="157"/>
      <c r="M294" s="92"/>
    </row>
    <row r="295" spans="1:13" ht="13.2">
      <c r="A295" s="105" t="s">
        <v>15</v>
      </c>
      <c r="B295" s="105">
        <v>154.60024704</v>
      </c>
      <c r="C295" s="105">
        <v>1.3779999999999999</v>
      </c>
      <c r="D295" s="105">
        <v>7.17E-2</v>
      </c>
      <c r="E295" s="105">
        <v>1E-3</v>
      </c>
      <c r="F295" s="105">
        <v>1000</v>
      </c>
      <c r="G295" s="103"/>
      <c r="H295" s="105"/>
      <c r="I295" s="105"/>
      <c r="J295" s="103"/>
      <c r="K295" s="153">
        <v>6.00057391</v>
      </c>
      <c r="L295" s="158"/>
      <c r="M295" s="92"/>
    </row>
    <row r="296" spans="1:13" ht="13.2">
      <c r="A296" s="105" t="s">
        <v>15</v>
      </c>
      <c r="B296" s="105">
        <v>220.60644600000001</v>
      </c>
      <c r="C296" s="105">
        <v>1.3779999999999999</v>
      </c>
      <c r="D296" s="105">
        <v>7.17E-2</v>
      </c>
      <c r="E296" s="105">
        <v>1E-3</v>
      </c>
      <c r="F296" s="105">
        <v>1000</v>
      </c>
      <c r="G296" s="103"/>
      <c r="H296" s="105"/>
      <c r="I296" s="105"/>
      <c r="J296" s="103"/>
      <c r="K296" s="153">
        <v>6.7339231100000001</v>
      </c>
      <c r="L296" s="158"/>
      <c r="M296" s="92"/>
    </row>
    <row r="297" spans="1:13" ht="13.2">
      <c r="A297" s="105" t="s">
        <v>15</v>
      </c>
      <c r="B297" s="105">
        <v>283.21808879999998</v>
      </c>
      <c r="C297" s="105">
        <v>1.3779999999999999</v>
      </c>
      <c r="D297" s="105">
        <v>7.17E-2</v>
      </c>
      <c r="E297" s="105">
        <v>1E-3</v>
      </c>
      <c r="F297" s="105">
        <v>1000</v>
      </c>
      <c r="G297" s="103"/>
      <c r="H297" s="105"/>
      <c r="I297" s="105"/>
      <c r="J297" s="103"/>
      <c r="K297" s="153">
        <v>7.1421839299999998</v>
      </c>
      <c r="L297" s="158"/>
      <c r="M297" s="92"/>
    </row>
    <row r="298" spans="1:13" ht="13.2">
      <c r="A298" s="105" t="s">
        <v>15</v>
      </c>
      <c r="B298" s="105">
        <v>361.85721383999999</v>
      </c>
      <c r="C298" s="105">
        <v>1.3779999999999999</v>
      </c>
      <c r="D298" s="105">
        <v>7.17E-2</v>
      </c>
      <c r="E298" s="105">
        <v>1E-3</v>
      </c>
      <c r="F298" s="105">
        <v>1000</v>
      </c>
      <c r="G298" s="103"/>
      <c r="H298" s="105"/>
      <c r="I298" s="105"/>
      <c r="J298" s="103"/>
      <c r="K298" s="153">
        <v>7.3406927599999996</v>
      </c>
      <c r="L298" s="158"/>
      <c r="M298" s="92"/>
    </row>
    <row r="299" spans="1:13" ht="13.2">
      <c r="A299" s="105" t="s">
        <v>15</v>
      </c>
      <c r="B299" s="105">
        <v>413.96342615999998</v>
      </c>
      <c r="C299" s="105">
        <v>1.3779999999999999</v>
      </c>
      <c r="D299" s="105">
        <v>7.17E-2</v>
      </c>
      <c r="E299" s="105">
        <v>1E-3</v>
      </c>
      <c r="F299" s="105">
        <v>1000</v>
      </c>
      <c r="G299" s="103"/>
      <c r="H299" s="105"/>
      <c r="I299" s="105"/>
      <c r="J299" s="103"/>
      <c r="K299" s="153">
        <v>7.6303694699999998</v>
      </c>
      <c r="L299" s="158"/>
      <c r="M299" s="92"/>
    </row>
    <row r="300" spans="1:13" ht="13.2">
      <c r="A300" s="105" t="s">
        <v>15</v>
      </c>
      <c r="B300" s="105">
        <v>457.91028383999998</v>
      </c>
      <c r="C300" s="105">
        <v>1.3779999999999999</v>
      </c>
      <c r="D300" s="105">
        <v>7.17E-2</v>
      </c>
      <c r="E300" s="105">
        <v>1E-3</v>
      </c>
      <c r="F300" s="105">
        <v>1000</v>
      </c>
      <c r="G300" s="103"/>
      <c r="H300" s="105"/>
      <c r="I300" s="105"/>
      <c r="J300" s="103"/>
      <c r="K300" s="153">
        <v>8.0669209199999994</v>
      </c>
      <c r="L300" s="158"/>
      <c r="M300" s="92"/>
    </row>
    <row r="301" spans="1:13" ht="13.2">
      <c r="A301" s="105" t="s">
        <v>15</v>
      </c>
      <c r="B301" s="105">
        <v>522.59071793999999</v>
      </c>
      <c r="C301" s="105">
        <v>1.3779999999999999</v>
      </c>
      <c r="D301" s="105">
        <v>7.17E-2</v>
      </c>
      <c r="E301" s="105">
        <v>1E-3</v>
      </c>
      <c r="F301" s="105">
        <v>1000</v>
      </c>
      <c r="G301" s="103"/>
      <c r="H301" s="105"/>
      <c r="I301" s="105"/>
      <c r="J301" s="103"/>
      <c r="K301" s="153">
        <v>8.3380607300000005</v>
      </c>
      <c r="L301" s="158"/>
      <c r="M301" s="92"/>
    </row>
    <row r="302" spans="1:13" ht="13.8">
      <c r="A302" s="103" t="s">
        <v>16</v>
      </c>
      <c r="B302" s="160">
        <v>9.93925670787816</v>
      </c>
      <c r="C302" s="104">
        <v>5</v>
      </c>
      <c r="D302" s="103">
        <v>7.1999999999999995E-2</v>
      </c>
      <c r="E302" s="160">
        <v>8.0000000000000004E-4</v>
      </c>
      <c r="F302" s="160">
        <v>998</v>
      </c>
      <c r="G302" s="132"/>
      <c r="H302" s="132"/>
      <c r="I302" s="103" t="s">
        <v>12</v>
      </c>
      <c r="J302" s="132"/>
      <c r="K302" s="161">
        <v>7.80144266677652</v>
      </c>
    </row>
    <row r="303" spans="1:13" ht="13.8">
      <c r="A303" s="103" t="s">
        <v>16</v>
      </c>
      <c r="B303" s="160">
        <v>20.0552167626977</v>
      </c>
      <c r="C303" s="104">
        <v>5</v>
      </c>
      <c r="D303" s="103">
        <v>7.1999999999999995E-2</v>
      </c>
      <c r="E303" s="160">
        <v>8.0000000000000004E-4</v>
      </c>
      <c r="F303" s="160">
        <v>998</v>
      </c>
      <c r="G303" s="132"/>
      <c r="H303" s="132"/>
      <c r="I303" s="103" t="s">
        <v>12</v>
      </c>
      <c r="J303" s="132"/>
      <c r="K303" s="161">
        <v>7.9419134024547002</v>
      </c>
    </row>
    <row r="304" spans="1:13" ht="13.8">
      <c r="A304" s="103" t="s">
        <v>16</v>
      </c>
      <c r="B304" s="160">
        <v>29.994476706012101</v>
      </c>
      <c r="C304" s="104">
        <v>5</v>
      </c>
      <c r="D304" s="103">
        <v>7.1999999999999995E-2</v>
      </c>
      <c r="E304" s="160">
        <v>8.0000000000000004E-4</v>
      </c>
      <c r="F304" s="160">
        <v>998</v>
      </c>
      <c r="G304" s="132"/>
      <c r="H304" s="132"/>
      <c r="I304" s="103" t="s">
        <v>12</v>
      </c>
      <c r="J304" s="132"/>
      <c r="K304" s="161">
        <v>8.0808655722594604</v>
      </c>
    </row>
    <row r="305" spans="1:11" ht="13.8">
      <c r="A305" s="103" t="s">
        <v>16</v>
      </c>
      <c r="B305" s="160">
        <v>39.977913294920803</v>
      </c>
      <c r="C305" s="104">
        <v>5</v>
      </c>
      <c r="D305" s="103">
        <v>7.1999999999999995E-2</v>
      </c>
      <c r="E305" s="160">
        <v>8.0000000000000004E-4</v>
      </c>
      <c r="F305" s="160">
        <v>998</v>
      </c>
      <c r="G305" s="132"/>
      <c r="H305" s="132"/>
      <c r="I305" s="103" t="s">
        <v>12</v>
      </c>
      <c r="J305" s="132"/>
      <c r="K305" s="161">
        <v>8.2304479812426496</v>
      </c>
    </row>
    <row r="306" spans="1:11" ht="13.8">
      <c r="A306" s="103" t="s">
        <v>16</v>
      </c>
      <c r="B306" s="160">
        <v>50.005520058551603</v>
      </c>
      <c r="C306" s="104">
        <v>5</v>
      </c>
      <c r="D306" s="103">
        <v>7.1999999999999995E-2</v>
      </c>
      <c r="E306" s="160">
        <v>8.0000000000000004E-4</v>
      </c>
      <c r="F306" s="160">
        <v>998</v>
      </c>
      <c r="G306" s="162"/>
      <c r="H306" s="132"/>
      <c r="I306" s="103" t="s">
        <v>12</v>
      </c>
      <c r="J306" s="132"/>
      <c r="K306" s="161">
        <v>8.3337129910221108</v>
      </c>
    </row>
    <row r="307" spans="1:11" ht="13.8">
      <c r="A307" s="103" t="s">
        <v>16</v>
      </c>
      <c r="B307" s="160">
        <v>60.077296996904501</v>
      </c>
      <c r="C307" s="104">
        <v>5</v>
      </c>
      <c r="D307" s="103">
        <v>7.1999999999999995E-2</v>
      </c>
      <c r="E307" s="160">
        <v>8.0000000000000004E-4</v>
      </c>
      <c r="F307" s="160">
        <v>998</v>
      </c>
      <c r="G307" s="162"/>
      <c r="H307" s="162"/>
      <c r="I307" s="103" t="s">
        <v>12</v>
      </c>
      <c r="J307" s="132"/>
      <c r="K307" s="103">
        <v>8.4498861165965895</v>
      </c>
    </row>
    <row r="308" spans="1:11" ht="13.8">
      <c r="A308" s="103" t="s">
        <v>16</v>
      </c>
      <c r="B308" s="160">
        <v>20.108249872639501</v>
      </c>
      <c r="C308" s="104">
        <v>5</v>
      </c>
      <c r="D308" s="103">
        <v>7.1999999999999995E-2</v>
      </c>
      <c r="E308" s="160">
        <v>8.0000000000000004E-4</v>
      </c>
      <c r="F308" s="160">
        <v>998</v>
      </c>
      <c r="G308" s="162"/>
      <c r="H308" s="162"/>
      <c r="I308" s="103" t="s">
        <v>12</v>
      </c>
      <c r="J308" s="132"/>
      <c r="K308" s="161">
        <v>7.7380321493772897</v>
      </c>
    </row>
    <row r="309" spans="1:11" ht="13.8">
      <c r="A309" s="103" t="s">
        <v>16</v>
      </c>
      <c r="B309" s="160">
        <v>50.0054889388338</v>
      </c>
      <c r="C309" s="104">
        <v>5</v>
      </c>
      <c r="D309" s="103">
        <v>7.1999999999999995E-2</v>
      </c>
      <c r="E309" s="160">
        <v>8.0000000000000004E-4</v>
      </c>
      <c r="F309" s="160">
        <v>998</v>
      </c>
      <c r="G309" s="162"/>
      <c r="H309" s="162"/>
      <c r="I309" s="103" t="s">
        <v>12</v>
      </c>
      <c r="J309" s="132"/>
      <c r="K309" s="161">
        <v>8.2579985338626791</v>
      </c>
    </row>
    <row r="310" spans="1:11" ht="13.8">
      <c r="A310" s="103" t="s">
        <v>16</v>
      </c>
      <c r="B310" s="160">
        <v>60.041910032490897</v>
      </c>
      <c r="C310" s="104">
        <v>5</v>
      </c>
      <c r="D310" s="103">
        <v>7.1999999999999995E-2</v>
      </c>
      <c r="E310" s="160">
        <v>8.0000000000000004E-4</v>
      </c>
      <c r="F310" s="160">
        <v>998</v>
      </c>
      <c r="G310" s="162"/>
      <c r="H310" s="162"/>
      <c r="I310" s="103" t="s">
        <v>12</v>
      </c>
      <c r="J310" s="132"/>
      <c r="K310" s="161">
        <v>8.3819157651691292</v>
      </c>
    </row>
    <row r="311" spans="1:11" ht="13.8">
      <c r="A311" s="103" t="s">
        <v>16</v>
      </c>
      <c r="B311" s="160">
        <v>70.2196935443868</v>
      </c>
      <c r="C311" s="104">
        <v>5</v>
      </c>
      <c r="D311" s="103">
        <v>7.1999999999999995E-2</v>
      </c>
      <c r="E311" s="160">
        <v>8.0000000000000004E-4</v>
      </c>
      <c r="F311" s="160">
        <v>998</v>
      </c>
      <c r="G311" s="162"/>
      <c r="H311" s="162"/>
      <c r="I311" s="103" t="s">
        <v>12</v>
      </c>
      <c r="J311" s="132"/>
      <c r="K311" s="161">
        <v>8.4317256511925809</v>
      </c>
    </row>
    <row r="312" spans="1:11" ht="13.8">
      <c r="A312" s="103" t="s">
        <v>16</v>
      </c>
      <c r="B312" s="160">
        <v>9.9408269252653092</v>
      </c>
      <c r="C312" s="104">
        <v>2</v>
      </c>
      <c r="D312" s="103">
        <v>7.1999999999999995E-2</v>
      </c>
      <c r="E312" s="160">
        <v>8.0000000000000004E-4</v>
      </c>
      <c r="F312" s="160">
        <v>998</v>
      </c>
      <c r="G312" s="162"/>
      <c r="H312" s="162"/>
      <c r="I312" s="103" t="s">
        <v>12</v>
      </c>
      <c r="J312" s="132"/>
      <c r="K312" s="161">
        <v>5.99755900043938</v>
      </c>
    </row>
    <row r="313" spans="1:11" ht="13.8">
      <c r="A313" s="103" t="s">
        <v>16</v>
      </c>
      <c r="B313" s="160">
        <v>19.881653850530601</v>
      </c>
      <c r="C313" s="104">
        <v>2</v>
      </c>
      <c r="D313" s="103">
        <v>7.1999999999999995E-2</v>
      </c>
      <c r="E313" s="160">
        <v>8.0000000000000004E-4</v>
      </c>
      <c r="F313" s="160">
        <v>998</v>
      </c>
      <c r="G313" s="162"/>
      <c r="H313" s="162"/>
      <c r="I313" s="103" t="s">
        <v>12</v>
      </c>
      <c r="J313" s="132"/>
      <c r="K313" s="161">
        <v>6.0634664411251302</v>
      </c>
    </row>
    <row r="314" spans="1:11" ht="13.8">
      <c r="A314" s="103" t="s">
        <v>16</v>
      </c>
      <c r="B314" s="160">
        <v>29.822480775795899</v>
      </c>
      <c r="C314" s="104">
        <v>2</v>
      </c>
      <c r="D314" s="103">
        <v>7.1999999999999995E-2</v>
      </c>
      <c r="E314" s="160">
        <v>8.0000000000000004E-4</v>
      </c>
      <c r="F314" s="160">
        <v>998</v>
      </c>
      <c r="G314" s="132"/>
      <c r="H314" s="132"/>
      <c r="I314" s="103" t="s">
        <v>12</v>
      </c>
      <c r="J314" s="132"/>
      <c r="K314" s="161">
        <v>6.0488201420620298</v>
      </c>
    </row>
    <row r="315" spans="1:11" ht="13.8">
      <c r="A315" s="103" t="s">
        <v>16</v>
      </c>
      <c r="B315" s="160">
        <v>39.857995541956299</v>
      </c>
      <c r="C315" s="104">
        <v>2</v>
      </c>
      <c r="D315" s="103">
        <v>7.1999999999999995E-2</v>
      </c>
      <c r="E315" s="160">
        <v>8.0000000000000004E-4</v>
      </c>
      <c r="F315" s="160">
        <v>998</v>
      </c>
      <c r="G315" s="132"/>
      <c r="H315" s="132"/>
      <c r="I315" s="103" t="s">
        <v>12</v>
      </c>
      <c r="J315" s="132"/>
      <c r="K315" s="161">
        <v>6.2026038686293798</v>
      </c>
    </row>
    <row r="316" spans="1:11" ht="13.8">
      <c r="A316" s="103" t="s">
        <v>16</v>
      </c>
      <c r="B316" s="160">
        <v>49.846150785783998</v>
      </c>
      <c r="C316" s="104">
        <v>2</v>
      </c>
      <c r="D316" s="103">
        <v>7.1999999999999995E-2</v>
      </c>
      <c r="E316" s="160">
        <v>8.0000000000000004E-4</v>
      </c>
      <c r="F316" s="160">
        <v>998</v>
      </c>
      <c r="G316" s="132"/>
      <c r="H316" s="132"/>
      <c r="I316" s="103" t="s">
        <v>12</v>
      </c>
      <c r="J316" s="132"/>
      <c r="K316" s="161">
        <v>6.3637104430288902</v>
      </c>
    </row>
    <row r="317" spans="1:11" ht="13.8">
      <c r="A317" s="103" t="s">
        <v>16</v>
      </c>
      <c r="B317" s="160">
        <v>59.692305472039401</v>
      </c>
      <c r="C317" s="104">
        <v>2</v>
      </c>
      <c r="D317" s="103">
        <v>7.1999999999999995E-2</v>
      </c>
      <c r="E317" s="160">
        <v>8.0000000000000004E-4</v>
      </c>
      <c r="F317" s="160">
        <v>998</v>
      </c>
      <c r="G317" s="132"/>
      <c r="H317" s="132"/>
      <c r="I317" s="103" t="s">
        <v>12</v>
      </c>
      <c r="J317" s="132"/>
      <c r="K317" s="161">
        <v>6.41497158465154</v>
      </c>
    </row>
    <row r="318" spans="1:11" ht="13.8">
      <c r="A318" s="103" t="s">
        <v>16</v>
      </c>
      <c r="B318" s="111">
        <v>69.869820795772199</v>
      </c>
      <c r="C318" s="104">
        <v>2</v>
      </c>
      <c r="D318" s="103">
        <v>7.1999999999999995E-2</v>
      </c>
      <c r="E318" s="160">
        <v>8.0000000000000004E-4</v>
      </c>
      <c r="F318" s="160">
        <v>998</v>
      </c>
      <c r="G318" s="132"/>
      <c r="H318" s="132"/>
      <c r="I318" s="103" t="s">
        <v>12</v>
      </c>
      <c r="J318" s="132"/>
      <c r="K318" s="103">
        <v>6.5614321616873399</v>
      </c>
    </row>
    <row r="319" spans="1:11" ht="13.8">
      <c r="A319" s="103" t="s">
        <v>16</v>
      </c>
      <c r="B319" s="160">
        <v>9.9408269252653092</v>
      </c>
      <c r="C319" s="163">
        <v>3.2</v>
      </c>
      <c r="D319" s="103">
        <v>7.1999999999999995E-2</v>
      </c>
      <c r="E319" s="160">
        <v>8.0000000000000004E-4</v>
      </c>
      <c r="F319" s="160">
        <v>998</v>
      </c>
      <c r="G319" s="132"/>
      <c r="H319" s="132"/>
      <c r="I319" s="103" t="s">
        <v>12</v>
      </c>
      <c r="J319" s="132"/>
      <c r="K319" s="161">
        <v>6.41497158465154</v>
      </c>
    </row>
    <row r="320" spans="1:11" ht="13.8">
      <c r="A320" s="103" t="s">
        <v>16</v>
      </c>
      <c r="B320" s="160">
        <v>19.834325531968201</v>
      </c>
      <c r="C320" s="163">
        <v>3.2</v>
      </c>
      <c r="D320" s="103">
        <v>7.1999999999999995E-2</v>
      </c>
      <c r="E320" s="160">
        <v>8.0000000000000004E-4</v>
      </c>
      <c r="F320" s="160">
        <v>998</v>
      </c>
      <c r="G320" s="132"/>
      <c r="H320" s="132"/>
      <c r="I320" s="103" t="s">
        <v>12</v>
      </c>
      <c r="J320" s="132"/>
      <c r="K320" s="161">
        <v>7.41090332747536</v>
      </c>
    </row>
    <row r="321" spans="1:11" ht="13.8">
      <c r="A321" s="103" t="s">
        <v>16</v>
      </c>
      <c r="B321" s="160">
        <v>29.869824696243398</v>
      </c>
      <c r="C321" s="163">
        <v>3.2</v>
      </c>
      <c r="D321" s="103">
        <v>7.1999999999999995E-2</v>
      </c>
      <c r="E321" s="160">
        <v>8.0000000000000004E-4</v>
      </c>
      <c r="F321" s="160">
        <v>998</v>
      </c>
      <c r="G321" s="132"/>
      <c r="H321" s="132"/>
      <c r="I321" s="103" t="s">
        <v>12</v>
      </c>
      <c r="J321" s="132"/>
      <c r="K321" s="161">
        <v>7.5573636028117601</v>
      </c>
    </row>
    <row r="322" spans="1:11" ht="13.8">
      <c r="A322" s="103" t="s">
        <v>16</v>
      </c>
      <c r="B322" s="160">
        <v>39.952659980023697</v>
      </c>
      <c r="C322" s="163">
        <v>3.2</v>
      </c>
      <c r="D322" s="103">
        <v>7.1999999999999995E-2</v>
      </c>
      <c r="E322" s="160">
        <v>8.0000000000000004E-4</v>
      </c>
      <c r="F322" s="160">
        <v>998</v>
      </c>
      <c r="G322" s="132"/>
      <c r="H322" s="132"/>
      <c r="I322" s="103" t="s">
        <v>12</v>
      </c>
      <c r="J322" s="132"/>
      <c r="K322" s="161">
        <v>7.6232707417981196</v>
      </c>
    </row>
    <row r="323" spans="1:11" ht="13.8">
      <c r="A323" s="103" t="s">
        <v>16</v>
      </c>
      <c r="B323" s="160">
        <v>49.751478546774102</v>
      </c>
      <c r="C323" s="163">
        <v>3.2</v>
      </c>
      <c r="D323" s="103">
        <v>7.1999999999999995E-2</v>
      </c>
      <c r="E323" s="160">
        <v>8.0000000000000004E-4</v>
      </c>
      <c r="F323" s="160">
        <v>998</v>
      </c>
      <c r="G323" s="132"/>
      <c r="H323" s="132"/>
      <c r="I323" s="103" t="s">
        <v>12</v>
      </c>
      <c r="J323" s="132"/>
      <c r="K323" s="161">
        <v>7.6452398886933697</v>
      </c>
    </row>
    <row r="324" spans="1:11" ht="13.8">
      <c r="A324" s="103" t="s">
        <v>16</v>
      </c>
      <c r="B324" s="160">
        <v>59.881657751001903</v>
      </c>
      <c r="C324" s="163">
        <v>3.2</v>
      </c>
      <c r="D324" s="103">
        <v>7.1999999999999995E-2</v>
      </c>
      <c r="E324" s="160">
        <v>8.0000000000000004E-4</v>
      </c>
      <c r="F324" s="160">
        <v>998</v>
      </c>
      <c r="G324" s="132"/>
      <c r="H324" s="132"/>
      <c r="I324" s="103" t="s">
        <v>12</v>
      </c>
      <c r="J324" s="132"/>
      <c r="K324" s="161">
        <v>7.6965013320154201</v>
      </c>
    </row>
    <row r="325" spans="1:11" ht="13.8">
      <c r="A325" s="103" t="s">
        <v>16</v>
      </c>
      <c r="B325" s="160">
        <v>69.917156915277104</v>
      </c>
      <c r="C325" s="163">
        <v>3.2</v>
      </c>
      <c r="D325" s="103">
        <v>7.1999999999999995E-2</v>
      </c>
      <c r="E325" s="160">
        <v>8.0000000000000004E-4</v>
      </c>
      <c r="F325" s="160">
        <v>998</v>
      </c>
      <c r="G325" s="132"/>
      <c r="H325" s="132"/>
      <c r="I325" s="103" t="s">
        <v>12</v>
      </c>
      <c r="J325" s="132"/>
      <c r="K325" s="161">
        <v>7.7038243306972696</v>
      </c>
    </row>
    <row r="326" spans="1:11" ht="13.8">
      <c r="A326" s="103" t="s">
        <v>16</v>
      </c>
      <c r="B326" s="160">
        <v>9.7514785467741092</v>
      </c>
      <c r="C326" s="109">
        <v>5</v>
      </c>
      <c r="D326" s="103">
        <v>7.1999999999999995E-2</v>
      </c>
      <c r="E326" s="160">
        <v>8.0000000000000004E-4</v>
      </c>
      <c r="F326" s="160">
        <v>998</v>
      </c>
      <c r="G326" s="132"/>
      <c r="H326" s="132"/>
      <c r="I326" s="103" t="s">
        <v>12</v>
      </c>
      <c r="J326" s="132"/>
      <c r="K326" s="161">
        <v>7.6525630382249199</v>
      </c>
    </row>
    <row r="327" spans="1:11" ht="13.8">
      <c r="A327" s="103" t="s">
        <v>16</v>
      </c>
      <c r="B327" s="160">
        <v>19.881653850530601</v>
      </c>
      <c r="C327" s="109">
        <v>5</v>
      </c>
      <c r="D327" s="103">
        <v>7.1999999999999995E-2</v>
      </c>
      <c r="E327" s="160">
        <v>8.0000000000000004E-4</v>
      </c>
      <c r="F327" s="160">
        <v>998</v>
      </c>
      <c r="G327" s="132"/>
      <c r="H327" s="132"/>
      <c r="I327" s="103" t="s">
        <v>12</v>
      </c>
      <c r="J327" s="132"/>
      <c r="K327" s="161">
        <v>7.7624086218514696</v>
      </c>
    </row>
    <row r="328" spans="1:11" ht="13.8">
      <c r="A328" s="103" t="s">
        <v>16</v>
      </c>
      <c r="B328" s="160">
        <v>29.869824696243398</v>
      </c>
      <c r="C328" s="109">
        <v>5</v>
      </c>
      <c r="D328" s="103">
        <v>7.1999999999999995E-2</v>
      </c>
      <c r="E328" s="160">
        <v>8.0000000000000004E-4</v>
      </c>
      <c r="F328" s="160">
        <v>998</v>
      </c>
      <c r="G328" s="132"/>
      <c r="H328" s="132"/>
      <c r="I328" s="103" t="s">
        <v>12</v>
      </c>
      <c r="J328" s="132"/>
      <c r="K328" s="161">
        <v>7.9528070401286701</v>
      </c>
    </row>
    <row r="329" spans="1:11" ht="13.8">
      <c r="A329" s="103" t="s">
        <v>16</v>
      </c>
      <c r="B329" s="160">
        <v>39.857995541956299</v>
      </c>
      <c r="C329" s="109">
        <v>5</v>
      </c>
      <c r="D329" s="103">
        <v>7.1999999999999995E-2</v>
      </c>
      <c r="E329" s="160">
        <v>8.0000000000000004E-4</v>
      </c>
      <c r="F329" s="160">
        <v>998</v>
      </c>
      <c r="G329" s="132"/>
      <c r="H329" s="132"/>
      <c r="I329" s="103" t="s">
        <v>12</v>
      </c>
      <c r="J329" s="132"/>
      <c r="K329" s="161">
        <v>8.1358829122731304</v>
      </c>
    </row>
    <row r="330" spans="1:11" ht="13.8">
      <c r="A330" s="103" t="s">
        <v>16</v>
      </c>
      <c r="B330" s="160">
        <v>49.846150785783998</v>
      </c>
      <c r="C330" s="109">
        <v>5</v>
      </c>
      <c r="D330" s="103">
        <v>7.1999999999999995E-2</v>
      </c>
      <c r="E330" s="160">
        <v>8.0000000000000004E-4</v>
      </c>
      <c r="F330" s="160">
        <v>998</v>
      </c>
      <c r="G330" s="132"/>
      <c r="H330" s="132"/>
      <c r="I330" s="103" t="s">
        <v>12</v>
      </c>
      <c r="J330" s="132"/>
      <c r="K330" s="161">
        <v>8.2676974919452295</v>
      </c>
    </row>
    <row r="331" spans="1:11" ht="13.8">
      <c r="A331" s="103" t="s">
        <v>16</v>
      </c>
      <c r="B331" s="160">
        <v>59.786977711049303</v>
      </c>
      <c r="C331" s="109">
        <v>5</v>
      </c>
      <c r="D331" s="103">
        <v>7.1999999999999995E-2</v>
      </c>
      <c r="E331" s="160">
        <v>8.0000000000000004E-4</v>
      </c>
      <c r="F331" s="160">
        <v>998</v>
      </c>
      <c r="G331" s="132"/>
      <c r="H331" s="132"/>
      <c r="I331" s="103" t="s">
        <v>12</v>
      </c>
      <c r="J331" s="132"/>
      <c r="K331" s="161">
        <v>8.3775429247220803</v>
      </c>
    </row>
    <row r="332" spans="1:11" ht="13.8">
      <c r="A332" s="103" t="s">
        <v>16</v>
      </c>
      <c r="B332" s="111">
        <v>70.059173074734602</v>
      </c>
      <c r="C332" s="109">
        <v>5</v>
      </c>
      <c r="D332" s="103">
        <v>7.1999999999999995E-2</v>
      </c>
      <c r="E332" s="160">
        <v>8.0000000000000004E-4</v>
      </c>
      <c r="F332" s="160">
        <v>998</v>
      </c>
      <c r="G332" s="132"/>
      <c r="H332" s="132"/>
      <c r="I332" s="103" t="s">
        <v>12</v>
      </c>
      <c r="J332" s="132"/>
      <c r="K332" s="103">
        <v>8.4434500637084309</v>
      </c>
    </row>
    <row r="333" spans="1:11" ht="13.8">
      <c r="A333" s="103" t="s">
        <v>16</v>
      </c>
      <c r="B333" s="164">
        <v>10.2306363895547</v>
      </c>
      <c r="C333" s="163">
        <v>2</v>
      </c>
      <c r="D333" s="103">
        <v>2.1680000000000001E-2</v>
      </c>
      <c r="E333" s="103">
        <v>1.745E-3</v>
      </c>
      <c r="F333" s="103">
        <v>836</v>
      </c>
      <c r="G333" s="132"/>
      <c r="H333" s="132"/>
      <c r="I333" s="103" t="s">
        <v>12</v>
      </c>
      <c r="J333" s="132"/>
      <c r="K333" s="165">
        <v>4.3021172297272896</v>
      </c>
    </row>
    <row r="334" spans="1:11" ht="13.8">
      <c r="A334" s="103" t="s">
        <v>16</v>
      </c>
      <c r="B334" s="164">
        <v>20.0473120276855</v>
      </c>
      <c r="C334" s="163">
        <v>2</v>
      </c>
      <c r="D334" s="103">
        <v>2.1680000000000001E-2</v>
      </c>
      <c r="E334" s="103">
        <v>1.745E-3</v>
      </c>
      <c r="F334" s="103">
        <v>836</v>
      </c>
      <c r="G334" s="132"/>
      <c r="H334" s="132"/>
      <c r="I334" s="103" t="s">
        <v>12</v>
      </c>
      <c r="J334" s="132"/>
      <c r="K334" s="165">
        <v>4.9910423879991503</v>
      </c>
    </row>
    <row r="335" spans="1:11" ht="13.8">
      <c r="A335" s="103" t="s">
        <v>16</v>
      </c>
      <c r="B335" s="164">
        <v>30.218803509927099</v>
      </c>
      <c r="C335" s="163">
        <v>2</v>
      </c>
      <c r="D335" s="103">
        <v>2.1680000000000001E-2</v>
      </c>
      <c r="E335" s="103">
        <v>1.745E-3</v>
      </c>
      <c r="F335" s="103">
        <v>836</v>
      </c>
      <c r="G335" s="132"/>
      <c r="H335" s="132"/>
      <c r="I335" s="103" t="s">
        <v>12</v>
      </c>
      <c r="J335" s="132"/>
      <c r="K335" s="165">
        <v>5.1083057821721001</v>
      </c>
    </row>
    <row r="336" spans="1:11" ht="13.8">
      <c r="A336" s="103" t="s">
        <v>16</v>
      </c>
      <c r="B336" s="164">
        <v>40.153754344565698</v>
      </c>
      <c r="C336" s="163">
        <v>2</v>
      </c>
      <c r="D336" s="103">
        <v>2.1680000000000001E-2</v>
      </c>
      <c r="E336" s="103">
        <v>1.745E-3</v>
      </c>
      <c r="F336" s="103">
        <v>836</v>
      </c>
      <c r="G336" s="132"/>
      <c r="H336" s="132"/>
      <c r="I336" s="103" t="s">
        <v>12</v>
      </c>
      <c r="J336" s="132"/>
      <c r="K336" s="165">
        <v>5.1742665923669202</v>
      </c>
    </row>
    <row r="337" spans="1:11" ht="13.8">
      <c r="A337" s="103" t="s">
        <v>16</v>
      </c>
      <c r="B337" s="164">
        <v>50.2069852484181</v>
      </c>
      <c r="C337" s="163">
        <v>2</v>
      </c>
      <c r="D337" s="103">
        <v>2.1680000000000001E-2</v>
      </c>
      <c r="E337" s="103">
        <v>1.745E-3</v>
      </c>
      <c r="F337" s="103">
        <v>836</v>
      </c>
      <c r="G337" s="132"/>
      <c r="H337" s="132"/>
      <c r="I337" s="103" t="s">
        <v>12</v>
      </c>
      <c r="J337" s="132"/>
      <c r="K337" s="165">
        <v>5.4600977763614598</v>
      </c>
    </row>
    <row r="338" spans="1:11" ht="13.8">
      <c r="A338" s="103" t="s">
        <v>16</v>
      </c>
      <c r="B338" s="164">
        <v>60.023656013842697</v>
      </c>
      <c r="C338" s="163">
        <v>2</v>
      </c>
      <c r="D338" s="103">
        <v>2.1680000000000001E-2</v>
      </c>
      <c r="E338" s="103">
        <v>1.745E-3</v>
      </c>
      <c r="F338" s="103">
        <v>836</v>
      </c>
      <c r="G338" s="132"/>
      <c r="H338" s="132"/>
      <c r="I338" s="103" t="s">
        <v>12</v>
      </c>
      <c r="J338" s="132"/>
      <c r="K338" s="165">
        <v>5.5260585865562897</v>
      </c>
    </row>
    <row r="339" spans="1:11" ht="13.8">
      <c r="A339" s="103" t="s">
        <v>16</v>
      </c>
      <c r="B339" s="164">
        <v>69.840336524679699</v>
      </c>
      <c r="C339" s="163">
        <v>2</v>
      </c>
      <c r="D339" s="103">
        <v>2.1680000000000001E-2</v>
      </c>
      <c r="E339" s="103">
        <v>1.745E-3</v>
      </c>
      <c r="F339" s="103">
        <v>836</v>
      </c>
      <c r="G339" s="132"/>
      <c r="H339" s="132"/>
      <c r="I339" s="103" t="s">
        <v>12</v>
      </c>
      <c r="J339" s="132"/>
      <c r="K339" s="165">
        <v>5.6359934715110596</v>
      </c>
    </row>
    <row r="340" spans="1:11" ht="13.8">
      <c r="A340" s="103" t="s">
        <v>16</v>
      </c>
      <c r="B340" s="164">
        <v>80.130108076135201</v>
      </c>
      <c r="C340" s="163">
        <v>2</v>
      </c>
      <c r="D340" s="103">
        <v>2.1680000000000001E-2</v>
      </c>
      <c r="E340" s="103">
        <v>1.745E-3</v>
      </c>
      <c r="F340" s="103">
        <v>836</v>
      </c>
      <c r="G340" s="132"/>
      <c r="H340" s="132"/>
      <c r="I340" s="103" t="s">
        <v>12</v>
      </c>
      <c r="J340" s="132"/>
      <c r="K340" s="165">
        <v>5.5040715491763201</v>
      </c>
    </row>
    <row r="341" spans="1:11" ht="13.8">
      <c r="A341" s="103" t="s">
        <v>16</v>
      </c>
      <c r="B341" s="149">
        <v>90.0650589107738</v>
      </c>
      <c r="C341" s="163">
        <v>2</v>
      </c>
      <c r="D341" s="103">
        <v>2.1680000000000001E-2</v>
      </c>
      <c r="E341" s="103">
        <v>1.745E-3</v>
      </c>
      <c r="F341" s="103">
        <v>836</v>
      </c>
      <c r="G341" s="132"/>
      <c r="H341" s="132"/>
      <c r="I341" s="103" t="s">
        <v>12</v>
      </c>
      <c r="J341" s="132"/>
      <c r="K341" s="150">
        <v>6.1050488598733796</v>
      </c>
    </row>
    <row r="342" spans="1:11" ht="13.8">
      <c r="A342" s="103" t="s">
        <v>16</v>
      </c>
      <c r="B342" s="164">
        <v>10.112361193047001</v>
      </c>
      <c r="C342" s="166">
        <v>3.2</v>
      </c>
      <c r="D342" s="103">
        <v>2.1680000000000001E-2</v>
      </c>
      <c r="E342" s="103">
        <v>1.745E-3</v>
      </c>
      <c r="F342" s="103">
        <v>836</v>
      </c>
      <c r="G342" s="132"/>
      <c r="H342" s="132"/>
      <c r="I342" s="103" t="s">
        <v>12</v>
      </c>
      <c r="J342" s="132"/>
      <c r="K342" s="165">
        <v>5.5407165108279104</v>
      </c>
    </row>
    <row r="343" spans="1:11" ht="13.8">
      <c r="A343" s="103" t="s">
        <v>16</v>
      </c>
      <c r="B343" s="164">
        <v>20.1655823514871</v>
      </c>
      <c r="C343" s="166">
        <v>3.2</v>
      </c>
      <c r="D343" s="103">
        <v>2.1680000000000001E-2</v>
      </c>
      <c r="E343" s="103">
        <v>1.745E-3</v>
      </c>
      <c r="F343" s="103">
        <v>836</v>
      </c>
      <c r="G343" s="132"/>
      <c r="H343" s="132"/>
      <c r="I343" s="103" t="s">
        <v>12</v>
      </c>
      <c r="J343" s="132"/>
      <c r="K343" s="165">
        <v>5.9951139749186098</v>
      </c>
    </row>
    <row r="344" spans="1:11" ht="13.8">
      <c r="A344" s="103" t="s">
        <v>16</v>
      </c>
      <c r="B344" s="164">
        <v>29.982272607736299</v>
      </c>
      <c r="C344" s="166">
        <v>3.2</v>
      </c>
      <c r="D344" s="103">
        <v>2.1680000000000001E-2</v>
      </c>
      <c r="E344" s="103">
        <v>1.745E-3</v>
      </c>
      <c r="F344" s="103">
        <v>836</v>
      </c>
      <c r="G344" s="132"/>
      <c r="H344" s="132"/>
      <c r="I344" s="103" t="s">
        <v>12</v>
      </c>
      <c r="J344" s="132"/>
      <c r="K344" s="165">
        <v>6.3982085530860999</v>
      </c>
    </row>
    <row r="345" spans="1:11" ht="13.8">
      <c r="A345" s="103" t="s">
        <v>16</v>
      </c>
      <c r="B345" s="164">
        <v>40.153754344565698</v>
      </c>
      <c r="C345" s="166">
        <v>3.2</v>
      </c>
      <c r="D345" s="103">
        <v>2.1680000000000001E-2</v>
      </c>
      <c r="E345" s="103">
        <v>1.745E-3</v>
      </c>
      <c r="F345" s="103">
        <v>836</v>
      </c>
      <c r="G345" s="132"/>
      <c r="H345" s="132"/>
      <c r="I345" s="103" t="s">
        <v>12</v>
      </c>
      <c r="J345" s="132"/>
      <c r="K345" s="165">
        <v>6.5521172108557204</v>
      </c>
    </row>
    <row r="346" spans="1:11" ht="13.8">
      <c r="A346" s="103" t="s">
        <v>16</v>
      </c>
      <c r="B346" s="164">
        <v>50.088705179204197</v>
      </c>
      <c r="C346" s="166">
        <v>3.2</v>
      </c>
      <c r="D346" s="103">
        <v>2.1680000000000001E-2</v>
      </c>
      <c r="E346" s="103">
        <v>1.745E-3</v>
      </c>
      <c r="F346" s="103">
        <v>836</v>
      </c>
      <c r="G346" s="132"/>
      <c r="H346" s="132"/>
      <c r="I346" s="103" t="s">
        <v>12</v>
      </c>
      <c r="J346" s="132"/>
      <c r="K346" s="165">
        <v>6.6400650584305199</v>
      </c>
    </row>
    <row r="347" spans="1:11" ht="13.8">
      <c r="A347" s="103" t="s">
        <v>16</v>
      </c>
      <c r="B347" s="164">
        <v>59.964520851941998</v>
      </c>
      <c r="C347" s="166">
        <v>3.2</v>
      </c>
      <c r="D347" s="103">
        <v>2.1680000000000001E-2</v>
      </c>
      <c r="E347" s="103">
        <v>1.745E-3</v>
      </c>
      <c r="F347" s="103">
        <v>836</v>
      </c>
      <c r="G347" s="132"/>
      <c r="H347" s="132"/>
      <c r="I347" s="103" t="s">
        <v>12</v>
      </c>
      <c r="J347" s="132"/>
      <c r="K347" s="165">
        <v>6.6400650584305199</v>
      </c>
    </row>
    <row r="348" spans="1:11" ht="13.8">
      <c r="A348" s="103" t="s">
        <v>16</v>
      </c>
      <c r="B348" s="164">
        <v>70.017742010382094</v>
      </c>
      <c r="C348" s="166">
        <v>3.2</v>
      </c>
      <c r="D348" s="103">
        <v>2.1680000000000001E-2</v>
      </c>
      <c r="E348" s="103">
        <v>1.745E-3</v>
      </c>
      <c r="F348" s="103">
        <v>836</v>
      </c>
      <c r="G348" s="132"/>
      <c r="H348" s="132"/>
      <c r="I348" s="103" t="s">
        <v>12</v>
      </c>
      <c r="J348" s="132"/>
      <c r="K348" s="165">
        <v>6.9112377142632697</v>
      </c>
    </row>
    <row r="349" spans="1:11" ht="13.8">
      <c r="A349" s="103" t="s">
        <v>16</v>
      </c>
      <c r="B349" s="164">
        <v>80.189243238035999</v>
      </c>
      <c r="C349" s="166">
        <v>3.2</v>
      </c>
      <c r="D349" s="103">
        <v>2.1680000000000001E-2</v>
      </c>
      <c r="E349" s="103">
        <v>1.745E-3</v>
      </c>
      <c r="F349" s="103">
        <v>836</v>
      </c>
      <c r="G349" s="132"/>
      <c r="H349" s="132"/>
      <c r="I349" s="103" t="s">
        <v>12</v>
      </c>
      <c r="J349" s="132"/>
      <c r="K349" s="165">
        <v>6.6620520958104903</v>
      </c>
    </row>
    <row r="350" spans="1:11" ht="13.8">
      <c r="A350" s="103" t="s">
        <v>16</v>
      </c>
      <c r="B350" s="149">
        <v>89.887643679659107</v>
      </c>
      <c r="C350" s="166">
        <v>3.2</v>
      </c>
      <c r="D350" s="103">
        <v>2.1680000000000001E-2</v>
      </c>
      <c r="E350" s="103">
        <v>1.745E-3</v>
      </c>
      <c r="F350" s="103">
        <v>836</v>
      </c>
      <c r="G350" s="132"/>
      <c r="H350" s="132"/>
      <c r="I350" s="103" t="s">
        <v>12</v>
      </c>
      <c r="J350" s="132"/>
      <c r="K350" s="150">
        <v>6.9771988264031899</v>
      </c>
    </row>
    <row r="351" spans="1:11" ht="13.8">
      <c r="A351" s="103" t="s">
        <v>16</v>
      </c>
      <c r="B351" s="164">
        <v>10.112361193047001</v>
      </c>
      <c r="C351" s="104">
        <v>5</v>
      </c>
      <c r="D351" s="103">
        <v>2.1680000000000001E-2</v>
      </c>
      <c r="E351" s="103">
        <v>1.745E-3</v>
      </c>
      <c r="F351" s="103">
        <v>836</v>
      </c>
      <c r="G351" s="132"/>
      <c r="H351" s="132"/>
      <c r="I351" s="103" t="s">
        <v>12</v>
      </c>
      <c r="J351" s="132"/>
      <c r="K351" s="165">
        <v>6.5301304754208402</v>
      </c>
    </row>
    <row r="352" spans="1:11" ht="13.8">
      <c r="A352" s="103" t="s">
        <v>16</v>
      </c>
      <c r="B352" s="164">
        <v>20.1655823514871</v>
      </c>
      <c r="C352" s="104">
        <v>5</v>
      </c>
      <c r="D352" s="103">
        <v>2.1680000000000001E-2</v>
      </c>
      <c r="E352" s="103">
        <v>1.745E-3</v>
      </c>
      <c r="F352" s="103">
        <v>836</v>
      </c>
      <c r="G352" s="132"/>
      <c r="H352" s="132"/>
      <c r="I352" s="103" t="s">
        <v>12</v>
      </c>
      <c r="J352" s="132"/>
      <c r="K352" s="165">
        <v>6.74267083027694</v>
      </c>
    </row>
    <row r="353" spans="1:11" ht="13.8">
      <c r="A353" s="103" t="s">
        <v>16</v>
      </c>
      <c r="B353" s="164">
        <v>30.041398024224801</v>
      </c>
      <c r="C353" s="104">
        <v>5</v>
      </c>
      <c r="D353" s="103">
        <v>2.1680000000000001E-2</v>
      </c>
      <c r="E353" s="103">
        <v>1.745E-3</v>
      </c>
      <c r="F353" s="103">
        <v>836</v>
      </c>
      <c r="G353" s="132"/>
      <c r="H353" s="132"/>
      <c r="I353" s="103" t="s">
        <v>12</v>
      </c>
      <c r="J353" s="132"/>
      <c r="K353" s="165">
        <v>7.0065143730013304</v>
      </c>
    </row>
    <row r="354" spans="1:11" ht="13.8">
      <c r="A354" s="103" t="s">
        <v>16</v>
      </c>
      <c r="B354" s="164">
        <v>40.153754344565698</v>
      </c>
      <c r="C354" s="104">
        <v>5</v>
      </c>
      <c r="D354" s="103">
        <v>2.1680000000000001E-2</v>
      </c>
      <c r="E354" s="103">
        <v>1.745E-3</v>
      </c>
      <c r="F354" s="103">
        <v>836</v>
      </c>
      <c r="G354" s="132"/>
      <c r="H354" s="132"/>
      <c r="I354" s="103" t="s">
        <v>12</v>
      </c>
      <c r="J354" s="132"/>
      <c r="K354" s="165">
        <v>7.2483711802908397</v>
      </c>
    </row>
    <row r="355" spans="1:11" ht="13.8">
      <c r="A355" s="103" t="s">
        <v>16</v>
      </c>
      <c r="B355" s="164">
        <v>50.029579762715699</v>
      </c>
      <c r="C355" s="104">
        <v>5</v>
      </c>
      <c r="D355" s="103">
        <v>2.1680000000000001E-2</v>
      </c>
      <c r="E355" s="103">
        <v>1.745E-3</v>
      </c>
      <c r="F355" s="103">
        <v>836</v>
      </c>
      <c r="G355" s="132"/>
      <c r="H355" s="132"/>
      <c r="I355" s="103" t="s">
        <v>12</v>
      </c>
      <c r="J355" s="132"/>
      <c r="K355" s="165">
        <v>7.4242668754404404</v>
      </c>
    </row>
    <row r="356" spans="1:11" ht="13.8">
      <c r="A356" s="103" t="s">
        <v>16</v>
      </c>
      <c r="B356" s="164">
        <v>59.964520851941998</v>
      </c>
      <c r="C356" s="104">
        <v>5</v>
      </c>
      <c r="D356" s="103">
        <v>2.1680000000000001E-2</v>
      </c>
      <c r="E356" s="103">
        <v>1.745E-3</v>
      </c>
      <c r="F356" s="103">
        <v>836</v>
      </c>
      <c r="G356" s="132"/>
      <c r="H356" s="132"/>
      <c r="I356" s="103" t="s">
        <v>12</v>
      </c>
      <c r="J356" s="132"/>
      <c r="K356" s="165">
        <v>7.4462539128204099</v>
      </c>
    </row>
    <row r="357" spans="1:11" ht="13.8">
      <c r="A357" s="103" t="s">
        <v>16</v>
      </c>
      <c r="B357" s="164">
        <v>70.136022079595904</v>
      </c>
      <c r="C357" s="104">
        <v>5</v>
      </c>
      <c r="D357" s="103">
        <v>2.1680000000000001E-2</v>
      </c>
      <c r="E357" s="103">
        <v>1.745E-3</v>
      </c>
      <c r="F357" s="103">
        <v>836</v>
      </c>
      <c r="G357" s="132"/>
      <c r="H357" s="132"/>
      <c r="I357" s="103" t="s">
        <v>12</v>
      </c>
      <c r="J357" s="132"/>
      <c r="K357" s="165">
        <v>7.7614007943856498</v>
      </c>
    </row>
    <row r="358" spans="1:11" ht="13.8">
      <c r="A358" s="103" t="s">
        <v>16</v>
      </c>
      <c r="B358" s="164">
        <v>80.189243238035999</v>
      </c>
      <c r="C358" s="104">
        <v>5</v>
      </c>
      <c r="D358" s="103">
        <v>2.1680000000000001E-2</v>
      </c>
      <c r="E358" s="103">
        <v>1.745E-3</v>
      </c>
      <c r="F358" s="103">
        <v>836</v>
      </c>
      <c r="G358" s="132"/>
      <c r="H358" s="132"/>
      <c r="I358" s="103" t="s">
        <v>12</v>
      </c>
      <c r="J358" s="132"/>
      <c r="K358" s="165">
        <v>7.8273616045804797</v>
      </c>
    </row>
    <row r="359" spans="1:11" ht="13.8">
      <c r="A359" s="103" t="s">
        <v>16</v>
      </c>
      <c r="B359" s="149">
        <v>90.005923748873002</v>
      </c>
      <c r="C359" s="104">
        <v>5</v>
      </c>
      <c r="D359" s="103">
        <v>2.1680000000000001E-2</v>
      </c>
      <c r="E359" s="103">
        <v>1.745E-3</v>
      </c>
      <c r="F359" s="103">
        <v>836</v>
      </c>
      <c r="G359" s="132"/>
      <c r="H359" s="132"/>
      <c r="I359" s="103" t="s">
        <v>12</v>
      </c>
      <c r="J359" s="132"/>
      <c r="K359" s="150">
        <v>7.7687297565214601</v>
      </c>
    </row>
    <row r="360" spans="1:11" ht="13.8">
      <c r="A360" s="103" t="s">
        <v>16</v>
      </c>
      <c r="B360" s="164">
        <v>10.079121112569201</v>
      </c>
      <c r="C360" s="104">
        <v>3.2</v>
      </c>
      <c r="D360" s="103">
        <v>5.3620000000000001E-2</v>
      </c>
      <c r="E360" s="103">
        <v>8.7000000000000001E-4</v>
      </c>
      <c r="F360" s="103">
        <v>1056</v>
      </c>
      <c r="G360" s="132"/>
      <c r="H360" s="132"/>
      <c r="I360" s="103" t="s">
        <v>12</v>
      </c>
      <c r="J360" s="132"/>
      <c r="K360" s="165">
        <v>6.7254409011943297</v>
      </c>
    </row>
    <row r="361" spans="1:11" ht="13.8">
      <c r="A361" s="103" t="s">
        <v>16</v>
      </c>
      <c r="B361" s="164">
        <v>20.2069364612335</v>
      </c>
      <c r="C361" s="104">
        <v>3.2</v>
      </c>
      <c r="D361" s="103">
        <v>5.3620000000000001E-2</v>
      </c>
      <c r="E361" s="103">
        <v>8.7000000000000001E-4</v>
      </c>
      <c r="F361" s="103">
        <v>1056</v>
      </c>
      <c r="G361" s="132"/>
      <c r="H361" s="132"/>
      <c r="I361" s="103" t="s">
        <v>12</v>
      </c>
      <c r="J361" s="132"/>
      <c r="K361" s="165">
        <v>6.8916877311450504</v>
      </c>
    </row>
    <row r="362" spans="1:11" ht="13.8">
      <c r="A362" s="103" t="s">
        <v>16</v>
      </c>
      <c r="B362" s="164">
        <v>30.042610465619799</v>
      </c>
      <c r="C362" s="104">
        <v>3.2</v>
      </c>
      <c r="D362" s="103">
        <v>5.3620000000000001E-2</v>
      </c>
      <c r="E362" s="103">
        <v>8.7000000000000001E-4</v>
      </c>
      <c r="F362" s="103">
        <v>1056</v>
      </c>
      <c r="G362" s="132"/>
      <c r="H362" s="132"/>
      <c r="I362" s="103" t="s">
        <v>12</v>
      </c>
      <c r="J362" s="132"/>
      <c r="K362" s="165">
        <v>7.0654913625448401</v>
      </c>
    </row>
    <row r="363" spans="1:11" ht="13.8">
      <c r="A363" s="103" t="s">
        <v>16</v>
      </c>
      <c r="B363" s="164">
        <v>40.073037342093897</v>
      </c>
      <c r="C363" s="104">
        <v>3.2</v>
      </c>
      <c r="D363" s="103">
        <v>5.3620000000000001E-2</v>
      </c>
      <c r="E363" s="103">
        <v>8.7000000000000001E-4</v>
      </c>
      <c r="F363" s="103">
        <v>1056</v>
      </c>
      <c r="G363" s="132"/>
      <c r="H363" s="132"/>
      <c r="I363" s="103" t="s">
        <v>12</v>
      </c>
      <c r="J363" s="132"/>
      <c r="K363" s="165">
        <v>7.25440828551735</v>
      </c>
    </row>
    <row r="364" spans="1:11" ht="13.8">
      <c r="A364" s="103" t="s">
        <v>16</v>
      </c>
      <c r="B364" s="164">
        <v>50.200852690758197</v>
      </c>
      <c r="C364" s="104">
        <v>3.2</v>
      </c>
      <c r="D364" s="103">
        <v>5.3620000000000001E-2</v>
      </c>
      <c r="E364" s="103">
        <v>8.7000000000000001E-4</v>
      </c>
      <c r="F364" s="103">
        <v>1056</v>
      </c>
      <c r="G364" s="132"/>
      <c r="H364" s="132"/>
      <c r="I364" s="103" t="s">
        <v>12</v>
      </c>
      <c r="J364" s="132"/>
      <c r="K364" s="165">
        <v>7.4055415125699602</v>
      </c>
    </row>
    <row r="365" spans="1:11" ht="13.8">
      <c r="A365" s="103" t="s">
        <v>16</v>
      </c>
      <c r="B365" s="164">
        <v>60.182589343185903</v>
      </c>
      <c r="C365" s="104">
        <v>3.2</v>
      </c>
      <c r="D365" s="103">
        <v>5.3620000000000001E-2</v>
      </c>
      <c r="E365" s="103">
        <v>8.7000000000000001E-4</v>
      </c>
      <c r="F365" s="103">
        <v>1056</v>
      </c>
      <c r="G365" s="132"/>
      <c r="H365" s="132"/>
      <c r="I365" s="103" t="s">
        <v>12</v>
      </c>
      <c r="J365" s="132"/>
      <c r="K365" s="165">
        <v>7.5340049579261796</v>
      </c>
    </row>
    <row r="366" spans="1:11" ht="13.8">
      <c r="A366" s="103" t="s">
        <v>16</v>
      </c>
      <c r="B366" s="149">
        <v>69.920874875381998</v>
      </c>
      <c r="C366" s="104">
        <v>3.2</v>
      </c>
      <c r="D366" s="103">
        <v>5.3620000000000001E-2</v>
      </c>
      <c r="E366" s="103">
        <v>8.7000000000000001E-4</v>
      </c>
      <c r="F366" s="103">
        <v>1056</v>
      </c>
      <c r="G366" s="132"/>
      <c r="H366" s="132"/>
      <c r="I366" s="103" t="s">
        <v>12</v>
      </c>
      <c r="J366" s="132"/>
      <c r="K366" s="150">
        <v>7.5717884981833903</v>
      </c>
    </row>
    <row r="367" spans="1:11" ht="13.8">
      <c r="A367" s="103" t="s">
        <v>16</v>
      </c>
      <c r="B367" s="164">
        <v>10.079121112569201</v>
      </c>
      <c r="C367" s="104">
        <v>3.2</v>
      </c>
      <c r="D367" s="161">
        <v>4.7399999999999998E-2</v>
      </c>
      <c r="E367" s="161">
        <v>9.5E-4</v>
      </c>
      <c r="F367" s="103">
        <v>1128</v>
      </c>
      <c r="G367" s="132"/>
      <c r="H367" s="132"/>
      <c r="I367" s="103" t="s">
        <v>12</v>
      </c>
      <c r="J367" s="132"/>
      <c r="K367" s="165">
        <v>6.6120907474108197</v>
      </c>
    </row>
    <row r="368" spans="1:11" ht="13.8">
      <c r="A368" s="103" t="s">
        <v>16</v>
      </c>
      <c r="B368" s="164">
        <v>20.0608657890945</v>
      </c>
      <c r="C368" s="104">
        <v>3.2</v>
      </c>
      <c r="D368" s="161">
        <v>4.7399999999999998E-2</v>
      </c>
      <c r="E368" s="161">
        <v>9.5E-4</v>
      </c>
      <c r="F368" s="103">
        <v>1128</v>
      </c>
      <c r="G368" s="132"/>
      <c r="H368" s="132"/>
      <c r="I368" s="103" t="s">
        <v>12</v>
      </c>
      <c r="J368" s="132"/>
      <c r="K368" s="165">
        <v>6.5743073628163202</v>
      </c>
    </row>
    <row r="369" spans="1:13" ht="13.8">
      <c r="A369" s="103" t="s">
        <v>16</v>
      </c>
      <c r="B369" s="164">
        <v>30.091292665568599</v>
      </c>
      <c r="C369" s="104">
        <v>3.2</v>
      </c>
      <c r="D369" s="161">
        <v>4.7399999999999998E-2</v>
      </c>
      <c r="E369" s="161">
        <v>9.5E-4</v>
      </c>
      <c r="F369" s="103">
        <v>1128</v>
      </c>
      <c r="G369" s="132"/>
      <c r="H369" s="132"/>
      <c r="I369" s="103" t="s">
        <v>12</v>
      </c>
      <c r="J369" s="132"/>
      <c r="K369" s="165">
        <v>6.7481109942161099</v>
      </c>
    </row>
    <row r="370" spans="1:13" ht="13.8">
      <c r="A370" s="103" t="s">
        <v>16</v>
      </c>
      <c r="B370" s="164">
        <v>40.073037342093897</v>
      </c>
      <c r="C370" s="104">
        <v>3.2</v>
      </c>
      <c r="D370" s="161">
        <v>4.7399999999999998E-2</v>
      </c>
      <c r="E370" s="161">
        <v>9.5E-4</v>
      </c>
      <c r="F370" s="103">
        <v>1128</v>
      </c>
      <c r="G370" s="132"/>
      <c r="H370" s="132"/>
      <c r="I370" s="103" t="s">
        <v>12</v>
      </c>
      <c r="J370" s="132"/>
      <c r="K370" s="165">
        <v>6.8614611479996102</v>
      </c>
    </row>
    <row r="371" spans="1:13" ht="13.8">
      <c r="A371" s="103" t="s">
        <v>16</v>
      </c>
      <c r="B371" s="164">
        <v>50.152154442614297</v>
      </c>
      <c r="C371" s="104">
        <v>3.2</v>
      </c>
      <c r="D371" s="161">
        <v>4.7399999999999998E-2</v>
      </c>
      <c r="E371" s="161">
        <v>9.5E-4</v>
      </c>
      <c r="F371" s="103">
        <v>1128</v>
      </c>
      <c r="G371" s="132"/>
      <c r="H371" s="132"/>
      <c r="I371" s="103" t="s">
        <v>12</v>
      </c>
      <c r="J371" s="132"/>
      <c r="K371" s="165">
        <v>7.25440828551735</v>
      </c>
    </row>
    <row r="372" spans="1:13" ht="13.8">
      <c r="A372" s="103" t="s">
        <v>16</v>
      </c>
      <c r="B372" s="164">
        <v>60.085208895093302</v>
      </c>
      <c r="C372" s="104">
        <v>3.2</v>
      </c>
      <c r="D372" s="161">
        <v>4.7399999999999998E-2</v>
      </c>
      <c r="E372" s="161">
        <v>9.5E-4</v>
      </c>
      <c r="F372" s="103">
        <v>1128</v>
      </c>
      <c r="G372" s="132"/>
      <c r="H372" s="132"/>
      <c r="I372" s="103" t="s">
        <v>12</v>
      </c>
      <c r="J372" s="132"/>
      <c r="K372" s="165">
        <v>7.4130983140190203</v>
      </c>
    </row>
    <row r="373" spans="1:13" ht="13.8">
      <c r="A373" s="103" t="s">
        <v>16</v>
      </c>
      <c r="B373" s="164">
        <v>70.066945547521001</v>
      </c>
      <c r="C373" s="104">
        <v>3.2</v>
      </c>
      <c r="D373" s="161">
        <v>4.7399999999999998E-2</v>
      </c>
      <c r="E373" s="161">
        <v>9.5E-4</v>
      </c>
      <c r="F373" s="103">
        <v>1128</v>
      </c>
      <c r="G373" s="132"/>
      <c r="H373" s="132"/>
      <c r="I373" s="103" t="s">
        <v>12</v>
      </c>
      <c r="J373" s="132"/>
      <c r="K373" s="165">
        <v>7.6700250490687703</v>
      </c>
      <c r="L373" s="92"/>
      <c r="M373" s="92"/>
    </row>
    <row r="374" spans="1:13" ht="13.2">
      <c r="A374" s="167" t="s">
        <v>17</v>
      </c>
      <c r="B374" s="84">
        <v>229.60722480000001</v>
      </c>
      <c r="C374" s="84">
        <v>6.5</v>
      </c>
      <c r="D374" s="84">
        <v>7.1999999999999995E-2</v>
      </c>
      <c r="F374" s="84">
        <v>1000</v>
      </c>
      <c r="I374" s="84" t="s">
        <v>12</v>
      </c>
      <c r="K374" s="84">
        <v>6.3806272499999999</v>
      </c>
      <c r="L374" s="92"/>
      <c r="M374" s="92"/>
    </row>
    <row r="375" spans="1:13" ht="13.2">
      <c r="A375" s="167" t="s">
        <v>17</v>
      </c>
      <c r="B375" s="92">
        <v>291.59364642000003</v>
      </c>
      <c r="C375" s="84">
        <v>6.5</v>
      </c>
      <c r="D375" s="84">
        <v>7.1999999999999995E-2</v>
      </c>
      <c r="F375" s="84">
        <v>1000</v>
      </c>
      <c r="I375" s="84" t="s">
        <v>12</v>
      </c>
      <c r="K375" s="84">
        <v>6.8601774100000004</v>
      </c>
      <c r="L375" s="92"/>
      <c r="M375" s="92"/>
    </row>
    <row r="376" spans="1:13" ht="13.2">
      <c r="A376" s="167" t="s">
        <v>17</v>
      </c>
      <c r="B376" s="92">
        <v>409.71574362000001</v>
      </c>
      <c r="C376" s="84">
        <v>6.5</v>
      </c>
      <c r="D376" s="84">
        <v>7.1999999999999995E-2</v>
      </c>
      <c r="F376" s="84">
        <v>1000</v>
      </c>
      <c r="I376" s="84" t="s">
        <v>12</v>
      </c>
      <c r="K376" s="84">
        <v>7.61262711</v>
      </c>
      <c r="L376" s="92"/>
      <c r="M376" s="92"/>
    </row>
    <row r="377" spans="1:13" ht="13.2">
      <c r="A377" s="167" t="s">
        <v>17</v>
      </c>
      <c r="B377" s="92">
        <v>457.49549652000002</v>
      </c>
      <c r="C377" s="84">
        <v>6.5</v>
      </c>
      <c r="D377" s="84">
        <v>7.1999999999999995E-2</v>
      </c>
      <c r="F377" s="84">
        <v>1000</v>
      </c>
      <c r="I377" s="84" t="s">
        <v>12</v>
      </c>
      <c r="K377" s="84">
        <v>7.9423506799999997</v>
      </c>
      <c r="L377" s="92"/>
      <c r="M377" s="92"/>
    </row>
    <row r="378" spans="1:13" ht="13.2">
      <c r="A378" s="167" t="s">
        <v>17</v>
      </c>
      <c r="B378" s="92">
        <v>496.95253511999999</v>
      </c>
      <c r="C378" s="84">
        <v>6.5</v>
      </c>
      <c r="D378" s="84">
        <v>7.1999999999999995E-2</v>
      </c>
      <c r="F378" s="84">
        <v>1000</v>
      </c>
      <c r="I378" s="84" t="s">
        <v>12</v>
      </c>
      <c r="K378" s="84">
        <v>8.1784647199999991</v>
      </c>
      <c r="L378" s="92"/>
      <c r="M378" s="92"/>
    </row>
    <row r="379" spans="1:13" ht="13.2">
      <c r="A379" s="167" t="s">
        <v>17</v>
      </c>
      <c r="B379" s="92">
        <v>453.30958806000001</v>
      </c>
      <c r="C379" s="84">
        <v>6.5</v>
      </c>
      <c r="D379" s="84">
        <v>7.1999999999999995E-2</v>
      </c>
      <c r="F379" s="84">
        <v>1000</v>
      </c>
      <c r="I379" s="84" t="s">
        <v>12</v>
      </c>
      <c r="K379" s="84">
        <v>7.7547886200000002</v>
      </c>
      <c r="L379" s="92"/>
      <c r="M379" s="92"/>
    </row>
    <row r="380" spans="1:13" ht="13.2">
      <c r="A380" s="167" t="s">
        <v>17</v>
      </c>
      <c r="B380" s="92">
        <v>767.25133979999998</v>
      </c>
      <c r="C380" s="84">
        <v>6.5</v>
      </c>
      <c r="D380" s="84">
        <v>7.1999999999999995E-2</v>
      </c>
      <c r="F380" s="84">
        <v>1000</v>
      </c>
      <c r="I380" s="84" t="s">
        <v>12</v>
      </c>
      <c r="K380" s="84">
        <v>9.1881465700000007</v>
      </c>
      <c r="L380" s="92"/>
      <c r="M380" s="92"/>
    </row>
    <row r="381" spans="1:13" ht="13.2">
      <c r="A381" s="167" t="s">
        <v>17</v>
      </c>
      <c r="B381" s="92">
        <v>888.81217079999999</v>
      </c>
      <c r="C381" s="84">
        <v>6.5</v>
      </c>
      <c r="D381" s="84">
        <v>7.1999999999999995E-2</v>
      </c>
      <c r="F381" s="84">
        <v>1000</v>
      </c>
      <c r="I381" s="84" t="s">
        <v>12</v>
      </c>
      <c r="K381" s="84">
        <v>9.6602969600000002</v>
      </c>
      <c r="L381" s="92"/>
      <c r="M381" s="92"/>
    </row>
    <row r="382" spans="1:13" ht="13.2">
      <c r="A382" s="167" t="s">
        <v>17</v>
      </c>
      <c r="B382" s="92">
        <v>1131.358686</v>
      </c>
      <c r="C382" s="84">
        <v>6.5</v>
      </c>
      <c r="D382" s="84">
        <v>7.1999999999999995E-2</v>
      </c>
      <c r="E382" s="105"/>
      <c r="F382" s="84">
        <v>1000</v>
      </c>
      <c r="G382" s="103"/>
      <c r="H382" s="105"/>
      <c r="I382" s="84" t="s">
        <v>12</v>
      </c>
      <c r="J382" s="103"/>
      <c r="K382" s="168">
        <v>10.235313</v>
      </c>
      <c r="L382" s="92"/>
      <c r="M382" s="92"/>
    </row>
    <row r="383" spans="1:13" ht="13.2">
      <c r="A383" s="167" t="s">
        <v>17</v>
      </c>
      <c r="B383" s="92">
        <v>170.31193356</v>
      </c>
      <c r="C383" s="169">
        <v>5.0999999999999996</v>
      </c>
      <c r="D383" s="84">
        <v>7.1999999999999995E-2</v>
      </c>
      <c r="E383" s="105"/>
      <c r="F383" s="84">
        <v>1000</v>
      </c>
      <c r="G383" s="103"/>
      <c r="H383" s="105"/>
      <c r="I383" s="84" t="s">
        <v>12</v>
      </c>
      <c r="J383" s="103"/>
      <c r="K383" s="170">
        <v>6.2491872500000003</v>
      </c>
      <c r="L383" s="92"/>
      <c r="M383" s="92"/>
    </row>
    <row r="384" spans="1:13" ht="13.2">
      <c r="A384" s="167" t="s">
        <v>17</v>
      </c>
      <c r="B384" s="92">
        <v>206.57487666</v>
      </c>
      <c r="C384" s="169">
        <v>5.0999999999999996</v>
      </c>
      <c r="D384" s="84">
        <v>7.1999999999999995E-2</v>
      </c>
      <c r="E384" s="105"/>
      <c r="F384" s="84">
        <v>1000</v>
      </c>
      <c r="G384" s="103"/>
      <c r="H384" s="105"/>
      <c r="I384" s="84" t="s">
        <v>12</v>
      </c>
      <c r="J384" s="103"/>
      <c r="K384" s="170">
        <v>6.4897668900000003</v>
      </c>
      <c r="L384" s="92"/>
      <c r="M384" s="92"/>
    </row>
    <row r="385" spans="1:13" ht="13.2">
      <c r="A385" s="167" t="s">
        <v>17</v>
      </c>
      <c r="B385" s="92">
        <v>177.91279602</v>
      </c>
      <c r="C385" s="169">
        <v>5.0999999999999996</v>
      </c>
      <c r="D385" s="84">
        <v>7.1999999999999995E-2</v>
      </c>
      <c r="E385" s="105"/>
      <c r="F385" s="84">
        <v>1000</v>
      </c>
      <c r="G385" s="103"/>
      <c r="H385" s="105"/>
      <c r="I385" s="84" t="s">
        <v>12</v>
      </c>
      <c r="J385" s="103"/>
      <c r="K385" s="170">
        <v>6.1016099800000001</v>
      </c>
      <c r="L385" s="92"/>
      <c r="M385" s="92"/>
    </row>
    <row r="386" spans="1:13" ht="13.2">
      <c r="A386" s="167" t="s">
        <v>17</v>
      </c>
      <c r="B386" s="92">
        <v>228.02980224000001</v>
      </c>
      <c r="C386" s="169">
        <v>5.0999999999999996</v>
      </c>
      <c r="D386" s="84">
        <v>7.1999999999999995E-2</v>
      </c>
      <c r="E386" s="105"/>
      <c r="F386" s="84">
        <v>1000</v>
      </c>
      <c r="G386" s="103"/>
      <c r="H386" s="105"/>
      <c r="I386" s="84" t="s">
        <v>12</v>
      </c>
      <c r="J386" s="103"/>
      <c r="K386" s="170">
        <v>6.5804512099999997</v>
      </c>
      <c r="L386" s="92"/>
      <c r="M386" s="92"/>
    </row>
    <row r="387" spans="1:13" ht="13.2">
      <c r="A387" s="167" t="s">
        <v>17</v>
      </c>
      <c r="B387" s="92">
        <v>272.16859518000001</v>
      </c>
      <c r="C387" s="169">
        <v>5.0999999999999996</v>
      </c>
      <c r="D387" s="84">
        <v>7.1999999999999995E-2</v>
      </c>
      <c r="E387" s="105"/>
      <c r="F387" s="84">
        <v>1000</v>
      </c>
      <c r="G387" s="103"/>
      <c r="H387" s="105"/>
      <c r="I387" s="84" t="s">
        <v>12</v>
      </c>
      <c r="J387" s="103"/>
      <c r="K387" s="170">
        <v>6.9990707399999996</v>
      </c>
      <c r="L387" s="92"/>
      <c r="M387" s="92"/>
    </row>
    <row r="388" spans="1:13" ht="13.2">
      <c r="A388" s="167" t="s">
        <v>17</v>
      </c>
      <c r="B388" s="92">
        <v>316.01533974</v>
      </c>
      <c r="C388" s="169">
        <v>5.0999999999999996</v>
      </c>
      <c r="D388" s="84">
        <v>7.1999999999999995E-2</v>
      </c>
      <c r="E388" s="105"/>
      <c r="F388" s="84">
        <v>1000</v>
      </c>
      <c r="G388" s="103"/>
      <c r="H388" s="105"/>
      <c r="I388" s="84" t="s">
        <v>12</v>
      </c>
      <c r="J388" s="103"/>
      <c r="K388" s="170">
        <v>7.1738828000000003</v>
      </c>
      <c r="L388" s="92"/>
      <c r="M388" s="92"/>
    </row>
    <row r="389" spans="1:13" ht="13.2">
      <c r="A389" s="167" t="s">
        <v>17</v>
      </c>
      <c r="B389" s="92">
        <v>347.23725450000001</v>
      </c>
      <c r="C389" s="169">
        <v>5.0999999999999996</v>
      </c>
      <c r="D389" s="84">
        <v>7.1999999999999995E-2</v>
      </c>
      <c r="E389" s="105"/>
      <c r="F389" s="84">
        <v>1000</v>
      </c>
      <c r="G389" s="103"/>
      <c r="H389" s="105"/>
      <c r="I389" s="84" t="s">
        <v>12</v>
      </c>
      <c r="J389" s="103"/>
      <c r="K389" s="170">
        <v>7.2182635900000003</v>
      </c>
      <c r="L389" s="92"/>
      <c r="M389" s="92"/>
    </row>
    <row r="390" spans="1:13" ht="13.2">
      <c r="A390" s="167" t="s">
        <v>17</v>
      </c>
      <c r="B390" s="92">
        <v>385.06721676000001</v>
      </c>
      <c r="C390" s="169">
        <v>5.0999999999999996</v>
      </c>
      <c r="D390" s="84">
        <v>7.1999999999999995E-2</v>
      </c>
      <c r="E390" s="105"/>
      <c r="F390" s="84">
        <v>1000</v>
      </c>
      <c r="G390" s="103"/>
      <c r="H390" s="105"/>
      <c r="I390" s="84" t="s">
        <v>12</v>
      </c>
      <c r="J390" s="103"/>
      <c r="K390" s="170">
        <v>7.3700863099999996</v>
      </c>
      <c r="L390" s="92"/>
      <c r="M390" s="92"/>
    </row>
    <row r="391" spans="1:13" ht="13.2">
      <c r="A391" s="167" t="s">
        <v>17</v>
      </c>
      <c r="B391" s="92">
        <v>501.54163704000001</v>
      </c>
      <c r="C391" s="169">
        <v>5.0999999999999996</v>
      </c>
      <c r="D391" s="84">
        <v>7.1999999999999995E-2</v>
      </c>
      <c r="E391" s="105"/>
      <c r="F391" s="84">
        <v>1000</v>
      </c>
      <c r="G391" s="103"/>
      <c r="H391" s="105"/>
      <c r="I391" s="84" t="s">
        <v>12</v>
      </c>
      <c r="J391" s="103"/>
      <c r="K391" s="170">
        <v>8.0038169400000001</v>
      </c>
      <c r="L391" s="92"/>
      <c r="M391" s="92"/>
    </row>
    <row r="392" spans="1:13" ht="13.2">
      <c r="A392" s="167" t="s">
        <v>17</v>
      </c>
      <c r="B392" s="92">
        <v>546.05102202</v>
      </c>
      <c r="C392" s="169">
        <v>5.0999999999999996</v>
      </c>
      <c r="D392" s="84">
        <v>7.1999999999999995E-2</v>
      </c>
      <c r="E392" s="105"/>
      <c r="F392" s="84">
        <v>1000</v>
      </c>
      <c r="G392" s="103"/>
      <c r="H392" s="105"/>
      <c r="I392" s="84" t="s">
        <v>12</v>
      </c>
      <c r="J392" s="103"/>
      <c r="K392" s="170">
        <v>8.2227189000000003</v>
      </c>
      <c r="L392" s="92"/>
      <c r="M392" s="92"/>
    </row>
    <row r="393" spans="1:13" ht="13.2">
      <c r="A393" s="167" t="s">
        <v>17</v>
      </c>
      <c r="B393" s="88">
        <v>1039.1404458</v>
      </c>
      <c r="C393" s="169">
        <v>5.0999999999999996</v>
      </c>
      <c r="D393" s="84">
        <v>7.1999999999999995E-2</v>
      </c>
      <c r="E393" s="105"/>
      <c r="F393" s="84">
        <v>1000</v>
      </c>
      <c r="G393" s="103"/>
      <c r="H393" s="105"/>
      <c r="I393" s="84" t="s">
        <v>12</v>
      </c>
      <c r="J393" s="103"/>
      <c r="K393" s="170">
        <v>9.8179644400000008</v>
      </c>
      <c r="L393" s="92"/>
      <c r="M393" s="92"/>
    </row>
    <row r="394" spans="1:13" ht="13.2">
      <c r="A394" s="167" t="s">
        <v>17</v>
      </c>
      <c r="B394" s="92">
        <v>131.66446266</v>
      </c>
      <c r="C394" s="105">
        <v>5.0999999999999996</v>
      </c>
      <c r="D394" s="105">
        <v>5.2299999999999999E-2</v>
      </c>
      <c r="E394" s="105"/>
      <c r="F394" s="103"/>
      <c r="G394" s="103"/>
      <c r="H394" s="105"/>
      <c r="I394" s="84" t="s">
        <v>12</v>
      </c>
      <c r="J394" s="103"/>
      <c r="K394" s="170">
        <v>5.8302974499999998</v>
      </c>
      <c r="L394" s="92"/>
      <c r="M394" s="92"/>
    </row>
    <row r="395" spans="1:13" ht="13.2">
      <c r="A395" s="167" t="s">
        <v>17</v>
      </c>
      <c r="B395" s="92">
        <v>165.29930064000001</v>
      </c>
      <c r="C395" s="105">
        <v>5.0999999999999996</v>
      </c>
      <c r="D395" s="105">
        <v>5.2299999999999999E-2</v>
      </c>
      <c r="E395" s="105"/>
      <c r="F395" s="103"/>
      <c r="G395" s="103"/>
      <c r="H395" s="105"/>
      <c r="I395" s="84" t="s">
        <v>12</v>
      </c>
      <c r="J395" s="103"/>
      <c r="K395" s="170">
        <v>6.08751496</v>
      </c>
      <c r="L395" s="92"/>
      <c r="M395" s="92"/>
    </row>
    <row r="396" spans="1:13" ht="13.2">
      <c r="A396" s="167" t="s">
        <v>17</v>
      </c>
      <c r="B396" s="92">
        <v>242.62621157999999</v>
      </c>
      <c r="C396" s="105">
        <v>5.0999999999999996</v>
      </c>
      <c r="D396" s="105">
        <v>5.2299999999999999E-2</v>
      </c>
      <c r="E396" s="105"/>
      <c r="F396" s="103"/>
      <c r="G396" s="103"/>
      <c r="H396" s="105"/>
      <c r="I396" s="84" t="s">
        <v>12</v>
      </c>
      <c r="J396" s="103"/>
      <c r="K396" s="170">
        <v>6.6672608899999997</v>
      </c>
      <c r="L396" s="92"/>
      <c r="M396" s="92"/>
    </row>
    <row r="397" spans="1:13" ht="13.2">
      <c r="A397" s="167" t="s">
        <v>17</v>
      </c>
      <c r="B397" s="92">
        <v>354.49351469999999</v>
      </c>
      <c r="C397" s="105">
        <v>5.0999999999999996</v>
      </c>
      <c r="D397" s="105">
        <v>5.2299999999999999E-2</v>
      </c>
      <c r="E397" s="105"/>
      <c r="F397" s="103"/>
      <c r="G397" s="103"/>
      <c r="H397" s="105"/>
      <c r="I397" s="84" t="s">
        <v>12</v>
      </c>
      <c r="J397" s="103"/>
      <c r="K397" s="170">
        <v>7.3191265799999998</v>
      </c>
      <c r="L397" s="92"/>
      <c r="M397" s="92"/>
    </row>
    <row r="398" spans="1:13" ht="13.2">
      <c r="A398" s="167" t="s">
        <v>17</v>
      </c>
      <c r="B398" s="92">
        <v>565.20142338000005</v>
      </c>
      <c r="C398" s="105">
        <v>5.0999999999999996</v>
      </c>
      <c r="D398" s="105">
        <v>5.2299999999999999E-2</v>
      </c>
      <c r="E398" s="105"/>
      <c r="F398" s="103"/>
      <c r="G398" s="103"/>
      <c r="H398" s="105"/>
      <c r="I398" s="84" t="s">
        <v>12</v>
      </c>
      <c r="J398" s="103"/>
      <c r="K398" s="170">
        <v>8.6385968299999991</v>
      </c>
      <c r="L398" s="92"/>
      <c r="M398" s="92"/>
    </row>
    <row r="399" spans="1:13" ht="13.2">
      <c r="A399" s="167" t="s">
        <v>17</v>
      </c>
      <c r="B399" s="92">
        <v>656.25616979999995</v>
      </c>
      <c r="C399" s="105">
        <v>5.0999999999999996</v>
      </c>
      <c r="D399" s="105">
        <v>5.2299999999999999E-2</v>
      </c>
      <c r="E399" s="105"/>
      <c r="F399" s="103"/>
      <c r="G399" s="103"/>
      <c r="H399" s="105"/>
      <c r="I399" s="84" t="s">
        <v>12</v>
      </c>
      <c r="J399" s="103"/>
      <c r="K399" s="170">
        <v>8.8748598199999993</v>
      </c>
      <c r="L399" s="92"/>
      <c r="M399" s="92"/>
    </row>
    <row r="400" spans="1:13" ht="13.2">
      <c r="A400" s="167" t="s">
        <v>17</v>
      </c>
      <c r="B400" s="92">
        <v>767.25133979999998</v>
      </c>
      <c r="C400" s="105">
        <v>5.0999999999999996</v>
      </c>
      <c r="D400" s="105">
        <v>5.2299999999999999E-2</v>
      </c>
      <c r="E400" s="105"/>
      <c r="F400" s="103"/>
      <c r="G400" s="103"/>
      <c r="H400" s="105"/>
      <c r="I400" s="84" t="s">
        <v>12</v>
      </c>
      <c r="J400" s="103"/>
      <c r="K400" s="170">
        <v>9.2950136899999993</v>
      </c>
      <c r="L400" s="92"/>
      <c r="M400" s="92"/>
    </row>
    <row r="401" spans="1:13" ht="13.2">
      <c r="A401" s="167" t="s">
        <v>17</v>
      </c>
      <c r="B401" s="92">
        <v>1053.5673191999999</v>
      </c>
      <c r="C401" s="105">
        <v>5.0999999999999996</v>
      </c>
      <c r="D401" s="105">
        <v>5.2299999999999999E-2</v>
      </c>
      <c r="E401" s="105"/>
      <c r="F401" s="103"/>
      <c r="G401" s="103"/>
      <c r="H401" s="105"/>
      <c r="I401" s="84" t="s">
        <v>12</v>
      </c>
      <c r="J401" s="103"/>
      <c r="K401" s="170">
        <v>10.0709433</v>
      </c>
      <c r="L401" s="92"/>
      <c r="M401" s="92"/>
    </row>
    <row r="402" spans="1:13" ht="13.2">
      <c r="A402" s="167" t="s">
        <v>17</v>
      </c>
      <c r="B402" s="92">
        <v>1384.9199016</v>
      </c>
      <c r="C402" s="105">
        <v>5.0999999999999996</v>
      </c>
      <c r="D402" s="105">
        <v>5.2299999999999999E-2</v>
      </c>
      <c r="E402" s="105"/>
      <c r="F402" s="103"/>
      <c r="G402" s="103"/>
      <c r="H402" s="105"/>
      <c r="I402" s="84" t="s">
        <v>12</v>
      </c>
      <c r="J402" s="103"/>
      <c r="K402" s="170">
        <v>10.7945104</v>
      </c>
      <c r="L402" s="92"/>
      <c r="M402" s="92"/>
    </row>
    <row r="403" spans="1:13" ht="13.2">
      <c r="A403" s="167" t="s">
        <v>17</v>
      </c>
      <c r="B403" s="92">
        <v>1695.3095052000001</v>
      </c>
      <c r="C403" s="105">
        <v>5.0999999999999996</v>
      </c>
      <c r="D403" s="105">
        <v>5.2299999999999999E-2</v>
      </c>
      <c r="E403" s="105"/>
      <c r="F403" s="103"/>
      <c r="G403" s="103"/>
      <c r="H403" s="105"/>
      <c r="I403" s="84" t="s">
        <v>12</v>
      </c>
      <c r="J403" s="103"/>
      <c r="K403" s="170">
        <v>11.2620492</v>
      </c>
      <c r="L403" s="92"/>
      <c r="M403" s="92"/>
    </row>
    <row r="404" spans="1:13" ht="13.2">
      <c r="A404" s="167" t="s">
        <v>17</v>
      </c>
      <c r="B404" s="92">
        <v>1959.4011341999999</v>
      </c>
      <c r="C404" s="105">
        <v>5.0999999999999996</v>
      </c>
      <c r="D404" s="105">
        <v>5.2299999999999999E-2</v>
      </c>
      <c r="E404" s="105"/>
      <c r="F404" s="103"/>
      <c r="G404" s="103"/>
      <c r="H404" s="105"/>
      <c r="I404" s="84" t="s">
        <v>12</v>
      </c>
      <c r="J404" s="103"/>
      <c r="K404" s="170">
        <v>12.006227300000001</v>
      </c>
      <c r="L404" s="92"/>
      <c r="M404" s="92"/>
    </row>
    <row r="405" spans="1:13" ht="13.2">
      <c r="A405" s="167" t="s">
        <v>17</v>
      </c>
      <c r="B405" s="92">
        <v>2075.2639307999998</v>
      </c>
      <c r="C405" s="105">
        <v>5.0999999999999996</v>
      </c>
      <c r="D405" s="105">
        <v>5.2299999999999999E-2</v>
      </c>
      <c r="E405" s="105"/>
      <c r="F405" s="103"/>
      <c r="G405" s="103"/>
      <c r="H405" s="105"/>
      <c r="I405" s="84" t="s">
        <v>12</v>
      </c>
      <c r="J405" s="103"/>
      <c r="K405" s="170">
        <v>11.96926</v>
      </c>
      <c r="L405" s="92"/>
      <c r="M405" s="92"/>
    </row>
    <row r="406" spans="1:13" ht="13.2">
      <c r="A406" s="167" t="s">
        <v>17</v>
      </c>
      <c r="B406" s="92">
        <v>330.11880905999999</v>
      </c>
      <c r="C406" s="105">
        <v>9.1999999999999993</v>
      </c>
      <c r="D406" s="105">
        <v>3.7499999999999999E-2</v>
      </c>
      <c r="E406" s="105"/>
      <c r="F406" s="103"/>
      <c r="G406" s="103"/>
      <c r="H406" s="105"/>
      <c r="I406" s="84" t="s">
        <v>12</v>
      </c>
      <c r="J406" s="103"/>
      <c r="K406" s="170">
        <v>7.2573220699999998</v>
      </c>
      <c r="L406" s="92"/>
      <c r="M406" s="92"/>
    </row>
    <row r="407" spans="1:13" ht="13.2">
      <c r="A407" s="167" t="s">
        <v>17</v>
      </c>
      <c r="B407" s="92">
        <v>364.40504274</v>
      </c>
      <c r="C407" s="105">
        <v>9.1999999999999993</v>
      </c>
      <c r="D407" s="105">
        <v>3.7499999999999999E-2</v>
      </c>
      <c r="E407" s="105"/>
      <c r="F407" s="103"/>
      <c r="G407" s="103"/>
      <c r="H407" s="105"/>
      <c r="I407" s="84" t="s">
        <v>12</v>
      </c>
      <c r="J407" s="103"/>
      <c r="K407" s="170">
        <v>7.4213999099999999</v>
      </c>
      <c r="L407" s="92"/>
      <c r="M407" s="92"/>
    </row>
    <row r="408" spans="1:13" ht="13.2">
      <c r="A408" s="167" t="s">
        <v>17</v>
      </c>
      <c r="B408" s="92">
        <v>482.32637543999999</v>
      </c>
      <c r="C408" s="105">
        <v>9.1999999999999993</v>
      </c>
      <c r="D408" s="105">
        <v>3.7499999999999999E-2</v>
      </c>
      <c r="E408" s="105"/>
      <c r="F408" s="103"/>
      <c r="G408" s="103"/>
      <c r="H408" s="105"/>
      <c r="I408" s="84" t="s">
        <v>12</v>
      </c>
      <c r="J408" s="103"/>
      <c r="K408" s="170">
        <v>7.7547886200000002</v>
      </c>
      <c r="L408" s="92"/>
      <c r="M408" s="92"/>
    </row>
    <row r="409" spans="1:13" ht="13.2">
      <c r="A409" s="167" t="s">
        <v>17</v>
      </c>
      <c r="B409" s="92">
        <v>539.81257524</v>
      </c>
      <c r="C409" s="105">
        <v>9.1999999999999993</v>
      </c>
      <c r="D409" s="105">
        <v>3.7499999999999999E-2</v>
      </c>
      <c r="E409" s="105"/>
      <c r="F409" s="103"/>
      <c r="G409" s="103"/>
      <c r="H409" s="105"/>
      <c r="I409" s="84" t="s">
        <v>12</v>
      </c>
      <c r="J409" s="103"/>
      <c r="K409" s="170">
        <v>8.3827333500000005</v>
      </c>
      <c r="L409" s="92"/>
      <c r="M409" s="92"/>
    </row>
    <row r="410" spans="1:13" ht="13.2">
      <c r="A410" s="167" t="s">
        <v>17</v>
      </c>
      <c r="B410" s="92">
        <v>609.72953280000002</v>
      </c>
      <c r="C410" s="105">
        <v>9.1999999999999993</v>
      </c>
      <c r="D410" s="105">
        <v>3.7499999999999999E-2</v>
      </c>
      <c r="E410" s="105"/>
      <c r="F410" s="103"/>
      <c r="G410" s="103"/>
      <c r="H410" s="105"/>
      <c r="I410" s="84" t="s">
        <v>12</v>
      </c>
      <c r="J410" s="103"/>
      <c r="K410" s="170">
        <v>8.4151083</v>
      </c>
      <c r="L410" s="92"/>
      <c r="M410" s="92"/>
    </row>
    <row r="411" spans="1:13" ht="13.2">
      <c r="A411" s="167" t="s">
        <v>17</v>
      </c>
      <c r="B411" s="92">
        <v>690.2866014</v>
      </c>
      <c r="C411" s="105">
        <v>9.1999999999999993</v>
      </c>
      <c r="D411" s="105">
        <v>3.7499999999999999E-2</v>
      </c>
      <c r="E411" s="105"/>
      <c r="F411" s="103"/>
      <c r="G411" s="103"/>
      <c r="H411" s="105"/>
      <c r="I411" s="84" t="s">
        <v>12</v>
      </c>
      <c r="J411" s="103"/>
      <c r="K411" s="170">
        <v>8.6119991000000002</v>
      </c>
      <c r="L411" s="92"/>
      <c r="M411" s="92"/>
    </row>
    <row r="412" spans="1:13" ht="13.2">
      <c r="A412" s="167" t="s">
        <v>17</v>
      </c>
      <c r="B412" s="92">
        <v>737.85610259999999</v>
      </c>
      <c r="C412" s="105">
        <v>9.1999999999999993</v>
      </c>
      <c r="D412" s="105">
        <v>3.7499999999999999E-2</v>
      </c>
      <c r="E412" s="105"/>
      <c r="F412" s="103"/>
      <c r="G412" s="103"/>
      <c r="H412" s="105"/>
      <c r="I412" s="84" t="s">
        <v>12</v>
      </c>
      <c r="J412" s="103"/>
      <c r="K412" s="170">
        <v>8.9435428199999993</v>
      </c>
      <c r="L412" s="92"/>
      <c r="M412" s="92"/>
    </row>
    <row r="413" spans="1:13" ht="13.2">
      <c r="A413" s="167" t="s">
        <v>17</v>
      </c>
      <c r="B413" s="92">
        <v>801.49305000000004</v>
      </c>
      <c r="C413" s="105">
        <v>9.1999999999999993</v>
      </c>
      <c r="D413" s="105">
        <v>3.7499999999999999E-2</v>
      </c>
      <c r="E413" s="105"/>
      <c r="F413" s="103"/>
      <c r="G413" s="103"/>
      <c r="H413" s="105"/>
      <c r="I413" s="84" t="s">
        <v>12</v>
      </c>
      <c r="J413" s="103"/>
      <c r="K413" s="170">
        <v>9.04756553</v>
      </c>
      <c r="L413" s="92"/>
      <c r="M413" s="92"/>
    </row>
    <row r="414" spans="1:13" ht="13.2">
      <c r="A414" s="167" t="s">
        <v>17</v>
      </c>
      <c r="B414" s="92">
        <v>852.79739940000002</v>
      </c>
      <c r="C414" s="105">
        <v>9.1999999999999993</v>
      </c>
      <c r="D414" s="105">
        <v>3.7499999999999999E-2</v>
      </c>
      <c r="E414" s="105"/>
      <c r="F414" s="103"/>
      <c r="G414" s="103"/>
      <c r="H414" s="105"/>
      <c r="I414" s="84" t="s">
        <v>12</v>
      </c>
      <c r="J414" s="103"/>
      <c r="K414" s="170">
        <v>9.1669209299999999</v>
      </c>
      <c r="L414" s="92"/>
      <c r="M414" s="92"/>
    </row>
    <row r="415" spans="1:13" ht="13.2">
      <c r="A415" s="167" t="s">
        <v>17</v>
      </c>
      <c r="B415" s="92">
        <v>1295.634759</v>
      </c>
      <c r="C415" s="105">
        <v>9.1999999999999993</v>
      </c>
      <c r="D415" s="105">
        <v>3.7499999999999999E-2</v>
      </c>
      <c r="E415" s="105"/>
      <c r="F415" s="103"/>
      <c r="G415" s="103"/>
      <c r="H415" s="105"/>
      <c r="I415" s="84" t="s">
        <v>12</v>
      </c>
      <c r="J415" s="103"/>
      <c r="K415" s="170">
        <v>10.531471399999999</v>
      </c>
      <c r="L415" s="92"/>
      <c r="M415" s="92"/>
    </row>
    <row r="416" spans="1:13" ht="13.2">
      <c r="A416" s="167" t="s">
        <v>17</v>
      </c>
      <c r="B416" s="88">
        <v>1539.3340218000001</v>
      </c>
      <c r="C416" s="105">
        <v>9.1999999999999993</v>
      </c>
      <c r="D416" s="105">
        <v>3.7499999999999999E-2</v>
      </c>
      <c r="E416" s="105"/>
      <c r="F416" s="103"/>
      <c r="G416" s="103"/>
      <c r="H416" s="105"/>
      <c r="I416" s="84" t="s">
        <v>12</v>
      </c>
      <c r="J416" s="103"/>
      <c r="K416" s="170">
        <v>10.928483399999999</v>
      </c>
      <c r="L416" s="92"/>
      <c r="M416" s="92"/>
    </row>
    <row r="417" spans="1:13" ht="13.2">
      <c r="A417" s="167" t="s">
        <v>17</v>
      </c>
      <c r="B417" s="92">
        <v>362.73412866000001</v>
      </c>
      <c r="C417" s="105">
        <v>9.1999999999999993</v>
      </c>
      <c r="D417" s="105">
        <v>5.2299999999999999E-2</v>
      </c>
      <c r="E417" s="105"/>
      <c r="F417" s="103"/>
      <c r="G417" s="103"/>
      <c r="H417" s="105"/>
      <c r="I417" s="84" t="s">
        <v>12</v>
      </c>
      <c r="J417" s="103"/>
      <c r="K417" s="170">
        <v>7.6715416300000001</v>
      </c>
      <c r="L417" s="92"/>
      <c r="M417" s="92"/>
    </row>
    <row r="418" spans="1:13" ht="13.2">
      <c r="A418" s="167" t="s">
        <v>17</v>
      </c>
      <c r="B418" s="92">
        <v>599.99994317999995</v>
      </c>
      <c r="C418" s="105">
        <v>9.1999999999999993</v>
      </c>
      <c r="D418" s="105">
        <v>5.2299999999999999E-2</v>
      </c>
      <c r="E418" s="105"/>
      <c r="F418" s="103"/>
      <c r="G418" s="103"/>
      <c r="H418" s="105"/>
      <c r="I418" s="84" t="s">
        <v>12</v>
      </c>
      <c r="J418" s="103"/>
      <c r="K418" s="170">
        <v>8.5921044200000001</v>
      </c>
      <c r="L418" s="92"/>
      <c r="M418" s="92"/>
    </row>
    <row r="419" spans="1:13" ht="13.2">
      <c r="A419" s="167" t="s">
        <v>17</v>
      </c>
      <c r="B419" s="92">
        <v>919.98345180000001</v>
      </c>
      <c r="C419" s="105">
        <v>9.1999999999999993</v>
      </c>
      <c r="D419" s="105">
        <v>5.2299999999999999E-2</v>
      </c>
      <c r="E419" s="105"/>
      <c r="F419" s="103"/>
      <c r="G419" s="103"/>
      <c r="H419" s="105"/>
      <c r="I419" s="84" t="s">
        <v>12</v>
      </c>
      <c r="J419" s="103"/>
      <c r="K419" s="170">
        <v>9.4103761000000006</v>
      </c>
      <c r="L419" s="92"/>
      <c r="M419" s="92"/>
    </row>
    <row r="420" spans="1:13" ht="13.2">
      <c r="A420" s="167" t="s">
        <v>17</v>
      </c>
      <c r="B420" s="92">
        <v>974.3840424</v>
      </c>
      <c r="C420" s="105">
        <v>9.1999999999999993</v>
      </c>
      <c r="D420" s="105">
        <v>5.2299999999999999E-2</v>
      </c>
      <c r="E420" s="105"/>
      <c r="F420" s="103"/>
      <c r="G420" s="103"/>
      <c r="H420" s="105"/>
      <c r="I420" s="84" t="s">
        <v>12</v>
      </c>
      <c r="J420" s="103"/>
      <c r="K420" s="170">
        <v>9.6602969600000002</v>
      </c>
      <c r="L420" s="92"/>
      <c r="M420" s="92"/>
    </row>
    <row r="421" spans="1:13" ht="13.2">
      <c r="A421" s="167" t="s">
        <v>17</v>
      </c>
      <c r="B421" s="92">
        <v>1149.7047798000001</v>
      </c>
      <c r="C421" s="105">
        <v>9.1999999999999993</v>
      </c>
      <c r="D421" s="105">
        <v>5.2299999999999999E-2</v>
      </c>
      <c r="E421" s="105"/>
      <c r="F421" s="103"/>
      <c r="G421" s="103"/>
      <c r="H421" s="105"/>
      <c r="I421" s="84" t="s">
        <v>12</v>
      </c>
      <c r="J421" s="103"/>
      <c r="K421" s="170">
        <v>10.0013094</v>
      </c>
      <c r="L421" s="92"/>
      <c r="M421" s="92"/>
    </row>
    <row r="422" spans="1:13" ht="13.2">
      <c r="A422" s="167" t="s">
        <v>17</v>
      </c>
      <c r="B422" s="92">
        <v>1217.6892846000001</v>
      </c>
      <c r="C422" s="105">
        <v>9.1999999999999993</v>
      </c>
      <c r="D422" s="105">
        <v>5.2299999999999999E-2</v>
      </c>
      <c r="E422" s="105"/>
      <c r="F422" s="103"/>
      <c r="G422" s="103"/>
      <c r="H422" s="105"/>
      <c r="I422" s="84" t="s">
        <v>12</v>
      </c>
      <c r="J422" s="103"/>
      <c r="K422" s="170">
        <v>10.2986331</v>
      </c>
      <c r="L422" s="92"/>
      <c r="M422" s="92"/>
    </row>
    <row r="423" spans="1:13" ht="13.2">
      <c r="A423" s="167" t="s">
        <v>17</v>
      </c>
      <c r="B423" s="92">
        <v>1542.8753753999999</v>
      </c>
      <c r="C423" s="105">
        <v>9.1999999999999993</v>
      </c>
      <c r="D423" s="105">
        <v>5.2299999999999999E-2</v>
      </c>
      <c r="E423" s="105"/>
      <c r="F423" s="103"/>
      <c r="G423" s="103"/>
      <c r="H423" s="105"/>
      <c r="I423" s="84" t="s">
        <v>12</v>
      </c>
      <c r="J423" s="103"/>
      <c r="K423" s="170">
        <v>11.149744200000001</v>
      </c>
      <c r="L423" s="92"/>
      <c r="M423" s="92"/>
    </row>
    <row r="424" spans="1:13" ht="13.2">
      <c r="A424" s="167" t="s">
        <v>17</v>
      </c>
      <c r="B424" s="92">
        <v>1652.9931630000001</v>
      </c>
      <c r="C424" s="105">
        <v>9.1999999999999993</v>
      </c>
      <c r="D424" s="105">
        <v>5.2299999999999999E-2</v>
      </c>
      <c r="E424" s="105"/>
      <c r="F424" s="103"/>
      <c r="G424" s="103"/>
      <c r="H424" s="105"/>
      <c r="I424" s="84" t="s">
        <v>12</v>
      </c>
      <c r="J424" s="103"/>
      <c r="K424" s="170">
        <v>11.384258300000001</v>
      </c>
      <c r="L424" s="92"/>
      <c r="M424" s="92"/>
    </row>
    <row r="425" spans="1:13" ht="13.2">
      <c r="A425" s="167" t="s">
        <v>17</v>
      </c>
      <c r="B425" s="92">
        <v>799.65338699999995</v>
      </c>
      <c r="C425" s="105">
        <v>9.1999999999999993</v>
      </c>
      <c r="D425" s="105">
        <v>5.2299999999999999E-2</v>
      </c>
      <c r="E425" s="105"/>
      <c r="F425" s="103"/>
      <c r="G425" s="103"/>
      <c r="H425" s="105"/>
      <c r="I425" s="84" t="s">
        <v>12</v>
      </c>
      <c r="J425" s="103"/>
      <c r="K425" s="170">
        <v>9.0685148099999999</v>
      </c>
      <c r="L425" s="92"/>
      <c r="M425" s="92"/>
    </row>
    <row r="426" spans="1:13" ht="13.2">
      <c r="A426" s="167" t="s">
        <v>17</v>
      </c>
      <c r="B426" s="92">
        <v>469.20748073999999</v>
      </c>
      <c r="C426" s="105">
        <v>9.1999999999999993</v>
      </c>
      <c r="D426" s="105">
        <v>5.2299999999999999E-2</v>
      </c>
      <c r="E426" s="105"/>
      <c r="F426" s="103"/>
      <c r="G426" s="103"/>
      <c r="H426" s="105"/>
      <c r="I426" s="84" t="s">
        <v>12</v>
      </c>
      <c r="J426" s="103"/>
      <c r="K426" s="170">
        <v>7.9178961499999998</v>
      </c>
      <c r="L426" s="92"/>
      <c r="M426" s="92"/>
    </row>
    <row r="427" spans="1:13" ht="13.2">
      <c r="A427" s="167" t="s">
        <v>17</v>
      </c>
      <c r="B427" s="92">
        <v>202.81185461999999</v>
      </c>
      <c r="C427" s="105">
        <v>5.0999999999999996</v>
      </c>
      <c r="D427" s="105">
        <v>3.7499999999999999E-2</v>
      </c>
      <c r="E427" s="105"/>
      <c r="F427" s="103"/>
      <c r="G427" s="103"/>
      <c r="H427" s="105"/>
      <c r="I427" s="84" t="s">
        <v>12</v>
      </c>
      <c r="J427" s="103"/>
      <c r="K427" s="170">
        <v>6.2830011900000002</v>
      </c>
      <c r="L427" s="92"/>
      <c r="M427" s="92"/>
    </row>
    <row r="428" spans="1:13" ht="13.2">
      <c r="A428" s="167" t="s">
        <v>17</v>
      </c>
      <c r="B428" s="92">
        <v>264.76582536000001</v>
      </c>
      <c r="C428" s="105">
        <v>5.0999999999999996</v>
      </c>
      <c r="D428" s="105">
        <v>3.7499999999999999E-2</v>
      </c>
      <c r="E428" s="105"/>
      <c r="F428" s="103"/>
      <c r="G428" s="103"/>
      <c r="H428" s="105"/>
      <c r="I428" s="84" t="s">
        <v>12</v>
      </c>
      <c r="J428" s="103"/>
      <c r="K428" s="170">
        <v>6.7188587399999999</v>
      </c>
      <c r="L428" s="92"/>
      <c r="M428" s="92"/>
    </row>
    <row r="429" spans="1:13" ht="13.2">
      <c r="A429" s="167" t="s">
        <v>17</v>
      </c>
      <c r="B429" s="88">
        <v>300.43610310000003</v>
      </c>
      <c r="C429" s="105">
        <v>5.0999999999999996</v>
      </c>
      <c r="D429" s="105">
        <v>3.7499999999999999E-2</v>
      </c>
      <c r="E429" s="105"/>
      <c r="F429" s="103"/>
      <c r="G429" s="103"/>
      <c r="H429" s="105"/>
      <c r="I429" s="84" t="s">
        <v>12</v>
      </c>
      <c r="J429" s="103"/>
      <c r="K429" s="171">
        <v>6.9882869000000003</v>
      </c>
      <c r="L429" s="92"/>
      <c r="M429" s="92"/>
    </row>
    <row r="430" spans="1:13" ht="13.2">
      <c r="A430" s="167" t="s">
        <v>17</v>
      </c>
      <c r="B430" s="105">
        <v>330.11880905999999</v>
      </c>
      <c r="C430" s="105">
        <v>5.0999999999999996</v>
      </c>
      <c r="D430" s="105">
        <v>3.7499999999999999E-2</v>
      </c>
      <c r="E430" s="105"/>
      <c r="F430" s="103"/>
      <c r="G430" s="103"/>
      <c r="H430" s="105"/>
      <c r="I430" s="84" t="s">
        <v>12</v>
      </c>
      <c r="J430" s="103"/>
      <c r="K430" s="170">
        <v>7.0695683999999996</v>
      </c>
      <c r="L430" s="157"/>
      <c r="M430" s="92"/>
    </row>
    <row r="431" spans="1:13" ht="13.2">
      <c r="A431" s="167" t="s">
        <v>17</v>
      </c>
      <c r="B431" s="92">
        <v>177.73468926000001</v>
      </c>
      <c r="C431" s="105">
        <v>40.5</v>
      </c>
      <c r="D431" s="105">
        <v>7.1999999999999995E-2</v>
      </c>
      <c r="E431" s="105"/>
      <c r="F431" s="103"/>
      <c r="G431" s="103"/>
      <c r="H431" s="105"/>
      <c r="I431" s="84" t="s">
        <v>12</v>
      </c>
      <c r="J431" s="103"/>
      <c r="K431" s="170">
        <v>21.642688499999998</v>
      </c>
      <c r="L431" s="158"/>
      <c r="M431" s="92"/>
    </row>
    <row r="432" spans="1:13" ht="13.2">
      <c r="A432" s="167" t="s">
        <v>17</v>
      </c>
      <c r="B432" s="92">
        <v>299.96566775999997</v>
      </c>
      <c r="C432" s="105">
        <v>40.5</v>
      </c>
      <c r="D432" s="105">
        <v>7.1999999999999995E-2</v>
      </c>
      <c r="E432" s="105"/>
      <c r="F432" s="103"/>
      <c r="G432" s="103"/>
      <c r="H432" s="105"/>
      <c r="I432" s="84" t="s">
        <v>12</v>
      </c>
      <c r="J432" s="103"/>
      <c r="K432" s="170">
        <v>21.9779135</v>
      </c>
      <c r="L432" s="158"/>
      <c r="M432" s="92"/>
    </row>
    <row r="433" spans="1:13" ht="13.2">
      <c r="A433" s="167" t="s">
        <v>17</v>
      </c>
      <c r="B433" s="92">
        <v>420.98381669999998</v>
      </c>
      <c r="C433" s="105">
        <v>40.5</v>
      </c>
      <c r="D433" s="105">
        <v>7.1999999999999995E-2</v>
      </c>
      <c r="E433" s="105"/>
      <c r="F433" s="103"/>
      <c r="G433" s="103"/>
      <c r="H433" s="105"/>
      <c r="I433" s="84" t="s">
        <v>12</v>
      </c>
      <c r="J433" s="103"/>
      <c r="K433" s="170">
        <v>21.910454600000001</v>
      </c>
      <c r="L433" s="158"/>
      <c r="M433" s="92"/>
    </row>
    <row r="434" spans="1:13" ht="13.2">
      <c r="A434" s="167" t="s">
        <v>17</v>
      </c>
      <c r="B434" s="92">
        <v>592.18906061999996</v>
      </c>
      <c r="C434" s="105">
        <v>40.5</v>
      </c>
      <c r="D434" s="105">
        <v>7.1999999999999995E-2</v>
      </c>
      <c r="E434" s="105"/>
      <c r="F434" s="103"/>
      <c r="G434" s="103"/>
      <c r="H434" s="105"/>
      <c r="I434" s="84" t="s">
        <v>12</v>
      </c>
      <c r="J434" s="103"/>
      <c r="K434" s="170">
        <v>22.559755200000001</v>
      </c>
      <c r="L434" s="158"/>
      <c r="M434" s="92"/>
    </row>
    <row r="435" spans="1:13" ht="13.2">
      <c r="A435" s="167" t="s">
        <v>17</v>
      </c>
      <c r="B435" s="92">
        <v>1977.6526733999999</v>
      </c>
      <c r="C435" s="105">
        <v>40.5</v>
      </c>
      <c r="D435" s="105">
        <v>7.1999999999999995E-2</v>
      </c>
      <c r="E435" s="105"/>
      <c r="F435" s="103"/>
      <c r="G435" s="103"/>
      <c r="H435" s="105"/>
      <c r="I435" s="84" t="s">
        <v>12</v>
      </c>
      <c r="J435" s="103"/>
      <c r="K435" s="170">
        <v>22.490511699999999</v>
      </c>
      <c r="L435" s="158"/>
      <c r="M435" s="92"/>
    </row>
    <row r="436" spans="1:13" ht="13.2">
      <c r="A436" s="167" t="s">
        <v>17</v>
      </c>
      <c r="B436" s="92">
        <v>2433.7088819999999</v>
      </c>
      <c r="C436" s="105">
        <v>40.5</v>
      </c>
      <c r="D436" s="105">
        <v>7.1999999999999995E-2</v>
      </c>
      <c r="E436" s="105"/>
      <c r="F436" s="103"/>
      <c r="G436" s="103"/>
      <c r="H436" s="105"/>
      <c r="I436" s="84" t="s">
        <v>12</v>
      </c>
      <c r="J436" s="103"/>
      <c r="K436" s="170">
        <v>23.8432399</v>
      </c>
      <c r="L436" s="158"/>
      <c r="M436" s="92"/>
    </row>
    <row r="437" spans="1:13" ht="13.2">
      <c r="A437" s="167" t="s">
        <v>17</v>
      </c>
      <c r="B437" s="92">
        <v>2699.7777437999998</v>
      </c>
      <c r="C437" s="105">
        <v>40.5</v>
      </c>
      <c r="D437" s="105">
        <v>7.1999999999999995E-2</v>
      </c>
      <c r="E437" s="105"/>
      <c r="F437" s="103"/>
      <c r="G437" s="103"/>
      <c r="H437" s="105"/>
      <c r="I437" s="84" t="s">
        <v>12</v>
      </c>
      <c r="J437" s="103"/>
      <c r="K437" s="170">
        <v>24.119689999999999</v>
      </c>
      <c r="L437" s="158"/>
      <c r="M437" s="92"/>
    </row>
    <row r="438" spans="1:13" ht="13.2">
      <c r="A438" s="167" t="s">
        <v>17</v>
      </c>
      <c r="B438" s="92">
        <v>3307.0749012000001</v>
      </c>
      <c r="C438" s="105">
        <v>40.5</v>
      </c>
      <c r="D438" s="105">
        <v>7.1999999999999995E-2</v>
      </c>
      <c r="E438" s="105"/>
      <c r="F438" s="103"/>
      <c r="G438" s="103"/>
      <c r="H438" s="105"/>
      <c r="I438" s="84" t="s">
        <v>12</v>
      </c>
      <c r="J438" s="103"/>
      <c r="K438" s="170">
        <v>24.625400800000001</v>
      </c>
      <c r="L438" s="158"/>
      <c r="M438" s="92"/>
    </row>
    <row r="439" spans="1:13" ht="13.2">
      <c r="A439" s="167" t="s">
        <v>17</v>
      </c>
      <c r="B439" s="92">
        <v>3877.349667</v>
      </c>
      <c r="C439" s="105">
        <v>40.5</v>
      </c>
      <c r="D439" s="105">
        <v>7.1999999999999995E-2</v>
      </c>
      <c r="E439" s="105"/>
      <c r="F439" s="103"/>
      <c r="G439" s="103"/>
      <c r="H439" s="105"/>
      <c r="I439" s="84" t="s">
        <v>12</v>
      </c>
      <c r="J439" s="103"/>
      <c r="K439" s="170">
        <v>24.9300693</v>
      </c>
      <c r="L439" s="158"/>
      <c r="M439" s="92"/>
    </row>
    <row r="440" spans="1:13" ht="13.2">
      <c r="A440" s="167" t="s">
        <v>17</v>
      </c>
      <c r="B440" s="92">
        <v>4421.9131883999999</v>
      </c>
      <c r="C440" s="105">
        <v>40.5</v>
      </c>
      <c r="D440" s="105">
        <v>7.1999999999999995E-2</v>
      </c>
      <c r="E440" s="105"/>
      <c r="F440" s="103"/>
      <c r="G440" s="103"/>
      <c r="H440" s="105"/>
      <c r="I440" s="84" t="s">
        <v>12</v>
      </c>
      <c r="J440" s="103"/>
      <c r="K440" s="170">
        <v>25.609741199999998</v>
      </c>
      <c r="L440" s="158"/>
      <c r="M440" s="92"/>
    </row>
    <row r="441" spans="1:13" ht="13.2">
      <c r="A441" s="167" t="s">
        <v>17</v>
      </c>
      <c r="B441" s="92">
        <v>4882.7764907999999</v>
      </c>
      <c r="C441" s="105">
        <v>40.5</v>
      </c>
      <c r="D441" s="105">
        <v>7.1999999999999995E-2</v>
      </c>
      <c r="E441" s="105"/>
      <c r="F441" s="103"/>
      <c r="G441" s="103"/>
      <c r="H441" s="105"/>
      <c r="I441" s="84" t="s">
        <v>12</v>
      </c>
      <c r="J441" s="103"/>
      <c r="K441" s="170">
        <v>25.966469499999999</v>
      </c>
      <c r="L441" s="158"/>
      <c r="M441" s="92"/>
    </row>
    <row r="442" spans="1:13" ht="13.2">
      <c r="A442" s="167" t="s">
        <v>17</v>
      </c>
      <c r="B442" s="92">
        <v>5724.7687343999996</v>
      </c>
      <c r="C442" s="105">
        <v>40.5</v>
      </c>
      <c r="D442" s="105">
        <v>7.1999999999999995E-2</v>
      </c>
      <c r="E442" s="105"/>
      <c r="F442" s="103"/>
      <c r="G442" s="103"/>
      <c r="H442" s="105"/>
      <c r="I442" s="84" t="s">
        <v>12</v>
      </c>
      <c r="J442" s="103"/>
      <c r="K442" s="170">
        <v>26.6539021</v>
      </c>
      <c r="L442" s="158"/>
      <c r="M442" s="92"/>
    </row>
    <row r="443" spans="1:13" ht="13.2">
      <c r="A443" s="167" t="s">
        <v>17</v>
      </c>
      <c r="B443" s="92">
        <v>6558.9695400000001</v>
      </c>
      <c r="C443" s="105">
        <v>40.5</v>
      </c>
      <c r="D443" s="105">
        <v>7.1999999999999995E-2</v>
      </c>
      <c r="E443" s="105"/>
      <c r="F443" s="103"/>
      <c r="G443" s="103"/>
      <c r="H443" s="105"/>
      <c r="I443" s="84" t="s">
        <v>12</v>
      </c>
      <c r="J443" s="103"/>
      <c r="K443" s="170">
        <v>27.422688999999998</v>
      </c>
      <c r="L443" s="158"/>
      <c r="M443" s="92"/>
    </row>
    <row r="444" spans="1:13" ht="13.2">
      <c r="A444" s="167" t="s">
        <v>17</v>
      </c>
      <c r="B444" s="92">
        <v>7514.733972</v>
      </c>
      <c r="C444" s="105">
        <v>40.5</v>
      </c>
      <c r="D444" s="105">
        <v>7.1999999999999995E-2</v>
      </c>
      <c r="E444" s="105"/>
      <c r="F444" s="103"/>
      <c r="G444" s="103"/>
      <c r="H444" s="105"/>
      <c r="I444" s="84" t="s">
        <v>12</v>
      </c>
      <c r="J444" s="103"/>
      <c r="K444" s="170">
        <v>27.976143199999999</v>
      </c>
      <c r="L444" s="158"/>
      <c r="M444" s="92"/>
    </row>
    <row r="445" spans="1:13" ht="13.2">
      <c r="A445" s="167" t="s">
        <v>17</v>
      </c>
      <c r="B445" s="92">
        <v>8729.694426</v>
      </c>
      <c r="C445" s="105">
        <v>40.5</v>
      </c>
      <c r="D445" s="105">
        <v>7.1999999999999995E-2</v>
      </c>
      <c r="E445" s="105"/>
      <c r="F445" s="103"/>
      <c r="G445" s="103"/>
      <c r="H445" s="105"/>
      <c r="I445" s="84" t="s">
        <v>12</v>
      </c>
      <c r="J445" s="103"/>
      <c r="K445" s="170">
        <v>28.738861499999999</v>
      </c>
      <c r="L445" s="158"/>
      <c r="M445" s="92"/>
    </row>
    <row r="446" spans="1:13" ht="13.2">
      <c r="A446" s="167" t="s">
        <v>17</v>
      </c>
      <c r="B446" s="92">
        <v>10001.77404</v>
      </c>
      <c r="C446" s="105">
        <v>40.5</v>
      </c>
      <c r="D446" s="105">
        <v>7.1999999999999995E-2</v>
      </c>
      <c r="E446" s="105"/>
      <c r="F446" s="103"/>
      <c r="G446" s="103"/>
      <c r="H446" s="105"/>
      <c r="I446" s="84" t="s">
        <v>12</v>
      </c>
      <c r="J446" s="103"/>
      <c r="K446" s="170">
        <v>29.681618799999999</v>
      </c>
      <c r="L446" s="158"/>
      <c r="M446" s="92"/>
    </row>
    <row r="447" spans="1:13" ht="13.2">
      <c r="A447" s="167" t="s">
        <v>17</v>
      </c>
      <c r="B447" s="92">
        <v>10867.365738</v>
      </c>
      <c r="C447" s="105">
        <v>40.5</v>
      </c>
      <c r="D447" s="105">
        <v>7.1999999999999995E-2</v>
      </c>
      <c r="E447" s="105"/>
      <c r="F447" s="103"/>
      <c r="G447" s="103"/>
      <c r="H447" s="105"/>
      <c r="I447" s="84" t="s">
        <v>12</v>
      </c>
      <c r="J447" s="103"/>
      <c r="K447" s="170">
        <v>30.373892099999999</v>
      </c>
      <c r="L447" s="158"/>
      <c r="M447" s="92"/>
    </row>
    <row r="448" spans="1:13" ht="13.2">
      <c r="A448" s="167" t="s">
        <v>17</v>
      </c>
      <c r="B448" s="92">
        <v>12027.698694000001</v>
      </c>
      <c r="C448" s="105">
        <v>40.5</v>
      </c>
      <c r="D448" s="105">
        <v>7.1999999999999995E-2</v>
      </c>
      <c r="E448" s="105"/>
      <c r="F448" s="103"/>
      <c r="G448" s="103"/>
      <c r="H448" s="105"/>
      <c r="I448" s="84" t="s">
        <v>12</v>
      </c>
      <c r="J448" s="103"/>
      <c r="K448" s="170">
        <v>31.1540572</v>
      </c>
      <c r="L448" s="92"/>
      <c r="M448" s="92"/>
    </row>
    <row r="449" spans="1:13" ht="13.2">
      <c r="A449" s="167" t="s">
        <v>17</v>
      </c>
      <c r="B449" s="92">
        <v>118.72480272</v>
      </c>
      <c r="C449" s="105">
        <v>25.32</v>
      </c>
      <c r="D449" s="105">
        <v>7.1999999999999995E-2</v>
      </c>
      <c r="E449" s="105"/>
      <c r="F449" s="103"/>
      <c r="G449" s="103"/>
      <c r="H449" s="105"/>
      <c r="I449" s="84" t="s">
        <v>12</v>
      </c>
      <c r="J449" s="103"/>
      <c r="K449" s="170">
        <v>16.211251300000001</v>
      </c>
      <c r="L449" s="92"/>
      <c r="M449" s="92"/>
    </row>
    <row r="450" spans="1:13" ht="13.2">
      <c r="A450" s="167" t="s">
        <v>17</v>
      </c>
      <c r="B450" s="92">
        <v>205.0472331</v>
      </c>
      <c r="C450" s="105">
        <v>25.32</v>
      </c>
      <c r="D450" s="105">
        <v>7.1999999999999995E-2</v>
      </c>
      <c r="E450" s="105"/>
      <c r="F450" s="103"/>
      <c r="G450" s="103"/>
      <c r="H450" s="105"/>
      <c r="I450" s="84" t="s">
        <v>12</v>
      </c>
      <c r="J450" s="103"/>
      <c r="K450" s="170">
        <v>16.361444599999999</v>
      </c>
      <c r="L450" s="92"/>
      <c r="M450" s="92"/>
    </row>
    <row r="451" spans="1:13" ht="13.2">
      <c r="A451" s="167" t="s">
        <v>17</v>
      </c>
      <c r="B451" s="92">
        <v>279.91869539999999</v>
      </c>
      <c r="C451" s="105">
        <v>25.32</v>
      </c>
      <c r="D451" s="105">
        <v>7.1999999999999995E-2</v>
      </c>
      <c r="I451" s="84" t="s">
        <v>12</v>
      </c>
      <c r="K451" s="172">
        <v>16.411819000000001</v>
      </c>
      <c r="L451" s="92"/>
      <c r="M451" s="92"/>
    </row>
    <row r="452" spans="1:13" ht="13.2">
      <c r="A452" s="167" t="s">
        <v>17</v>
      </c>
      <c r="B452" s="92">
        <v>393.75587772</v>
      </c>
      <c r="C452" s="105">
        <v>25.32</v>
      </c>
      <c r="D452" s="105">
        <v>7.1999999999999995E-2</v>
      </c>
      <c r="I452" s="84" t="s">
        <v>12</v>
      </c>
      <c r="K452" s="172">
        <v>16.5257276</v>
      </c>
      <c r="L452" s="92"/>
      <c r="M452" s="92"/>
    </row>
    <row r="453" spans="1:13" ht="13.2">
      <c r="A453" s="167" t="s">
        <v>17</v>
      </c>
      <c r="B453" s="92">
        <v>470.24985354</v>
      </c>
      <c r="C453" s="105">
        <v>25.32</v>
      </c>
      <c r="D453" s="105">
        <v>7.1999999999999995E-2</v>
      </c>
      <c r="I453" s="84" t="s">
        <v>12</v>
      </c>
      <c r="K453" s="172">
        <v>16.755921000000001</v>
      </c>
      <c r="L453" s="92"/>
      <c r="M453" s="92"/>
    </row>
    <row r="454" spans="1:13" ht="13.2">
      <c r="A454" s="167" t="s">
        <v>17</v>
      </c>
      <c r="B454" s="92">
        <v>1941.509427</v>
      </c>
      <c r="C454" s="105">
        <v>25.32</v>
      </c>
      <c r="D454" s="105">
        <v>7.1999999999999995E-2</v>
      </c>
      <c r="I454" s="84" t="s">
        <v>12</v>
      </c>
      <c r="K454" s="172">
        <v>17.054729900000002</v>
      </c>
      <c r="L454" s="92"/>
      <c r="M454" s="92"/>
    </row>
    <row r="455" spans="1:13" ht="13.2">
      <c r="A455" s="167" t="s">
        <v>17</v>
      </c>
      <c r="B455" s="92">
        <v>2372.7622704</v>
      </c>
      <c r="C455" s="105">
        <v>25.32</v>
      </c>
      <c r="D455" s="105">
        <v>7.1999999999999995E-2</v>
      </c>
      <c r="I455" s="84" t="s">
        <v>12</v>
      </c>
      <c r="K455" s="172">
        <v>17.439094900000001</v>
      </c>
      <c r="L455" s="92"/>
      <c r="M455" s="92"/>
    </row>
    <row r="456" spans="1:13" ht="13.2">
      <c r="A456" s="167" t="s">
        <v>17</v>
      </c>
      <c r="B456" s="92">
        <v>2906.4994584000001</v>
      </c>
      <c r="C456" s="105">
        <v>25.32</v>
      </c>
      <c r="D456" s="105">
        <v>7.1999999999999995E-2</v>
      </c>
      <c r="I456" s="84" t="s">
        <v>12</v>
      </c>
      <c r="K456" s="172">
        <v>17.722826000000001</v>
      </c>
      <c r="L456" s="92"/>
      <c r="M456" s="92"/>
    </row>
    <row r="457" spans="1:13" ht="13.2">
      <c r="A457" s="167" t="s">
        <v>17</v>
      </c>
      <c r="B457" s="92">
        <v>3291.860655</v>
      </c>
      <c r="C457" s="105">
        <v>25.32</v>
      </c>
      <c r="D457" s="105">
        <v>7.1999999999999995E-2</v>
      </c>
      <c r="I457" s="84" t="s">
        <v>12</v>
      </c>
      <c r="K457" s="172">
        <v>18.360564499999999</v>
      </c>
      <c r="L457" s="92"/>
      <c r="M457" s="92"/>
    </row>
    <row r="458" spans="1:13" ht="13.2">
      <c r="A458" s="167" t="s">
        <v>17</v>
      </c>
      <c r="B458" s="92">
        <v>3832.9089095999998</v>
      </c>
      <c r="C458" s="105">
        <v>25.32</v>
      </c>
      <c r="D458" s="105">
        <v>7.1999999999999995E-2</v>
      </c>
      <c r="I458" s="84" t="s">
        <v>12</v>
      </c>
      <c r="K458" s="172">
        <v>18.919200400000001</v>
      </c>
      <c r="L458" s="92"/>
      <c r="M458" s="92"/>
    </row>
    <row r="459" spans="1:13" ht="13.2">
      <c r="A459" s="167" t="s">
        <v>17</v>
      </c>
      <c r="B459" s="92">
        <v>4341.0990492000001</v>
      </c>
      <c r="C459" s="105">
        <v>25.32</v>
      </c>
      <c r="D459" s="105">
        <v>7.1999999999999995E-2</v>
      </c>
      <c r="I459" s="84" t="s">
        <v>12</v>
      </c>
      <c r="K459" s="172">
        <v>19.360459200000001</v>
      </c>
      <c r="L459" s="92"/>
      <c r="M459" s="92"/>
    </row>
    <row r="460" spans="1:13" ht="13.2">
      <c r="A460" s="167" t="s">
        <v>17</v>
      </c>
      <c r="B460" s="92">
        <v>4588.0827953999997</v>
      </c>
      <c r="C460" s="105">
        <v>25.32</v>
      </c>
      <c r="D460" s="105">
        <v>7.1999999999999995E-2</v>
      </c>
      <c r="I460" s="84" t="s">
        <v>12</v>
      </c>
      <c r="K460" s="172">
        <v>19.9035747</v>
      </c>
      <c r="L460" s="92"/>
      <c r="M460" s="92"/>
    </row>
    <row r="461" spans="1:13" ht="13.2">
      <c r="A461" s="167" t="s">
        <v>17</v>
      </c>
      <c r="B461" s="92">
        <v>5479.3982376000004</v>
      </c>
      <c r="C461" s="105">
        <v>25.32</v>
      </c>
      <c r="D461" s="105">
        <v>7.1999999999999995E-2</v>
      </c>
      <c r="I461" s="84" t="s">
        <v>12</v>
      </c>
      <c r="K461" s="172">
        <v>20.493402799999998</v>
      </c>
      <c r="L461" s="92"/>
      <c r="M461" s="92"/>
    </row>
    <row r="462" spans="1:13" ht="13.2">
      <c r="A462" s="167" t="s">
        <v>17</v>
      </c>
      <c r="B462" s="92">
        <v>6604.4931779999997</v>
      </c>
      <c r="C462" s="105">
        <v>25.32</v>
      </c>
      <c r="D462" s="105">
        <v>7.1999999999999995E-2</v>
      </c>
      <c r="I462" s="84" t="s">
        <v>12</v>
      </c>
      <c r="K462" s="172">
        <v>21.510033799999999</v>
      </c>
      <c r="L462" s="92"/>
      <c r="M462" s="92"/>
    </row>
    <row r="463" spans="1:13" ht="13.2">
      <c r="A463" s="167" t="s">
        <v>17</v>
      </c>
      <c r="B463" s="92">
        <v>6996.3657720000001</v>
      </c>
      <c r="C463" s="105">
        <v>25.32</v>
      </c>
      <c r="D463" s="105">
        <v>7.1999999999999995E-2</v>
      </c>
      <c r="I463" s="84" t="s">
        <v>12</v>
      </c>
      <c r="K463" s="172">
        <v>21.759430099999999</v>
      </c>
      <c r="L463" s="92"/>
      <c r="M463" s="92"/>
    </row>
    <row r="464" spans="1:13" ht="13.2">
      <c r="A464" s="167" t="s">
        <v>17</v>
      </c>
      <c r="B464" s="92">
        <v>8165.0877300000002</v>
      </c>
      <c r="C464" s="105">
        <v>25.32</v>
      </c>
      <c r="D464" s="105">
        <v>7.1999999999999995E-2</v>
      </c>
      <c r="I464" s="84" t="s">
        <v>12</v>
      </c>
      <c r="K464" s="172">
        <v>22.232734700000002</v>
      </c>
      <c r="L464" s="92"/>
      <c r="M464" s="92"/>
    </row>
    <row r="465" spans="1:13" ht="13.2">
      <c r="A465" s="167" t="s">
        <v>17</v>
      </c>
      <c r="B465" s="92">
        <v>9078.6589199999999</v>
      </c>
      <c r="C465" s="105">
        <v>25.32</v>
      </c>
      <c r="D465" s="105">
        <v>7.1999999999999995E-2</v>
      </c>
      <c r="I465" s="84" t="s">
        <v>12</v>
      </c>
      <c r="K465" s="172">
        <v>23.103670699999999</v>
      </c>
      <c r="L465" s="92"/>
      <c r="M465" s="92"/>
    </row>
    <row r="466" spans="1:13" ht="13.2">
      <c r="A466" s="167" t="s">
        <v>17</v>
      </c>
      <c r="B466" s="92">
        <v>230.63288309999999</v>
      </c>
      <c r="C466" s="84">
        <v>40.5</v>
      </c>
      <c r="D466" s="84">
        <v>0.52300000000000002</v>
      </c>
      <c r="I466" s="84" t="s">
        <v>12</v>
      </c>
      <c r="K466" s="172">
        <v>22.0794888</v>
      </c>
      <c r="L466" s="92"/>
      <c r="M466" s="92"/>
    </row>
    <row r="467" spans="1:13" ht="13.2">
      <c r="A467" s="167" t="s">
        <v>17</v>
      </c>
      <c r="B467" s="92">
        <v>374.28140525999999</v>
      </c>
      <c r="C467" s="84">
        <v>40.5</v>
      </c>
      <c r="D467" s="84">
        <v>0.52300000000000002</v>
      </c>
      <c r="I467" s="84" t="s">
        <v>12</v>
      </c>
      <c r="K467" s="172">
        <v>21.994810000000001</v>
      </c>
      <c r="L467" s="92"/>
      <c r="M467" s="92"/>
    </row>
    <row r="468" spans="1:13" ht="13.2">
      <c r="A468" s="167" t="s">
        <v>17</v>
      </c>
      <c r="B468" s="88">
        <v>513.30874896</v>
      </c>
      <c r="C468" s="84">
        <v>40.5</v>
      </c>
      <c r="D468" s="84">
        <v>0.52300000000000002</v>
      </c>
      <c r="I468" s="84" t="s">
        <v>12</v>
      </c>
      <c r="K468" s="172">
        <v>22.490511699999999</v>
      </c>
      <c r="L468" s="88"/>
      <c r="M468" s="88"/>
    </row>
    <row r="469" spans="1:13" ht="13.2">
      <c r="A469" s="167" t="s">
        <v>17</v>
      </c>
      <c r="B469" s="92">
        <v>868.31901600000003</v>
      </c>
      <c r="C469" s="84">
        <v>40.5</v>
      </c>
      <c r="D469" s="84">
        <v>0.52300000000000002</v>
      </c>
      <c r="I469" s="84" t="s">
        <v>12</v>
      </c>
      <c r="K469" s="172">
        <v>22.062525900000001</v>
      </c>
      <c r="L469" s="92"/>
      <c r="M469" s="92"/>
    </row>
    <row r="470" spans="1:13" ht="13.2">
      <c r="A470" s="167" t="s">
        <v>17</v>
      </c>
      <c r="B470" s="92">
        <v>2173.7223227999998</v>
      </c>
      <c r="C470" s="84">
        <v>40.5</v>
      </c>
      <c r="D470" s="84">
        <v>0.52300000000000002</v>
      </c>
      <c r="I470" s="84" t="s">
        <v>12</v>
      </c>
      <c r="K470" s="172">
        <v>23.606214699999999</v>
      </c>
      <c r="L470" s="92"/>
      <c r="M470" s="92"/>
    </row>
    <row r="471" spans="1:13" ht="13.2">
      <c r="A471" s="167" t="s">
        <v>17</v>
      </c>
      <c r="B471" s="92">
        <v>2507.7588942000002</v>
      </c>
      <c r="C471" s="84">
        <v>40.5</v>
      </c>
      <c r="D471" s="84">
        <v>0.52300000000000002</v>
      </c>
      <c r="I471" s="84" t="s">
        <v>12</v>
      </c>
      <c r="K471" s="172">
        <v>23.569959999999998</v>
      </c>
      <c r="L471" s="92"/>
      <c r="M471" s="92"/>
    </row>
    <row r="472" spans="1:13" ht="13.2">
      <c r="A472" s="167" t="s">
        <v>17</v>
      </c>
      <c r="B472" s="92">
        <v>2967.4407581999999</v>
      </c>
      <c r="C472" s="84">
        <v>40.5</v>
      </c>
      <c r="D472" s="84">
        <v>0.52300000000000002</v>
      </c>
      <c r="I472" s="84" t="s">
        <v>12</v>
      </c>
      <c r="K472" s="172">
        <v>24.343154500000001</v>
      </c>
      <c r="L472" s="92"/>
      <c r="M472" s="92"/>
    </row>
    <row r="473" spans="1:13" ht="13.2">
      <c r="A473" s="167" t="s">
        <v>17</v>
      </c>
      <c r="B473" s="92">
        <v>3439.2720042000001</v>
      </c>
      <c r="C473" s="84">
        <v>40.5</v>
      </c>
      <c r="D473" s="84">
        <v>0.52300000000000002</v>
      </c>
      <c r="I473" s="84" t="s">
        <v>12</v>
      </c>
      <c r="K473" s="172">
        <v>24.474464099999999</v>
      </c>
      <c r="L473" s="92"/>
      <c r="M473" s="92"/>
    </row>
    <row r="474" spans="1:13" ht="13.2">
      <c r="A474" s="167" t="s">
        <v>17</v>
      </c>
      <c r="B474" s="92">
        <v>4174.2379469999996</v>
      </c>
      <c r="C474" s="84">
        <v>40.5</v>
      </c>
      <c r="D474" s="84">
        <v>0.52300000000000002</v>
      </c>
      <c r="I474" s="84" t="s">
        <v>12</v>
      </c>
      <c r="K474" s="84">
        <v>25.141714700000001</v>
      </c>
      <c r="L474" s="92"/>
      <c r="M474" s="92"/>
    </row>
    <row r="475" spans="1:13" ht="13.2">
      <c r="A475" s="167" t="s">
        <v>17</v>
      </c>
      <c r="B475" s="92">
        <v>4619.9289173999996</v>
      </c>
      <c r="C475" s="84">
        <v>40.5</v>
      </c>
      <c r="D475" s="84">
        <v>0.52300000000000002</v>
      </c>
      <c r="I475" s="84" t="s">
        <v>12</v>
      </c>
      <c r="K475" s="84">
        <v>25.4919236</v>
      </c>
      <c r="L475" s="92"/>
      <c r="M475" s="92"/>
    </row>
    <row r="476" spans="1:13" ht="13.2">
      <c r="A476" s="167" t="s">
        <v>17</v>
      </c>
      <c r="B476" s="92">
        <v>5466.7796826000003</v>
      </c>
      <c r="C476" s="84">
        <v>40.5</v>
      </c>
      <c r="D476" s="84">
        <v>0.52300000000000002</v>
      </c>
      <c r="I476" s="84" t="s">
        <v>12</v>
      </c>
      <c r="K476" s="84">
        <v>26.247356799999999</v>
      </c>
      <c r="L476" s="92"/>
      <c r="M476" s="92"/>
    </row>
    <row r="477" spans="1:13" ht="13.2">
      <c r="A477" s="167" t="s">
        <v>17</v>
      </c>
      <c r="B477" s="92">
        <v>7110.2012699999996</v>
      </c>
      <c r="C477" s="84">
        <v>40.5</v>
      </c>
      <c r="D477" s="84">
        <v>0.52300000000000002</v>
      </c>
      <c r="I477" s="84" t="s">
        <v>12</v>
      </c>
      <c r="K477" s="84">
        <v>27.6130201</v>
      </c>
      <c r="L477" s="92"/>
      <c r="M477" s="92"/>
    </row>
    <row r="478" spans="1:13" ht="13.2">
      <c r="A478" s="167" t="s">
        <v>17</v>
      </c>
      <c r="B478" s="92">
        <v>11432.821206000001</v>
      </c>
      <c r="C478" s="84">
        <v>40.5</v>
      </c>
      <c r="D478" s="84">
        <v>0.52300000000000002</v>
      </c>
      <c r="I478" s="84" t="s">
        <v>12</v>
      </c>
      <c r="K478" s="84">
        <v>30.4440016</v>
      </c>
      <c r="L478" s="92"/>
      <c r="M478" s="92"/>
    </row>
    <row r="479" spans="1:13" ht="13.2">
      <c r="A479" s="167" t="s">
        <v>17</v>
      </c>
      <c r="B479" s="92">
        <v>12027.698694000001</v>
      </c>
      <c r="C479" s="84">
        <v>40.5</v>
      </c>
      <c r="D479" s="84">
        <v>0.52300000000000002</v>
      </c>
      <c r="I479" s="84" t="s">
        <v>12</v>
      </c>
      <c r="K479" s="84">
        <v>30.584706499999999</v>
      </c>
      <c r="L479" s="92"/>
      <c r="M479" s="92"/>
    </row>
    <row r="480" spans="1:13" ht="13.2">
      <c r="A480" s="167" t="s">
        <v>17</v>
      </c>
      <c r="B480" s="92">
        <v>238.74867408</v>
      </c>
      <c r="C480" s="84">
        <v>40.5</v>
      </c>
      <c r="D480" s="84">
        <v>0.3725</v>
      </c>
      <c r="I480" s="84" t="s">
        <v>12</v>
      </c>
      <c r="K480" s="84">
        <v>20.180820799999999</v>
      </c>
      <c r="L480" s="92"/>
      <c r="M480" s="92"/>
    </row>
    <row r="481" spans="1:13" ht="13.2">
      <c r="A481" s="167" t="s">
        <v>17</v>
      </c>
      <c r="B481" s="92">
        <v>576.02944955999999</v>
      </c>
      <c r="C481" s="84">
        <v>40.5</v>
      </c>
      <c r="D481" s="84">
        <v>0.3725</v>
      </c>
      <c r="I481" s="84" t="s">
        <v>12</v>
      </c>
      <c r="K481" s="84">
        <v>19.9955642</v>
      </c>
      <c r="L481" s="92"/>
      <c r="M481" s="92"/>
    </row>
    <row r="482" spans="1:13" ht="13.2">
      <c r="A482" s="167" t="s">
        <v>17</v>
      </c>
      <c r="B482" s="88">
        <v>723.72754980000002</v>
      </c>
      <c r="C482" s="84">
        <v>40.5</v>
      </c>
      <c r="D482" s="84">
        <v>0.3725</v>
      </c>
      <c r="I482" s="84" t="s">
        <v>12</v>
      </c>
      <c r="K482" s="84">
        <v>20.352145799999999</v>
      </c>
      <c r="L482" s="88"/>
      <c r="M482" s="88"/>
    </row>
    <row r="483" spans="1:13" ht="13.2">
      <c r="A483" s="167" t="s">
        <v>17</v>
      </c>
      <c r="B483" s="92">
        <v>2168.7164388000001</v>
      </c>
      <c r="C483" s="84">
        <v>40.5</v>
      </c>
      <c r="D483" s="84">
        <v>0.3725</v>
      </c>
      <c r="I483" s="84" t="s">
        <v>12</v>
      </c>
      <c r="K483" s="84">
        <v>22.147468199999999</v>
      </c>
      <c r="L483" s="92"/>
      <c r="M483" s="92"/>
    </row>
    <row r="484" spans="1:13" ht="13.2">
      <c r="A484" s="167" t="s">
        <v>17</v>
      </c>
      <c r="B484" s="92">
        <v>4050.9795389999999</v>
      </c>
      <c r="C484" s="84">
        <v>40.5</v>
      </c>
      <c r="D484" s="84">
        <v>0.3725</v>
      </c>
      <c r="I484" s="84" t="s">
        <v>12</v>
      </c>
      <c r="K484" s="84">
        <v>24.2125494</v>
      </c>
      <c r="L484" s="92"/>
      <c r="M484" s="92"/>
    </row>
    <row r="485" spans="1:13" ht="13.2">
      <c r="A485" s="167" t="s">
        <v>17</v>
      </c>
      <c r="B485" s="92">
        <v>4281.4587683999998</v>
      </c>
      <c r="C485" s="84">
        <v>40.5</v>
      </c>
      <c r="D485" s="84">
        <v>0.3725</v>
      </c>
      <c r="I485" s="84" t="s">
        <v>12</v>
      </c>
      <c r="K485" s="84">
        <v>24.625400800000001</v>
      </c>
      <c r="L485" s="92"/>
      <c r="M485" s="92"/>
    </row>
    <row r="486" spans="1:13" ht="13.2">
      <c r="A486" s="167" t="s">
        <v>17</v>
      </c>
      <c r="B486" s="92">
        <v>5354.5082928000002</v>
      </c>
      <c r="C486" s="84">
        <v>40.5</v>
      </c>
      <c r="D486" s="84">
        <v>0.3725</v>
      </c>
      <c r="I486" s="84" t="s">
        <v>12</v>
      </c>
      <c r="K486" s="84">
        <v>25.5704061</v>
      </c>
      <c r="L486" s="92"/>
      <c r="M486" s="92"/>
    </row>
    <row r="487" spans="1:13" ht="13.2">
      <c r="A487" s="167" t="s">
        <v>17</v>
      </c>
      <c r="B487" s="92">
        <v>5885.3704613999998</v>
      </c>
      <c r="C487" s="84">
        <v>40.5</v>
      </c>
      <c r="D487" s="84">
        <v>0.3725</v>
      </c>
      <c r="I487" s="84" t="s">
        <v>12</v>
      </c>
      <c r="K487" s="84">
        <v>26.006412099999999</v>
      </c>
      <c r="L487" s="92"/>
      <c r="M487" s="92"/>
    </row>
    <row r="488" spans="1:13" ht="13.2">
      <c r="A488" s="167" t="s">
        <v>17</v>
      </c>
      <c r="B488" s="92">
        <v>6836.9001360000002</v>
      </c>
      <c r="C488" s="84">
        <v>40.5</v>
      </c>
      <c r="D488" s="84">
        <v>0.3725</v>
      </c>
      <c r="I488" s="84" t="s">
        <v>12</v>
      </c>
      <c r="K488" s="84">
        <v>26.921530199999999</v>
      </c>
      <c r="L488" s="92"/>
      <c r="M488" s="92"/>
    </row>
    <row r="489" spans="1:13" ht="13.2">
      <c r="A489" s="167" t="s">
        <v>17</v>
      </c>
      <c r="B489" s="92">
        <v>8221.7589059999991</v>
      </c>
      <c r="C489" s="84">
        <v>40.5</v>
      </c>
      <c r="D489" s="84">
        <v>0.3725</v>
      </c>
      <c r="I489" s="84" t="s">
        <v>12</v>
      </c>
      <c r="K489" s="84">
        <v>28.191974600000002</v>
      </c>
      <c r="L489" s="92"/>
      <c r="M489" s="92"/>
    </row>
    <row r="490" spans="1:13" ht="13.2">
      <c r="A490" s="167" t="s">
        <v>17</v>
      </c>
      <c r="B490" s="92">
        <v>137.60234688</v>
      </c>
      <c r="C490" s="84">
        <v>25.32</v>
      </c>
      <c r="D490" s="84">
        <v>0.52300000000000002</v>
      </c>
      <c r="I490" s="84" t="s">
        <v>12</v>
      </c>
      <c r="K490" s="84">
        <v>16.361444599999999</v>
      </c>
      <c r="L490" s="92"/>
      <c r="M490" s="92"/>
    </row>
    <row r="491" spans="1:13" ht="13.2">
      <c r="A491" s="167" t="s">
        <v>17</v>
      </c>
      <c r="B491" s="92">
        <v>184.83942551999999</v>
      </c>
      <c r="C491" s="84">
        <v>25.32</v>
      </c>
      <c r="D491" s="84">
        <v>0.52300000000000002</v>
      </c>
      <c r="I491" s="84" t="s">
        <v>12</v>
      </c>
      <c r="K491" s="84">
        <v>16.211251300000001</v>
      </c>
      <c r="L491" s="92"/>
      <c r="M491" s="92"/>
    </row>
    <row r="492" spans="1:13" ht="13.2">
      <c r="A492" s="167" t="s">
        <v>17</v>
      </c>
      <c r="B492" s="92">
        <v>204.575028</v>
      </c>
      <c r="C492" s="84">
        <v>25.32</v>
      </c>
      <c r="D492" s="84">
        <v>0.52300000000000002</v>
      </c>
      <c r="I492" s="84" t="s">
        <v>12</v>
      </c>
      <c r="K492" s="84">
        <v>16.099507299999999</v>
      </c>
      <c r="L492" s="92"/>
      <c r="M492" s="92"/>
    </row>
    <row r="493" spans="1:13" ht="13.2">
      <c r="A493" s="167" t="s">
        <v>17</v>
      </c>
      <c r="B493" s="92">
        <v>234.92635758</v>
      </c>
      <c r="C493" s="84">
        <v>25.32</v>
      </c>
      <c r="D493" s="84">
        <v>0.52300000000000002</v>
      </c>
      <c r="I493" s="84" t="s">
        <v>12</v>
      </c>
      <c r="K493" s="84">
        <v>16.198795700000002</v>
      </c>
      <c r="L493" s="92"/>
      <c r="M493" s="92"/>
    </row>
    <row r="494" spans="1:13" ht="13.2">
      <c r="A494" s="167" t="s">
        <v>17</v>
      </c>
      <c r="B494" s="92">
        <v>372.55937669999997</v>
      </c>
      <c r="C494" s="84">
        <v>25.32</v>
      </c>
      <c r="D494" s="84">
        <v>0.52300000000000002</v>
      </c>
      <c r="I494" s="84" t="s">
        <v>12</v>
      </c>
      <c r="K494" s="84">
        <v>16.198795700000002</v>
      </c>
      <c r="L494" s="92"/>
      <c r="M494" s="92"/>
    </row>
    <row r="495" spans="1:13" ht="13.2">
      <c r="A495" s="167" t="s">
        <v>17</v>
      </c>
      <c r="B495" s="92">
        <v>437.81206902000002</v>
      </c>
      <c r="C495" s="84">
        <v>25.32</v>
      </c>
      <c r="D495" s="84">
        <v>0.52300000000000002</v>
      </c>
      <c r="I495" s="84" t="s">
        <v>12</v>
      </c>
      <c r="K495" s="84">
        <v>16.538432400000001</v>
      </c>
      <c r="L495" s="92"/>
      <c r="M495" s="92"/>
    </row>
    <row r="496" spans="1:13" ht="13.2">
      <c r="A496" s="167" t="s">
        <v>17</v>
      </c>
      <c r="B496" s="92">
        <v>546.27869711999995</v>
      </c>
      <c r="C496" s="84">
        <v>25.32</v>
      </c>
      <c r="D496" s="84">
        <v>0.52300000000000002</v>
      </c>
      <c r="I496" s="84" t="s">
        <v>12</v>
      </c>
      <c r="K496" s="84">
        <v>16.538432400000001</v>
      </c>
      <c r="L496" s="92"/>
      <c r="M496" s="92"/>
    </row>
    <row r="497" spans="1:13" ht="13.2">
      <c r="A497" s="167" t="s">
        <v>17</v>
      </c>
      <c r="B497" s="92">
        <v>1742.117847</v>
      </c>
      <c r="C497" s="84">
        <v>25.32</v>
      </c>
      <c r="D497" s="84">
        <v>0.52300000000000002</v>
      </c>
      <c r="I497" s="84" t="s">
        <v>12</v>
      </c>
      <c r="K497" s="84">
        <v>16.8981703</v>
      </c>
      <c r="L497" s="92"/>
      <c r="M497" s="92"/>
    </row>
    <row r="498" spans="1:13" ht="13.2">
      <c r="A498" s="167" t="s">
        <v>17</v>
      </c>
      <c r="B498" s="92">
        <v>2687.3573778</v>
      </c>
      <c r="C498" s="84">
        <v>25.32</v>
      </c>
      <c r="D498" s="84">
        <v>0.52300000000000002</v>
      </c>
      <c r="I498" s="84" t="s">
        <v>12</v>
      </c>
      <c r="K498" s="84">
        <v>17.7092101</v>
      </c>
      <c r="L498" s="92"/>
      <c r="M498" s="92"/>
    </row>
    <row r="499" spans="1:13" ht="13.2">
      <c r="A499" s="167" t="s">
        <v>17</v>
      </c>
      <c r="B499" s="88">
        <v>3527.6129129999999</v>
      </c>
      <c r="C499" s="84">
        <v>25.32</v>
      </c>
      <c r="D499" s="84">
        <v>0.52300000000000002</v>
      </c>
      <c r="I499" s="84" t="s">
        <v>12</v>
      </c>
      <c r="K499" s="84">
        <v>18.774360399999999</v>
      </c>
      <c r="L499" s="88"/>
      <c r="M499" s="88"/>
    </row>
    <row r="500" spans="1:13" ht="13.2">
      <c r="A500" s="167" t="s">
        <v>17</v>
      </c>
      <c r="B500" s="92">
        <v>4826.8119005999997</v>
      </c>
      <c r="C500" s="84">
        <v>25.32</v>
      </c>
      <c r="D500" s="84">
        <v>0.52300000000000002</v>
      </c>
      <c r="I500" s="84" t="s">
        <v>12</v>
      </c>
      <c r="K500" s="84">
        <v>20.026322199999999</v>
      </c>
      <c r="L500" s="92"/>
      <c r="M500" s="92"/>
    </row>
    <row r="501" spans="1:13" ht="13.2">
      <c r="A501" s="167" t="s">
        <v>17</v>
      </c>
      <c r="B501" s="92">
        <v>5981.1247854000003</v>
      </c>
      <c r="C501" s="84">
        <v>25.32</v>
      </c>
      <c r="D501" s="84">
        <v>0.52300000000000002</v>
      </c>
      <c r="I501" s="84" t="s">
        <v>12</v>
      </c>
      <c r="K501" s="84">
        <v>21.003634999999999</v>
      </c>
      <c r="L501" s="92"/>
      <c r="M501" s="92"/>
    </row>
    <row r="502" spans="1:13" ht="13.2">
      <c r="A502" s="167" t="s">
        <v>17</v>
      </c>
      <c r="B502" s="92">
        <v>118.89267498</v>
      </c>
      <c r="C502" s="84">
        <v>25.32</v>
      </c>
      <c r="D502" s="84">
        <v>0.3725</v>
      </c>
      <c r="I502" s="84" t="s">
        <v>12</v>
      </c>
      <c r="K502" s="92">
        <v>14.3951201</v>
      </c>
      <c r="L502" s="92"/>
      <c r="M502" s="92"/>
    </row>
    <row r="503" spans="1:13" ht="13.2">
      <c r="A503" s="167" t="s">
        <v>17</v>
      </c>
      <c r="B503" s="92">
        <v>201.91011036</v>
      </c>
      <c r="C503" s="84">
        <v>25.32</v>
      </c>
      <c r="D503" s="84">
        <v>0.3725</v>
      </c>
      <c r="I503" s="84" t="s">
        <v>12</v>
      </c>
      <c r="K503" s="92">
        <v>14.550350699999999</v>
      </c>
      <c r="L503" s="92"/>
      <c r="M503" s="92"/>
    </row>
    <row r="504" spans="1:13" ht="13.2">
      <c r="A504" s="167" t="s">
        <v>17</v>
      </c>
      <c r="B504" s="92">
        <v>354.12889794</v>
      </c>
      <c r="C504" s="84">
        <v>25.32</v>
      </c>
      <c r="D504" s="84">
        <v>0.3725</v>
      </c>
      <c r="I504" s="84" t="s">
        <v>12</v>
      </c>
      <c r="K504" s="92">
        <v>14.5058288</v>
      </c>
      <c r="L504" s="92"/>
      <c r="M504" s="92"/>
    </row>
    <row r="505" spans="1:13" ht="13.2">
      <c r="A505" s="167" t="s">
        <v>17</v>
      </c>
      <c r="B505" s="92">
        <v>544.70790102000001</v>
      </c>
      <c r="C505" s="84">
        <v>25.32</v>
      </c>
      <c r="D505" s="84">
        <v>0.3725</v>
      </c>
      <c r="I505" s="84" t="s">
        <v>12</v>
      </c>
      <c r="K505" s="92">
        <v>14.5838304</v>
      </c>
      <c r="L505" s="92"/>
      <c r="M505" s="92"/>
    </row>
    <row r="506" spans="1:13" ht="13.2">
      <c r="A506" s="167" t="s">
        <v>17</v>
      </c>
      <c r="B506" s="92">
        <v>1096.9014420000001</v>
      </c>
      <c r="C506" s="84">
        <v>25.32</v>
      </c>
      <c r="D506" s="84">
        <v>0.3725</v>
      </c>
      <c r="I506" s="84" t="s">
        <v>12</v>
      </c>
      <c r="K506" s="92">
        <v>15.049195599999999</v>
      </c>
      <c r="L506" s="92"/>
      <c r="M506" s="92"/>
    </row>
    <row r="507" spans="1:13" ht="13.2">
      <c r="A507" s="167" t="s">
        <v>17</v>
      </c>
      <c r="B507" s="92">
        <v>1239.2767968000001</v>
      </c>
      <c r="C507" s="84">
        <v>25.32</v>
      </c>
      <c r="D507" s="84">
        <v>0.3725</v>
      </c>
      <c r="I507" s="84" t="s">
        <v>12</v>
      </c>
      <c r="K507" s="92">
        <v>15.3167221</v>
      </c>
      <c r="L507" s="92"/>
      <c r="M507" s="92"/>
    </row>
    <row r="508" spans="1:13" ht="13.2">
      <c r="A508" s="167" t="s">
        <v>17</v>
      </c>
      <c r="B508" s="92">
        <v>1503.7287335999999</v>
      </c>
      <c r="C508" s="84">
        <v>25.32</v>
      </c>
      <c r="D508" s="84">
        <v>0.3725</v>
      </c>
      <c r="I508" s="84" t="s">
        <v>12</v>
      </c>
      <c r="K508" s="92">
        <v>15.565139</v>
      </c>
      <c r="L508" s="92"/>
      <c r="M508" s="92"/>
    </row>
    <row r="509" spans="1:13" ht="13.2">
      <c r="A509" s="167" t="s">
        <v>17</v>
      </c>
      <c r="B509" s="92">
        <v>1714.6289952</v>
      </c>
      <c r="C509" s="84">
        <v>25.32</v>
      </c>
      <c r="D509" s="84">
        <v>0.3725</v>
      </c>
      <c r="I509" s="84" t="s">
        <v>12</v>
      </c>
      <c r="K509" s="92">
        <v>16.098776999999998</v>
      </c>
      <c r="L509" s="92"/>
      <c r="M509" s="92"/>
    </row>
    <row r="510" spans="1:13" ht="13.2">
      <c r="A510" s="167" t="s">
        <v>17</v>
      </c>
      <c r="B510" s="92">
        <v>2042.542518</v>
      </c>
      <c r="C510" s="84">
        <v>25.32</v>
      </c>
      <c r="D510" s="84">
        <v>0.3725</v>
      </c>
      <c r="I510" s="84" t="s">
        <v>12</v>
      </c>
      <c r="K510" s="92">
        <v>16.322318800000001</v>
      </c>
      <c r="L510" s="92"/>
      <c r="M510" s="92"/>
    </row>
    <row r="511" spans="1:13" ht="13.2">
      <c r="A511" s="167" t="s">
        <v>17</v>
      </c>
      <c r="B511" s="92">
        <v>2680.2340482</v>
      </c>
      <c r="C511" s="84">
        <v>25.32</v>
      </c>
      <c r="D511" s="84">
        <v>0.3725</v>
      </c>
      <c r="I511" s="84" t="s">
        <v>12</v>
      </c>
      <c r="K511" s="92">
        <v>16.9726924</v>
      </c>
      <c r="L511" s="92"/>
      <c r="M511" s="92"/>
    </row>
    <row r="512" spans="1:13" ht="13.2">
      <c r="A512" s="167" t="s">
        <v>17</v>
      </c>
      <c r="B512" s="92">
        <v>3312.6379505999998</v>
      </c>
      <c r="C512" s="84">
        <v>25.32</v>
      </c>
      <c r="D512" s="84">
        <v>0.3725</v>
      </c>
      <c r="I512" s="84" t="s">
        <v>12</v>
      </c>
      <c r="K512" s="92">
        <v>17.5815017</v>
      </c>
      <c r="L512" s="92"/>
      <c r="M512" s="92"/>
    </row>
    <row r="513" spans="1:13" ht="13.2">
      <c r="A513" s="167" t="s">
        <v>17</v>
      </c>
      <c r="B513" s="92">
        <v>3820.9798350000001</v>
      </c>
      <c r="C513" s="84">
        <v>25.32</v>
      </c>
      <c r="D513" s="84">
        <v>0.3725</v>
      </c>
      <c r="I513" s="84" t="s">
        <v>12</v>
      </c>
      <c r="K513" s="92">
        <v>18.2820483</v>
      </c>
      <c r="L513" s="92"/>
      <c r="M513" s="92"/>
    </row>
    <row r="514" spans="1:13" ht="13.2">
      <c r="A514" s="167" t="s">
        <v>17</v>
      </c>
      <c r="B514" s="92">
        <v>4832.5465818000002</v>
      </c>
      <c r="C514" s="84">
        <v>25.32</v>
      </c>
      <c r="D514" s="84">
        <v>0.3725</v>
      </c>
      <c r="G514" s="92"/>
      <c r="H514" s="92"/>
      <c r="I514" s="84" t="s">
        <v>12</v>
      </c>
      <c r="K514" s="92">
        <v>19.274481600000001</v>
      </c>
      <c r="L514" s="92"/>
      <c r="M514" s="92"/>
    </row>
    <row r="515" spans="1:13" ht="13.2">
      <c r="A515" s="167" t="s">
        <v>17</v>
      </c>
      <c r="C515" s="84">
        <v>25.32</v>
      </c>
      <c r="E515" s="84">
        <v>5.6583258900000002E-2</v>
      </c>
      <c r="G515" s="92"/>
      <c r="H515" s="92"/>
      <c r="I515" s="84" t="s">
        <v>12</v>
      </c>
      <c r="K515" s="84">
        <v>20.6410008</v>
      </c>
      <c r="L515" s="173"/>
    </row>
    <row r="516" spans="1:13" ht="13.2">
      <c r="A516" s="167" t="s">
        <v>17</v>
      </c>
      <c r="C516" s="84">
        <v>25.32</v>
      </c>
      <c r="E516" s="84">
        <v>0.16931445989999999</v>
      </c>
      <c r="G516" s="92"/>
      <c r="H516" s="92"/>
      <c r="I516" s="84" t="s">
        <v>12</v>
      </c>
      <c r="K516" s="84">
        <v>21.7789517</v>
      </c>
      <c r="L516" s="174"/>
    </row>
    <row r="517" spans="1:13" ht="13.2">
      <c r="A517" s="167" t="s">
        <v>17</v>
      </c>
      <c r="C517" s="84">
        <v>25.32</v>
      </c>
      <c r="E517" s="84">
        <v>0.297714914</v>
      </c>
      <c r="G517" s="92"/>
      <c r="H517" s="92"/>
      <c r="I517" s="84" t="s">
        <v>12</v>
      </c>
      <c r="K517" s="84">
        <v>22.669426999999999</v>
      </c>
    </row>
    <row r="518" spans="1:13" ht="13.2">
      <c r="A518" s="167" t="s">
        <v>17</v>
      </c>
      <c r="C518" s="84">
        <v>25.32</v>
      </c>
      <c r="E518" s="84">
        <v>0.59673559909999996</v>
      </c>
      <c r="F518" s="92"/>
      <c r="G518" s="92"/>
      <c r="H518" s="88"/>
      <c r="I518" s="84" t="s">
        <v>12</v>
      </c>
      <c r="K518" s="84">
        <v>24.634120100000001</v>
      </c>
    </row>
    <row r="519" spans="1:13" ht="13.2">
      <c r="A519" s="167" t="s">
        <v>17</v>
      </c>
      <c r="C519" s="84">
        <v>25.32</v>
      </c>
      <c r="E519" s="84">
        <v>5.8324275100000003E-2</v>
      </c>
      <c r="F519" s="92"/>
      <c r="G519" s="92"/>
      <c r="I519" s="84" t="s">
        <v>12</v>
      </c>
      <c r="K519" s="84">
        <v>19.138916999999999</v>
      </c>
    </row>
    <row r="520" spans="1:13" ht="13.2">
      <c r="A520" s="167" t="s">
        <v>17</v>
      </c>
      <c r="C520" s="84">
        <v>25.32</v>
      </c>
      <c r="E520" s="84">
        <v>0.16974977669999999</v>
      </c>
      <c r="F520" s="92"/>
      <c r="G520" s="92"/>
      <c r="I520" s="84" t="s">
        <v>12</v>
      </c>
      <c r="K520" s="84">
        <v>20.429115299999999</v>
      </c>
    </row>
    <row r="521" spans="1:13" ht="13.2">
      <c r="A521" s="167" t="s">
        <v>17</v>
      </c>
      <c r="C521" s="84">
        <v>25.32</v>
      </c>
      <c r="E521" s="84">
        <v>0.30032645619999998</v>
      </c>
      <c r="F521" s="92"/>
      <c r="G521" s="92"/>
      <c r="I521" s="84" t="s">
        <v>12</v>
      </c>
      <c r="K521" s="84">
        <v>21.3503528</v>
      </c>
    </row>
    <row r="522" spans="1:13" ht="13.2">
      <c r="A522" s="167" t="s">
        <v>17</v>
      </c>
      <c r="C522" s="84">
        <v>25.32</v>
      </c>
      <c r="E522" s="84">
        <v>0.59978238640000003</v>
      </c>
      <c r="F522" s="92"/>
      <c r="G522" s="92"/>
      <c r="I522" s="84" t="s">
        <v>12</v>
      </c>
      <c r="K522" s="84">
        <v>23.134603599999998</v>
      </c>
    </row>
    <row r="523" spans="1:13" ht="13.2">
      <c r="A523" s="167" t="s">
        <v>17</v>
      </c>
      <c r="C523" s="84">
        <v>25.32</v>
      </c>
      <c r="E523" s="84">
        <v>6.0065291200000002E-2</v>
      </c>
      <c r="F523" s="92"/>
      <c r="G523" s="92"/>
      <c r="I523" s="84" t="s">
        <v>12</v>
      </c>
      <c r="K523" s="84">
        <v>17.366101100000002</v>
      </c>
    </row>
    <row r="524" spans="1:13" ht="13.2">
      <c r="A524" s="167" t="s">
        <v>17</v>
      </c>
      <c r="C524" s="84">
        <v>25.32</v>
      </c>
      <c r="E524" s="84">
        <v>0.1719260021</v>
      </c>
      <c r="F524" s="92"/>
      <c r="G524" s="92"/>
      <c r="I524" s="84" t="s">
        <v>12</v>
      </c>
      <c r="K524" s="84">
        <v>18.315966</v>
      </c>
    </row>
    <row r="525" spans="1:13" ht="13.2">
      <c r="A525" s="167" t="s">
        <v>17</v>
      </c>
      <c r="C525" s="84">
        <v>25.32</v>
      </c>
      <c r="E525" s="84">
        <v>0.30163226319999997</v>
      </c>
      <c r="F525" s="92"/>
      <c r="G525" s="92"/>
      <c r="I525" s="84" t="s">
        <v>12</v>
      </c>
      <c r="K525" s="84">
        <v>19.204366400000001</v>
      </c>
    </row>
    <row r="526" spans="1:13" ht="13.2">
      <c r="A526" s="167" t="s">
        <v>17</v>
      </c>
      <c r="C526" s="84">
        <v>25.32</v>
      </c>
      <c r="E526" s="84">
        <v>0.60065294830000004</v>
      </c>
      <c r="F526" s="92"/>
      <c r="G526" s="92"/>
      <c r="I526" s="84" t="s">
        <v>12</v>
      </c>
      <c r="K526" s="84">
        <v>21.2518934</v>
      </c>
    </row>
    <row r="527" spans="1:13" ht="13.2">
      <c r="A527" s="167" t="s">
        <v>17</v>
      </c>
      <c r="C527" s="84">
        <v>25.32</v>
      </c>
      <c r="E527" s="84">
        <v>6.0065291200000002E-2</v>
      </c>
      <c r="F527" s="92"/>
      <c r="G527" s="92"/>
      <c r="I527" s="84" t="s">
        <v>12</v>
      </c>
      <c r="K527" s="84">
        <v>15.8194546</v>
      </c>
    </row>
    <row r="528" spans="1:13" ht="13.2">
      <c r="A528" s="167" t="s">
        <v>17</v>
      </c>
      <c r="C528" s="84">
        <v>25.32</v>
      </c>
      <c r="E528" s="84">
        <v>0.17105551190000001</v>
      </c>
      <c r="F528" s="92"/>
      <c r="G528" s="92"/>
      <c r="I528" s="84" t="s">
        <v>12</v>
      </c>
      <c r="K528" s="84">
        <v>16.641160299999999</v>
      </c>
    </row>
    <row r="529" spans="1:11" ht="13.2">
      <c r="A529" s="167" t="s">
        <v>17</v>
      </c>
      <c r="C529" s="84">
        <v>25.32</v>
      </c>
      <c r="E529" s="84">
        <v>0.30119701809999999</v>
      </c>
      <c r="F529" s="92"/>
      <c r="G529" s="92"/>
      <c r="I529" s="84" t="s">
        <v>12</v>
      </c>
      <c r="K529" s="84">
        <v>17.568836099999999</v>
      </c>
    </row>
    <row r="530" spans="1:11" ht="13.2">
      <c r="A530" s="167" t="s">
        <v>17</v>
      </c>
      <c r="C530" s="84">
        <v>25.32</v>
      </c>
      <c r="E530" s="84">
        <v>0.60021763149999996</v>
      </c>
      <c r="F530" s="92"/>
      <c r="G530" s="92"/>
      <c r="I530" s="84" t="s">
        <v>12</v>
      </c>
      <c r="K530" s="84">
        <v>19.614840099999999</v>
      </c>
    </row>
    <row r="531" spans="1:11" ht="13.2">
      <c r="A531" s="16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95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21.44140625" customWidth="1"/>
    <col min="9" max="9" width="13.88671875" customWidth="1"/>
    <col min="11" max="11" width="24.109375" customWidth="1"/>
  </cols>
  <sheetData>
    <row r="1" spans="1:11">
      <c r="A1" s="175" t="s">
        <v>50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>
      <c r="A2" s="176" t="s">
        <v>32</v>
      </c>
      <c r="B2" s="177">
        <v>96.6</v>
      </c>
      <c r="C2" s="178">
        <v>2</v>
      </c>
      <c r="D2" s="177">
        <v>7.1999999999999995E-2</v>
      </c>
      <c r="E2" s="177">
        <v>1E-3</v>
      </c>
      <c r="F2" s="177">
        <v>1000</v>
      </c>
      <c r="G2" s="177">
        <v>0</v>
      </c>
      <c r="H2" s="177">
        <v>25</v>
      </c>
      <c r="I2" s="176" t="s">
        <v>12</v>
      </c>
      <c r="J2" s="177">
        <v>1.2</v>
      </c>
      <c r="K2" s="177">
        <v>4.95</v>
      </c>
    </row>
    <row r="3" spans="1:11">
      <c r="A3" s="176" t="s">
        <v>32</v>
      </c>
      <c r="B3" s="177">
        <v>136.9</v>
      </c>
      <c r="C3" s="178">
        <v>2</v>
      </c>
      <c r="D3" s="177">
        <v>7.1999999999999995E-2</v>
      </c>
      <c r="E3" s="177">
        <v>1E-3</v>
      </c>
      <c r="F3" s="177">
        <v>1000</v>
      </c>
      <c r="G3" s="177">
        <v>0</v>
      </c>
      <c r="H3" s="177">
        <v>25</v>
      </c>
      <c r="I3" s="176" t="s">
        <v>12</v>
      </c>
      <c r="J3" s="177">
        <v>1.2</v>
      </c>
      <c r="K3" s="177">
        <v>5.41</v>
      </c>
    </row>
    <row r="4" spans="1:11">
      <c r="A4" s="176" t="s">
        <v>32</v>
      </c>
      <c r="B4" s="177">
        <v>187.2</v>
      </c>
      <c r="C4" s="178">
        <v>2</v>
      </c>
      <c r="D4" s="177">
        <v>7.1999999999999995E-2</v>
      </c>
      <c r="E4" s="177">
        <v>1E-3</v>
      </c>
      <c r="F4" s="177">
        <v>1000</v>
      </c>
      <c r="G4" s="177">
        <v>0</v>
      </c>
      <c r="H4" s="177">
        <v>25</v>
      </c>
      <c r="I4" s="176" t="s">
        <v>12</v>
      </c>
      <c r="J4" s="177">
        <v>1.2</v>
      </c>
      <c r="K4" s="177">
        <v>6.14</v>
      </c>
    </row>
    <row r="5" spans="1:11">
      <c r="A5" s="176" t="s">
        <v>32</v>
      </c>
      <c r="B5" s="177">
        <v>234.4</v>
      </c>
      <c r="C5" s="178">
        <v>2</v>
      </c>
      <c r="D5" s="177">
        <v>7.1999999999999995E-2</v>
      </c>
      <c r="E5" s="177">
        <v>1E-3</v>
      </c>
      <c r="F5" s="177">
        <v>1000</v>
      </c>
      <c r="G5" s="177">
        <v>0</v>
      </c>
      <c r="H5" s="177">
        <v>25</v>
      </c>
      <c r="I5" s="176" t="s">
        <v>12</v>
      </c>
      <c r="J5" s="177">
        <v>1.2</v>
      </c>
      <c r="K5" s="177">
        <v>6.61</v>
      </c>
    </row>
    <row r="6" spans="1:11">
      <c r="A6" s="176" t="s">
        <v>32</v>
      </c>
      <c r="B6" s="177">
        <v>285.10000000000002</v>
      </c>
      <c r="C6" s="178">
        <v>2</v>
      </c>
      <c r="D6" s="177">
        <v>7.1999999999999995E-2</v>
      </c>
      <c r="E6" s="177">
        <v>1E-3</v>
      </c>
      <c r="F6" s="177">
        <v>1000</v>
      </c>
      <c r="G6" s="177">
        <v>0</v>
      </c>
      <c r="H6" s="177">
        <v>25</v>
      </c>
      <c r="I6" s="176" t="s">
        <v>12</v>
      </c>
      <c r="J6" s="177">
        <v>1.2</v>
      </c>
      <c r="K6" s="177">
        <v>7.05</v>
      </c>
    </row>
    <row r="7" spans="1:11">
      <c r="A7" s="176" t="s">
        <v>32</v>
      </c>
      <c r="B7" s="177">
        <v>332.5</v>
      </c>
      <c r="C7" s="178">
        <v>2</v>
      </c>
      <c r="D7" s="177">
        <v>7.1999999999999995E-2</v>
      </c>
      <c r="E7" s="177">
        <v>1E-3</v>
      </c>
      <c r="F7" s="177">
        <v>1000</v>
      </c>
      <c r="G7" s="177">
        <v>0</v>
      </c>
      <c r="H7" s="177">
        <v>25</v>
      </c>
      <c r="I7" s="176" t="s">
        <v>12</v>
      </c>
      <c r="J7" s="177">
        <v>1.2</v>
      </c>
      <c r="K7" s="177">
        <v>7.41</v>
      </c>
    </row>
    <row r="8" spans="1:11">
      <c r="A8" s="176" t="s">
        <v>32</v>
      </c>
      <c r="B8" s="177">
        <v>379.4</v>
      </c>
      <c r="C8" s="178">
        <v>2</v>
      </c>
      <c r="D8" s="177">
        <v>7.1999999999999995E-2</v>
      </c>
      <c r="E8" s="177">
        <v>1E-3</v>
      </c>
      <c r="F8" s="177">
        <v>1000</v>
      </c>
      <c r="G8" s="177">
        <v>0</v>
      </c>
      <c r="H8" s="177">
        <v>25</v>
      </c>
      <c r="I8" s="176" t="s">
        <v>12</v>
      </c>
      <c r="J8" s="177">
        <v>1.2</v>
      </c>
      <c r="K8" s="177">
        <v>7.88</v>
      </c>
    </row>
    <row r="9" spans="1:11">
      <c r="A9" s="176" t="s">
        <v>32</v>
      </c>
      <c r="B9" s="177">
        <v>425.9</v>
      </c>
      <c r="C9" s="178">
        <v>2</v>
      </c>
      <c r="D9" s="177">
        <v>7.1999999999999995E-2</v>
      </c>
      <c r="E9" s="177">
        <v>1E-3</v>
      </c>
      <c r="F9" s="177">
        <v>1000</v>
      </c>
      <c r="G9" s="177">
        <v>0</v>
      </c>
      <c r="H9" s="177">
        <v>25</v>
      </c>
      <c r="I9" s="176" t="s">
        <v>12</v>
      </c>
      <c r="J9" s="177">
        <v>1.2</v>
      </c>
      <c r="K9" s="177">
        <v>8.06</v>
      </c>
    </row>
    <row r="10" spans="1:11">
      <c r="A10" s="176" t="s">
        <v>32</v>
      </c>
      <c r="B10" s="177">
        <v>422.8</v>
      </c>
      <c r="C10" s="178">
        <v>2</v>
      </c>
      <c r="D10" s="177">
        <v>7.1999999999999995E-2</v>
      </c>
      <c r="E10" s="177">
        <v>1E-3</v>
      </c>
      <c r="F10" s="177">
        <v>1000</v>
      </c>
      <c r="G10" s="177">
        <v>0</v>
      </c>
      <c r="H10" s="177">
        <v>25</v>
      </c>
      <c r="I10" s="176" t="s">
        <v>12</v>
      </c>
      <c r="J10" s="177">
        <v>1.2</v>
      </c>
      <c r="K10" s="177">
        <v>8.27</v>
      </c>
    </row>
    <row r="11" spans="1:11">
      <c r="A11" s="176" t="s">
        <v>32</v>
      </c>
      <c r="B11" s="177">
        <v>468.3</v>
      </c>
      <c r="C11" s="178">
        <v>2</v>
      </c>
      <c r="D11" s="177">
        <v>7.1999999999999995E-2</v>
      </c>
      <c r="E11" s="177">
        <v>1E-3</v>
      </c>
      <c r="F11" s="177">
        <v>1000</v>
      </c>
      <c r="G11" s="177">
        <v>0</v>
      </c>
      <c r="H11" s="177">
        <v>25</v>
      </c>
      <c r="I11" s="176" t="s">
        <v>12</v>
      </c>
      <c r="J11" s="177">
        <v>1.2</v>
      </c>
      <c r="K11" s="177">
        <v>8.25</v>
      </c>
    </row>
    <row r="12" spans="1:11">
      <c r="A12" s="176" t="s">
        <v>32</v>
      </c>
      <c r="B12" s="177">
        <v>470.2</v>
      </c>
      <c r="C12" s="178">
        <v>2</v>
      </c>
      <c r="D12" s="177">
        <v>7.1999999999999995E-2</v>
      </c>
      <c r="E12" s="177">
        <v>1E-3</v>
      </c>
      <c r="F12" s="177">
        <v>1000</v>
      </c>
      <c r="G12" s="177">
        <v>0</v>
      </c>
      <c r="H12" s="177">
        <v>25</v>
      </c>
      <c r="I12" s="176" t="s">
        <v>12</v>
      </c>
      <c r="J12" s="177">
        <v>1.2</v>
      </c>
      <c r="K12" s="177">
        <v>8.51</v>
      </c>
    </row>
    <row r="13" spans="1:11">
      <c r="A13" s="176" t="s">
        <v>32</v>
      </c>
      <c r="B13" s="177">
        <v>520.29999999999995</v>
      </c>
      <c r="C13" s="178">
        <v>2</v>
      </c>
      <c r="D13" s="177">
        <v>7.1999999999999995E-2</v>
      </c>
      <c r="E13" s="177">
        <v>1E-3</v>
      </c>
      <c r="F13" s="177">
        <v>1000</v>
      </c>
      <c r="G13" s="177">
        <v>0</v>
      </c>
      <c r="H13" s="177">
        <v>25</v>
      </c>
      <c r="I13" s="176" t="s">
        <v>12</v>
      </c>
      <c r="J13" s="177">
        <v>1.2</v>
      </c>
      <c r="K13" s="177">
        <v>8.84</v>
      </c>
    </row>
    <row r="14" spans="1:11">
      <c r="A14" s="176" t="s">
        <v>32</v>
      </c>
      <c r="B14" s="177">
        <v>563.70000000000005</v>
      </c>
      <c r="C14" s="178">
        <v>2</v>
      </c>
      <c r="D14" s="177">
        <v>7.1999999999999995E-2</v>
      </c>
      <c r="E14" s="177">
        <v>1E-3</v>
      </c>
      <c r="F14" s="177">
        <v>1000</v>
      </c>
      <c r="G14" s="177">
        <v>0</v>
      </c>
      <c r="H14" s="177">
        <v>25</v>
      </c>
      <c r="I14" s="176" t="s">
        <v>12</v>
      </c>
      <c r="J14" s="177">
        <v>1.2</v>
      </c>
      <c r="K14" s="177">
        <v>8.8000000000000007</v>
      </c>
    </row>
    <row r="15" spans="1:11">
      <c r="A15" s="176" t="s">
        <v>32</v>
      </c>
      <c r="B15" s="177">
        <v>567</v>
      </c>
      <c r="C15" s="178">
        <v>2</v>
      </c>
      <c r="D15" s="177">
        <v>7.1999999999999995E-2</v>
      </c>
      <c r="E15" s="177">
        <v>1E-3</v>
      </c>
      <c r="F15" s="177">
        <v>1000</v>
      </c>
      <c r="G15" s="177">
        <v>0</v>
      </c>
      <c r="H15" s="177">
        <v>25</v>
      </c>
      <c r="I15" s="176" t="s">
        <v>12</v>
      </c>
      <c r="J15" s="177">
        <v>1.2</v>
      </c>
      <c r="K15" s="177">
        <v>9.25</v>
      </c>
    </row>
    <row r="16" spans="1:11">
      <c r="A16" s="176" t="s">
        <v>32</v>
      </c>
      <c r="B16" s="177">
        <v>615.1</v>
      </c>
      <c r="C16" s="178">
        <v>2</v>
      </c>
      <c r="D16" s="177">
        <v>7.1999999999999995E-2</v>
      </c>
      <c r="E16" s="177">
        <v>1E-3</v>
      </c>
      <c r="F16" s="177">
        <v>1000</v>
      </c>
      <c r="G16" s="177">
        <v>0</v>
      </c>
      <c r="H16" s="177">
        <v>25</v>
      </c>
      <c r="I16" s="176" t="s">
        <v>12</v>
      </c>
      <c r="J16" s="177">
        <v>1.2</v>
      </c>
      <c r="K16" s="177">
        <v>9.0500000000000007</v>
      </c>
    </row>
    <row r="17" spans="1:11">
      <c r="A17" s="176" t="s">
        <v>32</v>
      </c>
      <c r="B17" s="177">
        <v>614.79999999999995</v>
      </c>
      <c r="C17" s="178">
        <v>2</v>
      </c>
      <c r="D17" s="177">
        <v>7.1999999999999995E-2</v>
      </c>
      <c r="E17" s="177">
        <v>1E-3</v>
      </c>
      <c r="F17" s="177">
        <v>1000</v>
      </c>
      <c r="G17" s="177">
        <v>0</v>
      </c>
      <c r="H17" s="177">
        <v>25</v>
      </c>
      <c r="I17" s="176" t="s">
        <v>12</v>
      </c>
      <c r="J17" s="177">
        <v>1.2</v>
      </c>
      <c r="K17" s="177">
        <v>9.52</v>
      </c>
    </row>
    <row r="18" spans="1:11">
      <c r="A18" s="176" t="s">
        <v>32</v>
      </c>
      <c r="B18" s="177">
        <v>613.5</v>
      </c>
      <c r="C18" s="178">
        <v>2</v>
      </c>
      <c r="D18" s="177">
        <v>7.1999999999999995E-2</v>
      </c>
      <c r="E18" s="177">
        <v>1E-3</v>
      </c>
      <c r="F18" s="177">
        <v>1000</v>
      </c>
      <c r="G18" s="177">
        <v>0</v>
      </c>
      <c r="H18" s="177">
        <v>25</v>
      </c>
      <c r="I18" s="176" t="s">
        <v>12</v>
      </c>
      <c r="J18" s="177">
        <v>1.2</v>
      </c>
      <c r="K18" s="177">
        <v>9.66</v>
      </c>
    </row>
    <row r="19" spans="1:11">
      <c r="A19" s="176" t="s">
        <v>32</v>
      </c>
      <c r="B19" s="177">
        <v>660.4</v>
      </c>
      <c r="C19" s="178">
        <v>2</v>
      </c>
      <c r="D19" s="177">
        <v>7.1999999999999995E-2</v>
      </c>
      <c r="E19" s="177">
        <v>1E-3</v>
      </c>
      <c r="F19" s="177">
        <v>1000</v>
      </c>
      <c r="G19" s="177">
        <v>0</v>
      </c>
      <c r="H19" s="177">
        <v>25</v>
      </c>
      <c r="I19" s="176" t="s">
        <v>12</v>
      </c>
      <c r="J19" s="177">
        <v>1.2</v>
      </c>
      <c r="K19" s="177">
        <v>9.24</v>
      </c>
    </row>
    <row r="20" spans="1:11">
      <c r="A20" s="176" t="s">
        <v>32</v>
      </c>
      <c r="B20" s="177">
        <v>660.2</v>
      </c>
      <c r="C20" s="178">
        <v>2</v>
      </c>
      <c r="D20" s="177">
        <v>7.1999999999999995E-2</v>
      </c>
      <c r="E20" s="177">
        <v>1E-3</v>
      </c>
      <c r="F20" s="177">
        <v>1000</v>
      </c>
      <c r="G20" s="177">
        <v>0</v>
      </c>
      <c r="H20" s="177">
        <v>25</v>
      </c>
      <c r="I20" s="176" t="s">
        <v>12</v>
      </c>
      <c r="J20" s="177">
        <v>1.2</v>
      </c>
      <c r="K20" s="177">
        <v>9.77</v>
      </c>
    </row>
    <row r="21" spans="1:11">
      <c r="A21" s="176" t="s">
        <v>32</v>
      </c>
      <c r="B21" s="177">
        <v>706.7</v>
      </c>
      <c r="C21" s="178">
        <v>2</v>
      </c>
      <c r="D21" s="177">
        <v>7.1999999999999995E-2</v>
      </c>
      <c r="E21" s="177">
        <v>1E-3</v>
      </c>
      <c r="F21" s="177">
        <v>1000</v>
      </c>
      <c r="G21" s="177">
        <v>0</v>
      </c>
      <c r="H21" s="177">
        <v>25</v>
      </c>
      <c r="I21" s="176" t="s">
        <v>12</v>
      </c>
      <c r="J21" s="177">
        <v>1.2</v>
      </c>
      <c r="K21" s="177">
        <v>9.3800000000000008</v>
      </c>
    </row>
    <row r="22" spans="1:11">
      <c r="A22" s="176" t="s">
        <v>32</v>
      </c>
      <c r="B22" s="177">
        <v>707.9</v>
      </c>
      <c r="C22" s="178">
        <v>2</v>
      </c>
      <c r="D22" s="177">
        <v>7.1999999999999995E-2</v>
      </c>
      <c r="E22" s="177">
        <v>1E-3</v>
      </c>
      <c r="F22" s="177">
        <v>1000</v>
      </c>
      <c r="G22" s="177">
        <v>0</v>
      </c>
      <c r="H22" s="177">
        <v>25</v>
      </c>
      <c r="I22" s="176" t="s">
        <v>12</v>
      </c>
      <c r="J22" s="177">
        <v>1.2</v>
      </c>
      <c r="K22" s="177">
        <v>10.029999999999999</v>
      </c>
    </row>
    <row r="23" spans="1:11">
      <c r="A23" s="176" t="s">
        <v>32</v>
      </c>
      <c r="B23" s="177">
        <v>755.7</v>
      </c>
      <c r="C23" s="178">
        <v>2</v>
      </c>
      <c r="D23" s="177">
        <v>7.1999999999999995E-2</v>
      </c>
      <c r="E23" s="177">
        <v>1E-3</v>
      </c>
      <c r="F23" s="177">
        <v>1000</v>
      </c>
      <c r="G23" s="177">
        <v>0</v>
      </c>
      <c r="H23" s="177">
        <v>25</v>
      </c>
      <c r="I23" s="176" t="s">
        <v>12</v>
      </c>
      <c r="J23" s="177">
        <v>1.2</v>
      </c>
      <c r="K23" s="177">
        <v>9.6</v>
      </c>
    </row>
    <row r="24" spans="1:11">
      <c r="A24" s="176" t="s">
        <v>32</v>
      </c>
      <c r="B24" s="177">
        <v>756.3</v>
      </c>
      <c r="C24" s="178">
        <v>2</v>
      </c>
      <c r="D24" s="177">
        <v>7.1999999999999995E-2</v>
      </c>
      <c r="E24" s="177">
        <v>1E-3</v>
      </c>
      <c r="F24" s="177">
        <v>1000</v>
      </c>
      <c r="G24" s="177">
        <v>0</v>
      </c>
      <c r="H24" s="177">
        <v>25</v>
      </c>
      <c r="I24" s="176" t="s">
        <v>12</v>
      </c>
      <c r="J24" s="177">
        <v>1.2</v>
      </c>
      <c r="K24" s="177">
        <v>10.11</v>
      </c>
    </row>
    <row r="25" spans="1:11">
      <c r="A25" s="176" t="s">
        <v>32</v>
      </c>
      <c r="B25" s="177">
        <v>754.3</v>
      </c>
      <c r="C25" s="178">
        <v>2</v>
      </c>
      <c r="D25" s="177">
        <v>7.1999999999999995E-2</v>
      </c>
      <c r="E25" s="177">
        <v>1E-3</v>
      </c>
      <c r="F25" s="177">
        <v>1000</v>
      </c>
      <c r="G25" s="177">
        <v>0</v>
      </c>
      <c r="H25" s="177">
        <v>25</v>
      </c>
      <c r="I25" s="176" t="s">
        <v>12</v>
      </c>
      <c r="J25" s="177">
        <v>1.2</v>
      </c>
      <c r="K25" s="177">
        <v>10.23</v>
      </c>
    </row>
    <row r="26" spans="1:11">
      <c r="A26" s="176" t="s">
        <v>32</v>
      </c>
      <c r="B26" s="177">
        <v>802.5</v>
      </c>
      <c r="C26" s="178">
        <v>2</v>
      </c>
      <c r="D26" s="177">
        <v>7.1999999999999995E-2</v>
      </c>
      <c r="E26" s="177">
        <v>1E-3</v>
      </c>
      <c r="F26" s="177">
        <v>1000</v>
      </c>
      <c r="G26" s="177">
        <v>0</v>
      </c>
      <c r="H26" s="177">
        <v>25</v>
      </c>
      <c r="I26" s="176" t="s">
        <v>12</v>
      </c>
      <c r="J26" s="177">
        <v>1.2</v>
      </c>
      <c r="K26" s="177">
        <v>10.3</v>
      </c>
    </row>
    <row r="27" spans="1:11">
      <c r="A27" s="176" t="s">
        <v>32</v>
      </c>
      <c r="B27" s="177">
        <v>801.2</v>
      </c>
      <c r="C27" s="178">
        <v>2</v>
      </c>
      <c r="D27" s="177">
        <v>7.1999999999999995E-2</v>
      </c>
      <c r="E27" s="177">
        <v>1E-3</v>
      </c>
      <c r="F27" s="177">
        <v>1000</v>
      </c>
      <c r="G27" s="177">
        <v>0</v>
      </c>
      <c r="H27" s="177">
        <v>25</v>
      </c>
      <c r="I27" s="176" t="s">
        <v>12</v>
      </c>
      <c r="J27" s="177">
        <v>1.2</v>
      </c>
      <c r="K27" s="177">
        <v>10.42</v>
      </c>
    </row>
    <row r="28" spans="1:11">
      <c r="A28" s="176" t="s">
        <v>32</v>
      </c>
      <c r="B28" s="177">
        <v>801.7</v>
      </c>
      <c r="C28" s="178">
        <v>2</v>
      </c>
      <c r="D28" s="177">
        <v>7.1999999999999995E-2</v>
      </c>
      <c r="E28" s="177">
        <v>1E-3</v>
      </c>
      <c r="F28" s="177">
        <v>1000</v>
      </c>
      <c r="G28" s="177">
        <v>0</v>
      </c>
      <c r="H28" s="177">
        <v>25</v>
      </c>
      <c r="I28" s="176" t="s">
        <v>12</v>
      </c>
      <c r="J28" s="177">
        <v>1.2</v>
      </c>
      <c r="K28" s="177">
        <v>9.57</v>
      </c>
    </row>
    <row r="29" spans="1:11">
      <c r="A29" s="176" t="s">
        <v>32</v>
      </c>
      <c r="B29" s="177">
        <v>804</v>
      </c>
      <c r="C29" s="178">
        <v>2</v>
      </c>
      <c r="D29" s="177">
        <v>7.1999999999999995E-2</v>
      </c>
      <c r="E29" s="177">
        <v>1E-3</v>
      </c>
      <c r="F29" s="177">
        <v>1000</v>
      </c>
      <c r="G29" s="177">
        <v>0</v>
      </c>
      <c r="H29" s="177">
        <v>25</v>
      </c>
      <c r="I29" s="176" t="s">
        <v>12</v>
      </c>
      <c r="J29" s="177">
        <v>1.2</v>
      </c>
      <c r="K29" s="177">
        <v>9.7200000000000006</v>
      </c>
    </row>
    <row r="30" spans="1:11">
      <c r="A30" s="176" t="s">
        <v>32</v>
      </c>
      <c r="B30" s="177">
        <v>848.4</v>
      </c>
      <c r="C30" s="178">
        <v>2</v>
      </c>
      <c r="D30" s="177">
        <v>7.1999999999999995E-2</v>
      </c>
      <c r="E30" s="177">
        <v>1E-3</v>
      </c>
      <c r="F30" s="177">
        <v>1000</v>
      </c>
      <c r="G30" s="177">
        <v>0</v>
      </c>
      <c r="H30" s="177">
        <v>25</v>
      </c>
      <c r="I30" s="176" t="s">
        <v>12</v>
      </c>
      <c r="J30" s="177">
        <v>1.2</v>
      </c>
      <c r="K30" s="177">
        <v>9.81</v>
      </c>
    </row>
    <row r="31" spans="1:11">
      <c r="A31" s="176" t="s">
        <v>32</v>
      </c>
      <c r="B31" s="177">
        <v>849.2</v>
      </c>
      <c r="C31" s="178">
        <v>2</v>
      </c>
      <c r="D31" s="177">
        <v>7.1999999999999995E-2</v>
      </c>
      <c r="E31" s="177">
        <v>1E-3</v>
      </c>
      <c r="F31" s="177">
        <v>1000</v>
      </c>
      <c r="G31" s="177">
        <v>0</v>
      </c>
      <c r="H31" s="177">
        <v>25</v>
      </c>
      <c r="I31" s="176" t="s">
        <v>12</v>
      </c>
      <c r="J31" s="177">
        <v>1.2</v>
      </c>
      <c r="K31" s="177">
        <v>10.43</v>
      </c>
    </row>
    <row r="32" spans="1:11">
      <c r="A32" s="176" t="s">
        <v>32</v>
      </c>
      <c r="B32" s="177">
        <v>897.4</v>
      </c>
      <c r="C32" s="178">
        <v>2</v>
      </c>
      <c r="D32" s="177">
        <v>7.1999999999999995E-2</v>
      </c>
      <c r="E32" s="177">
        <v>1E-3</v>
      </c>
      <c r="F32" s="177">
        <v>1000</v>
      </c>
      <c r="G32" s="177">
        <v>0</v>
      </c>
      <c r="H32" s="177">
        <v>25</v>
      </c>
      <c r="I32" s="176" t="s">
        <v>12</v>
      </c>
      <c r="J32" s="177">
        <v>1.2</v>
      </c>
      <c r="K32" s="177">
        <v>9.91</v>
      </c>
    </row>
    <row r="33" spans="1:11">
      <c r="A33" s="176" t="s">
        <v>32</v>
      </c>
      <c r="B33" s="177">
        <v>898.1</v>
      </c>
      <c r="C33" s="178">
        <v>2</v>
      </c>
      <c r="D33" s="177">
        <v>7.1999999999999995E-2</v>
      </c>
      <c r="E33" s="177">
        <v>1E-3</v>
      </c>
      <c r="F33" s="177">
        <v>1000</v>
      </c>
      <c r="G33" s="177">
        <v>0</v>
      </c>
      <c r="H33" s="177">
        <v>25</v>
      </c>
      <c r="I33" s="176" t="s">
        <v>12</v>
      </c>
      <c r="J33" s="177">
        <v>1.2</v>
      </c>
      <c r="K33" s="177">
        <v>10.72</v>
      </c>
    </row>
    <row r="34" spans="1:11">
      <c r="A34" s="176" t="s">
        <v>32</v>
      </c>
      <c r="B34" s="177">
        <v>944.1</v>
      </c>
      <c r="C34" s="178">
        <v>2</v>
      </c>
      <c r="D34" s="177">
        <v>7.1999999999999995E-2</v>
      </c>
      <c r="E34" s="177">
        <v>1E-3</v>
      </c>
      <c r="F34" s="177">
        <v>1000</v>
      </c>
      <c r="G34" s="177">
        <v>0</v>
      </c>
      <c r="H34" s="177">
        <v>25</v>
      </c>
      <c r="I34" s="176" t="s">
        <v>12</v>
      </c>
      <c r="J34" s="177">
        <v>1.2</v>
      </c>
      <c r="K34" s="177">
        <v>9.98</v>
      </c>
    </row>
    <row r="35" spans="1:11">
      <c r="A35" s="176" t="s">
        <v>32</v>
      </c>
      <c r="B35" s="177">
        <v>944.4</v>
      </c>
      <c r="C35" s="178">
        <v>2</v>
      </c>
      <c r="D35" s="177">
        <v>7.1999999999999995E-2</v>
      </c>
      <c r="E35" s="177">
        <v>1E-3</v>
      </c>
      <c r="F35" s="177">
        <v>1000</v>
      </c>
      <c r="G35" s="177">
        <v>0</v>
      </c>
      <c r="H35" s="177">
        <v>25</v>
      </c>
      <c r="I35" s="176" t="s">
        <v>12</v>
      </c>
      <c r="J35" s="177">
        <v>1.2</v>
      </c>
      <c r="K35" s="177">
        <v>10.85</v>
      </c>
    </row>
    <row r="36" spans="1:11">
      <c r="A36" s="176" t="s">
        <v>32</v>
      </c>
      <c r="B36" s="177">
        <v>1036.5999999999999</v>
      </c>
      <c r="C36" s="178">
        <v>2</v>
      </c>
      <c r="D36" s="177">
        <v>7.1999999999999995E-2</v>
      </c>
      <c r="E36" s="177">
        <v>1E-3</v>
      </c>
      <c r="F36" s="177">
        <v>1000</v>
      </c>
      <c r="G36" s="177">
        <v>0</v>
      </c>
      <c r="H36" s="177">
        <v>25</v>
      </c>
      <c r="I36" s="176" t="s">
        <v>12</v>
      </c>
      <c r="J36" s="177">
        <v>1.2</v>
      </c>
      <c r="K36" s="177">
        <v>10.18</v>
      </c>
    </row>
    <row r="37" spans="1:11">
      <c r="A37" s="176" t="s">
        <v>32</v>
      </c>
      <c r="B37" s="177">
        <v>1039.9000000000001</v>
      </c>
      <c r="C37" s="178">
        <v>2</v>
      </c>
      <c r="D37" s="177">
        <v>7.1999999999999995E-2</v>
      </c>
      <c r="E37" s="177">
        <v>1E-3</v>
      </c>
      <c r="F37" s="177">
        <v>1000</v>
      </c>
      <c r="G37" s="177">
        <v>0</v>
      </c>
      <c r="H37" s="177">
        <v>25</v>
      </c>
      <c r="I37" s="176" t="s">
        <v>12</v>
      </c>
      <c r="J37" s="177">
        <v>1.2</v>
      </c>
      <c r="K37" s="177">
        <v>10.41</v>
      </c>
    </row>
    <row r="38" spans="1:11">
      <c r="A38" s="176" t="s">
        <v>32</v>
      </c>
      <c r="B38" s="177">
        <v>1040.5999999999999</v>
      </c>
      <c r="C38" s="178">
        <v>2</v>
      </c>
      <c r="D38" s="177">
        <v>7.1999999999999995E-2</v>
      </c>
      <c r="E38" s="177">
        <v>1E-3</v>
      </c>
      <c r="F38" s="177">
        <v>1000</v>
      </c>
      <c r="G38" s="177">
        <v>0</v>
      </c>
      <c r="H38" s="177">
        <v>25</v>
      </c>
      <c r="I38" s="176" t="s">
        <v>12</v>
      </c>
      <c r="J38" s="177">
        <v>1.2</v>
      </c>
      <c r="K38" s="177">
        <v>11.2</v>
      </c>
    </row>
    <row r="39" spans="1:11">
      <c r="A39" s="176" t="s">
        <v>32</v>
      </c>
      <c r="B39" s="177">
        <v>1040.5999999999999</v>
      </c>
      <c r="C39" s="178">
        <v>2</v>
      </c>
      <c r="D39" s="177">
        <v>7.1999999999999995E-2</v>
      </c>
      <c r="E39" s="177">
        <v>1E-3</v>
      </c>
      <c r="F39" s="177">
        <v>1000</v>
      </c>
      <c r="G39" s="177">
        <v>0</v>
      </c>
      <c r="H39" s="177">
        <v>25</v>
      </c>
      <c r="I39" s="176" t="s">
        <v>12</v>
      </c>
      <c r="J39" s="177">
        <v>1.2</v>
      </c>
      <c r="K39" s="177">
        <v>11.32</v>
      </c>
    </row>
    <row r="40" spans="1:11">
      <c r="A40" s="176" t="s">
        <v>32</v>
      </c>
      <c r="B40" s="177">
        <v>1134.2</v>
      </c>
      <c r="C40" s="178">
        <v>2</v>
      </c>
      <c r="D40" s="177">
        <v>7.1999999999999995E-2</v>
      </c>
      <c r="E40" s="177">
        <v>1E-3</v>
      </c>
      <c r="F40" s="177">
        <v>1000</v>
      </c>
      <c r="G40" s="177">
        <v>0</v>
      </c>
      <c r="H40" s="177">
        <v>25</v>
      </c>
      <c r="I40" s="176" t="s">
        <v>12</v>
      </c>
      <c r="J40" s="177">
        <v>1.2</v>
      </c>
      <c r="K40" s="177">
        <v>10.15</v>
      </c>
    </row>
    <row r="41" spans="1:11">
      <c r="A41" s="176" t="s">
        <v>32</v>
      </c>
      <c r="B41" s="177">
        <v>1134.2</v>
      </c>
      <c r="C41" s="178">
        <v>2</v>
      </c>
      <c r="D41" s="177">
        <v>7.1999999999999995E-2</v>
      </c>
      <c r="E41" s="177">
        <v>1E-3</v>
      </c>
      <c r="F41" s="177">
        <v>1000</v>
      </c>
      <c r="G41" s="177">
        <v>0</v>
      </c>
      <c r="H41" s="177">
        <v>25</v>
      </c>
      <c r="I41" s="176" t="s">
        <v>12</v>
      </c>
      <c r="J41" s="177">
        <v>1.2</v>
      </c>
      <c r="K41" s="177">
        <v>10.37</v>
      </c>
    </row>
    <row r="42" spans="1:11">
      <c r="A42" s="176" t="s">
        <v>32</v>
      </c>
      <c r="B42" s="177">
        <v>1132.9000000000001</v>
      </c>
      <c r="C42" s="178">
        <v>2</v>
      </c>
      <c r="D42" s="177">
        <v>7.1999999999999995E-2</v>
      </c>
      <c r="E42" s="177">
        <v>1E-3</v>
      </c>
      <c r="F42" s="177">
        <v>1000</v>
      </c>
      <c r="G42" s="177">
        <v>0</v>
      </c>
      <c r="H42" s="177">
        <v>25</v>
      </c>
      <c r="I42" s="176" t="s">
        <v>12</v>
      </c>
      <c r="J42" s="177">
        <v>1.2</v>
      </c>
      <c r="K42" s="177">
        <v>11.46</v>
      </c>
    </row>
    <row r="43" spans="1:11">
      <c r="A43" s="176" t="s">
        <v>32</v>
      </c>
      <c r="B43" s="177">
        <v>1133.5</v>
      </c>
      <c r="C43" s="178">
        <v>2</v>
      </c>
      <c r="D43" s="177">
        <v>7.1999999999999995E-2</v>
      </c>
      <c r="E43" s="177">
        <v>1E-3</v>
      </c>
      <c r="F43" s="177">
        <v>1000</v>
      </c>
      <c r="G43" s="177">
        <v>0</v>
      </c>
      <c r="H43" s="177">
        <v>25</v>
      </c>
      <c r="I43" s="176" t="s">
        <v>12</v>
      </c>
      <c r="J43" s="177">
        <v>1.2</v>
      </c>
      <c r="K43" s="177">
        <v>11.58</v>
      </c>
    </row>
    <row r="44" spans="1:11">
      <c r="A44" s="176" t="s">
        <v>32</v>
      </c>
      <c r="B44" s="177">
        <v>1229.2</v>
      </c>
      <c r="C44" s="178">
        <v>2</v>
      </c>
      <c r="D44" s="177">
        <v>7.1999999999999995E-2</v>
      </c>
      <c r="E44" s="177">
        <v>1E-3</v>
      </c>
      <c r="F44" s="177">
        <v>1000</v>
      </c>
      <c r="G44" s="177">
        <v>0</v>
      </c>
      <c r="H44" s="177">
        <v>25</v>
      </c>
      <c r="I44" s="176" t="s">
        <v>12</v>
      </c>
      <c r="J44" s="177">
        <v>1.2</v>
      </c>
      <c r="K44" s="177">
        <v>10.55</v>
      </c>
    </row>
    <row r="45" spans="1:11">
      <c r="A45" s="176" t="s">
        <v>32</v>
      </c>
      <c r="B45" s="177">
        <v>1227.2</v>
      </c>
      <c r="C45" s="178">
        <v>2</v>
      </c>
      <c r="D45" s="177">
        <v>7.1999999999999995E-2</v>
      </c>
      <c r="E45" s="177">
        <v>1E-3</v>
      </c>
      <c r="F45" s="177">
        <v>1000</v>
      </c>
      <c r="G45" s="177">
        <v>0</v>
      </c>
      <c r="H45" s="177">
        <v>25</v>
      </c>
      <c r="I45" s="176" t="s">
        <v>12</v>
      </c>
      <c r="J45" s="177">
        <v>1.2</v>
      </c>
      <c r="K45" s="177">
        <v>11.8</v>
      </c>
    </row>
    <row r="46" spans="1:11">
      <c r="A46" s="176" t="s">
        <v>32</v>
      </c>
      <c r="B46" s="177">
        <v>1227.2</v>
      </c>
      <c r="C46" s="178">
        <v>2</v>
      </c>
      <c r="D46" s="177">
        <v>7.1999999999999995E-2</v>
      </c>
      <c r="E46" s="177">
        <v>1E-3</v>
      </c>
      <c r="F46" s="177">
        <v>1000</v>
      </c>
      <c r="G46" s="177">
        <v>0</v>
      </c>
      <c r="H46" s="177">
        <v>25</v>
      </c>
      <c r="I46" s="176" t="s">
        <v>12</v>
      </c>
      <c r="J46" s="177">
        <v>1.2</v>
      </c>
      <c r="K46" s="177">
        <v>11.99</v>
      </c>
    </row>
    <row r="47" spans="1:11">
      <c r="A47" s="176" t="s">
        <v>32</v>
      </c>
      <c r="B47" s="177">
        <v>1321.2</v>
      </c>
      <c r="C47" s="178">
        <v>2</v>
      </c>
      <c r="D47" s="177">
        <v>7.1999999999999995E-2</v>
      </c>
      <c r="E47" s="177">
        <v>1E-3</v>
      </c>
      <c r="F47" s="177">
        <v>1000</v>
      </c>
      <c r="G47" s="177">
        <v>0</v>
      </c>
      <c r="H47" s="177">
        <v>25</v>
      </c>
      <c r="I47" s="176" t="s">
        <v>12</v>
      </c>
      <c r="J47" s="177">
        <v>1.2</v>
      </c>
      <c r="K47" s="177">
        <v>10.66</v>
      </c>
    </row>
    <row r="48" spans="1:11">
      <c r="A48" s="176" t="s">
        <v>32</v>
      </c>
      <c r="B48" s="177">
        <v>1321.2</v>
      </c>
      <c r="C48" s="178">
        <v>2</v>
      </c>
      <c r="D48" s="177">
        <v>7.1999999999999995E-2</v>
      </c>
      <c r="E48" s="177">
        <v>1E-3</v>
      </c>
      <c r="F48" s="177">
        <v>1000</v>
      </c>
      <c r="G48" s="177">
        <v>0</v>
      </c>
      <c r="H48" s="177">
        <v>25</v>
      </c>
      <c r="I48" s="176" t="s">
        <v>12</v>
      </c>
      <c r="J48" s="177">
        <v>1.2</v>
      </c>
      <c r="K48" s="177">
        <v>10.76</v>
      </c>
    </row>
    <row r="49" spans="1:11">
      <c r="A49" s="176" t="s">
        <v>32</v>
      </c>
      <c r="B49" s="177">
        <v>1323.1</v>
      </c>
      <c r="C49" s="178">
        <v>2</v>
      </c>
      <c r="D49" s="177">
        <v>7.1999999999999995E-2</v>
      </c>
      <c r="E49" s="177">
        <v>1E-3</v>
      </c>
      <c r="F49" s="177">
        <v>1000</v>
      </c>
      <c r="G49" s="177">
        <v>0</v>
      </c>
      <c r="H49" s="177">
        <v>25</v>
      </c>
      <c r="I49" s="176" t="s">
        <v>12</v>
      </c>
      <c r="J49" s="177">
        <v>1.2</v>
      </c>
      <c r="K49" s="177">
        <v>12.08</v>
      </c>
    </row>
    <row r="50" spans="1:11">
      <c r="A50" s="176" t="s">
        <v>32</v>
      </c>
      <c r="B50" s="177">
        <v>1323.1</v>
      </c>
      <c r="C50" s="178">
        <v>2</v>
      </c>
      <c r="D50" s="177">
        <v>7.1999999999999995E-2</v>
      </c>
      <c r="E50" s="177">
        <v>1E-3</v>
      </c>
      <c r="F50" s="177">
        <v>1000</v>
      </c>
      <c r="G50" s="177">
        <v>0</v>
      </c>
      <c r="H50" s="177">
        <v>25</v>
      </c>
      <c r="I50" s="176" t="s">
        <v>12</v>
      </c>
      <c r="J50" s="177">
        <v>1.2</v>
      </c>
      <c r="K50" s="177">
        <v>12.21</v>
      </c>
    </row>
    <row r="51" spans="1:11">
      <c r="A51" s="176" t="s">
        <v>32</v>
      </c>
      <c r="B51" s="177">
        <v>1321.9</v>
      </c>
      <c r="C51" s="178">
        <v>2</v>
      </c>
      <c r="D51" s="177">
        <v>7.1999999999999995E-2</v>
      </c>
      <c r="E51" s="177">
        <v>1E-3</v>
      </c>
      <c r="F51" s="177">
        <v>1000</v>
      </c>
      <c r="G51" s="177">
        <v>0</v>
      </c>
      <c r="H51" s="177">
        <v>25</v>
      </c>
      <c r="I51" s="176" t="s">
        <v>12</v>
      </c>
      <c r="J51" s="177">
        <v>1.2</v>
      </c>
      <c r="K51" s="177">
        <v>12.31</v>
      </c>
    </row>
    <row r="52" spans="1:11">
      <c r="A52" s="176" t="s">
        <v>32</v>
      </c>
      <c r="B52" s="177">
        <v>1510.9</v>
      </c>
      <c r="C52" s="178">
        <v>2</v>
      </c>
      <c r="D52" s="177">
        <v>7.1999999999999995E-2</v>
      </c>
      <c r="E52" s="177">
        <v>1E-3</v>
      </c>
      <c r="F52" s="177">
        <v>1000</v>
      </c>
      <c r="G52" s="177">
        <v>0</v>
      </c>
      <c r="H52" s="177">
        <v>25</v>
      </c>
      <c r="I52" s="176" t="s">
        <v>12</v>
      </c>
      <c r="J52" s="177">
        <v>1.2</v>
      </c>
      <c r="K52" s="177">
        <v>10.74</v>
      </c>
    </row>
    <row r="53" spans="1:11">
      <c r="A53" s="176" t="s">
        <v>32</v>
      </c>
      <c r="B53" s="177">
        <v>1510.9</v>
      </c>
      <c r="C53" s="178">
        <v>2</v>
      </c>
      <c r="D53" s="177">
        <v>7.1999999999999995E-2</v>
      </c>
      <c r="E53" s="177">
        <v>1E-3</v>
      </c>
      <c r="F53" s="177">
        <v>1000</v>
      </c>
      <c r="G53" s="177">
        <v>0</v>
      </c>
      <c r="H53" s="177">
        <v>25</v>
      </c>
      <c r="I53" s="176" t="s">
        <v>12</v>
      </c>
      <c r="J53" s="177">
        <v>1.2</v>
      </c>
      <c r="K53" s="177">
        <v>10.94</v>
      </c>
    </row>
    <row r="54" spans="1:11">
      <c r="A54" s="176" t="s">
        <v>32</v>
      </c>
      <c r="B54" s="177">
        <v>1510</v>
      </c>
      <c r="C54" s="178">
        <v>2</v>
      </c>
      <c r="D54" s="177">
        <v>7.1999999999999995E-2</v>
      </c>
      <c r="E54" s="177">
        <v>1E-3</v>
      </c>
      <c r="F54" s="177">
        <v>1000</v>
      </c>
      <c r="G54" s="177">
        <v>0</v>
      </c>
      <c r="H54" s="177">
        <v>25</v>
      </c>
      <c r="I54" s="176" t="s">
        <v>12</v>
      </c>
      <c r="J54" s="177">
        <v>1.2</v>
      </c>
      <c r="K54" s="177">
        <v>12.53</v>
      </c>
    </row>
    <row r="55" spans="1:11">
      <c r="A55" s="176" t="s">
        <v>32</v>
      </c>
      <c r="B55" s="177">
        <v>1511.3</v>
      </c>
      <c r="C55" s="178">
        <v>2</v>
      </c>
      <c r="D55" s="177">
        <v>7.1999999999999995E-2</v>
      </c>
      <c r="E55" s="177">
        <v>1E-3</v>
      </c>
      <c r="F55" s="177">
        <v>1000</v>
      </c>
      <c r="G55" s="177">
        <v>0</v>
      </c>
      <c r="H55" s="177">
        <v>25</v>
      </c>
      <c r="I55" s="176" t="s">
        <v>12</v>
      </c>
      <c r="J55" s="177">
        <v>1.2</v>
      </c>
      <c r="K55" s="177">
        <v>12.71</v>
      </c>
    </row>
    <row r="56" spans="1:11">
      <c r="A56" s="176" t="s">
        <v>32</v>
      </c>
      <c r="B56" s="177">
        <v>1512.1</v>
      </c>
      <c r="C56" s="178">
        <v>2</v>
      </c>
      <c r="D56" s="177">
        <v>7.1999999999999995E-2</v>
      </c>
      <c r="E56" s="177">
        <v>1E-3</v>
      </c>
      <c r="F56" s="177">
        <v>1000</v>
      </c>
      <c r="G56" s="177">
        <v>0</v>
      </c>
      <c r="H56" s="177">
        <v>25</v>
      </c>
      <c r="I56" s="176" t="s">
        <v>12</v>
      </c>
      <c r="J56" s="177">
        <v>1.2</v>
      </c>
      <c r="K56" s="177">
        <v>12.82</v>
      </c>
    </row>
    <row r="57" spans="1:11">
      <c r="A57" s="176" t="s">
        <v>32</v>
      </c>
      <c r="B57" s="177">
        <v>1510.9</v>
      </c>
      <c r="C57" s="178">
        <v>2</v>
      </c>
      <c r="D57" s="177">
        <v>7.1999999999999995E-2</v>
      </c>
      <c r="E57" s="177">
        <v>1E-3</v>
      </c>
      <c r="F57" s="177">
        <v>1000</v>
      </c>
      <c r="G57" s="177">
        <v>0</v>
      </c>
      <c r="H57" s="177">
        <v>25</v>
      </c>
      <c r="I57" s="176" t="s">
        <v>12</v>
      </c>
      <c r="J57" s="177">
        <v>1.2</v>
      </c>
      <c r="K57" s="177">
        <v>12.91</v>
      </c>
    </row>
    <row r="58" spans="1:11">
      <c r="A58" s="176" t="s">
        <v>32</v>
      </c>
      <c r="B58" s="177">
        <v>1887.7</v>
      </c>
      <c r="C58" s="178">
        <v>2</v>
      </c>
      <c r="D58" s="177">
        <v>7.1999999999999995E-2</v>
      </c>
      <c r="E58" s="177">
        <v>1E-3</v>
      </c>
      <c r="F58" s="177">
        <v>1000</v>
      </c>
      <c r="G58" s="177">
        <v>0</v>
      </c>
      <c r="H58" s="177">
        <v>25</v>
      </c>
      <c r="I58" s="176" t="s">
        <v>12</v>
      </c>
      <c r="J58" s="177">
        <v>1.2</v>
      </c>
      <c r="K58" s="177">
        <v>11.08</v>
      </c>
    </row>
    <row r="59" spans="1:11">
      <c r="A59" s="176" t="s">
        <v>32</v>
      </c>
      <c r="B59" s="177">
        <v>1888.3</v>
      </c>
      <c r="C59" s="178">
        <v>2</v>
      </c>
      <c r="D59" s="177">
        <v>7.1999999999999995E-2</v>
      </c>
      <c r="E59" s="177">
        <v>1E-3</v>
      </c>
      <c r="F59" s="177">
        <v>1000</v>
      </c>
      <c r="G59" s="177">
        <v>0</v>
      </c>
      <c r="H59" s="177">
        <v>25</v>
      </c>
      <c r="I59" s="176" t="s">
        <v>12</v>
      </c>
      <c r="J59" s="177">
        <v>1.2</v>
      </c>
      <c r="K59" s="177">
        <v>11.27</v>
      </c>
    </row>
    <row r="60" spans="1:11">
      <c r="A60" s="176" t="s">
        <v>32</v>
      </c>
      <c r="B60" s="177">
        <v>1888.7</v>
      </c>
      <c r="C60" s="178">
        <v>2</v>
      </c>
      <c r="D60" s="177">
        <v>7.1999999999999995E-2</v>
      </c>
      <c r="E60" s="177">
        <v>1E-3</v>
      </c>
      <c r="F60" s="177">
        <v>1000</v>
      </c>
      <c r="G60" s="177">
        <v>0</v>
      </c>
      <c r="H60" s="177">
        <v>25</v>
      </c>
      <c r="I60" s="176" t="s">
        <v>12</v>
      </c>
      <c r="J60" s="177">
        <v>1.2</v>
      </c>
      <c r="K60" s="177">
        <v>11.61</v>
      </c>
    </row>
    <row r="61" spans="1:11">
      <c r="A61" s="176" t="s">
        <v>32</v>
      </c>
      <c r="B61" s="177">
        <v>1887.8</v>
      </c>
      <c r="C61" s="178">
        <v>2</v>
      </c>
      <c r="D61" s="177">
        <v>7.1999999999999995E-2</v>
      </c>
      <c r="E61" s="177">
        <v>1E-3</v>
      </c>
      <c r="F61" s="177">
        <v>1000</v>
      </c>
      <c r="G61" s="177">
        <v>0</v>
      </c>
      <c r="H61" s="177">
        <v>25</v>
      </c>
      <c r="I61" s="176" t="s">
        <v>12</v>
      </c>
      <c r="J61" s="177">
        <v>1.2</v>
      </c>
      <c r="K61" s="177">
        <v>12.03</v>
      </c>
    </row>
    <row r="62" spans="1:11">
      <c r="A62" s="176" t="s">
        <v>32</v>
      </c>
      <c r="B62" s="177">
        <v>1888.2</v>
      </c>
      <c r="C62" s="178">
        <v>2</v>
      </c>
      <c r="D62" s="177">
        <v>7.1999999999999995E-2</v>
      </c>
      <c r="E62" s="177">
        <v>1E-3</v>
      </c>
      <c r="F62" s="177">
        <v>1000</v>
      </c>
      <c r="G62" s="177">
        <v>0</v>
      </c>
      <c r="H62" s="177">
        <v>25</v>
      </c>
      <c r="I62" s="176" t="s">
        <v>12</v>
      </c>
      <c r="J62" s="177">
        <v>1.2</v>
      </c>
      <c r="K62" s="177">
        <v>13.39</v>
      </c>
    </row>
    <row r="63" spans="1:11">
      <c r="A63" s="176" t="s">
        <v>32</v>
      </c>
      <c r="B63" s="177">
        <v>1890.2</v>
      </c>
      <c r="C63" s="178">
        <v>2</v>
      </c>
      <c r="D63" s="177">
        <v>7.1999999999999995E-2</v>
      </c>
      <c r="E63" s="177">
        <v>1E-3</v>
      </c>
      <c r="F63" s="177">
        <v>1000</v>
      </c>
      <c r="G63" s="177">
        <v>0</v>
      </c>
      <c r="H63" s="177">
        <v>25</v>
      </c>
      <c r="I63" s="176" t="s">
        <v>12</v>
      </c>
      <c r="J63" s="177">
        <v>1.2</v>
      </c>
      <c r="K63" s="177">
        <v>13.62</v>
      </c>
    </row>
    <row r="64" spans="1:11">
      <c r="A64" s="176" t="s">
        <v>32</v>
      </c>
      <c r="B64" s="177">
        <v>1888.8</v>
      </c>
      <c r="C64" s="178">
        <v>2</v>
      </c>
      <c r="D64" s="177">
        <v>7.1999999999999995E-2</v>
      </c>
      <c r="E64" s="177">
        <v>1E-3</v>
      </c>
      <c r="F64" s="177">
        <v>1000</v>
      </c>
      <c r="G64" s="177">
        <v>0</v>
      </c>
      <c r="H64" s="177">
        <v>25</v>
      </c>
      <c r="I64" s="176" t="s">
        <v>12</v>
      </c>
      <c r="J64" s="177">
        <v>1.2</v>
      </c>
      <c r="K64" s="177">
        <v>13.74</v>
      </c>
    </row>
    <row r="65" spans="1:11">
      <c r="A65" s="176" t="s">
        <v>32</v>
      </c>
      <c r="B65" s="177">
        <v>1888.3</v>
      </c>
      <c r="C65" s="178">
        <v>2</v>
      </c>
      <c r="D65" s="177">
        <v>7.1999999999999995E-2</v>
      </c>
      <c r="E65" s="177">
        <v>1E-3</v>
      </c>
      <c r="F65" s="177">
        <v>1000</v>
      </c>
      <c r="G65" s="177">
        <v>0</v>
      </c>
      <c r="H65" s="177">
        <v>25</v>
      </c>
      <c r="I65" s="176" t="s">
        <v>12</v>
      </c>
      <c r="J65" s="177">
        <v>1.2</v>
      </c>
      <c r="K65" s="177">
        <v>13.92</v>
      </c>
    </row>
    <row r="66" spans="1:11">
      <c r="A66" s="176" t="s">
        <v>32</v>
      </c>
      <c r="B66" s="177">
        <v>1889.7</v>
      </c>
      <c r="C66" s="178">
        <v>2</v>
      </c>
      <c r="D66" s="177">
        <v>7.1999999999999995E-2</v>
      </c>
      <c r="E66" s="177">
        <v>1E-3</v>
      </c>
      <c r="F66" s="177">
        <v>1000</v>
      </c>
      <c r="G66" s="177">
        <v>0</v>
      </c>
      <c r="H66" s="177">
        <v>25</v>
      </c>
      <c r="I66" s="176" t="s">
        <v>12</v>
      </c>
      <c r="J66" s="177">
        <v>1.2</v>
      </c>
      <c r="K66" s="177">
        <v>14.16</v>
      </c>
    </row>
    <row r="67" spans="1:11">
      <c r="A67" s="176" t="s">
        <v>32</v>
      </c>
      <c r="B67" s="177">
        <v>90.1</v>
      </c>
      <c r="C67" s="178">
        <v>2</v>
      </c>
      <c r="D67" s="177">
        <v>7.1999999999999995E-2</v>
      </c>
      <c r="E67" s="177">
        <v>1E-3</v>
      </c>
      <c r="F67" s="177">
        <v>1000</v>
      </c>
      <c r="G67" s="177">
        <v>0</v>
      </c>
      <c r="H67" s="177">
        <v>25</v>
      </c>
      <c r="I67" s="176" t="s">
        <v>12</v>
      </c>
      <c r="J67" s="177">
        <v>1.2</v>
      </c>
      <c r="K67" s="177">
        <v>4.8499999999999996</v>
      </c>
    </row>
    <row r="68" spans="1:11">
      <c r="A68" s="176" t="s">
        <v>32</v>
      </c>
      <c r="B68" s="177">
        <v>140.1</v>
      </c>
      <c r="C68" s="178">
        <v>2</v>
      </c>
      <c r="D68" s="177">
        <v>7.1999999999999995E-2</v>
      </c>
      <c r="E68" s="177">
        <v>1E-3</v>
      </c>
      <c r="F68" s="177">
        <v>1000</v>
      </c>
      <c r="G68" s="177">
        <v>0</v>
      </c>
      <c r="H68" s="177">
        <v>25</v>
      </c>
      <c r="I68" s="176" t="s">
        <v>12</v>
      </c>
      <c r="J68" s="177">
        <v>1.2</v>
      </c>
      <c r="K68" s="177">
        <v>5.26</v>
      </c>
    </row>
    <row r="69" spans="1:11">
      <c r="A69" s="176" t="s">
        <v>32</v>
      </c>
      <c r="B69" s="177">
        <v>188.2</v>
      </c>
      <c r="C69" s="178">
        <v>2</v>
      </c>
      <c r="D69" s="177">
        <v>7.1999999999999995E-2</v>
      </c>
      <c r="E69" s="177">
        <v>1E-3</v>
      </c>
      <c r="F69" s="177">
        <v>1000</v>
      </c>
      <c r="G69" s="177">
        <v>0</v>
      </c>
      <c r="H69" s="177">
        <v>25</v>
      </c>
      <c r="I69" s="176" t="s">
        <v>12</v>
      </c>
      <c r="J69" s="177">
        <v>1.2</v>
      </c>
      <c r="K69" s="177">
        <v>5.71</v>
      </c>
    </row>
    <row r="70" spans="1:11">
      <c r="A70" s="176" t="s">
        <v>32</v>
      </c>
      <c r="B70" s="177">
        <v>238.3</v>
      </c>
      <c r="C70" s="178">
        <v>2</v>
      </c>
      <c r="D70" s="177">
        <v>7.1999999999999995E-2</v>
      </c>
      <c r="E70" s="177">
        <v>1E-3</v>
      </c>
      <c r="F70" s="177">
        <v>1000</v>
      </c>
      <c r="G70" s="177">
        <v>0</v>
      </c>
      <c r="H70" s="177">
        <v>25</v>
      </c>
      <c r="I70" s="176" t="s">
        <v>12</v>
      </c>
      <c r="J70" s="177">
        <v>1.2</v>
      </c>
      <c r="K70" s="177">
        <v>6.11</v>
      </c>
    </row>
    <row r="71" spans="1:11">
      <c r="A71" s="176" t="s">
        <v>32</v>
      </c>
      <c r="B71" s="177">
        <v>283.3</v>
      </c>
      <c r="C71" s="178">
        <v>2</v>
      </c>
      <c r="D71" s="177">
        <v>7.1999999999999995E-2</v>
      </c>
      <c r="E71" s="177">
        <v>1E-3</v>
      </c>
      <c r="F71" s="177">
        <v>1000</v>
      </c>
      <c r="G71" s="177">
        <v>0</v>
      </c>
      <c r="H71" s="177">
        <v>25</v>
      </c>
      <c r="I71" s="176" t="s">
        <v>12</v>
      </c>
      <c r="J71" s="177">
        <v>1.2</v>
      </c>
      <c r="K71" s="177">
        <v>6.42</v>
      </c>
    </row>
    <row r="72" spans="1:11">
      <c r="A72" s="176" t="s">
        <v>32</v>
      </c>
      <c r="B72" s="177">
        <v>331.7</v>
      </c>
      <c r="C72" s="178">
        <v>2</v>
      </c>
      <c r="D72" s="177">
        <v>7.1999999999999995E-2</v>
      </c>
      <c r="E72" s="177">
        <v>1E-3</v>
      </c>
      <c r="F72" s="177">
        <v>1000</v>
      </c>
      <c r="G72" s="177">
        <v>0</v>
      </c>
      <c r="H72" s="177">
        <v>25</v>
      </c>
      <c r="I72" s="176" t="s">
        <v>12</v>
      </c>
      <c r="J72" s="177">
        <v>1.2</v>
      </c>
      <c r="K72" s="177">
        <v>6.66</v>
      </c>
    </row>
    <row r="73" spans="1:11">
      <c r="A73" s="176" t="s">
        <v>32</v>
      </c>
      <c r="B73" s="177">
        <v>378.8</v>
      </c>
      <c r="C73" s="178">
        <v>2</v>
      </c>
      <c r="D73" s="177">
        <v>7.1999999999999995E-2</v>
      </c>
      <c r="E73" s="177">
        <v>1E-3</v>
      </c>
      <c r="F73" s="177">
        <v>1000</v>
      </c>
      <c r="G73" s="177">
        <v>0</v>
      </c>
      <c r="H73" s="177">
        <v>25</v>
      </c>
      <c r="I73" s="176" t="s">
        <v>12</v>
      </c>
      <c r="J73" s="177">
        <v>1.2</v>
      </c>
      <c r="K73" s="177">
        <v>6.72</v>
      </c>
    </row>
    <row r="74" spans="1:11">
      <c r="A74" s="176" t="s">
        <v>32</v>
      </c>
      <c r="B74" s="177">
        <v>378.8</v>
      </c>
      <c r="C74" s="178">
        <v>2</v>
      </c>
      <c r="D74" s="177">
        <v>7.1999999999999995E-2</v>
      </c>
      <c r="E74" s="177">
        <v>1E-3</v>
      </c>
      <c r="F74" s="177">
        <v>1000</v>
      </c>
      <c r="G74" s="177">
        <v>0</v>
      </c>
      <c r="H74" s="177">
        <v>25</v>
      </c>
      <c r="I74" s="176" t="s">
        <v>12</v>
      </c>
      <c r="J74" s="177">
        <v>1.2</v>
      </c>
      <c r="K74" s="177">
        <v>7.09</v>
      </c>
    </row>
    <row r="75" spans="1:11">
      <c r="A75" s="176" t="s">
        <v>32</v>
      </c>
      <c r="B75" s="177">
        <v>425.8</v>
      </c>
      <c r="C75" s="178">
        <v>2</v>
      </c>
      <c r="D75" s="177">
        <v>7.1999999999999995E-2</v>
      </c>
      <c r="E75" s="177">
        <v>1E-3</v>
      </c>
      <c r="F75" s="177">
        <v>1000</v>
      </c>
      <c r="G75" s="177">
        <v>0</v>
      </c>
      <c r="H75" s="177">
        <v>25</v>
      </c>
      <c r="I75" s="176" t="s">
        <v>12</v>
      </c>
      <c r="J75" s="177">
        <v>1.2</v>
      </c>
      <c r="K75" s="177">
        <v>6.96</v>
      </c>
    </row>
    <row r="76" spans="1:11">
      <c r="A76" s="176" t="s">
        <v>32</v>
      </c>
      <c r="B76" s="177">
        <v>425.8</v>
      </c>
      <c r="C76" s="178">
        <v>2</v>
      </c>
      <c r="D76" s="177">
        <v>7.1999999999999995E-2</v>
      </c>
      <c r="E76" s="177">
        <v>1E-3</v>
      </c>
      <c r="F76" s="177">
        <v>1000</v>
      </c>
      <c r="G76" s="177">
        <v>0</v>
      </c>
      <c r="H76" s="177">
        <v>25</v>
      </c>
      <c r="I76" s="176" t="s">
        <v>12</v>
      </c>
      <c r="J76" s="177">
        <v>1.2</v>
      </c>
      <c r="K76" s="177">
        <v>7.2</v>
      </c>
    </row>
    <row r="77" spans="1:11">
      <c r="A77" s="176" t="s">
        <v>32</v>
      </c>
      <c r="B77" s="177">
        <v>425.8</v>
      </c>
      <c r="C77" s="178">
        <v>2</v>
      </c>
      <c r="D77" s="177">
        <v>7.1999999999999995E-2</v>
      </c>
      <c r="E77" s="177">
        <v>1E-3</v>
      </c>
      <c r="F77" s="177">
        <v>1000</v>
      </c>
      <c r="G77" s="177">
        <v>0</v>
      </c>
      <c r="H77" s="177">
        <v>25</v>
      </c>
      <c r="I77" s="176" t="s">
        <v>12</v>
      </c>
      <c r="J77" s="177">
        <v>1.2</v>
      </c>
      <c r="K77" s="177">
        <v>7.41</v>
      </c>
    </row>
    <row r="78" spans="1:11">
      <c r="A78" s="176" t="s">
        <v>32</v>
      </c>
      <c r="B78" s="177">
        <v>469.8</v>
      </c>
      <c r="C78" s="178">
        <v>2</v>
      </c>
      <c r="D78" s="177">
        <v>7.1999999999999995E-2</v>
      </c>
      <c r="E78" s="177">
        <v>1E-3</v>
      </c>
      <c r="F78" s="177">
        <v>1000</v>
      </c>
      <c r="G78" s="177">
        <v>0</v>
      </c>
      <c r="H78" s="177">
        <v>25</v>
      </c>
      <c r="I78" s="176" t="s">
        <v>12</v>
      </c>
      <c r="J78" s="177">
        <v>1.2</v>
      </c>
      <c r="K78" s="177">
        <v>6.65</v>
      </c>
    </row>
    <row r="79" spans="1:11">
      <c r="A79" s="176" t="s">
        <v>32</v>
      </c>
      <c r="B79" s="177">
        <v>469.8</v>
      </c>
      <c r="C79" s="178">
        <v>2</v>
      </c>
      <c r="D79" s="177">
        <v>7.1999999999999995E-2</v>
      </c>
      <c r="E79" s="177">
        <v>1E-3</v>
      </c>
      <c r="F79" s="177">
        <v>1000</v>
      </c>
      <c r="G79" s="177">
        <v>0</v>
      </c>
      <c r="H79" s="177">
        <v>25</v>
      </c>
      <c r="I79" s="176" t="s">
        <v>12</v>
      </c>
      <c r="J79" s="177">
        <v>1.2</v>
      </c>
      <c r="K79" s="177">
        <v>7.01</v>
      </c>
    </row>
    <row r="80" spans="1:11">
      <c r="A80" s="176" t="s">
        <v>32</v>
      </c>
      <c r="B80" s="177">
        <v>471.1</v>
      </c>
      <c r="C80" s="178">
        <v>2</v>
      </c>
      <c r="D80" s="177">
        <v>7.1999999999999995E-2</v>
      </c>
      <c r="E80" s="177">
        <v>1E-3</v>
      </c>
      <c r="F80" s="177">
        <v>1000</v>
      </c>
      <c r="G80" s="177">
        <v>0</v>
      </c>
      <c r="H80" s="177">
        <v>25</v>
      </c>
      <c r="I80" s="176" t="s">
        <v>12</v>
      </c>
      <c r="J80" s="177">
        <v>1.2</v>
      </c>
      <c r="K80" s="177">
        <v>7.32</v>
      </c>
    </row>
    <row r="81" spans="1:11">
      <c r="A81" s="176" t="s">
        <v>32</v>
      </c>
      <c r="B81" s="177">
        <v>471.1</v>
      </c>
      <c r="C81" s="178">
        <v>2</v>
      </c>
      <c r="D81" s="177">
        <v>7.1999999999999995E-2</v>
      </c>
      <c r="E81" s="177">
        <v>1E-3</v>
      </c>
      <c r="F81" s="177">
        <v>1000</v>
      </c>
      <c r="G81" s="177">
        <v>0</v>
      </c>
      <c r="H81" s="177">
        <v>25</v>
      </c>
      <c r="I81" s="176" t="s">
        <v>12</v>
      </c>
      <c r="J81" s="177">
        <v>1.2</v>
      </c>
      <c r="K81" s="177">
        <v>7.55</v>
      </c>
    </row>
    <row r="82" spans="1:11">
      <c r="A82" s="176" t="s">
        <v>32</v>
      </c>
      <c r="B82" s="177">
        <v>471.1</v>
      </c>
      <c r="C82" s="178">
        <v>2</v>
      </c>
      <c r="D82" s="177">
        <v>7.1999999999999995E-2</v>
      </c>
      <c r="E82" s="177">
        <v>1E-3</v>
      </c>
      <c r="F82" s="177">
        <v>1000</v>
      </c>
      <c r="G82" s="177">
        <v>0</v>
      </c>
      <c r="H82" s="177">
        <v>25</v>
      </c>
      <c r="I82" s="176" t="s">
        <v>12</v>
      </c>
      <c r="J82" s="177">
        <v>1.2</v>
      </c>
      <c r="K82" s="177">
        <v>7.8</v>
      </c>
    </row>
    <row r="83" spans="1:11">
      <c r="A83" s="176" t="s">
        <v>32</v>
      </c>
      <c r="B83" s="177">
        <v>522</v>
      </c>
      <c r="C83" s="178">
        <v>2</v>
      </c>
      <c r="D83" s="177">
        <v>7.1999999999999995E-2</v>
      </c>
      <c r="E83" s="177">
        <v>1E-3</v>
      </c>
      <c r="F83" s="177">
        <v>1000</v>
      </c>
      <c r="G83" s="177">
        <v>0</v>
      </c>
      <c r="H83" s="177">
        <v>25</v>
      </c>
      <c r="I83" s="176" t="s">
        <v>12</v>
      </c>
      <c r="J83" s="177">
        <v>1.2</v>
      </c>
      <c r="K83" s="177">
        <v>7.1</v>
      </c>
    </row>
    <row r="84" spans="1:11">
      <c r="A84" s="176" t="s">
        <v>32</v>
      </c>
      <c r="B84" s="177">
        <v>520.5</v>
      </c>
      <c r="C84" s="178">
        <v>2</v>
      </c>
      <c r="D84" s="177">
        <v>7.1999999999999995E-2</v>
      </c>
      <c r="E84" s="177">
        <v>1E-3</v>
      </c>
      <c r="F84" s="177">
        <v>1000</v>
      </c>
      <c r="G84" s="177">
        <v>0</v>
      </c>
      <c r="H84" s="177">
        <v>25</v>
      </c>
      <c r="I84" s="176" t="s">
        <v>12</v>
      </c>
      <c r="J84" s="177">
        <v>1.2</v>
      </c>
      <c r="K84" s="177">
        <v>6.96</v>
      </c>
    </row>
    <row r="85" spans="1:11">
      <c r="A85" s="176" t="s">
        <v>32</v>
      </c>
      <c r="B85" s="177">
        <v>521.79999999999995</v>
      </c>
      <c r="C85" s="178">
        <v>2</v>
      </c>
      <c r="D85" s="177">
        <v>7.1999999999999995E-2</v>
      </c>
      <c r="E85" s="177">
        <v>1E-3</v>
      </c>
      <c r="F85" s="177">
        <v>1000</v>
      </c>
      <c r="G85" s="177">
        <v>0</v>
      </c>
      <c r="H85" s="177">
        <v>25</v>
      </c>
      <c r="I85" s="176" t="s">
        <v>12</v>
      </c>
      <c r="J85" s="177">
        <v>1.2</v>
      </c>
      <c r="K85" s="177">
        <v>7.47</v>
      </c>
    </row>
    <row r="86" spans="1:11">
      <c r="A86" s="176" t="s">
        <v>32</v>
      </c>
      <c r="B86" s="177">
        <v>520.5</v>
      </c>
      <c r="C86" s="178">
        <v>2</v>
      </c>
      <c r="D86" s="177">
        <v>7.1999999999999995E-2</v>
      </c>
      <c r="E86" s="177">
        <v>1E-3</v>
      </c>
      <c r="F86" s="177">
        <v>1000</v>
      </c>
      <c r="G86" s="177">
        <v>0</v>
      </c>
      <c r="H86" s="177">
        <v>25</v>
      </c>
      <c r="I86" s="176" t="s">
        <v>12</v>
      </c>
      <c r="J86" s="177">
        <v>1.2</v>
      </c>
      <c r="K86" s="177">
        <v>7.88</v>
      </c>
    </row>
    <row r="87" spans="1:11">
      <c r="A87" s="176" t="s">
        <v>32</v>
      </c>
      <c r="B87" s="177">
        <v>520.5</v>
      </c>
      <c r="C87" s="178">
        <v>2</v>
      </c>
      <c r="D87" s="177">
        <v>7.1999999999999995E-2</v>
      </c>
      <c r="E87" s="177">
        <v>1E-3</v>
      </c>
      <c r="F87" s="177">
        <v>1000</v>
      </c>
      <c r="G87" s="177">
        <v>0</v>
      </c>
      <c r="H87" s="177">
        <v>25</v>
      </c>
      <c r="I87" s="176" t="s">
        <v>12</v>
      </c>
      <c r="J87" s="177">
        <v>1.2</v>
      </c>
      <c r="K87" s="177">
        <v>8.18</v>
      </c>
    </row>
    <row r="88" spans="1:11">
      <c r="A88" s="176" t="s">
        <v>32</v>
      </c>
      <c r="B88" s="177">
        <v>562.5</v>
      </c>
      <c r="C88" s="178">
        <v>2</v>
      </c>
      <c r="D88" s="177">
        <v>7.1999999999999995E-2</v>
      </c>
      <c r="E88" s="177">
        <v>1E-3</v>
      </c>
      <c r="F88" s="177">
        <v>1000</v>
      </c>
      <c r="G88" s="177">
        <v>0</v>
      </c>
      <c r="H88" s="177">
        <v>25</v>
      </c>
      <c r="I88" s="176" t="s">
        <v>12</v>
      </c>
      <c r="J88" s="177">
        <v>1.2</v>
      </c>
      <c r="K88" s="177">
        <v>7.14</v>
      </c>
    </row>
    <row r="89" spans="1:11">
      <c r="A89" s="176" t="s">
        <v>32</v>
      </c>
      <c r="B89" s="177">
        <v>567.70000000000005</v>
      </c>
      <c r="C89" s="178">
        <v>2</v>
      </c>
      <c r="D89" s="177">
        <v>7.1999999999999995E-2</v>
      </c>
      <c r="E89" s="177">
        <v>1E-3</v>
      </c>
      <c r="F89" s="177">
        <v>1000</v>
      </c>
      <c r="G89" s="177">
        <v>0</v>
      </c>
      <c r="H89" s="177">
        <v>25</v>
      </c>
      <c r="I89" s="176" t="s">
        <v>12</v>
      </c>
      <c r="J89" s="177">
        <v>1.2</v>
      </c>
      <c r="K89" s="177">
        <v>7.66</v>
      </c>
    </row>
    <row r="90" spans="1:11">
      <c r="A90" s="176" t="s">
        <v>32</v>
      </c>
      <c r="B90" s="177">
        <v>568.29999999999995</v>
      </c>
      <c r="C90" s="178">
        <v>2</v>
      </c>
      <c r="D90" s="177">
        <v>7.1999999999999995E-2</v>
      </c>
      <c r="E90" s="177">
        <v>1E-3</v>
      </c>
      <c r="F90" s="177">
        <v>1000</v>
      </c>
      <c r="G90" s="177">
        <v>0</v>
      </c>
      <c r="H90" s="177">
        <v>25</v>
      </c>
      <c r="I90" s="176" t="s">
        <v>12</v>
      </c>
      <c r="J90" s="177">
        <v>1.2</v>
      </c>
      <c r="K90" s="177">
        <v>8.18</v>
      </c>
    </row>
    <row r="91" spans="1:11">
      <c r="A91" s="176" t="s">
        <v>32</v>
      </c>
      <c r="B91" s="177">
        <v>567.70000000000005</v>
      </c>
      <c r="C91" s="178">
        <v>2</v>
      </c>
      <c r="D91" s="177">
        <v>7.1999999999999995E-2</v>
      </c>
      <c r="E91" s="177">
        <v>1E-3</v>
      </c>
      <c r="F91" s="177">
        <v>1000</v>
      </c>
      <c r="G91" s="177">
        <v>0</v>
      </c>
      <c r="H91" s="177">
        <v>25</v>
      </c>
      <c r="I91" s="176" t="s">
        <v>12</v>
      </c>
      <c r="J91" s="177">
        <v>1.2</v>
      </c>
      <c r="K91" s="177">
        <v>8.43</v>
      </c>
    </row>
    <row r="92" spans="1:11">
      <c r="A92" s="176" t="s">
        <v>32</v>
      </c>
      <c r="B92" s="177">
        <v>570.9</v>
      </c>
      <c r="C92" s="178">
        <v>2</v>
      </c>
      <c r="D92" s="177">
        <v>7.1999999999999995E-2</v>
      </c>
      <c r="E92" s="177">
        <v>1E-3</v>
      </c>
      <c r="F92" s="177">
        <v>1000</v>
      </c>
      <c r="G92" s="177">
        <v>0</v>
      </c>
      <c r="H92" s="177">
        <v>25</v>
      </c>
      <c r="I92" s="176" t="s">
        <v>12</v>
      </c>
      <c r="J92" s="177">
        <v>1.2</v>
      </c>
      <c r="K92" s="177">
        <v>8.67</v>
      </c>
    </row>
    <row r="93" spans="1:11">
      <c r="A93" s="176" t="s">
        <v>32</v>
      </c>
      <c r="B93" s="177">
        <v>612.5</v>
      </c>
      <c r="C93" s="178">
        <v>2</v>
      </c>
      <c r="D93" s="177">
        <v>7.1999999999999995E-2</v>
      </c>
      <c r="E93" s="177">
        <v>1E-3</v>
      </c>
      <c r="F93" s="177">
        <v>1000</v>
      </c>
      <c r="G93" s="177">
        <v>0</v>
      </c>
      <c r="H93" s="177">
        <v>25</v>
      </c>
      <c r="I93" s="176" t="s">
        <v>12</v>
      </c>
      <c r="J93" s="177">
        <v>1.2</v>
      </c>
      <c r="K93" s="177">
        <v>7.24</v>
      </c>
    </row>
    <row r="94" spans="1:11">
      <c r="A94" s="176" t="s">
        <v>32</v>
      </c>
      <c r="B94" s="177">
        <v>613.1</v>
      </c>
      <c r="C94" s="178">
        <v>2</v>
      </c>
      <c r="D94" s="177">
        <v>7.1999999999999995E-2</v>
      </c>
      <c r="E94" s="177">
        <v>1E-3</v>
      </c>
      <c r="F94" s="177">
        <v>1000</v>
      </c>
      <c r="G94" s="177">
        <v>0</v>
      </c>
      <c r="H94" s="177">
        <v>25</v>
      </c>
      <c r="I94" s="176" t="s">
        <v>12</v>
      </c>
      <c r="J94" s="177">
        <v>1.2</v>
      </c>
      <c r="K94" s="177">
        <v>7.5</v>
      </c>
    </row>
    <row r="95" spans="1:11">
      <c r="A95" s="176" t="s">
        <v>32</v>
      </c>
      <c r="B95" s="177">
        <v>613.9</v>
      </c>
      <c r="C95" s="178">
        <v>2</v>
      </c>
      <c r="D95" s="177">
        <v>7.1999999999999995E-2</v>
      </c>
      <c r="E95" s="177">
        <v>1E-3</v>
      </c>
      <c r="F95" s="177">
        <v>1000</v>
      </c>
      <c r="G95" s="177">
        <v>0</v>
      </c>
      <c r="H95" s="177">
        <v>25</v>
      </c>
      <c r="I95" s="176" t="s">
        <v>12</v>
      </c>
      <c r="J95" s="177">
        <v>1.2</v>
      </c>
      <c r="K95" s="177">
        <v>8.61</v>
      </c>
    </row>
    <row r="96" spans="1:11">
      <c r="A96" s="176" t="s">
        <v>32</v>
      </c>
      <c r="B96" s="177">
        <v>615.5</v>
      </c>
      <c r="C96" s="178">
        <v>2</v>
      </c>
      <c r="D96" s="177">
        <v>7.1999999999999995E-2</v>
      </c>
      <c r="E96" s="177">
        <v>1E-3</v>
      </c>
      <c r="F96" s="177">
        <v>1000</v>
      </c>
      <c r="G96" s="177">
        <v>0</v>
      </c>
      <c r="H96" s="177">
        <v>25</v>
      </c>
      <c r="I96" s="176" t="s">
        <v>12</v>
      </c>
      <c r="J96" s="177">
        <v>1.2</v>
      </c>
      <c r="K96" s="177">
        <v>8.49</v>
      </c>
    </row>
    <row r="97" spans="1:11">
      <c r="A97" s="176" t="s">
        <v>32</v>
      </c>
      <c r="B97" s="177">
        <v>613.4</v>
      </c>
      <c r="C97" s="178">
        <v>2</v>
      </c>
      <c r="D97" s="177">
        <v>7.1999999999999995E-2</v>
      </c>
      <c r="E97" s="177">
        <v>1E-3</v>
      </c>
      <c r="F97" s="177">
        <v>1000</v>
      </c>
      <c r="G97" s="177">
        <v>0</v>
      </c>
      <c r="H97" s="177">
        <v>25</v>
      </c>
      <c r="I97" s="176" t="s">
        <v>12</v>
      </c>
      <c r="J97" s="177">
        <v>1.2</v>
      </c>
      <c r="K97" s="177">
        <v>8.7799999999999994</v>
      </c>
    </row>
    <row r="98" spans="1:11">
      <c r="A98" s="176" t="s">
        <v>32</v>
      </c>
      <c r="B98" s="177">
        <v>614.1</v>
      </c>
      <c r="C98" s="178">
        <v>2</v>
      </c>
      <c r="D98" s="177">
        <v>7.1999999999999995E-2</v>
      </c>
      <c r="E98" s="177">
        <v>1E-3</v>
      </c>
      <c r="F98" s="177">
        <v>1000</v>
      </c>
      <c r="G98" s="177">
        <v>0</v>
      </c>
      <c r="H98" s="177">
        <v>25</v>
      </c>
      <c r="I98" s="176" t="s">
        <v>12</v>
      </c>
      <c r="J98" s="177">
        <v>1.2</v>
      </c>
      <c r="K98" s="177">
        <v>8.9499999999999993</v>
      </c>
    </row>
    <row r="99" spans="1:11">
      <c r="A99" s="176" t="s">
        <v>32</v>
      </c>
      <c r="B99" s="177">
        <v>659.5</v>
      </c>
      <c r="C99" s="178">
        <v>2</v>
      </c>
      <c r="D99" s="177">
        <v>7.1999999999999995E-2</v>
      </c>
      <c r="E99" s="177">
        <v>1E-3</v>
      </c>
      <c r="F99" s="177">
        <v>1000</v>
      </c>
      <c r="G99" s="177">
        <v>0</v>
      </c>
      <c r="H99" s="177">
        <v>25</v>
      </c>
      <c r="I99" s="176" t="s">
        <v>12</v>
      </c>
      <c r="J99" s="177">
        <v>1.2</v>
      </c>
      <c r="K99" s="177">
        <v>6.97</v>
      </c>
    </row>
    <row r="100" spans="1:11">
      <c r="A100" s="176" t="s">
        <v>32</v>
      </c>
      <c r="B100" s="177">
        <v>659.5</v>
      </c>
      <c r="C100" s="178">
        <v>2</v>
      </c>
      <c r="D100" s="177">
        <v>7.1999999999999995E-2</v>
      </c>
      <c r="E100" s="177">
        <v>1E-3</v>
      </c>
      <c r="F100" s="177">
        <v>1000</v>
      </c>
      <c r="G100" s="177">
        <v>0</v>
      </c>
      <c r="H100" s="177">
        <v>25</v>
      </c>
      <c r="I100" s="176" t="s">
        <v>12</v>
      </c>
      <c r="J100" s="177">
        <v>1.2</v>
      </c>
      <c r="K100" s="177">
        <v>7.2</v>
      </c>
    </row>
    <row r="101" spans="1:11">
      <c r="A101" s="176" t="s">
        <v>32</v>
      </c>
      <c r="B101" s="177">
        <v>659.5</v>
      </c>
      <c r="C101" s="178">
        <v>2</v>
      </c>
      <c r="D101" s="177">
        <v>7.1999999999999995E-2</v>
      </c>
      <c r="E101" s="177">
        <v>1E-3</v>
      </c>
      <c r="F101" s="177">
        <v>1000</v>
      </c>
      <c r="G101" s="177">
        <v>0</v>
      </c>
      <c r="H101" s="177">
        <v>25</v>
      </c>
      <c r="I101" s="176" t="s">
        <v>12</v>
      </c>
      <c r="J101" s="177">
        <v>1.2</v>
      </c>
      <c r="K101" s="177">
        <v>7.48</v>
      </c>
    </row>
    <row r="102" spans="1:11">
      <c r="A102" s="176" t="s">
        <v>32</v>
      </c>
      <c r="B102" s="177">
        <v>659.5</v>
      </c>
      <c r="C102" s="178">
        <v>2</v>
      </c>
      <c r="D102" s="177">
        <v>7.1999999999999995E-2</v>
      </c>
      <c r="E102" s="177">
        <v>1E-3</v>
      </c>
      <c r="F102" s="177">
        <v>1000</v>
      </c>
      <c r="G102" s="177">
        <v>0</v>
      </c>
      <c r="H102" s="177">
        <v>25</v>
      </c>
      <c r="I102" s="176" t="s">
        <v>12</v>
      </c>
      <c r="J102" s="177">
        <v>1.2</v>
      </c>
      <c r="K102" s="177">
        <v>7.74</v>
      </c>
    </row>
    <row r="103" spans="1:11">
      <c r="A103" s="176" t="s">
        <v>32</v>
      </c>
      <c r="B103" s="177">
        <v>659.5</v>
      </c>
      <c r="C103" s="178">
        <v>2</v>
      </c>
      <c r="D103" s="177">
        <v>7.1999999999999995E-2</v>
      </c>
      <c r="E103" s="177">
        <v>1E-3</v>
      </c>
      <c r="F103" s="177">
        <v>1000</v>
      </c>
      <c r="G103" s="177">
        <v>0</v>
      </c>
      <c r="H103" s="177">
        <v>25</v>
      </c>
      <c r="I103" s="176" t="s">
        <v>12</v>
      </c>
      <c r="J103" s="177">
        <v>1.2</v>
      </c>
      <c r="K103" s="177">
        <v>8.65</v>
      </c>
    </row>
    <row r="104" spans="1:11">
      <c r="A104" s="176" t="s">
        <v>32</v>
      </c>
      <c r="B104" s="177">
        <v>660</v>
      </c>
      <c r="C104" s="178">
        <v>2</v>
      </c>
      <c r="D104" s="177">
        <v>7.1999999999999995E-2</v>
      </c>
      <c r="E104" s="177">
        <v>1E-3</v>
      </c>
      <c r="F104" s="177">
        <v>1000</v>
      </c>
      <c r="G104" s="177">
        <v>0</v>
      </c>
      <c r="H104" s="177">
        <v>25</v>
      </c>
      <c r="I104" s="176" t="s">
        <v>12</v>
      </c>
      <c r="J104" s="177">
        <v>1.2</v>
      </c>
      <c r="K104" s="177">
        <v>8.83</v>
      </c>
    </row>
    <row r="105" spans="1:11">
      <c r="A105" s="176" t="s">
        <v>32</v>
      </c>
      <c r="B105" s="177">
        <v>660</v>
      </c>
      <c r="C105" s="178">
        <v>2</v>
      </c>
      <c r="D105" s="177">
        <v>7.1999999999999995E-2</v>
      </c>
      <c r="E105" s="177">
        <v>1E-3</v>
      </c>
      <c r="F105" s="177">
        <v>1000</v>
      </c>
      <c r="G105" s="177">
        <v>0</v>
      </c>
      <c r="H105" s="177">
        <v>25</v>
      </c>
      <c r="I105" s="176" t="s">
        <v>12</v>
      </c>
      <c r="J105" s="177">
        <v>1.2</v>
      </c>
      <c r="K105" s="177">
        <v>9</v>
      </c>
    </row>
    <row r="106" spans="1:11">
      <c r="A106" s="176" t="s">
        <v>32</v>
      </c>
      <c r="B106" s="177">
        <v>707.4</v>
      </c>
      <c r="C106" s="178">
        <v>2</v>
      </c>
      <c r="D106" s="177">
        <v>7.1999999999999995E-2</v>
      </c>
      <c r="E106" s="177">
        <v>1E-3</v>
      </c>
      <c r="F106" s="177">
        <v>1000</v>
      </c>
      <c r="G106" s="177">
        <v>0</v>
      </c>
      <c r="H106" s="177">
        <v>25</v>
      </c>
      <c r="I106" s="176" t="s">
        <v>12</v>
      </c>
      <c r="J106" s="177">
        <v>1.2</v>
      </c>
      <c r="K106" s="177">
        <v>7.14</v>
      </c>
    </row>
    <row r="107" spans="1:11">
      <c r="A107" s="176" t="s">
        <v>32</v>
      </c>
      <c r="B107" s="177">
        <v>707.4</v>
      </c>
      <c r="C107" s="178">
        <v>2</v>
      </c>
      <c r="D107" s="177">
        <v>7.1999999999999995E-2</v>
      </c>
      <c r="E107" s="177">
        <v>1E-3</v>
      </c>
      <c r="F107" s="177">
        <v>1000</v>
      </c>
      <c r="G107" s="177">
        <v>0</v>
      </c>
      <c r="H107" s="177">
        <v>25</v>
      </c>
      <c r="I107" s="176" t="s">
        <v>12</v>
      </c>
      <c r="J107" s="177">
        <v>1.2</v>
      </c>
      <c r="K107" s="177">
        <v>7.36</v>
      </c>
    </row>
    <row r="108" spans="1:11">
      <c r="A108" s="176" t="s">
        <v>32</v>
      </c>
      <c r="B108" s="177">
        <v>707.4</v>
      </c>
      <c r="C108" s="178">
        <v>2</v>
      </c>
      <c r="D108" s="177">
        <v>7.1999999999999995E-2</v>
      </c>
      <c r="E108" s="177">
        <v>1E-3</v>
      </c>
      <c r="F108" s="177">
        <v>1000</v>
      </c>
      <c r="G108" s="177">
        <v>0</v>
      </c>
      <c r="H108" s="177">
        <v>25</v>
      </c>
      <c r="I108" s="176" t="s">
        <v>12</v>
      </c>
      <c r="J108" s="177">
        <v>1.2</v>
      </c>
      <c r="K108" s="177">
        <v>7.75</v>
      </c>
    </row>
    <row r="109" spans="1:11">
      <c r="A109" s="176" t="s">
        <v>32</v>
      </c>
      <c r="B109" s="177">
        <v>707.4</v>
      </c>
      <c r="C109" s="178">
        <v>2</v>
      </c>
      <c r="D109" s="177">
        <v>7.1999999999999995E-2</v>
      </c>
      <c r="E109" s="177">
        <v>1E-3</v>
      </c>
      <c r="F109" s="177">
        <v>1000</v>
      </c>
      <c r="G109" s="177">
        <v>0</v>
      </c>
      <c r="H109" s="177">
        <v>25</v>
      </c>
      <c r="I109" s="176" t="s">
        <v>12</v>
      </c>
      <c r="J109" s="177">
        <v>1.2</v>
      </c>
      <c r="K109" s="177">
        <v>7.75</v>
      </c>
    </row>
    <row r="110" spans="1:11">
      <c r="A110" s="176" t="s">
        <v>32</v>
      </c>
      <c r="B110" s="177">
        <v>707.4</v>
      </c>
      <c r="C110" s="178">
        <v>2</v>
      </c>
      <c r="D110" s="177">
        <v>7.1999999999999995E-2</v>
      </c>
      <c r="E110" s="177">
        <v>1E-3</v>
      </c>
      <c r="F110" s="177">
        <v>1000</v>
      </c>
      <c r="G110" s="177">
        <v>0</v>
      </c>
      <c r="H110" s="177">
        <v>25</v>
      </c>
      <c r="I110" s="176" t="s">
        <v>12</v>
      </c>
      <c r="J110" s="177">
        <v>1.2</v>
      </c>
      <c r="K110" s="177">
        <v>7.95</v>
      </c>
    </row>
    <row r="111" spans="1:11">
      <c r="A111" s="176" t="s">
        <v>32</v>
      </c>
      <c r="B111" s="177">
        <v>707.4</v>
      </c>
      <c r="C111" s="178">
        <v>2</v>
      </c>
      <c r="D111" s="177">
        <v>7.1999999999999995E-2</v>
      </c>
      <c r="E111" s="177">
        <v>1E-3</v>
      </c>
      <c r="F111" s="177">
        <v>1000</v>
      </c>
      <c r="G111" s="177">
        <v>0</v>
      </c>
      <c r="H111" s="177">
        <v>25</v>
      </c>
      <c r="I111" s="176" t="s">
        <v>12</v>
      </c>
      <c r="J111" s="177">
        <v>1.2</v>
      </c>
      <c r="K111" s="177">
        <v>8.89</v>
      </c>
    </row>
    <row r="112" spans="1:11">
      <c r="A112" s="176" t="s">
        <v>32</v>
      </c>
      <c r="B112" s="177">
        <v>707.4</v>
      </c>
      <c r="C112" s="178">
        <v>2</v>
      </c>
      <c r="D112" s="177">
        <v>7.1999999999999995E-2</v>
      </c>
      <c r="E112" s="177">
        <v>1E-3</v>
      </c>
      <c r="F112" s="177">
        <v>1000</v>
      </c>
      <c r="G112" s="177">
        <v>0</v>
      </c>
      <c r="H112" s="177">
        <v>25</v>
      </c>
      <c r="I112" s="176" t="s">
        <v>12</v>
      </c>
      <c r="J112" s="177">
        <v>1.2</v>
      </c>
      <c r="K112" s="177">
        <v>9.01</v>
      </c>
    </row>
    <row r="113" spans="1:11">
      <c r="A113" s="176" t="s">
        <v>32</v>
      </c>
      <c r="B113" s="177">
        <v>707.4</v>
      </c>
      <c r="C113" s="178">
        <v>2</v>
      </c>
      <c r="D113" s="177">
        <v>7.1999999999999995E-2</v>
      </c>
      <c r="E113" s="177">
        <v>1E-3</v>
      </c>
      <c r="F113" s="177">
        <v>1000</v>
      </c>
      <c r="G113" s="177">
        <v>0</v>
      </c>
      <c r="H113" s="177">
        <v>25</v>
      </c>
      <c r="I113" s="176" t="s">
        <v>12</v>
      </c>
      <c r="J113" s="177">
        <v>1.2</v>
      </c>
      <c r="K113" s="177">
        <v>9.19</v>
      </c>
    </row>
    <row r="114" spans="1:11">
      <c r="A114" s="176" t="s">
        <v>32</v>
      </c>
      <c r="B114" s="177">
        <v>707.4</v>
      </c>
      <c r="C114" s="178">
        <v>2</v>
      </c>
      <c r="D114" s="177">
        <v>7.1999999999999995E-2</v>
      </c>
      <c r="E114" s="177">
        <v>1E-3</v>
      </c>
      <c r="F114" s="177">
        <v>1000</v>
      </c>
      <c r="G114" s="177">
        <v>0</v>
      </c>
      <c r="H114" s="177">
        <v>25</v>
      </c>
      <c r="I114" s="176" t="s">
        <v>12</v>
      </c>
      <c r="J114" s="177">
        <v>1.2</v>
      </c>
      <c r="K114" s="177">
        <v>9.44</v>
      </c>
    </row>
    <row r="115" spans="1:11">
      <c r="A115" s="176" t="s">
        <v>32</v>
      </c>
      <c r="B115" s="177">
        <v>89</v>
      </c>
      <c r="C115" s="178">
        <v>2</v>
      </c>
      <c r="D115" s="177">
        <v>7.1999999999999995E-2</v>
      </c>
      <c r="E115" s="177">
        <v>1E-3</v>
      </c>
      <c r="F115" s="177">
        <v>1000</v>
      </c>
      <c r="G115" s="177">
        <v>0</v>
      </c>
      <c r="H115" s="177">
        <v>25</v>
      </c>
      <c r="I115" s="176" t="s">
        <v>12</v>
      </c>
      <c r="J115" s="177">
        <v>1.2</v>
      </c>
      <c r="K115" s="177">
        <v>4.8499999999999996</v>
      </c>
    </row>
    <row r="116" spans="1:11">
      <c r="A116" s="176" t="s">
        <v>32</v>
      </c>
      <c r="B116" s="177">
        <v>143.19999999999999</v>
      </c>
      <c r="C116" s="178">
        <v>2</v>
      </c>
      <c r="D116" s="177">
        <v>7.1999999999999995E-2</v>
      </c>
      <c r="E116" s="177">
        <v>1E-3</v>
      </c>
      <c r="F116" s="177">
        <v>1000</v>
      </c>
      <c r="G116" s="177">
        <v>0</v>
      </c>
      <c r="H116" s="177">
        <v>25</v>
      </c>
      <c r="I116" s="176" t="s">
        <v>12</v>
      </c>
      <c r="J116" s="177">
        <v>1.2</v>
      </c>
      <c r="K116" s="177">
        <v>5.46</v>
      </c>
    </row>
    <row r="117" spans="1:11">
      <c r="A117" s="176" t="s">
        <v>32</v>
      </c>
      <c r="B117" s="177">
        <v>189.7</v>
      </c>
      <c r="C117" s="178">
        <v>2</v>
      </c>
      <c r="D117" s="177">
        <v>7.1999999999999995E-2</v>
      </c>
      <c r="E117" s="177">
        <v>1E-3</v>
      </c>
      <c r="F117" s="177">
        <v>1000</v>
      </c>
      <c r="G117" s="177">
        <v>0</v>
      </c>
      <c r="H117" s="177">
        <v>25</v>
      </c>
      <c r="I117" s="176" t="s">
        <v>12</v>
      </c>
      <c r="J117" s="177">
        <v>1.2</v>
      </c>
      <c r="K117" s="177">
        <v>6.01</v>
      </c>
    </row>
    <row r="118" spans="1:11">
      <c r="A118" s="176" t="s">
        <v>32</v>
      </c>
      <c r="B118" s="177">
        <v>232.2</v>
      </c>
      <c r="C118" s="178">
        <v>2</v>
      </c>
      <c r="D118" s="177">
        <v>7.1999999999999995E-2</v>
      </c>
      <c r="E118" s="177">
        <v>1E-3</v>
      </c>
      <c r="F118" s="177">
        <v>1000</v>
      </c>
      <c r="G118" s="177">
        <v>0</v>
      </c>
      <c r="H118" s="177">
        <v>25</v>
      </c>
      <c r="I118" s="176" t="s">
        <v>12</v>
      </c>
      <c r="J118" s="177">
        <v>1.2</v>
      </c>
      <c r="K118" s="177">
        <v>6.58</v>
      </c>
    </row>
    <row r="119" spans="1:11">
      <c r="A119" s="176" t="s">
        <v>32</v>
      </c>
      <c r="B119" s="177">
        <v>279</v>
      </c>
      <c r="C119" s="178">
        <v>2</v>
      </c>
      <c r="D119" s="177">
        <v>7.1999999999999995E-2</v>
      </c>
      <c r="E119" s="177">
        <v>1E-3</v>
      </c>
      <c r="F119" s="177">
        <v>1000</v>
      </c>
      <c r="G119" s="177">
        <v>0</v>
      </c>
      <c r="H119" s="177">
        <v>25</v>
      </c>
      <c r="I119" s="176" t="s">
        <v>12</v>
      </c>
      <c r="J119" s="177">
        <v>1.2</v>
      </c>
      <c r="K119" s="177">
        <v>6.81</v>
      </c>
    </row>
    <row r="120" spans="1:11">
      <c r="A120" s="176" t="s">
        <v>32</v>
      </c>
      <c r="B120" s="177">
        <v>320.89999999999998</v>
      </c>
      <c r="C120" s="178">
        <v>2</v>
      </c>
      <c r="D120" s="177">
        <v>7.1999999999999995E-2</v>
      </c>
      <c r="E120" s="177">
        <v>1E-3</v>
      </c>
      <c r="F120" s="177">
        <v>1000</v>
      </c>
      <c r="G120" s="177">
        <v>0</v>
      </c>
      <c r="H120" s="177">
        <v>25</v>
      </c>
      <c r="I120" s="176" t="s">
        <v>12</v>
      </c>
      <c r="J120" s="177">
        <v>1.2</v>
      </c>
      <c r="K120" s="177">
        <v>7.15</v>
      </c>
    </row>
    <row r="121" spans="1:11">
      <c r="A121" s="176" t="s">
        <v>32</v>
      </c>
      <c r="B121" s="177">
        <v>330.1</v>
      </c>
      <c r="C121" s="178">
        <v>2</v>
      </c>
      <c r="D121" s="177">
        <v>7.1999999999999995E-2</v>
      </c>
      <c r="E121" s="177">
        <v>1E-3</v>
      </c>
      <c r="F121" s="177">
        <v>1000</v>
      </c>
      <c r="G121" s="177">
        <v>0</v>
      </c>
      <c r="H121" s="177">
        <v>25</v>
      </c>
      <c r="I121" s="176" t="s">
        <v>12</v>
      </c>
      <c r="J121" s="177">
        <v>1.2</v>
      </c>
      <c r="K121" s="177">
        <v>7.52</v>
      </c>
    </row>
    <row r="122" spans="1:11">
      <c r="A122" s="176" t="s">
        <v>32</v>
      </c>
      <c r="B122" s="177">
        <v>380</v>
      </c>
      <c r="C122" s="178">
        <v>2</v>
      </c>
      <c r="D122" s="177">
        <v>7.1999999999999995E-2</v>
      </c>
      <c r="E122" s="177">
        <v>1E-3</v>
      </c>
      <c r="F122" s="177">
        <v>1000</v>
      </c>
      <c r="G122" s="177">
        <v>0</v>
      </c>
      <c r="H122" s="177">
        <v>25</v>
      </c>
      <c r="I122" s="176" t="s">
        <v>12</v>
      </c>
      <c r="J122" s="177">
        <v>1.2</v>
      </c>
      <c r="K122" s="177">
        <v>7.62</v>
      </c>
    </row>
    <row r="123" spans="1:11">
      <c r="A123" s="176" t="s">
        <v>32</v>
      </c>
      <c r="B123" s="177">
        <v>376.2</v>
      </c>
      <c r="C123" s="178">
        <v>2</v>
      </c>
      <c r="D123" s="177">
        <v>7.1999999999999995E-2</v>
      </c>
      <c r="E123" s="177">
        <v>1E-3</v>
      </c>
      <c r="F123" s="177">
        <v>1000</v>
      </c>
      <c r="G123" s="177">
        <v>0</v>
      </c>
      <c r="H123" s="177">
        <v>25</v>
      </c>
      <c r="I123" s="176" t="s">
        <v>12</v>
      </c>
      <c r="J123" s="177">
        <v>1.2</v>
      </c>
      <c r="K123" s="177">
        <v>7.49</v>
      </c>
    </row>
    <row r="124" spans="1:11">
      <c r="A124" s="176" t="s">
        <v>32</v>
      </c>
      <c r="B124" s="177">
        <v>425.2</v>
      </c>
      <c r="C124" s="178">
        <v>2</v>
      </c>
      <c r="D124" s="177">
        <v>7.1999999999999995E-2</v>
      </c>
      <c r="E124" s="177">
        <v>1E-3</v>
      </c>
      <c r="F124" s="177">
        <v>1000</v>
      </c>
      <c r="G124" s="177">
        <v>0</v>
      </c>
      <c r="H124" s="177">
        <v>25</v>
      </c>
      <c r="I124" s="176" t="s">
        <v>12</v>
      </c>
      <c r="J124" s="177">
        <v>1.2</v>
      </c>
      <c r="K124" s="177">
        <v>7.67</v>
      </c>
    </row>
    <row r="125" spans="1:11">
      <c r="A125" s="176" t="s">
        <v>32</v>
      </c>
      <c r="B125" s="177">
        <v>422.3</v>
      </c>
      <c r="C125" s="178">
        <v>2</v>
      </c>
      <c r="D125" s="177">
        <v>7.1999999999999995E-2</v>
      </c>
      <c r="E125" s="177">
        <v>1E-3</v>
      </c>
      <c r="F125" s="177">
        <v>1000</v>
      </c>
      <c r="G125" s="177">
        <v>0</v>
      </c>
      <c r="H125" s="177">
        <v>25</v>
      </c>
      <c r="I125" s="176" t="s">
        <v>12</v>
      </c>
      <c r="J125" s="177">
        <v>1.2</v>
      </c>
      <c r="K125" s="177">
        <v>7.99</v>
      </c>
    </row>
    <row r="126" spans="1:11">
      <c r="A126" s="176" t="s">
        <v>32</v>
      </c>
      <c r="B126" s="177">
        <v>470.1</v>
      </c>
      <c r="C126" s="178">
        <v>2</v>
      </c>
      <c r="D126" s="177">
        <v>7.1999999999999995E-2</v>
      </c>
      <c r="E126" s="177">
        <v>1E-3</v>
      </c>
      <c r="F126" s="177">
        <v>1000</v>
      </c>
      <c r="G126" s="177">
        <v>0</v>
      </c>
      <c r="H126" s="177">
        <v>25</v>
      </c>
      <c r="I126" s="176" t="s">
        <v>12</v>
      </c>
      <c r="J126" s="177">
        <v>1.2</v>
      </c>
      <c r="K126" s="177">
        <v>8.0299999999999994</v>
      </c>
    </row>
    <row r="127" spans="1:11">
      <c r="A127" s="176" t="s">
        <v>32</v>
      </c>
      <c r="B127" s="177">
        <v>471.9</v>
      </c>
      <c r="C127" s="178">
        <v>2</v>
      </c>
      <c r="D127" s="177">
        <v>7.1999999999999995E-2</v>
      </c>
      <c r="E127" s="177">
        <v>1E-3</v>
      </c>
      <c r="F127" s="177">
        <v>1000</v>
      </c>
      <c r="G127" s="177">
        <v>0</v>
      </c>
      <c r="H127" s="177">
        <v>25</v>
      </c>
      <c r="I127" s="176" t="s">
        <v>12</v>
      </c>
      <c r="J127" s="177">
        <v>1.2</v>
      </c>
      <c r="K127" s="177">
        <v>8.35</v>
      </c>
    </row>
    <row r="128" spans="1:11">
      <c r="A128" s="176" t="s">
        <v>32</v>
      </c>
      <c r="B128" s="177">
        <v>514.6</v>
      </c>
      <c r="C128" s="178">
        <v>2</v>
      </c>
      <c r="D128" s="177">
        <v>7.1999999999999995E-2</v>
      </c>
      <c r="E128" s="177">
        <v>1E-3</v>
      </c>
      <c r="F128" s="177">
        <v>1000</v>
      </c>
      <c r="G128" s="177">
        <v>0</v>
      </c>
      <c r="H128" s="177">
        <v>25</v>
      </c>
      <c r="I128" s="176" t="s">
        <v>12</v>
      </c>
      <c r="J128" s="177">
        <v>1.2</v>
      </c>
      <c r="K128" s="177">
        <v>8.11</v>
      </c>
    </row>
    <row r="129" spans="1:11">
      <c r="A129" s="176" t="s">
        <v>32</v>
      </c>
      <c r="B129" s="177">
        <v>515.20000000000005</v>
      </c>
      <c r="C129" s="178">
        <v>2</v>
      </c>
      <c r="D129" s="177">
        <v>7.1999999999999995E-2</v>
      </c>
      <c r="E129" s="177">
        <v>1E-3</v>
      </c>
      <c r="F129" s="177">
        <v>1000</v>
      </c>
      <c r="G129" s="177">
        <v>0</v>
      </c>
      <c r="H129" s="177">
        <v>25</v>
      </c>
      <c r="I129" s="176" t="s">
        <v>12</v>
      </c>
      <c r="J129" s="177">
        <v>1.2</v>
      </c>
      <c r="K129" s="177">
        <v>8.3699999999999992</v>
      </c>
    </row>
    <row r="130" spans="1:11">
      <c r="A130" s="176" t="s">
        <v>32</v>
      </c>
      <c r="B130" s="177">
        <v>515.79999999999995</v>
      </c>
      <c r="C130" s="178">
        <v>2</v>
      </c>
      <c r="D130" s="177">
        <v>7.1999999999999995E-2</v>
      </c>
      <c r="E130" s="177">
        <v>1E-3</v>
      </c>
      <c r="F130" s="177">
        <v>1000</v>
      </c>
      <c r="G130" s="177">
        <v>0</v>
      </c>
      <c r="H130" s="177">
        <v>25</v>
      </c>
      <c r="I130" s="176" t="s">
        <v>12</v>
      </c>
      <c r="J130" s="177">
        <v>1.2</v>
      </c>
      <c r="K130" s="177">
        <v>8.6999999999999993</v>
      </c>
    </row>
    <row r="131" spans="1:11">
      <c r="A131" s="176" t="s">
        <v>32</v>
      </c>
      <c r="B131" s="177">
        <v>567.6</v>
      </c>
      <c r="C131" s="178">
        <v>2</v>
      </c>
      <c r="D131" s="177">
        <v>7.1999999999999995E-2</v>
      </c>
      <c r="E131" s="177">
        <v>1E-3</v>
      </c>
      <c r="F131" s="177">
        <v>1000</v>
      </c>
      <c r="G131" s="177">
        <v>0</v>
      </c>
      <c r="H131" s="177">
        <v>25</v>
      </c>
      <c r="I131" s="176" t="s">
        <v>12</v>
      </c>
      <c r="J131" s="177">
        <v>1.2</v>
      </c>
      <c r="K131" s="177">
        <v>8.59</v>
      </c>
    </row>
    <row r="132" spans="1:11">
      <c r="A132" s="176" t="s">
        <v>32</v>
      </c>
      <c r="B132" s="177">
        <v>567.6</v>
      </c>
      <c r="C132" s="178">
        <v>2</v>
      </c>
      <c r="D132" s="177">
        <v>7.1999999999999995E-2</v>
      </c>
      <c r="E132" s="177">
        <v>1E-3</v>
      </c>
      <c r="F132" s="177">
        <v>1000</v>
      </c>
      <c r="G132" s="177">
        <v>0</v>
      </c>
      <c r="H132" s="177">
        <v>25</v>
      </c>
      <c r="I132" s="176" t="s">
        <v>12</v>
      </c>
      <c r="J132" s="177">
        <v>1.2</v>
      </c>
      <c r="K132" s="177">
        <v>8.81</v>
      </c>
    </row>
    <row r="133" spans="1:11">
      <c r="A133" s="176" t="s">
        <v>32</v>
      </c>
      <c r="B133" s="177">
        <v>566.29999999999995</v>
      </c>
      <c r="C133" s="178">
        <v>2</v>
      </c>
      <c r="D133" s="177">
        <v>7.1999999999999995E-2</v>
      </c>
      <c r="E133" s="177">
        <v>1E-3</v>
      </c>
      <c r="F133" s="177">
        <v>1000</v>
      </c>
      <c r="G133" s="177">
        <v>0</v>
      </c>
      <c r="H133" s="177">
        <v>25</v>
      </c>
      <c r="I133" s="176" t="s">
        <v>12</v>
      </c>
      <c r="J133" s="177">
        <v>1.2</v>
      </c>
      <c r="K133" s="177">
        <v>9.17</v>
      </c>
    </row>
    <row r="134" spans="1:11">
      <c r="A134" s="176" t="s">
        <v>32</v>
      </c>
      <c r="B134" s="177">
        <v>613.1</v>
      </c>
      <c r="C134" s="178">
        <v>2</v>
      </c>
      <c r="D134" s="177">
        <v>7.1999999999999995E-2</v>
      </c>
      <c r="E134" s="177">
        <v>1E-3</v>
      </c>
      <c r="F134" s="177">
        <v>1000</v>
      </c>
      <c r="G134" s="177">
        <v>0</v>
      </c>
      <c r="H134" s="177">
        <v>25</v>
      </c>
      <c r="I134" s="176" t="s">
        <v>12</v>
      </c>
      <c r="J134" s="177">
        <v>1.2</v>
      </c>
      <c r="K134" s="177">
        <v>8.8800000000000008</v>
      </c>
    </row>
    <row r="135" spans="1:11">
      <c r="A135" s="176" t="s">
        <v>32</v>
      </c>
      <c r="B135" s="177">
        <v>613.1</v>
      </c>
      <c r="C135" s="178">
        <v>2</v>
      </c>
      <c r="D135" s="177">
        <v>7.1999999999999995E-2</v>
      </c>
      <c r="E135" s="177">
        <v>1E-3</v>
      </c>
      <c r="F135" s="177">
        <v>1000</v>
      </c>
      <c r="G135" s="177">
        <v>0</v>
      </c>
      <c r="H135" s="177">
        <v>25</v>
      </c>
      <c r="I135" s="176" t="s">
        <v>12</v>
      </c>
      <c r="J135" s="177">
        <v>1.2</v>
      </c>
      <c r="K135" s="177">
        <v>9.43</v>
      </c>
    </row>
    <row r="136" spans="1:11">
      <c r="A136" s="176" t="s">
        <v>32</v>
      </c>
      <c r="B136" s="177">
        <v>613.1</v>
      </c>
      <c r="C136" s="178">
        <v>2</v>
      </c>
      <c r="D136" s="177">
        <v>7.1999999999999995E-2</v>
      </c>
      <c r="E136" s="177">
        <v>1E-3</v>
      </c>
      <c r="F136" s="177">
        <v>1000</v>
      </c>
      <c r="G136" s="177">
        <v>0</v>
      </c>
      <c r="H136" s="177">
        <v>25</v>
      </c>
      <c r="I136" s="176" t="s">
        <v>12</v>
      </c>
      <c r="J136" s="177">
        <v>1.2</v>
      </c>
      <c r="K136" s="177">
        <v>9.7200000000000006</v>
      </c>
    </row>
    <row r="137" spans="1:11">
      <c r="A137" s="176" t="s">
        <v>32</v>
      </c>
      <c r="B137" s="177">
        <v>612.70000000000005</v>
      </c>
      <c r="C137" s="178">
        <v>2</v>
      </c>
      <c r="D137" s="177">
        <v>7.1999999999999995E-2</v>
      </c>
      <c r="E137" s="177">
        <v>1E-3</v>
      </c>
      <c r="F137" s="177">
        <v>1000</v>
      </c>
      <c r="G137" s="177">
        <v>0</v>
      </c>
      <c r="H137" s="177">
        <v>25</v>
      </c>
      <c r="I137" s="176" t="s">
        <v>12</v>
      </c>
      <c r="J137" s="177">
        <v>1.2</v>
      </c>
      <c r="K137" s="177">
        <v>9.24</v>
      </c>
    </row>
    <row r="138" spans="1:11">
      <c r="A138" s="176" t="s">
        <v>32</v>
      </c>
      <c r="B138" s="177">
        <v>661.3</v>
      </c>
      <c r="C138" s="178">
        <v>2</v>
      </c>
      <c r="D138" s="177">
        <v>7.1999999999999995E-2</v>
      </c>
      <c r="E138" s="177">
        <v>1E-3</v>
      </c>
      <c r="F138" s="177">
        <v>1000</v>
      </c>
      <c r="G138" s="177">
        <v>0</v>
      </c>
      <c r="H138" s="177">
        <v>25</v>
      </c>
      <c r="I138" s="176" t="s">
        <v>12</v>
      </c>
      <c r="J138" s="177">
        <v>1.2</v>
      </c>
      <c r="K138" s="177">
        <v>9.0299999999999994</v>
      </c>
    </row>
    <row r="139" spans="1:11">
      <c r="A139" s="176" t="s">
        <v>32</v>
      </c>
      <c r="B139" s="177">
        <v>657.3</v>
      </c>
      <c r="C139" s="178">
        <v>2</v>
      </c>
      <c r="D139" s="177">
        <v>7.1999999999999995E-2</v>
      </c>
      <c r="E139" s="177">
        <v>1E-3</v>
      </c>
      <c r="F139" s="177">
        <v>1000</v>
      </c>
      <c r="G139" s="177">
        <v>0</v>
      </c>
      <c r="H139" s="177">
        <v>25</v>
      </c>
      <c r="I139" s="176" t="s">
        <v>12</v>
      </c>
      <c r="J139" s="177">
        <v>1.2</v>
      </c>
      <c r="K139" s="177">
        <v>9.19</v>
      </c>
    </row>
    <row r="140" spans="1:11">
      <c r="A140" s="176" t="s">
        <v>32</v>
      </c>
      <c r="B140" s="177">
        <v>660.8</v>
      </c>
      <c r="C140" s="178">
        <v>2</v>
      </c>
      <c r="D140" s="177">
        <v>7.1999999999999995E-2</v>
      </c>
      <c r="E140" s="177">
        <v>1E-3</v>
      </c>
      <c r="F140" s="177">
        <v>1000</v>
      </c>
      <c r="G140" s="177">
        <v>0</v>
      </c>
      <c r="H140" s="177">
        <v>25</v>
      </c>
      <c r="I140" s="176" t="s">
        <v>12</v>
      </c>
      <c r="J140" s="177">
        <v>1.2</v>
      </c>
      <c r="K140" s="177">
        <v>9.6300000000000008</v>
      </c>
    </row>
    <row r="141" spans="1:11">
      <c r="A141" s="176" t="s">
        <v>32</v>
      </c>
      <c r="B141" s="177">
        <v>660.8</v>
      </c>
      <c r="C141" s="178">
        <v>2</v>
      </c>
      <c r="D141" s="177">
        <v>7.1999999999999995E-2</v>
      </c>
      <c r="E141" s="177">
        <v>1E-3</v>
      </c>
      <c r="F141" s="177">
        <v>1000</v>
      </c>
      <c r="G141" s="177">
        <v>0</v>
      </c>
      <c r="H141" s="177">
        <v>25</v>
      </c>
      <c r="I141" s="176" t="s">
        <v>12</v>
      </c>
      <c r="J141" s="177">
        <v>1.2</v>
      </c>
      <c r="K141" s="177">
        <v>9.74</v>
      </c>
    </row>
    <row r="142" spans="1:11">
      <c r="A142" s="176" t="s">
        <v>32</v>
      </c>
      <c r="B142" s="177">
        <v>660.2</v>
      </c>
      <c r="C142" s="178">
        <v>2</v>
      </c>
      <c r="D142" s="177">
        <v>7.1999999999999995E-2</v>
      </c>
      <c r="E142" s="177">
        <v>1E-3</v>
      </c>
      <c r="F142" s="177">
        <v>1000</v>
      </c>
      <c r="G142" s="177">
        <v>0</v>
      </c>
      <c r="H142" s="177">
        <v>25</v>
      </c>
      <c r="I142" s="176" t="s">
        <v>12</v>
      </c>
      <c r="J142" s="177">
        <v>1.2</v>
      </c>
      <c r="K142" s="177">
        <v>9.9</v>
      </c>
    </row>
    <row r="143" spans="1:11">
      <c r="A143" s="176" t="s">
        <v>32</v>
      </c>
      <c r="B143" s="177">
        <v>709.3</v>
      </c>
      <c r="C143" s="178">
        <v>2</v>
      </c>
      <c r="D143" s="177">
        <v>7.1999999999999995E-2</v>
      </c>
      <c r="E143" s="177">
        <v>1E-3</v>
      </c>
      <c r="F143" s="177">
        <v>1000</v>
      </c>
      <c r="G143" s="177">
        <v>0</v>
      </c>
      <c r="H143" s="177">
        <v>25</v>
      </c>
      <c r="I143" s="176" t="s">
        <v>12</v>
      </c>
      <c r="J143" s="177">
        <v>1.2</v>
      </c>
      <c r="K143" s="177">
        <v>9.07</v>
      </c>
    </row>
    <row r="144" spans="1:11">
      <c r="A144" s="176" t="s">
        <v>32</v>
      </c>
      <c r="B144" s="177">
        <v>709.3</v>
      </c>
      <c r="C144" s="178">
        <v>2</v>
      </c>
      <c r="D144" s="177">
        <v>7.1999999999999995E-2</v>
      </c>
      <c r="E144" s="177">
        <v>1E-3</v>
      </c>
      <c r="F144" s="177">
        <v>1000</v>
      </c>
      <c r="G144" s="177">
        <v>0</v>
      </c>
      <c r="H144" s="177">
        <v>25</v>
      </c>
      <c r="I144" s="176" t="s">
        <v>12</v>
      </c>
      <c r="J144" s="177">
        <v>1.2</v>
      </c>
      <c r="K144" s="177">
        <v>9.27</v>
      </c>
    </row>
    <row r="145" spans="1:11">
      <c r="A145" s="176" t="s">
        <v>32</v>
      </c>
      <c r="B145" s="177">
        <v>708.7</v>
      </c>
      <c r="C145" s="178">
        <v>2</v>
      </c>
      <c r="D145" s="177">
        <v>7.1999999999999995E-2</v>
      </c>
      <c r="E145" s="177">
        <v>1E-3</v>
      </c>
      <c r="F145" s="177">
        <v>1000</v>
      </c>
      <c r="G145" s="177">
        <v>0</v>
      </c>
      <c r="H145" s="177">
        <v>25</v>
      </c>
      <c r="I145" s="176" t="s">
        <v>12</v>
      </c>
      <c r="J145" s="177">
        <v>1.2</v>
      </c>
      <c r="K145" s="177">
        <v>9.82</v>
      </c>
    </row>
    <row r="146" spans="1:11">
      <c r="A146" s="176" t="s">
        <v>32</v>
      </c>
      <c r="B146" s="177">
        <v>708.7</v>
      </c>
      <c r="C146" s="178">
        <v>2</v>
      </c>
      <c r="D146" s="177">
        <v>7.1999999999999995E-2</v>
      </c>
      <c r="E146" s="177">
        <v>1E-3</v>
      </c>
      <c r="F146" s="177">
        <v>1000</v>
      </c>
      <c r="G146" s="177">
        <v>0</v>
      </c>
      <c r="H146" s="177">
        <v>25</v>
      </c>
      <c r="I146" s="176" t="s">
        <v>12</v>
      </c>
      <c r="J146" s="177">
        <v>1.2</v>
      </c>
      <c r="K146" s="177">
        <v>9.9600000000000009</v>
      </c>
    </row>
    <row r="147" spans="1:11">
      <c r="A147" s="176" t="s">
        <v>32</v>
      </c>
      <c r="B147" s="177">
        <v>708.7</v>
      </c>
      <c r="C147" s="178">
        <v>2</v>
      </c>
      <c r="D147" s="177">
        <v>7.1999999999999995E-2</v>
      </c>
      <c r="E147" s="177">
        <v>1E-3</v>
      </c>
      <c r="F147" s="177">
        <v>1000</v>
      </c>
      <c r="G147" s="177">
        <v>0</v>
      </c>
      <c r="H147" s="177">
        <v>25</v>
      </c>
      <c r="I147" s="176" t="s">
        <v>12</v>
      </c>
      <c r="J147" s="177">
        <v>1.2</v>
      </c>
      <c r="K147" s="177">
        <v>10.07</v>
      </c>
    </row>
    <row r="148" spans="1:11">
      <c r="A148" s="176" t="s">
        <v>32</v>
      </c>
      <c r="B148" s="177">
        <v>753.7</v>
      </c>
      <c r="C148" s="178">
        <v>2</v>
      </c>
      <c r="D148" s="177">
        <v>7.1999999999999995E-2</v>
      </c>
      <c r="E148" s="177">
        <v>1E-3</v>
      </c>
      <c r="F148" s="177">
        <v>1000</v>
      </c>
      <c r="G148" s="177">
        <v>0</v>
      </c>
      <c r="H148" s="177">
        <v>25</v>
      </c>
      <c r="I148" s="176" t="s">
        <v>12</v>
      </c>
      <c r="J148" s="177">
        <v>1.2</v>
      </c>
      <c r="K148" s="177">
        <v>9.09</v>
      </c>
    </row>
    <row r="149" spans="1:11">
      <c r="A149" s="176" t="s">
        <v>32</v>
      </c>
      <c r="B149" s="177">
        <v>755.4</v>
      </c>
      <c r="C149" s="178">
        <v>2</v>
      </c>
      <c r="D149" s="177">
        <v>7.1999999999999995E-2</v>
      </c>
      <c r="E149" s="177">
        <v>1E-3</v>
      </c>
      <c r="F149" s="177">
        <v>1000</v>
      </c>
      <c r="G149" s="177">
        <v>0</v>
      </c>
      <c r="H149" s="177">
        <v>25</v>
      </c>
      <c r="I149" s="176" t="s">
        <v>12</v>
      </c>
      <c r="J149" s="177">
        <v>1.2</v>
      </c>
      <c r="K149" s="177">
        <v>9.2799999999999994</v>
      </c>
    </row>
    <row r="150" spans="1:11">
      <c r="A150" s="176" t="s">
        <v>32</v>
      </c>
      <c r="B150" s="177">
        <v>755.9</v>
      </c>
      <c r="C150" s="178">
        <v>2</v>
      </c>
      <c r="D150" s="177">
        <v>7.1999999999999995E-2</v>
      </c>
      <c r="E150" s="177">
        <v>1E-3</v>
      </c>
      <c r="F150" s="177">
        <v>1000</v>
      </c>
      <c r="G150" s="177">
        <v>0</v>
      </c>
      <c r="H150" s="177">
        <v>25</v>
      </c>
      <c r="I150" s="176" t="s">
        <v>12</v>
      </c>
      <c r="J150" s="177">
        <v>1.2</v>
      </c>
      <c r="K150" s="177">
        <v>9.91</v>
      </c>
    </row>
    <row r="151" spans="1:11">
      <c r="A151" s="176" t="s">
        <v>32</v>
      </c>
      <c r="B151" s="177">
        <v>753.3</v>
      </c>
      <c r="C151" s="178">
        <v>2</v>
      </c>
      <c r="D151" s="177">
        <v>7.1999999999999995E-2</v>
      </c>
      <c r="E151" s="177">
        <v>1E-3</v>
      </c>
      <c r="F151" s="177">
        <v>1000</v>
      </c>
      <c r="G151" s="177">
        <v>0</v>
      </c>
      <c r="H151" s="177">
        <v>25</v>
      </c>
      <c r="I151" s="176" t="s">
        <v>12</v>
      </c>
      <c r="J151" s="177">
        <v>1.2</v>
      </c>
      <c r="K151" s="177">
        <v>10.050000000000001</v>
      </c>
    </row>
    <row r="152" spans="1:11">
      <c r="A152" s="176" t="s">
        <v>32</v>
      </c>
      <c r="B152" s="177">
        <v>797.9</v>
      </c>
      <c r="C152" s="178">
        <v>2</v>
      </c>
      <c r="D152" s="177">
        <v>7.1999999999999995E-2</v>
      </c>
      <c r="E152" s="177">
        <v>1E-3</v>
      </c>
      <c r="F152" s="177">
        <v>1000</v>
      </c>
      <c r="G152" s="177">
        <v>0</v>
      </c>
      <c r="H152" s="177">
        <v>25</v>
      </c>
      <c r="I152" s="176" t="s">
        <v>12</v>
      </c>
      <c r="J152" s="177">
        <v>1.2</v>
      </c>
      <c r="K152" s="177">
        <v>9.11</v>
      </c>
    </row>
    <row r="153" spans="1:11">
      <c r="A153" s="176" t="s">
        <v>32</v>
      </c>
      <c r="B153" s="177">
        <v>797.9</v>
      </c>
      <c r="C153" s="178">
        <v>2</v>
      </c>
      <c r="D153" s="177">
        <v>7.1999999999999995E-2</v>
      </c>
      <c r="E153" s="177">
        <v>1E-3</v>
      </c>
      <c r="F153" s="177">
        <v>1000</v>
      </c>
      <c r="G153" s="177">
        <v>0</v>
      </c>
      <c r="H153" s="177">
        <v>25</v>
      </c>
      <c r="I153" s="176" t="s">
        <v>12</v>
      </c>
      <c r="J153" s="177">
        <v>1.2</v>
      </c>
      <c r="K153" s="177">
        <v>9.23</v>
      </c>
    </row>
    <row r="154" spans="1:11">
      <c r="A154" s="176" t="s">
        <v>32</v>
      </c>
      <c r="B154" s="177">
        <v>797.9</v>
      </c>
      <c r="C154" s="178">
        <v>2</v>
      </c>
      <c r="D154" s="177">
        <v>7.1999999999999995E-2</v>
      </c>
      <c r="E154" s="177">
        <v>1E-3</v>
      </c>
      <c r="F154" s="177">
        <v>1000</v>
      </c>
      <c r="G154" s="177">
        <v>0</v>
      </c>
      <c r="H154" s="177">
        <v>25</v>
      </c>
      <c r="I154" s="176" t="s">
        <v>12</v>
      </c>
      <c r="J154" s="177">
        <v>1.2</v>
      </c>
      <c r="K154" s="177">
        <v>9.36</v>
      </c>
    </row>
    <row r="155" spans="1:11">
      <c r="A155" s="176" t="s">
        <v>32</v>
      </c>
      <c r="B155" s="177">
        <v>797.7</v>
      </c>
      <c r="C155" s="178">
        <v>2</v>
      </c>
      <c r="D155" s="177">
        <v>7.1999999999999995E-2</v>
      </c>
      <c r="E155" s="177">
        <v>1E-3</v>
      </c>
      <c r="F155" s="177">
        <v>1000</v>
      </c>
      <c r="G155" s="177">
        <v>0</v>
      </c>
      <c r="H155" s="177">
        <v>25</v>
      </c>
      <c r="I155" s="176" t="s">
        <v>12</v>
      </c>
      <c r="J155" s="177">
        <v>1.2</v>
      </c>
      <c r="K155" s="177">
        <v>10.02</v>
      </c>
    </row>
    <row r="156" spans="1:11">
      <c r="A156" s="176" t="s">
        <v>32</v>
      </c>
      <c r="B156" s="177">
        <v>797.7</v>
      </c>
      <c r="C156" s="178">
        <v>2</v>
      </c>
      <c r="D156" s="177">
        <v>7.1999999999999995E-2</v>
      </c>
      <c r="E156" s="177">
        <v>1E-3</v>
      </c>
      <c r="F156" s="177">
        <v>1000</v>
      </c>
      <c r="G156" s="177">
        <v>0</v>
      </c>
      <c r="H156" s="177">
        <v>25</v>
      </c>
      <c r="I156" s="176" t="s">
        <v>12</v>
      </c>
      <c r="J156" s="177">
        <v>1.2</v>
      </c>
      <c r="K156" s="177">
        <v>10.18</v>
      </c>
    </row>
    <row r="157" spans="1:11">
      <c r="A157" s="176" t="s">
        <v>32</v>
      </c>
      <c r="B157" s="177">
        <v>800.3</v>
      </c>
      <c r="C157" s="178">
        <v>2</v>
      </c>
      <c r="D157" s="177">
        <v>7.1999999999999995E-2</v>
      </c>
      <c r="E157" s="177">
        <v>1E-3</v>
      </c>
      <c r="F157" s="177">
        <v>1000</v>
      </c>
      <c r="G157" s="177">
        <v>0</v>
      </c>
      <c r="H157" s="177">
        <v>25</v>
      </c>
      <c r="I157" s="176" t="s">
        <v>12</v>
      </c>
      <c r="J157" s="177">
        <v>1.2</v>
      </c>
      <c r="K157" s="177">
        <v>10.33</v>
      </c>
    </row>
    <row r="158" spans="1:11">
      <c r="A158" s="176" t="s">
        <v>32</v>
      </c>
      <c r="B158" s="177">
        <v>848.3</v>
      </c>
      <c r="C158" s="178">
        <v>2</v>
      </c>
      <c r="D158" s="177">
        <v>7.1999999999999995E-2</v>
      </c>
      <c r="E158" s="177">
        <v>1E-3</v>
      </c>
      <c r="F158" s="177">
        <v>1000</v>
      </c>
      <c r="G158" s="177">
        <v>0</v>
      </c>
      <c r="H158" s="177">
        <v>25</v>
      </c>
      <c r="I158" s="176" t="s">
        <v>12</v>
      </c>
      <c r="J158" s="177">
        <v>1.2</v>
      </c>
      <c r="K158" s="177">
        <v>9.26</v>
      </c>
    </row>
    <row r="159" spans="1:11">
      <c r="A159" s="176" t="s">
        <v>32</v>
      </c>
      <c r="B159" s="177">
        <v>848.3</v>
      </c>
      <c r="C159" s="178">
        <v>2</v>
      </c>
      <c r="D159" s="177">
        <v>7.1999999999999995E-2</v>
      </c>
      <c r="E159" s="177">
        <v>1E-3</v>
      </c>
      <c r="F159" s="177">
        <v>1000</v>
      </c>
      <c r="G159" s="177">
        <v>0</v>
      </c>
      <c r="H159" s="177">
        <v>25</v>
      </c>
      <c r="I159" s="176" t="s">
        <v>12</v>
      </c>
      <c r="J159" s="177">
        <v>1.2</v>
      </c>
      <c r="K159" s="177">
        <v>9.41</v>
      </c>
    </row>
    <row r="160" spans="1:11">
      <c r="A160" s="176" t="s">
        <v>32</v>
      </c>
      <c r="B160" s="177">
        <v>848.3</v>
      </c>
      <c r="C160" s="178">
        <v>2</v>
      </c>
      <c r="D160" s="177">
        <v>7.1999999999999995E-2</v>
      </c>
      <c r="E160" s="177">
        <v>1E-3</v>
      </c>
      <c r="F160" s="177">
        <v>1000</v>
      </c>
      <c r="G160" s="177">
        <v>0</v>
      </c>
      <c r="H160" s="177">
        <v>25</v>
      </c>
      <c r="I160" s="176" t="s">
        <v>12</v>
      </c>
      <c r="J160" s="177">
        <v>1.2</v>
      </c>
      <c r="K160" s="177">
        <v>9.61</v>
      </c>
    </row>
    <row r="161" spans="1:11">
      <c r="A161" s="176" t="s">
        <v>32</v>
      </c>
      <c r="B161" s="177">
        <v>849.6</v>
      </c>
      <c r="C161" s="178">
        <v>2</v>
      </c>
      <c r="D161" s="177">
        <v>7.1999999999999995E-2</v>
      </c>
      <c r="E161" s="177">
        <v>1E-3</v>
      </c>
      <c r="F161" s="177">
        <v>1000</v>
      </c>
      <c r="G161" s="177">
        <v>0</v>
      </c>
      <c r="H161" s="177">
        <v>25</v>
      </c>
      <c r="I161" s="176" t="s">
        <v>12</v>
      </c>
      <c r="J161" s="177">
        <v>1.2</v>
      </c>
      <c r="K161" s="177">
        <v>10.42</v>
      </c>
    </row>
    <row r="162" spans="1:11">
      <c r="A162" s="176" t="s">
        <v>32</v>
      </c>
      <c r="B162" s="177">
        <v>848.6</v>
      </c>
      <c r="C162" s="178">
        <v>2</v>
      </c>
      <c r="D162" s="177">
        <v>7.1999999999999995E-2</v>
      </c>
      <c r="E162" s="177">
        <v>1E-3</v>
      </c>
      <c r="F162" s="177">
        <v>1000</v>
      </c>
      <c r="G162" s="177">
        <v>0</v>
      </c>
      <c r="H162" s="177">
        <v>25</v>
      </c>
      <c r="I162" s="176" t="s">
        <v>12</v>
      </c>
      <c r="J162" s="177">
        <v>1.2</v>
      </c>
      <c r="K162" s="177">
        <v>10.35</v>
      </c>
    </row>
    <row r="163" spans="1:11">
      <c r="A163" s="176" t="s">
        <v>32</v>
      </c>
      <c r="B163" s="177">
        <v>848.6</v>
      </c>
      <c r="C163" s="178">
        <v>2</v>
      </c>
      <c r="D163" s="177">
        <v>7.1999999999999995E-2</v>
      </c>
      <c r="E163" s="177">
        <v>1E-3</v>
      </c>
      <c r="F163" s="177">
        <v>1000</v>
      </c>
      <c r="G163" s="177">
        <v>0</v>
      </c>
      <c r="H163" s="177">
        <v>25</v>
      </c>
      <c r="I163" s="176" t="s">
        <v>12</v>
      </c>
      <c r="J163" s="177">
        <v>1.2</v>
      </c>
      <c r="K163" s="177">
        <v>10.56</v>
      </c>
    </row>
    <row r="164" spans="1:11">
      <c r="A164" s="176" t="s">
        <v>32</v>
      </c>
      <c r="B164" s="177">
        <v>848.6</v>
      </c>
      <c r="C164" s="178">
        <v>2</v>
      </c>
      <c r="D164" s="177">
        <v>7.1999999999999995E-2</v>
      </c>
      <c r="E164" s="177">
        <v>1E-3</v>
      </c>
      <c r="F164" s="177">
        <v>1000</v>
      </c>
      <c r="G164" s="177">
        <v>0</v>
      </c>
      <c r="H164" s="177">
        <v>25</v>
      </c>
      <c r="I164" s="176" t="s">
        <v>12</v>
      </c>
      <c r="J164" s="177">
        <v>1.2</v>
      </c>
      <c r="K164" s="177">
        <v>10.7</v>
      </c>
    </row>
    <row r="165" spans="1:11">
      <c r="A165" s="176" t="s">
        <v>32</v>
      </c>
      <c r="B165" s="177">
        <v>894.3</v>
      </c>
      <c r="C165" s="178">
        <v>2</v>
      </c>
      <c r="D165" s="177">
        <v>7.1999999999999995E-2</v>
      </c>
      <c r="E165" s="177">
        <v>1E-3</v>
      </c>
      <c r="F165" s="177">
        <v>1000</v>
      </c>
      <c r="G165" s="177">
        <v>0</v>
      </c>
      <c r="H165" s="177">
        <v>25</v>
      </c>
      <c r="I165" s="176" t="s">
        <v>12</v>
      </c>
      <c r="J165" s="177">
        <v>1.2</v>
      </c>
      <c r="K165" s="177">
        <v>9.41</v>
      </c>
    </row>
    <row r="166" spans="1:11">
      <c r="A166" s="176" t="s">
        <v>32</v>
      </c>
      <c r="B166" s="177">
        <v>894.9</v>
      </c>
      <c r="C166" s="178">
        <v>2</v>
      </c>
      <c r="D166" s="177">
        <v>7.1999999999999995E-2</v>
      </c>
      <c r="E166" s="177">
        <v>1E-3</v>
      </c>
      <c r="F166" s="177">
        <v>1000</v>
      </c>
      <c r="G166" s="177">
        <v>0</v>
      </c>
      <c r="H166" s="177">
        <v>25</v>
      </c>
      <c r="I166" s="176" t="s">
        <v>12</v>
      </c>
      <c r="J166" s="177">
        <v>1.2</v>
      </c>
      <c r="K166" s="177">
        <v>9.57</v>
      </c>
    </row>
    <row r="167" spans="1:11">
      <c r="A167" s="176" t="s">
        <v>32</v>
      </c>
      <c r="B167" s="177">
        <v>894.9</v>
      </c>
      <c r="C167" s="178">
        <v>2</v>
      </c>
      <c r="D167" s="177">
        <v>7.1999999999999995E-2</v>
      </c>
      <c r="E167" s="177">
        <v>1E-3</v>
      </c>
      <c r="F167" s="177">
        <v>1000</v>
      </c>
      <c r="G167" s="177">
        <v>0</v>
      </c>
      <c r="H167" s="177">
        <v>25</v>
      </c>
      <c r="I167" s="176" t="s">
        <v>12</v>
      </c>
      <c r="J167" s="177">
        <v>1.2</v>
      </c>
      <c r="K167" s="177">
        <v>9.73</v>
      </c>
    </row>
    <row r="168" spans="1:11">
      <c r="A168" s="176" t="s">
        <v>32</v>
      </c>
      <c r="B168" s="177">
        <v>895.9</v>
      </c>
      <c r="C168" s="178">
        <v>2</v>
      </c>
      <c r="D168" s="177">
        <v>7.1999999999999995E-2</v>
      </c>
      <c r="E168" s="177">
        <v>1E-3</v>
      </c>
      <c r="F168" s="177">
        <v>1000</v>
      </c>
      <c r="G168" s="177">
        <v>0</v>
      </c>
      <c r="H168" s="177">
        <v>25</v>
      </c>
      <c r="I168" s="176" t="s">
        <v>12</v>
      </c>
      <c r="J168" s="177">
        <v>1.2</v>
      </c>
      <c r="K168" s="177">
        <v>10.35</v>
      </c>
    </row>
    <row r="169" spans="1:11">
      <c r="A169" s="176" t="s">
        <v>32</v>
      </c>
      <c r="B169" s="177">
        <v>895.9</v>
      </c>
      <c r="C169" s="178">
        <v>2</v>
      </c>
      <c r="D169" s="177">
        <v>7.1999999999999995E-2</v>
      </c>
      <c r="E169" s="177">
        <v>1E-3</v>
      </c>
      <c r="F169" s="177">
        <v>1000</v>
      </c>
      <c r="G169" s="177">
        <v>0</v>
      </c>
      <c r="H169" s="177">
        <v>25</v>
      </c>
      <c r="I169" s="176" t="s">
        <v>12</v>
      </c>
      <c r="J169" s="177">
        <v>1.2</v>
      </c>
      <c r="K169" s="177">
        <v>10.51</v>
      </c>
    </row>
    <row r="170" spans="1:11">
      <c r="A170" s="176" t="s">
        <v>32</v>
      </c>
      <c r="B170" s="177">
        <v>894.7</v>
      </c>
      <c r="C170" s="178">
        <v>2</v>
      </c>
      <c r="D170" s="177">
        <v>7.1999999999999995E-2</v>
      </c>
      <c r="E170" s="177">
        <v>1E-3</v>
      </c>
      <c r="F170" s="177">
        <v>1000</v>
      </c>
      <c r="G170" s="177">
        <v>0</v>
      </c>
      <c r="H170" s="177">
        <v>25</v>
      </c>
      <c r="I170" s="176" t="s">
        <v>12</v>
      </c>
      <c r="J170" s="177">
        <v>1.2</v>
      </c>
      <c r="K170" s="177">
        <v>10.64</v>
      </c>
    </row>
    <row r="171" spans="1:11">
      <c r="A171" s="176" t="s">
        <v>32</v>
      </c>
      <c r="B171" s="177">
        <v>944.6</v>
      </c>
      <c r="C171" s="178">
        <v>2</v>
      </c>
      <c r="D171" s="177">
        <v>7.1999999999999995E-2</v>
      </c>
      <c r="E171" s="177">
        <v>1E-3</v>
      </c>
      <c r="F171" s="177">
        <v>1000</v>
      </c>
      <c r="G171" s="177">
        <v>0</v>
      </c>
      <c r="H171" s="177">
        <v>25</v>
      </c>
      <c r="I171" s="176" t="s">
        <v>12</v>
      </c>
      <c r="J171" s="177">
        <v>1.2</v>
      </c>
      <c r="K171" s="177">
        <v>9.42</v>
      </c>
    </row>
    <row r="172" spans="1:11">
      <c r="A172" s="176" t="s">
        <v>32</v>
      </c>
      <c r="B172" s="177">
        <v>942.7</v>
      </c>
      <c r="C172" s="178">
        <v>2</v>
      </c>
      <c r="D172" s="177">
        <v>7.1999999999999995E-2</v>
      </c>
      <c r="E172" s="177">
        <v>1E-3</v>
      </c>
      <c r="F172" s="177">
        <v>1000</v>
      </c>
      <c r="G172" s="177">
        <v>0</v>
      </c>
      <c r="H172" s="177">
        <v>25</v>
      </c>
      <c r="I172" s="176" t="s">
        <v>12</v>
      </c>
      <c r="J172" s="177">
        <v>1.2</v>
      </c>
      <c r="K172" s="177">
        <v>9.59</v>
      </c>
    </row>
    <row r="173" spans="1:11">
      <c r="A173" s="176" t="s">
        <v>32</v>
      </c>
      <c r="B173" s="177">
        <v>942.7</v>
      </c>
      <c r="C173" s="178">
        <v>2</v>
      </c>
      <c r="D173" s="177">
        <v>7.1999999999999995E-2</v>
      </c>
      <c r="E173" s="177">
        <v>1E-3</v>
      </c>
      <c r="F173" s="177">
        <v>1000</v>
      </c>
      <c r="G173" s="177">
        <v>0</v>
      </c>
      <c r="H173" s="177">
        <v>25</v>
      </c>
      <c r="I173" s="176" t="s">
        <v>12</v>
      </c>
      <c r="J173" s="177">
        <v>1.2</v>
      </c>
      <c r="K173" s="177">
        <v>9.81</v>
      </c>
    </row>
    <row r="174" spans="1:11">
      <c r="A174" s="176" t="s">
        <v>32</v>
      </c>
      <c r="B174" s="177">
        <v>942.7</v>
      </c>
      <c r="C174" s="178">
        <v>2</v>
      </c>
      <c r="D174" s="177">
        <v>7.1999999999999995E-2</v>
      </c>
      <c r="E174" s="177">
        <v>1E-3</v>
      </c>
      <c r="F174" s="177">
        <v>1000</v>
      </c>
      <c r="G174" s="177">
        <v>0</v>
      </c>
      <c r="H174" s="177">
        <v>25</v>
      </c>
      <c r="I174" s="176" t="s">
        <v>12</v>
      </c>
      <c r="J174" s="177">
        <v>1.2</v>
      </c>
      <c r="K174" s="177">
        <v>9.9600000000000009</v>
      </c>
    </row>
    <row r="175" spans="1:11">
      <c r="A175" s="176" t="s">
        <v>32</v>
      </c>
      <c r="B175" s="177">
        <v>946.6</v>
      </c>
      <c r="C175" s="178">
        <v>2</v>
      </c>
      <c r="D175" s="177">
        <v>7.1999999999999995E-2</v>
      </c>
      <c r="E175" s="177">
        <v>1E-3</v>
      </c>
      <c r="F175" s="177">
        <v>1000</v>
      </c>
      <c r="G175" s="177">
        <v>0</v>
      </c>
      <c r="H175" s="177">
        <v>25</v>
      </c>
      <c r="I175" s="176" t="s">
        <v>12</v>
      </c>
      <c r="J175" s="177">
        <v>1.2</v>
      </c>
      <c r="K175" s="177">
        <v>10.51</v>
      </c>
    </row>
    <row r="176" spans="1:11">
      <c r="A176" s="176" t="s">
        <v>32</v>
      </c>
      <c r="B176" s="177">
        <v>946.6</v>
      </c>
      <c r="C176" s="178">
        <v>2</v>
      </c>
      <c r="D176" s="177">
        <v>7.1999999999999995E-2</v>
      </c>
      <c r="E176" s="177">
        <v>1E-3</v>
      </c>
      <c r="F176" s="177">
        <v>1000</v>
      </c>
      <c r="G176" s="177">
        <v>0</v>
      </c>
      <c r="H176" s="177">
        <v>25</v>
      </c>
      <c r="I176" s="176" t="s">
        <v>12</v>
      </c>
      <c r="J176" s="177">
        <v>1.2</v>
      </c>
      <c r="K176" s="177">
        <v>10.6</v>
      </c>
    </row>
    <row r="177" spans="1:11">
      <c r="A177" s="176" t="s">
        <v>32</v>
      </c>
      <c r="B177" s="177">
        <v>945.4</v>
      </c>
      <c r="C177" s="178">
        <v>2</v>
      </c>
      <c r="D177" s="177">
        <v>7.1999999999999995E-2</v>
      </c>
      <c r="E177" s="177">
        <v>1E-3</v>
      </c>
      <c r="F177" s="177">
        <v>1000</v>
      </c>
      <c r="G177" s="177">
        <v>0</v>
      </c>
      <c r="H177" s="177">
        <v>25</v>
      </c>
      <c r="I177" s="176" t="s">
        <v>12</v>
      </c>
      <c r="J177" s="177">
        <v>1.2</v>
      </c>
      <c r="K177" s="177">
        <v>10.68</v>
      </c>
    </row>
    <row r="178" spans="1:11">
      <c r="A178" s="176" t="s">
        <v>32</v>
      </c>
      <c r="B178" s="177">
        <v>942.2</v>
      </c>
      <c r="C178" s="178">
        <v>2</v>
      </c>
      <c r="D178" s="177">
        <v>7.1999999999999995E-2</v>
      </c>
      <c r="E178" s="177">
        <v>1E-3</v>
      </c>
      <c r="F178" s="177">
        <v>1000</v>
      </c>
      <c r="G178" s="177">
        <v>0</v>
      </c>
      <c r="H178" s="177">
        <v>25</v>
      </c>
      <c r="I178" s="176" t="s">
        <v>12</v>
      </c>
      <c r="J178" s="177">
        <v>1.2</v>
      </c>
      <c r="K178" s="177">
        <v>10.8</v>
      </c>
    </row>
    <row r="179" spans="1:11">
      <c r="A179" s="176" t="s">
        <v>32</v>
      </c>
      <c r="B179" s="177">
        <v>1039.3</v>
      </c>
      <c r="C179" s="178">
        <v>2</v>
      </c>
      <c r="D179" s="177">
        <v>7.1999999999999995E-2</v>
      </c>
      <c r="E179" s="177">
        <v>1E-3</v>
      </c>
      <c r="F179" s="177">
        <v>1000</v>
      </c>
      <c r="G179" s="177">
        <v>0</v>
      </c>
      <c r="H179" s="177">
        <v>25</v>
      </c>
      <c r="I179" s="176" t="s">
        <v>12</v>
      </c>
      <c r="J179" s="177">
        <v>1.2</v>
      </c>
      <c r="K179" s="177">
        <v>9.73</v>
      </c>
    </row>
    <row r="180" spans="1:11">
      <c r="A180" s="176" t="s">
        <v>32</v>
      </c>
      <c r="B180" s="177">
        <v>1038</v>
      </c>
      <c r="C180" s="178">
        <v>2</v>
      </c>
      <c r="D180" s="177">
        <v>7.1999999999999995E-2</v>
      </c>
      <c r="E180" s="177">
        <v>1E-3</v>
      </c>
      <c r="F180" s="177">
        <v>1000</v>
      </c>
      <c r="G180" s="177">
        <v>0</v>
      </c>
      <c r="H180" s="177">
        <v>25</v>
      </c>
      <c r="I180" s="176" t="s">
        <v>12</v>
      </c>
      <c r="J180" s="177">
        <v>1.2</v>
      </c>
      <c r="K180" s="177">
        <v>9.61</v>
      </c>
    </row>
    <row r="181" spans="1:11">
      <c r="A181" s="176" t="s">
        <v>32</v>
      </c>
      <c r="B181" s="177">
        <v>1037.4000000000001</v>
      </c>
      <c r="C181" s="178">
        <v>2</v>
      </c>
      <c r="D181" s="177">
        <v>7.1999999999999995E-2</v>
      </c>
      <c r="E181" s="177">
        <v>1E-3</v>
      </c>
      <c r="F181" s="177">
        <v>1000</v>
      </c>
      <c r="G181" s="177">
        <v>0</v>
      </c>
      <c r="H181" s="177">
        <v>25</v>
      </c>
      <c r="I181" s="176" t="s">
        <v>12</v>
      </c>
      <c r="J181" s="177">
        <v>1.2</v>
      </c>
      <c r="K181" s="177">
        <v>9.92</v>
      </c>
    </row>
    <row r="182" spans="1:11">
      <c r="A182" s="176" t="s">
        <v>32</v>
      </c>
      <c r="B182" s="177">
        <v>1037.9000000000001</v>
      </c>
      <c r="C182" s="178">
        <v>2</v>
      </c>
      <c r="D182" s="177">
        <v>7.1999999999999995E-2</v>
      </c>
      <c r="E182" s="177">
        <v>1E-3</v>
      </c>
      <c r="F182" s="177">
        <v>1000</v>
      </c>
      <c r="G182" s="177">
        <v>0</v>
      </c>
      <c r="H182" s="177">
        <v>25</v>
      </c>
      <c r="I182" s="176" t="s">
        <v>12</v>
      </c>
      <c r="J182" s="177">
        <v>1.2</v>
      </c>
      <c r="K182" s="177">
        <v>10.81</v>
      </c>
    </row>
    <row r="183" spans="1:11">
      <c r="A183" s="176" t="s">
        <v>32</v>
      </c>
      <c r="B183" s="177">
        <v>1037.9000000000001</v>
      </c>
      <c r="C183" s="178">
        <v>2</v>
      </c>
      <c r="D183" s="177">
        <v>7.1999999999999995E-2</v>
      </c>
      <c r="E183" s="177">
        <v>1E-3</v>
      </c>
      <c r="F183" s="177">
        <v>1000</v>
      </c>
      <c r="G183" s="177">
        <v>0</v>
      </c>
      <c r="H183" s="177">
        <v>25</v>
      </c>
      <c r="I183" s="176" t="s">
        <v>12</v>
      </c>
      <c r="J183" s="177">
        <v>1.2</v>
      </c>
      <c r="K183" s="177">
        <v>10.98</v>
      </c>
    </row>
    <row r="184" spans="1:11">
      <c r="A184" s="176" t="s">
        <v>32</v>
      </c>
      <c r="B184" s="177">
        <v>1037.9000000000001</v>
      </c>
      <c r="C184" s="178">
        <v>2</v>
      </c>
      <c r="D184" s="177">
        <v>7.1999999999999995E-2</v>
      </c>
      <c r="E184" s="177">
        <v>1E-3</v>
      </c>
      <c r="F184" s="177">
        <v>1000</v>
      </c>
      <c r="G184" s="177">
        <v>0</v>
      </c>
      <c r="H184" s="177">
        <v>25</v>
      </c>
      <c r="I184" s="176" t="s">
        <v>12</v>
      </c>
      <c r="J184" s="177">
        <v>1.2</v>
      </c>
      <c r="K184" s="177">
        <v>11.09</v>
      </c>
    </row>
    <row r="185" spans="1:11">
      <c r="A185" s="176" t="s">
        <v>32</v>
      </c>
      <c r="B185" s="177">
        <v>1134.7</v>
      </c>
      <c r="C185" s="178">
        <v>2</v>
      </c>
      <c r="D185" s="177">
        <v>7.1999999999999995E-2</v>
      </c>
      <c r="E185" s="177">
        <v>1E-3</v>
      </c>
      <c r="F185" s="177">
        <v>1000</v>
      </c>
      <c r="G185" s="177">
        <v>0</v>
      </c>
      <c r="H185" s="177">
        <v>25</v>
      </c>
      <c r="I185" s="176" t="s">
        <v>12</v>
      </c>
      <c r="J185" s="177">
        <v>1.2</v>
      </c>
      <c r="K185" s="177">
        <v>9.8699999999999992</v>
      </c>
    </row>
    <row r="186" spans="1:11">
      <c r="A186" s="176" t="s">
        <v>32</v>
      </c>
      <c r="B186" s="177">
        <v>1134.7</v>
      </c>
      <c r="C186" s="178">
        <v>2</v>
      </c>
      <c r="D186" s="177">
        <v>7.1999999999999995E-2</v>
      </c>
      <c r="E186" s="177">
        <v>1E-3</v>
      </c>
      <c r="F186" s="177">
        <v>1000</v>
      </c>
      <c r="G186" s="177">
        <v>0</v>
      </c>
      <c r="H186" s="177">
        <v>25</v>
      </c>
      <c r="I186" s="176" t="s">
        <v>12</v>
      </c>
      <c r="J186" s="177">
        <v>1.2</v>
      </c>
      <c r="K186" s="177">
        <v>9.98</v>
      </c>
    </row>
    <row r="187" spans="1:11">
      <c r="A187" s="176" t="s">
        <v>32</v>
      </c>
      <c r="B187" s="177">
        <v>1134.7</v>
      </c>
      <c r="C187" s="178">
        <v>2</v>
      </c>
      <c r="D187" s="177">
        <v>7.1999999999999995E-2</v>
      </c>
      <c r="E187" s="177">
        <v>1E-3</v>
      </c>
      <c r="F187" s="177">
        <v>1000</v>
      </c>
      <c r="G187" s="177">
        <v>0</v>
      </c>
      <c r="H187" s="177">
        <v>25</v>
      </c>
      <c r="I187" s="176" t="s">
        <v>12</v>
      </c>
      <c r="J187" s="177">
        <v>1.2</v>
      </c>
      <c r="K187" s="177">
        <v>10.15</v>
      </c>
    </row>
    <row r="188" spans="1:11">
      <c r="A188" s="176" t="s">
        <v>32</v>
      </c>
      <c r="B188" s="177">
        <v>1133</v>
      </c>
      <c r="C188" s="178">
        <v>2</v>
      </c>
      <c r="D188" s="177">
        <v>7.1999999999999995E-2</v>
      </c>
      <c r="E188" s="177">
        <v>1E-3</v>
      </c>
      <c r="F188" s="177">
        <v>1000</v>
      </c>
      <c r="G188" s="177">
        <v>0</v>
      </c>
      <c r="H188" s="177">
        <v>25</v>
      </c>
      <c r="I188" s="176" t="s">
        <v>12</v>
      </c>
      <c r="J188" s="177">
        <v>1.2</v>
      </c>
      <c r="K188" s="177">
        <v>10.84</v>
      </c>
    </row>
    <row r="189" spans="1:11">
      <c r="A189" s="176" t="s">
        <v>32</v>
      </c>
      <c r="B189" s="177">
        <v>1133</v>
      </c>
      <c r="C189" s="178">
        <v>2</v>
      </c>
      <c r="D189" s="177">
        <v>7.1999999999999995E-2</v>
      </c>
      <c r="E189" s="177">
        <v>1E-3</v>
      </c>
      <c r="F189" s="177">
        <v>1000</v>
      </c>
      <c r="G189" s="177">
        <v>0</v>
      </c>
      <c r="H189" s="177">
        <v>25</v>
      </c>
      <c r="I189" s="176" t="s">
        <v>12</v>
      </c>
      <c r="J189" s="177">
        <v>1.2</v>
      </c>
      <c r="K189" s="177">
        <v>10.99</v>
      </c>
    </row>
    <row r="190" spans="1:11">
      <c r="A190" s="176" t="s">
        <v>32</v>
      </c>
      <c r="B190" s="177">
        <v>1133</v>
      </c>
      <c r="C190" s="178">
        <v>2</v>
      </c>
      <c r="D190" s="177">
        <v>7.1999999999999995E-2</v>
      </c>
      <c r="E190" s="177">
        <v>1E-3</v>
      </c>
      <c r="F190" s="177">
        <v>1000</v>
      </c>
      <c r="G190" s="177">
        <v>0</v>
      </c>
      <c r="H190" s="177">
        <v>25</v>
      </c>
      <c r="I190" s="176" t="s">
        <v>12</v>
      </c>
      <c r="J190" s="177">
        <v>1.2</v>
      </c>
      <c r="K190" s="177">
        <v>11.2</v>
      </c>
    </row>
    <row r="191" spans="1:11">
      <c r="A191" s="176" t="s">
        <v>32</v>
      </c>
      <c r="B191" s="177">
        <v>1228.0999999999999</v>
      </c>
      <c r="C191" s="178">
        <v>2</v>
      </c>
      <c r="D191" s="177">
        <v>7.1999999999999995E-2</v>
      </c>
      <c r="E191" s="177">
        <v>1E-3</v>
      </c>
      <c r="F191" s="177">
        <v>1000</v>
      </c>
      <c r="G191" s="177">
        <v>0</v>
      </c>
      <c r="H191" s="177">
        <v>25</v>
      </c>
      <c r="I191" s="176" t="s">
        <v>12</v>
      </c>
      <c r="J191" s="177">
        <v>1.2</v>
      </c>
      <c r="K191" s="177">
        <v>10.029999999999999</v>
      </c>
    </row>
    <row r="192" spans="1:11">
      <c r="A192" s="176" t="s">
        <v>32</v>
      </c>
      <c r="B192" s="177">
        <v>1228.7</v>
      </c>
      <c r="C192" s="178">
        <v>2</v>
      </c>
      <c r="D192" s="177">
        <v>7.1999999999999995E-2</v>
      </c>
      <c r="E192" s="177">
        <v>1E-3</v>
      </c>
      <c r="F192" s="177">
        <v>1000</v>
      </c>
      <c r="G192" s="177">
        <v>0</v>
      </c>
      <c r="H192" s="177">
        <v>25</v>
      </c>
      <c r="I192" s="176" t="s">
        <v>12</v>
      </c>
      <c r="J192" s="177">
        <v>1.2</v>
      </c>
      <c r="K192" s="177">
        <v>10.23</v>
      </c>
    </row>
    <row r="193" spans="1:11">
      <c r="A193" s="176" t="s">
        <v>32</v>
      </c>
      <c r="B193" s="177">
        <v>1225.5999999999999</v>
      </c>
      <c r="C193" s="178">
        <v>2</v>
      </c>
      <c r="D193" s="177">
        <v>7.1999999999999995E-2</v>
      </c>
      <c r="E193" s="177">
        <v>1E-3</v>
      </c>
      <c r="F193" s="177">
        <v>1000</v>
      </c>
      <c r="G193" s="177">
        <v>0</v>
      </c>
      <c r="H193" s="177">
        <v>25</v>
      </c>
      <c r="I193" s="176" t="s">
        <v>12</v>
      </c>
      <c r="J193" s="177">
        <v>1.2</v>
      </c>
      <c r="K193" s="177">
        <v>10.39</v>
      </c>
    </row>
    <row r="194" spans="1:11">
      <c r="A194" s="176" t="s">
        <v>32</v>
      </c>
      <c r="B194" s="177">
        <v>1229.5999999999999</v>
      </c>
      <c r="C194" s="178">
        <v>2</v>
      </c>
      <c r="D194" s="177">
        <v>7.1999999999999995E-2</v>
      </c>
      <c r="E194" s="177">
        <v>1E-3</v>
      </c>
      <c r="F194" s="177">
        <v>1000</v>
      </c>
      <c r="G194" s="177">
        <v>0</v>
      </c>
      <c r="H194" s="177">
        <v>25</v>
      </c>
      <c r="I194" s="176" t="s">
        <v>12</v>
      </c>
      <c r="J194" s="177">
        <v>1.2</v>
      </c>
      <c r="K194" s="177">
        <v>11.59</v>
      </c>
    </row>
    <row r="195" spans="1:11">
      <c r="A195" s="176" t="s">
        <v>32</v>
      </c>
      <c r="B195" s="177">
        <v>1228.4000000000001</v>
      </c>
      <c r="C195" s="178">
        <v>2</v>
      </c>
      <c r="D195" s="177">
        <v>7.1999999999999995E-2</v>
      </c>
      <c r="E195" s="177">
        <v>1E-3</v>
      </c>
      <c r="F195" s="177">
        <v>1000</v>
      </c>
      <c r="G195" s="177">
        <v>0</v>
      </c>
      <c r="H195" s="177">
        <v>25</v>
      </c>
      <c r="I195" s="176" t="s">
        <v>12</v>
      </c>
      <c r="J195" s="177">
        <v>1.2</v>
      </c>
      <c r="K195" s="177">
        <v>11.71</v>
      </c>
    </row>
    <row r="196" spans="1:11">
      <c r="A196" s="176" t="s">
        <v>32</v>
      </c>
      <c r="B196" s="177">
        <v>1227.2</v>
      </c>
      <c r="C196" s="178">
        <v>2</v>
      </c>
      <c r="D196" s="177">
        <v>7.1999999999999995E-2</v>
      </c>
      <c r="E196" s="177">
        <v>1E-3</v>
      </c>
      <c r="F196" s="177">
        <v>1000</v>
      </c>
      <c r="G196" s="177">
        <v>0</v>
      </c>
      <c r="H196" s="177">
        <v>25</v>
      </c>
      <c r="I196" s="176" t="s">
        <v>12</v>
      </c>
      <c r="J196" s="177">
        <v>1.2</v>
      </c>
      <c r="K196" s="177">
        <v>11.87</v>
      </c>
    </row>
    <row r="197" spans="1:11">
      <c r="A197" s="176" t="s">
        <v>32</v>
      </c>
      <c r="B197" s="177">
        <v>1321.1</v>
      </c>
      <c r="C197" s="178">
        <v>2</v>
      </c>
      <c r="D197" s="177">
        <v>7.1999999999999995E-2</v>
      </c>
      <c r="E197" s="177">
        <v>1E-3</v>
      </c>
      <c r="F197" s="177">
        <v>1000</v>
      </c>
      <c r="G197" s="177">
        <v>0</v>
      </c>
      <c r="H197" s="177">
        <v>25</v>
      </c>
      <c r="I197" s="176" t="s">
        <v>12</v>
      </c>
      <c r="J197" s="177">
        <v>1.2</v>
      </c>
      <c r="K197" s="177">
        <v>10.16</v>
      </c>
    </row>
    <row r="198" spans="1:11">
      <c r="A198" s="176" t="s">
        <v>32</v>
      </c>
      <c r="B198" s="177">
        <v>1321.8</v>
      </c>
      <c r="C198" s="178">
        <v>2</v>
      </c>
      <c r="D198" s="177">
        <v>7.1999999999999995E-2</v>
      </c>
      <c r="E198" s="177">
        <v>1E-3</v>
      </c>
      <c r="F198" s="177">
        <v>1000</v>
      </c>
      <c r="G198" s="177">
        <v>0</v>
      </c>
      <c r="H198" s="177">
        <v>25</v>
      </c>
      <c r="I198" s="176" t="s">
        <v>12</v>
      </c>
      <c r="J198" s="177">
        <v>1.2</v>
      </c>
      <c r="K198" s="177">
        <v>10.35</v>
      </c>
    </row>
    <row r="199" spans="1:11">
      <c r="A199" s="176" t="s">
        <v>32</v>
      </c>
      <c r="B199" s="177">
        <v>1321.8</v>
      </c>
      <c r="C199" s="178">
        <v>2</v>
      </c>
      <c r="D199" s="177">
        <v>7.1999999999999995E-2</v>
      </c>
      <c r="E199" s="177">
        <v>1E-3</v>
      </c>
      <c r="F199" s="177">
        <v>1000</v>
      </c>
      <c r="G199" s="177">
        <v>0</v>
      </c>
      <c r="H199" s="177">
        <v>25</v>
      </c>
      <c r="I199" s="176" t="s">
        <v>12</v>
      </c>
      <c r="J199" s="177">
        <v>1.2</v>
      </c>
      <c r="K199" s="177">
        <v>10.5</v>
      </c>
    </row>
    <row r="200" spans="1:11">
      <c r="A200" s="176" t="s">
        <v>32</v>
      </c>
      <c r="B200" s="177">
        <v>1321.8</v>
      </c>
      <c r="C200" s="178">
        <v>2</v>
      </c>
      <c r="D200" s="177">
        <v>7.1999999999999995E-2</v>
      </c>
      <c r="E200" s="177">
        <v>1E-3</v>
      </c>
      <c r="F200" s="177">
        <v>1000</v>
      </c>
      <c r="G200" s="177">
        <v>0</v>
      </c>
      <c r="H200" s="177">
        <v>25</v>
      </c>
      <c r="I200" s="176" t="s">
        <v>12</v>
      </c>
      <c r="J200" s="177">
        <v>1.2</v>
      </c>
      <c r="K200" s="177">
        <v>10.62</v>
      </c>
    </row>
    <row r="201" spans="1:11">
      <c r="A201" s="176" t="s">
        <v>32</v>
      </c>
      <c r="B201" s="177">
        <v>1321.8</v>
      </c>
      <c r="C201" s="178">
        <v>2</v>
      </c>
      <c r="D201" s="177">
        <v>7.1999999999999995E-2</v>
      </c>
      <c r="E201" s="177">
        <v>1E-3</v>
      </c>
      <c r="F201" s="177">
        <v>1000</v>
      </c>
      <c r="G201" s="177">
        <v>0</v>
      </c>
      <c r="H201" s="177">
        <v>25</v>
      </c>
      <c r="I201" s="176" t="s">
        <v>12</v>
      </c>
      <c r="J201" s="177">
        <v>1.2</v>
      </c>
      <c r="K201" s="177">
        <v>10.8</v>
      </c>
    </row>
    <row r="202" spans="1:11">
      <c r="A202" s="176" t="s">
        <v>32</v>
      </c>
      <c r="B202" s="177">
        <v>1324.6</v>
      </c>
      <c r="C202" s="178">
        <v>2</v>
      </c>
      <c r="D202" s="177">
        <v>7.1999999999999995E-2</v>
      </c>
      <c r="E202" s="177">
        <v>1E-3</v>
      </c>
      <c r="F202" s="177">
        <v>1000</v>
      </c>
      <c r="G202" s="177">
        <v>0</v>
      </c>
      <c r="H202" s="177">
        <v>25</v>
      </c>
      <c r="I202" s="176" t="s">
        <v>12</v>
      </c>
      <c r="J202" s="177">
        <v>1.2</v>
      </c>
      <c r="K202" s="177">
        <v>11.79</v>
      </c>
    </row>
    <row r="203" spans="1:11">
      <c r="A203" s="176" t="s">
        <v>32</v>
      </c>
      <c r="B203" s="177">
        <v>1324.6</v>
      </c>
      <c r="C203" s="178">
        <v>2</v>
      </c>
      <c r="D203" s="177">
        <v>7.1999999999999995E-2</v>
      </c>
      <c r="E203" s="177">
        <v>1E-3</v>
      </c>
      <c r="F203" s="177">
        <v>1000</v>
      </c>
      <c r="G203" s="177">
        <v>0</v>
      </c>
      <c r="H203" s="177">
        <v>25</v>
      </c>
      <c r="I203" s="176" t="s">
        <v>12</v>
      </c>
      <c r="J203" s="177">
        <v>1.2</v>
      </c>
      <c r="K203" s="177">
        <v>11.99</v>
      </c>
    </row>
    <row r="204" spans="1:11">
      <c r="A204" s="176" t="s">
        <v>32</v>
      </c>
      <c r="B204" s="177">
        <v>1323.2</v>
      </c>
      <c r="C204" s="178">
        <v>2</v>
      </c>
      <c r="D204" s="177">
        <v>7.1999999999999995E-2</v>
      </c>
      <c r="E204" s="177">
        <v>1E-3</v>
      </c>
      <c r="F204" s="177">
        <v>1000</v>
      </c>
      <c r="G204" s="177">
        <v>0</v>
      </c>
      <c r="H204" s="177">
        <v>25</v>
      </c>
      <c r="I204" s="176" t="s">
        <v>12</v>
      </c>
      <c r="J204" s="177">
        <v>1.2</v>
      </c>
      <c r="K204" s="177">
        <v>12.09</v>
      </c>
    </row>
    <row r="205" spans="1:11">
      <c r="A205" s="176" t="s">
        <v>32</v>
      </c>
      <c r="B205" s="177">
        <v>1322.6</v>
      </c>
      <c r="C205" s="178">
        <v>2</v>
      </c>
      <c r="D205" s="177">
        <v>7.1999999999999995E-2</v>
      </c>
      <c r="E205" s="177">
        <v>1E-3</v>
      </c>
      <c r="F205" s="177">
        <v>1000</v>
      </c>
      <c r="G205" s="177">
        <v>0</v>
      </c>
      <c r="H205" s="177">
        <v>25</v>
      </c>
      <c r="I205" s="176" t="s">
        <v>12</v>
      </c>
      <c r="J205" s="177">
        <v>1.2</v>
      </c>
      <c r="K205" s="177">
        <v>12.2</v>
      </c>
    </row>
    <row r="206" spans="1:11">
      <c r="A206" s="176" t="s">
        <v>32</v>
      </c>
      <c r="B206" s="177">
        <v>1513.1</v>
      </c>
      <c r="C206" s="178">
        <v>2</v>
      </c>
      <c r="D206" s="177">
        <v>7.1999999999999995E-2</v>
      </c>
      <c r="E206" s="177">
        <v>1E-3</v>
      </c>
      <c r="F206" s="177">
        <v>1000</v>
      </c>
      <c r="G206" s="177">
        <v>0</v>
      </c>
      <c r="H206" s="177">
        <v>25</v>
      </c>
      <c r="I206" s="176" t="s">
        <v>12</v>
      </c>
      <c r="J206" s="177">
        <v>1.2</v>
      </c>
      <c r="K206" s="177">
        <v>10.6</v>
      </c>
    </row>
    <row r="207" spans="1:11">
      <c r="A207" s="176" t="s">
        <v>32</v>
      </c>
      <c r="B207" s="177">
        <v>1513.8</v>
      </c>
      <c r="C207" s="178">
        <v>2</v>
      </c>
      <c r="D207" s="177">
        <v>7.1999999999999995E-2</v>
      </c>
      <c r="E207" s="177">
        <v>1E-3</v>
      </c>
      <c r="F207" s="177">
        <v>1000</v>
      </c>
      <c r="G207" s="177">
        <v>0</v>
      </c>
      <c r="H207" s="177">
        <v>25</v>
      </c>
      <c r="I207" s="176" t="s">
        <v>12</v>
      </c>
      <c r="J207" s="177">
        <v>1.2</v>
      </c>
      <c r="K207" s="177">
        <v>10.76</v>
      </c>
    </row>
    <row r="208" spans="1:11">
      <c r="A208" s="176" t="s">
        <v>32</v>
      </c>
      <c r="B208" s="177">
        <v>1513.2</v>
      </c>
      <c r="C208" s="178">
        <v>2</v>
      </c>
      <c r="D208" s="177">
        <v>7.1999999999999995E-2</v>
      </c>
      <c r="E208" s="177">
        <v>1E-3</v>
      </c>
      <c r="F208" s="177">
        <v>1000</v>
      </c>
      <c r="G208" s="177">
        <v>0</v>
      </c>
      <c r="H208" s="177">
        <v>25</v>
      </c>
      <c r="I208" s="176" t="s">
        <v>12</v>
      </c>
      <c r="J208" s="177">
        <v>1.2</v>
      </c>
      <c r="K208" s="177">
        <v>10.87</v>
      </c>
    </row>
    <row r="209" spans="1:11">
      <c r="A209" s="176" t="s">
        <v>32</v>
      </c>
      <c r="B209" s="177">
        <v>1511.8</v>
      </c>
      <c r="C209" s="178">
        <v>2</v>
      </c>
      <c r="D209" s="177">
        <v>7.1999999999999995E-2</v>
      </c>
      <c r="E209" s="177">
        <v>1E-3</v>
      </c>
      <c r="F209" s="177">
        <v>1000</v>
      </c>
      <c r="G209" s="177">
        <v>0</v>
      </c>
      <c r="H209" s="177">
        <v>25</v>
      </c>
      <c r="I209" s="176" t="s">
        <v>12</v>
      </c>
      <c r="J209" s="177">
        <v>1.2</v>
      </c>
      <c r="K209" s="177">
        <v>12.43</v>
      </c>
    </row>
    <row r="210" spans="1:11">
      <c r="A210" s="176" t="s">
        <v>32</v>
      </c>
      <c r="B210" s="177">
        <v>1509.1</v>
      </c>
      <c r="C210" s="178">
        <v>2</v>
      </c>
      <c r="D210" s="177">
        <v>7.1999999999999995E-2</v>
      </c>
      <c r="E210" s="177">
        <v>1E-3</v>
      </c>
      <c r="F210" s="177">
        <v>1000</v>
      </c>
      <c r="G210" s="177">
        <v>0</v>
      </c>
      <c r="H210" s="177">
        <v>25</v>
      </c>
      <c r="I210" s="176" t="s">
        <v>12</v>
      </c>
      <c r="J210" s="177">
        <v>1.2</v>
      </c>
      <c r="K210" s="177">
        <v>12.57</v>
      </c>
    </row>
    <row r="211" spans="1:11">
      <c r="A211" s="176" t="s">
        <v>32</v>
      </c>
      <c r="B211" s="177">
        <v>1511.4</v>
      </c>
      <c r="C211" s="178">
        <v>2</v>
      </c>
      <c r="D211" s="177">
        <v>7.1999999999999995E-2</v>
      </c>
      <c r="E211" s="177">
        <v>1E-3</v>
      </c>
      <c r="F211" s="177">
        <v>1000</v>
      </c>
      <c r="G211" s="177">
        <v>0</v>
      </c>
      <c r="H211" s="177">
        <v>25</v>
      </c>
      <c r="I211" s="176" t="s">
        <v>12</v>
      </c>
      <c r="J211" s="177">
        <v>1.2</v>
      </c>
      <c r="K211" s="177">
        <v>12.65</v>
      </c>
    </row>
    <row r="212" spans="1:11">
      <c r="A212" s="176" t="s">
        <v>32</v>
      </c>
      <c r="B212" s="177">
        <v>1511.4</v>
      </c>
      <c r="C212" s="178">
        <v>2</v>
      </c>
      <c r="D212" s="177">
        <v>7.1999999999999995E-2</v>
      </c>
      <c r="E212" s="177">
        <v>1E-3</v>
      </c>
      <c r="F212" s="177">
        <v>1000</v>
      </c>
      <c r="G212" s="177">
        <v>0</v>
      </c>
      <c r="H212" s="177">
        <v>25</v>
      </c>
      <c r="I212" s="176" t="s">
        <v>12</v>
      </c>
      <c r="J212" s="177">
        <v>1.2</v>
      </c>
      <c r="K212" s="177">
        <v>12.74</v>
      </c>
    </row>
    <row r="213" spans="1:11">
      <c r="A213" s="176" t="s">
        <v>32</v>
      </c>
      <c r="B213" s="177">
        <v>1511.4</v>
      </c>
      <c r="C213" s="178">
        <v>2</v>
      </c>
      <c r="D213" s="177">
        <v>7.1999999999999995E-2</v>
      </c>
      <c r="E213" s="177">
        <v>1E-3</v>
      </c>
      <c r="F213" s="177">
        <v>1000</v>
      </c>
      <c r="G213" s="177">
        <v>0</v>
      </c>
      <c r="H213" s="177">
        <v>25</v>
      </c>
      <c r="I213" s="176" t="s">
        <v>12</v>
      </c>
      <c r="J213" s="177">
        <v>1.2</v>
      </c>
      <c r="K213" s="177">
        <v>12.88</v>
      </c>
    </row>
    <row r="214" spans="1:11">
      <c r="A214" s="176" t="s">
        <v>32</v>
      </c>
      <c r="B214" s="177">
        <v>1889.6</v>
      </c>
      <c r="C214" s="178">
        <v>2</v>
      </c>
      <c r="D214" s="177">
        <v>7.1999999999999995E-2</v>
      </c>
      <c r="E214" s="177">
        <v>1E-3</v>
      </c>
      <c r="F214" s="177">
        <v>1000</v>
      </c>
      <c r="G214" s="177">
        <v>0</v>
      </c>
      <c r="H214" s="177">
        <v>25</v>
      </c>
      <c r="I214" s="176" t="s">
        <v>12</v>
      </c>
      <c r="J214" s="177">
        <v>1.2</v>
      </c>
      <c r="K214" s="177">
        <v>11.11</v>
      </c>
    </row>
    <row r="215" spans="1:11">
      <c r="A215" s="176" t="s">
        <v>32</v>
      </c>
      <c r="B215" s="177">
        <v>1888.3</v>
      </c>
      <c r="C215" s="178">
        <v>2</v>
      </c>
      <c r="D215" s="177">
        <v>7.1999999999999995E-2</v>
      </c>
      <c r="E215" s="177">
        <v>1E-3</v>
      </c>
      <c r="F215" s="177">
        <v>1000</v>
      </c>
      <c r="G215" s="177">
        <v>0</v>
      </c>
      <c r="H215" s="177">
        <v>25</v>
      </c>
      <c r="I215" s="176" t="s">
        <v>12</v>
      </c>
      <c r="J215" s="177">
        <v>1.2</v>
      </c>
      <c r="K215" s="177">
        <v>11.23</v>
      </c>
    </row>
    <row r="216" spans="1:11">
      <c r="A216" s="176" t="s">
        <v>32</v>
      </c>
      <c r="B216" s="177">
        <v>1889.6</v>
      </c>
      <c r="C216" s="178">
        <v>2</v>
      </c>
      <c r="D216" s="177">
        <v>7.1999999999999995E-2</v>
      </c>
      <c r="E216" s="177">
        <v>1E-3</v>
      </c>
      <c r="F216" s="177">
        <v>1000</v>
      </c>
      <c r="G216" s="177">
        <v>0</v>
      </c>
      <c r="H216" s="177">
        <v>25</v>
      </c>
      <c r="I216" s="176" t="s">
        <v>12</v>
      </c>
      <c r="J216" s="177">
        <v>1.2</v>
      </c>
      <c r="K216" s="177">
        <v>11.42</v>
      </c>
    </row>
    <row r="217" spans="1:11">
      <c r="A217" s="176" t="s">
        <v>32</v>
      </c>
      <c r="B217" s="177">
        <v>1890.7</v>
      </c>
      <c r="C217" s="178">
        <v>2</v>
      </c>
      <c r="D217" s="177">
        <v>7.1999999999999995E-2</v>
      </c>
      <c r="E217" s="177">
        <v>1E-3</v>
      </c>
      <c r="F217" s="177">
        <v>1000</v>
      </c>
      <c r="G217" s="177">
        <v>0</v>
      </c>
      <c r="H217" s="177">
        <v>25</v>
      </c>
      <c r="I217" s="176" t="s">
        <v>12</v>
      </c>
      <c r="J217" s="177">
        <v>1.2</v>
      </c>
      <c r="K217" s="177">
        <v>11.6</v>
      </c>
    </row>
    <row r="218" spans="1:11">
      <c r="A218" s="176" t="s">
        <v>32</v>
      </c>
      <c r="B218" s="177">
        <v>1889.5</v>
      </c>
      <c r="C218" s="178">
        <v>2</v>
      </c>
      <c r="D218" s="177">
        <v>7.1999999999999995E-2</v>
      </c>
      <c r="E218" s="177">
        <v>1E-3</v>
      </c>
      <c r="F218" s="177">
        <v>1000</v>
      </c>
      <c r="G218" s="177">
        <v>0</v>
      </c>
      <c r="H218" s="177">
        <v>25</v>
      </c>
      <c r="I218" s="176" t="s">
        <v>12</v>
      </c>
      <c r="J218" s="177">
        <v>1.2</v>
      </c>
      <c r="K218" s="177">
        <v>13.42</v>
      </c>
    </row>
    <row r="219" spans="1:11">
      <c r="A219" s="176" t="s">
        <v>32</v>
      </c>
      <c r="B219" s="177">
        <v>1887.6</v>
      </c>
      <c r="C219" s="178">
        <v>2</v>
      </c>
      <c r="D219" s="177">
        <v>7.1999999999999995E-2</v>
      </c>
      <c r="E219" s="177">
        <v>1E-3</v>
      </c>
      <c r="F219" s="177">
        <v>1000</v>
      </c>
      <c r="G219" s="177">
        <v>0</v>
      </c>
      <c r="H219" s="177">
        <v>25</v>
      </c>
      <c r="I219" s="176" t="s">
        <v>12</v>
      </c>
      <c r="J219" s="177">
        <v>1.2</v>
      </c>
      <c r="K219" s="177">
        <v>13.55</v>
      </c>
    </row>
    <row r="220" spans="1:11">
      <c r="A220" s="176" t="s">
        <v>32</v>
      </c>
      <c r="B220" s="177">
        <v>1887.6</v>
      </c>
      <c r="C220" s="178">
        <v>2</v>
      </c>
      <c r="D220" s="177">
        <v>7.1999999999999995E-2</v>
      </c>
      <c r="E220" s="177">
        <v>1E-3</v>
      </c>
      <c r="F220" s="177">
        <v>1000</v>
      </c>
      <c r="G220" s="177">
        <v>0</v>
      </c>
      <c r="H220" s="177">
        <v>25</v>
      </c>
      <c r="I220" s="176" t="s">
        <v>12</v>
      </c>
      <c r="J220" s="177">
        <v>1.2</v>
      </c>
      <c r="K220" s="177">
        <v>13.65</v>
      </c>
    </row>
    <row r="221" spans="1:11">
      <c r="A221" s="176" t="s">
        <v>32</v>
      </c>
      <c r="B221" s="177">
        <v>1891.5</v>
      </c>
      <c r="C221" s="178">
        <v>2</v>
      </c>
      <c r="D221" s="177">
        <v>7.1999999999999995E-2</v>
      </c>
      <c r="E221" s="177">
        <v>1E-3</v>
      </c>
      <c r="F221" s="177">
        <v>1000</v>
      </c>
      <c r="G221" s="177">
        <v>0</v>
      </c>
      <c r="H221" s="177">
        <v>25</v>
      </c>
      <c r="I221" s="176" t="s">
        <v>12</v>
      </c>
      <c r="J221" s="177">
        <v>1.2</v>
      </c>
      <c r="K221" s="177">
        <v>13.77</v>
      </c>
    </row>
    <row r="222" spans="1:11">
      <c r="A222" s="176" t="s">
        <v>32</v>
      </c>
      <c r="B222" s="177">
        <v>92</v>
      </c>
      <c r="C222" s="178">
        <v>2</v>
      </c>
      <c r="D222" s="177">
        <v>5.1999999999999998E-2</v>
      </c>
      <c r="E222" s="177">
        <v>1E-3</v>
      </c>
      <c r="F222" s="177">
        <v>1000</v>
      </c>
      <c r="G222" s="177">
        <v>0</v>
      </c>
      <c r="H222" s="177">
        <v>25</v>
      </c>
      <c r="I222" s="176" t="s">
        <v>12</v>
      </c>
      <c r="J222" s="177">
        <v>1.2</v>
      </c>
      <c r="K222" s="177">
        <v>4.62</v>
      </c>
    </row>
    <row r="223" spans="1:11">
      <c r="A223" s="176" t="s">
        <v>32</v>
      </c>
      <c r="B223" s="177">
        <v>135.30000000000001</v>
      </c>
      <c r="C223" s="178">
        <v>2</v>
      </c>
      <c r="D223" s="177">
        <v>5.1999999999999998E-2</v>
      </c>
      <c r="E223" s="177">
        <v>1E-3</v>
      </c>
      <c r="F223" s="177">
        <v>1000</v>
      </c>
      <c r="G223" s="177">
        <v>0</v>
      </c>
      <c r="H223" s="177">
        <v>25</v>
      </c>
      <c r="I223" s="176" t="s">
        <v>12</v>
      </c>
      <c r="J223" s="177">
        <v>1.2</v>
      </c>
      <c r="K223" s="177">
        <v>5.1100000000000003</v>
      </c>
    </row>
    <row r="224" spans="1:11">
      <c r="A224" s="176" t="s">
        <v>32</v>
      </c>
      <c r="B224" s="177">
        <v>139.4</v>
      </c>
      <c r="C224" s="178">
        <v>2</v>
      </c>
      <c r="D224" s="177">
        <v>5.1999999999999998E-2</v>
      </c>
      <c r="E224" s="177">
        <v>1E-3</v>
      </c>
      <c r="F224" s="177">
        <v>1000</v>
      </c>
      <c r="G224" s="177">
        <v>0</v>
      </c>
      <c r="H224" s="177">
        <v>25</v>
      </c>
      <c r="I224" s="176" t="s">
        <v>12</v>
      </c>
      <c r="J224" s="177">
        <v>1.2</v>
      </c>
      <c r="K224" s="177">
        <v>5.21</v>
      </c>
    </row>
    <row r="225" spans="1:11">
      <c r="A225" s="176" t="s">
        <v>32</v>
      </c>
      <c r="B225" s="177">
        <v>137.6</v>
      </c>
      <c r="C225" s="178">
        <v>2</v>
      </c>
      <c r="D225" s="177">
        <v>5.1999999999999998E-2</v>
      </c>
      <c r="E225" s="177">
        <v>1E-3</v>
      </c>
      <c r="F225" s="177">
        <v>1000</v>
      </c>
      <c r="G225" s="177">
        <v>0</v>
      </c>
      <c r="H225" s="177">
        <v>25</v>
      </c>
      <c r="I225" s="176" t="s">
        <v>12</v>
      </c>
      <c r="J225" s="177">
        <v>1.2</v>
      </c>
      <c r="K225" s="177">
        <v>5.25</v>
      </c>
    </row>
    <row r="226" spans="1:11">
      <c r="A226" s="176" t="s">
        <v>32</v>
      </c>
      <c r="B226" s="177">
        <v>137.19999999999999</v>
      </c>
      <c r="C226" s="178">
        <v>2</v>
      </c>
      <c r="D226" s="177">
        <v>5.1999999999999998E-2</v>
      </c>
      <c r="E226" s="177">
        <v>1E-3</v>
      </c>
      <c r="F226" s="177">
        <v>1000</v>
      </c>
      <c r="G226" s="177">
        <v>0</v>
      </c>
      <c r="H226" s="177">
        <v>25</v>
      </c>
      <c r="I226" s="176" t="s">
        <v>12</v>
      </c>
      <c r="J226" s="177">
        <v>1.2</v>
      </c>
      <c r="K226" s="177">
        <v>5.35</v>
      </c>
    </row>
    <row r="227" spans="1:11">
      <c r="A227" s="176" t="s">
        <v>32</v>
      </c>
      <c r="B227" s="177">
        <v>184.7</v>
      </c>
      <c r="C227" s="178">
        <v>2</v>
      </c>
      <c r="D227" s="177">
        <v>5.1999999999999998E-2</v>
      </c>
      <c r="E227" s="177">
        <v>1E-3</v>
      </c>
      <c r="F227" s="177">
        <v>1000</v>
      </c>
      <c r="G227" s="177">
        <v>0</v>
      </c>
      <c r="H227" s="177">
        <v>25</v>
      </c>
      <c r="I227" s="176" t="s">
        <v>12</v>
      </c>
      <c r="J227" s="177">
        <v>1.2</v>
      </c>
      <c r="K227" s="177">
        <v>5.55</v>
      </c>
    </row>
    <row r="228" spans="1:11">
      <c r="A228" s="176" t="s">
        <v>32</v>
      </c>
      <c r="B228" s="177">
        <v>184.7</v>
      </c>
      <c r="C228" s="178">
        <v>2</v>
      </c>
      <c r="D228" s="177">
        <v>5.1999999999999998E-2</v>
      </c>
      <c r="E228" s="177">
        <v>1E-3</v>
      </c>
      <c r="F228" s="177">
        <v>1000</v>
      </c>
      <c r="G228" s="177">
        <v>0</v>
      </c>
      <c r="H228" s="177">
        <v>25</v>
      </c>
      <c r="I228" s="176" t="s">
        <v>12</v>
      </c>
      <c r="J228" s="177">
        <v>1.2</v>
      </c>
      <c r="K228" s="177">
        <v>5.61</v>
      </c>
    </row>
    <row r="229" spans="1:11">
      <c r="A229" s="176" t="s">
        <v>32</v>
      </c>
      <c r="B229" s="177">
        <v>185.5</v>
      </c>
      <c r="C229" s="178">
        <v>2</v>
      </c>
      <c r="D229" s="177">
        <v>5.1999999999999998E-2</v>
      </c>
      <c r="E229" s="177">
        <v>1E-3</v>
      </c>
      <c r="F229" s="177">
        <v>1000</v>
      </c>
      <c r="G229" s="177">
        <v>0</v>
      </c>
      <c r="H229" s="177">
        <v>25</v>
      </c>
      <c r="I229" s="176" t="s">
        <v>12</v>
      </c>
      <c r="J229" s="177">
        <v>1.2</v>
      </c>
      <c r="K229" s="177">
        <v>5.69</v>
      </c>
    </row>
    <row r="230" spans="1:11">
      <c r="A230" s="176" t="s">
        <v>32</v>
      </c>
      <c r="B230" s="177">
        <v>234.8</v>
      </c>
      <c r="C230" s="178">
        <v>2</v>
      </c>
      <c r="D230" s="177">
        <v>5.1999999999999998E-2</v>
      </c>
      <c r="E230" s="177">
        <v>1E-3</v>
      </c>
      <c r="F230" s="177">
        <v>1000</v>
      </c>
      <c r="G230" s="177">
        <v>0</v>
      </c>
      <c r="H230" s="177">
        <v>25</v>
      </c>
      <c r="I230" s="176" t="s">
        <v>12</v>
      </c>
      <c r="J230" s="177">
        <v>1.2</v>
      </c>
      <c r="K230" s="177">
        <v>5.7</v>
      </c>
    </row>
    <row r="231" spans="1:11">
      <c r="A231" s="176" t="s">
        <v>32</v>
      </c>
      <c r="B231" s="177">
        <v>232.3</v>
      </c>
      <c r="C231" s="178">
        <v>2</v>
      </c>
      <c r="D231" s="177">
        <v>5.1999999999999998E-2</v>
      </c>
      <c r="E231" s="177">
        <v>1E-3</v>
      </c>
      <c r="F231" s="177">
        <v>1000</v>
      </c>
      <c r="G231" s="177">
        <v>0</v>
      </c>
      <c r="H231" s="177">
        <v>25</v>
      </c>
      <c r="I231" s="176" t="s">
        <v>12</v>
      </c>
      <c r="J231" s="177">
        <v>1.2</v>
      </c>
      <c r="K231" s="177">
        <v>5.84</v>
      </c>
    </row>
    <row r="232" spans="1:11">
      <c r="A232" s="176" t="s">
        <v>32</v>
      </c>
      <c r="B232" s="177">
        <v>231.2</v>
      </c>
      <c r="C232" s="178">
        <v>2</v>
      </c>
      <c r="D232" s="177">
        <v>5.1999999999999998E-2</v>
      </c>
      <c r="E232" s="177">
        <v>1E-3</v>
      </c>
      <c r="F232" s="177">
        <v>1000</v>
      </c>
      <c r="G232" s="177">
        <v>0</v>
      </c>
      <c r="H232" s="177">
        <v>25</v>
      </c>
      <c r="I232" s="176" t="s">
        <v>12</v>
      </c>
      <c r="J232" s="177">
        <v>1.2</v>
      </c>
      <c r="K232" s="177">
        <v>5.97</v>
      </c>
    </row>
    <row r="233" spans="1:11">
      <c r="A233" s="176" t="s">
        <v>32</v>
      </c>
      <c r="B233" s="177">
        <v>285</v>
      </c>
      <c r="C233" s="178">
        <v>2</v>
      </c>
      <c r="D233" s="177">
        <v>5.1999999999999998E-2</v>
      </c>
      <c r="E233" s="177">
        <v>1E-3</v>
      </c>
      <c r="F233" s="177">
        <v>1000</v>
      </c>
      <c r="G233" s="177">
        <v>0</v>
      </c>
      <c r="H233" s="177">
        <v>25</v>
      </c>
      <c r="I233" s="176" t="s">
        <v>12</v>
      </c>
      <c r="J233" s="177">
        <v>1.2</v>
      </c>
      <c r="K233" s="177">
        <v>5.95</v>
      </c>
    </row>
    <row r="234" spans="1:11">
      <c r="A234" s="176" t="s">
        <v>32</v>
      </c>
      <c r="B234" s="177">
        <v>279.5</v>
      </c>
      <c r="C234" s="178">
        <v>2</v>
      </c>
      <c r="D234" s="177">
        <v>5.1999999999999998E-2</v>
      </c>
      <c r="E234" s="177">
        <v>1E-3</v>
      </c>
      <c r="F234" s="177">
        <v>1000</v>
      </c>
      <c r="G234" s="177">
        <v>0</v>
      </c>
      <c r="H234" s="177">
        <v>25</v>
      </c>
      <c r="I234" s="176" t="s">
        <v>12</v>
      </c>
      <c r="J234" s="177">
        <v>1.2</v>
      </c>
      <c r="K234" s="177">
        <v>6.11</v>
      </c>
    </row>
    <row r="235" spans="1:11">
      <c r="A235" s="176" t="s">
        <v>32</v>
      </c>
      <c r="B235" s="177">
        <v>283</v>
      </c>
      <c r="C235" s="178">
        <v>2</v>
      </c>
      <c r="D235" s="177">
        <v>5.1999999999999998E-2</v>
      </c>
      <c r="E235" s="177">
        <v>1E-3</v>
      </c>
      <c r="F235" s="177">
        <v>1000</v>
      </c>
      <c r="G235" s="177">
        <v>0</v>
      </c>
      <c r="H235" s="177">
        <v>25</v>
      </c>
      <c r="I235" s="176" t="s">
        <v>12</v>
      </c>
      <c r="J235" s="177">
        <v>1.2</v>
      </c>
      <c r="K235" s="177">
        <v>6.26</v>
      </c>
    </row>
    <row r="236" spans="1:11">
      <c r="A236" s="176" t="s">
        <v>32</v>
      </c>
      <c r="B236" s="177">
        <v>276.89999999999998</v>
      </c>
      <c r="C236" s="178">
        <v>2</v>
      </c>
      <c r="D236" s="177">
        <v>5.1999999999999998E-2</v>
      </c>
      <c r="E236" s="177">
        <v>1E-3</v>
      </c>
      <c r="F236" s="177">
        <v>1000</v>
      </c>
      <c r="G236" s="177">
        <v>0</v>
      </c>
      <c r="H236" s="177">
        <v>25</v>
      </c>
      <c r="I236" s="176" t="s">
        <v>12</v>
      </c>
      <c r="J236" s="177">
        <v>1.2</v>
      </c>
      <c r="K236" s="177">
        <v>6.35</v>
      </c>
    </row>
    <row r="237" spans="1:11">
      <c r="A237" s="176" t="s">
        <v>32</v>
      </c>
      <c r="B237" s="177">
        <v>328.2</v>
      </c>
      <c r="C237" s="178">
        <v>2</v>
      </c>
      <c r="D237" s="177">
        <v>5.1999999999999998E-2</v>
      </c>
      <c r="E237" s="177">
        <v>1E-3</v>
      </c>
      <c r="F237" s="177">
        <v>1000</v>
      </c>
      <c r="G237" s="177">
        <v>0</v>
      </c>
      <c r="H237" s="177">
        <v>25</v>
      </c>
      <c r="I237" s="176" t="s">
        <v>12</v>
      </c>
      <c r="J237" s="177">
        <v>1.2</v>
      </c>
      <c r="K237" s="177">
        <v>5.97</v>
      </c>
    </row>
    <row r="238" spans="1:11">
      <c r="A238" s="176" t="s">
        <v>32</v>
      </c>
      <c r="B238" s="177">
        <v>328.2</v>
      </c>
      <c r="C238" s="178">
        <v>2</v>
      </c>
      <c r="D238" s="177">
        <v>5.1999999999999998E-2</v>
      </c>
      <c r="E238" s="177">
        <v>1E-3</v>
      </c>
      <c r="F238" s="177">
        <v>1000</v>
      </c>
      <c r="G238" s="177">
        <v>0</v>
      </c>
      <c r="H238" s="177">
        <v>25</v>
      </c>
      <c r="I238" s="176" t="s">
        <v>12</v>
      </c>
      <c r="J238" s="177">
        <v>1.2</v>
      </c>
      <c r="K238" s="177">
        <v>6.18</v>
      </c>
    </row>
    <row r="239" spans="1:11">
      <c r="A239" s="176" t="s">
        <v>32</v>
      </c>
      <c r="B239" s="177">
        <v>331.3</v>
      </c>
      <c r="C239" s="178">
        <v>2</v>
      </c>
      <c r="D239" s="177">
        <v>5.1999999999999998E-2</v>
      </c>
      <c r="E239" s="177">
        <v>1E-3</v>
      </c>
      <c r="F239" s="177">
        <v>1000</v>
      </c>
      <c r="G239" s="177">
        <v>0</v>
      </c>
      <c r="H239" s="177">
        <v>25</v>
      </c>
      <c r="I239" s="176" t="s">
        <v>12</v>
      </c>
      <c r="J239" s="177">
        <v>1.2</v>
      </c>
      <c r="K239" s="177">
        <v>7.3</v>
      </c>
    </row>
    <row r="240" spans="1:11">
      <c r="A240" s="176" t="s">
        <v>32</v>
      </c>
      <c r="B240" s="177">
        <v>329.3</v>
      </c>
      <c r="C240" s="178">
        <v>2</v>
      </c>
      <c r="D240" s="177">
        <v>5.1999999999999998E-2</v>
      </c>
      <c r="E240" s="177">
        <v>1E-3</v>
      </c>
      <c r="F240" s="177">
        <v>1000</v>
      </c>
      <c r="G240" s="177">
        <v>0</v>
      </c>
      <c r="H240" s="177">
        <v>25</v>
      </c>
      <c r="I240" s="176" t="s">
        <v>12</v>
      </c>
      <c r="J240" s="177">
        <v>1.2</v>
      </c>
      <c r="K240" s="177">
        <v>7.39</v>
      </c>
    </row>
    <row r="241" spans="1:11">
      <c r="A241" s="176" t="s">
        <v>32</v>
      </c>
      <c r="B241" s="177">
        <v>376.7</v>
      </c>
      <c r="C241" s="178">
        <v>2</v>
      </c>
      <c r="D241" s="177">
        <v>5.1999999999999998E-2</v>
      </c>
      <c r="E241" s="177">
        <v>1E-3</v>
      </c>
      <c r="F241" s="177">
        <v>1000</v>
      </c>
      <c r="G241" s="177">
        <v>0</v>
      </c>
      <c r="H241" s="177">
        <v>25</v>
      </c>
      <c r="I241" s="176" t="s">
        <v>12</v>
      </c>
      <c r="J241" s="177">
        <v>1.2</v>
      </c>
      <c r="K241" s="177">
        <v>5.82</v>
      </c>
    </row>
    <row r="242" spans="1:11">
      <c r="A242" s="176" t="s">
        <v>32</v>
      </c>
      <c r="B242" s="177">
        <v>376.1</v>
      </c>
      <c r="C242" s="178">
        <v>2</v>
      </c>
      <c r="D242" s="177">
        <v>5.1999999999999998E-2</v>
      </c>
      <c r="E242" s="177">
        <v>1E-3</v>
      </c>
      <c r="F242" s="177">
        <v>1000</v>
      </c>
      <c r="G242" s="177">
        <v>0</v>
      </c>
      <c r="H242" s="177">
        <v>25</v>
      </c>
      <c r="I242" s="176" t="s">
        <v>12</v>
      </c>
      <c r="J242" s="177">
        <v>1.2</v>
      </c>
      <c r="K242" s="177">
        <v>5.92</v>
      </c>
    </row>
    <row r="243" spans="1:11">
      <c r="A243" s="176" t="s">
        <v>32</v>
      </c>
      <c r="B243" s="177">
        <v>376.5</v>
      </c>
      <c r="C243" s="178">
        <v>2</v>
      </c>
      <c r="D243" s="177">
        <v>5.1999999999999998E-2</v>
      </c>
      <c r="E243" s="177">
        <v>1E-3</v>
      </c>
      <c r="F243" s="177">
        <v>1000</v>
      </c>
      <c r="G243" s="177">
        <v>0</v>
      </c>
      <c r="H243" s="177">
        <v>25</v>
      </c>
      <c r="I243" s="176" t="s">
        <v>12</v>
      </c>
      <c r="J243" s="177">
        <v>1.2</v>
      </c>
      <c r="K243" s="177">
        <v>6.1</v>
      </c>
    </row>
    <row r="244" spans="1:11">
      <c r="A244" s="176" t="s">
        <v>32</v>
      </c>
      <c r="B244" s="177">
        <v>374.6</v>
      </c>
      <c r="C244" s="178">
        <v>2</v>
      </c>
      <c r="D244" s="177">
        <v>5.1999999999999998E-2</v>
      </c>
      <c r="E244" s="177">
        <v>1E-3</v>
      </c>
      <c r="F244" s="177">
        <v>1000</v>
      </c>
      <c r="G244" s="177">
        <v>0</v>
      </c>
      <c r="H244" s="177">
        <v>25</v>
      </c>
      <c r="I244" s="176" t="s">
        <v>12</v>
      </c>
      <c r="J244" s="177">
        <v>1.2</v>
      </c>
      <c r="K244" s="177">
        <v>6.24</v>
      </c>
    </row>
    <row r="245" spans="1:11">
      <c r="A245" s="176" t="s">
        <v>32</v>
      </c>
      <c r="B245" s="177">
        <v>374.6</v>
      </c>
      <c r="C245" s="178">
        <v>2</v>
      </c>
      <c r="D245" s="177">
        <v>5.1999999999999998E-2</v>
      </c>
      <c r="E245" s="177">
        <v>1E-3</v>
      </c>
      <c r="F245" s="177">
        <v>1000</v>
      </c>
      <c r="G245" s="177">
        <v>0</v>
      </c>
      <c r="H245" s="177">
        <v>25</v>
      </c>
      <c r="I245" s="176" t="s">
        <v>12</v>
      </c>
      <c r="J245" s="177">
        <v>1.2</v>
      </c>
      <c r="K245" s="177">
        <v>7.3</v>
      </c>
    </row>
    <row r="246" spans="1:11">
      <c r="A246" s="176" t="s">
        <v>32</v>
      </c>
      <c r="B246" s="177">
        <v>377.2</v>
      </c>
      <c r="C246" s="178">
        <v>2</v>
      </c>
      <c r="D246" s="177">
        <v>5.1999999999999998E-2</v>
      </c>
      <c r="E246" s="177">
        <v>1E-3</v>
      </c>
      <c r="F246" s="177">
        <v>1000</v>
      </c>
      <c r="G246" s="177">
        <v>0</v>
      </c>
      <c r="H246" s="177">
        <v>25</v>
      </c>
      <c r="I246" s="176" t="s">
        <v>12</v>
      </c>
      <c r="J246" s="177">
        <v>1.2</v>
      </c>
      <c r="K246" s="177">
        <v>7.41</v>
      </c>
    </row>
    <row r="247" spans="1:11">
      <c r="A247" s="176" t="s">
        <v>32</v>
      </c>
      <c r="B247" s="177">
        <v>375.8</v>
      </c>
      <c r="C247" s="178">
        <v>2</v>
      </c>
      <c r="D247" s="177">
        <v>5.1999999999999998E-2</v>
      </c>
      <c r="E247" s="177">
        <v>1E-3</v>
      </c>
      <c r="F247" s="177">
        <v>1000</v>
      </c>
      <c r="G247" s="177">
        <v>0</v>
      </c>
      <c r="H247" s="177">
        <v>25</v>
      </c>
      <c r="I247" s="176" t="s">
        <v>12</v>
      </c>
      <c r="J247" s="177">
        <v>1.2</v>
      </c>
      <c r="K247" s="177">
        <v>7.52</v>
      </c>
    </row>
    <row r="248" spans="1:11">
      <c r="A248" s="176" t="s">
        <v>32</v>
      </c>
      <c r="B248" s="177">
        <v>372.9</v>
      </c>
      <c r="C248" s="178">
        <v>2</v>
      </c>
      <c r="D248" s="177">
        <v>5.1999999999999998E-2</v>
      </c>
      <c r="E248" s="177">
        <v>1E-3</v>
      </c>
      <c r="F248" s="177">
        <v>1000</v>
      </c>
      <c r="G248" s="177">
        <v>0</v>
      </c>
      <c r="H248" s="177">
        <v>25</v>
      </c>
      <c r="I248" s="176" t="s">
        <v>12</v>
      </c>
      <c r="J248" s="177">
        <v>1.2</v>
      </c>
      <c r="K248" s="177">
        <v>7.88</v>
      </c>
    </row>
    <row r="249" spans="1:11">
      <c r="A249" s="176" t="s">
        <v>32</v>
      </c>
      <c r="B249" s="177">
        <v>372.9</v>
      </c>
      <c r="C249" s="178">
        <v>2</v>
      </c>
      <c r="D249" s="177">
        <v>5.1999999999999998E-2</v>
      </c>
      <c r="E249" s="177">
        <v>1E-3</v>
      </c>
      <c r="F249" s="177">
        <v>1000</v>
      </c>
      <c r="G249" s="177">
        <v>0</v>
      </c>
      <c r="H249" s="177">
        <v>25</v>
      </c>
      <c r="I249" s="176" t="s">
        <v>12</v>
      </c>
      <c r="J249" s="177">
        <v>1.2</v>
      </c>
      <c r="K249" s="177">
        <v>8.01</v>
      </c>
    </row>
    <row r="250" spans="1:11">
      <c r="A250" s="176" t="s">
        <v>32</v>
      </c>
      <c r="B250" s="177">
        <v>421.8</v>
      </c>
      <c r="C250" s="178">
        <v>2</v>
      </c>
      <c r="D250" s="177">
        <v>5.1999999999999998E-2</v>
      </c>
      <c r="E250" s="177">
        <v>1E-3</v>
      </c>
      <c r="F250" s="177">
        <v>1000</v>
      </c>
      <c r="G250" s="177">
        <v>0</v>
      </c>
      <c r="H250" s="177">
        <v>25</v>
      </c>
      <c r="I250" s="176" t="s">
        <v>12</v>
      </c>
      <c r="J250" s="177">
        <v>1.2</v>
      </c>
      <c r="K250" s="177">
        <v>5.61</v>
      </c>
    </row>
    <row r="251" spans="1:11">
      <c r="A251" s="176" t="s">
        <v>32</v>
      </c>
      <c r="B251" s="177">
        <v>420.5</v>
      </c>
      <c r="C251" s="178">
        <v>2</v>
      </c>
      <c r="D251" s="177">
        <v>5.1999999999999998E-2</v>
      </c>
      <c r="E251" s="177">
        <v>1E-3</v>
      </c>
      <c r="F251" s="177">
        <v>1000</v>
      </c>
      <c r="G251" s="177">
        <v>0</v>
      </c>
      <c r="H251" s="177">
        <v>25</v>
      </c>
      <c r="I251" s="176" t="s">
        <v>12</v>
      </c>
      <c r="J251" s="177">
        <v>1.2</v>
      </c>
      <c r="K251" s="177">
        <v>6.07</v>
      </c>
    </row>
    <row r="252" spans="1:11">
      <c r="A252" s="176" t="s">
        <v>32</v>
      </c>
      <c r="B252" s="177">
        <v>423.2</v>
      </c>
      <c r="C252" s="178">
        <v>2</v>
      </c>
      <c r="D252" s="177">
        <v>5.1999999999999998E-2</v>
      </c>
      <c r="E252" s="177">
        <v>1E-3</v>
      </c>
      <c r="F252" s="177">
        <v>1000</v>
      </c>
      <c r="G252" s="177">
        <v>0</v>
      </c>
      <c r="H252" s="177">
        <v>25</v>
      </c>
      <c r="I252" s="176" t="s">
        <v>12</v>
      </c>
      <c r="J252" s="177">
        <v>1.2</v>
      </c>
      <c r="K252" s="177">
        <v>6.19</v>
      </c>
    </row>
    <row r="253" spans="1:11">
      <c r="A253" s="176" t="s">
        <v>32</v>
      </c>
      <c r="B253" s="177">
        <v>422.7</v>
      </c>
      <c r="C253" s="178">
        <v>2</v>
      </c>
      <c r="D253" s="177">
        <v>5.1999999999999998E-2</v>
      </c>
      <c r="E253" s="177">
        <v>1E-3</v>
      </c>
      <c r="F253" s="177">
        <v>1000</v>
      </c>
      <c r="G253" s="177">
        <v>0</v>
      </c>
      <c r="H253" s="177">
        <v>25</v>
      </c>
      <c r="I253" s="176" t="s">
        <v>12</v>
      </c>
      <c r="J253" s="177">
        <v>1.2</v>
      </c>
      <c r="K253" s="177">
        <v>7.31</v>
      </c>
    </row>
    <row r="254" spans="1:11">
      <c r="A254" s="176" t="s">
        <v>32</v>
      </c>
      <c r="B254" s="177">
        <v>422.5</v>
      </c>
      <c r="C254" s="178">
        <v>2</v>
      </c>
      <c r="D254" s="177">
        <v>5.1999999999999998E-2</v>
      </c>
      <c r="E254" s="177">
        <v>1E-3</v>
      </c>
      <c r="F254" s="177">
        <v>1000</v>
      </c>
      <c r="G254" s="177">
        <v>0</v>
      </c>
      <c r="H254" s="177">
        <v>25</v>
      </c>
      <c r="I254" s="176" t="s">
        <v>12</v>
      </c>
      <c r="J254" s="177">
        <v>1.2</v>
      </c>
      <c r="K254" s="177">
        <v>7.45</v>
      </c>
    </row>
    <row r="255" spans="1:11">
      <c r="A255" s="176" t="s">
        <v>32</v>
      </c>
      <c r="B255" s="177">
        <v>421.9</v>
      </c>
      <c r="C255" s="178">
        <v>2</v>
      </c>
      <c r="D255" s="177">
        <v>5.1999999999999998E-2</v>
      </c>
      <c r="E255" s="177">
        <v>1E-3</v>
      </c>
      <c r="F255" s="177">
        <v>1000</v>
      </c>
      <c r="G255" s="177">
        <v>0</v>
      </c>
      <c r="H255" s="177">
        <v>25</v>
      </c>
      <c r="I255" s="176" t="s">
        <v>12</v>
      </c>
      <c r="J255" s="177">
        <v>1.2</v>
      </c>
      <c r="K255" s="177">
        <v>7.66</v>
      </c>
    </row>
    <row r="256" spans="1:11">
      <c r="A256" s="176" t="s">
        <v>32</v>
      </c>
      <c r="B256" s="177">
        <v>470</v>
      </c>
      <c r="C256" s="178">
        <v>2</v>
      </c>
      <c r="D256" s="177">
        <v>5.1999999999999998E-2</v>
      </c>
      <c r="E256" s="177">
        <v>1E-3</v>
      </c>
      <c r="F256" s="177">
        <v>1000</v>
      </c>
      <c r="G256" s="177">
        <v>0</v>
      </c>
      <c r="H256" s="177">
        <v>25</v>
      </c>
      <c r="I256" s="176" t="s">
        <v>12</v>
      </c>
      <c r="J256" s="177">
        <v>1.2</v>
      </c>
      <c r="K256" s="177">
        <v>5.29</v>
      </c>
    </row>
    <row r="257" spans="1:11">
      <c r="A257" s="176" t="s">
        <v>32</v>
      </c>
      <c r="B257" s="177">
        <v>468.4</v>
      </c>
      <c r="C257" s="178">
        <v>2</v>
      </c>
      <c r="D257" s="177">
        <v>5.1999999999999998E-2</v>
      </c>
      <c r="E257" s="177">
        <v>1E-3</v>
      </c>
      <c r="F257" s="177">
        <v>1000</v>
      </c>
      <c r="G257" s="177">
        <v>0</v>
      </c>
      <c r="H257" s="177">
        <v>25</v>
      </c>
      <c r="I257" s="176" t="s">
        <v>12</v>
      </c>
      <c r="J257" s="177">
        <v>1.2</v>
      </c>
      <c r="K257" s="177">
        <v>5.51</v>
      </c>
    </row>
    <row r="258" spans="1:11">
      <c r="A258" s="176" t="s">
        <v>32</v>
      </c>
      <c r="B258" s="177">
        <v>470.6</v>
      </c>
      <c r="C258" s="178">
        <v>2</v>
      </c>
      <c r="D258" s="177">
        <v>5.1999999999999998E-2</v>
      </c>
      <c r="E258" s="177">
        <v>1E-3</v>
      </c>
      <c r="F258" s="177">
        <v>1000</v>
      </c>
      <c r="G258" s="177">
        <v>0</v>
      </c>
      <c r="H258" s="177">
        <v>25</v>
      </c>
      <c r="I258" s="176" t="s">
        <v>12</v>
      </c>
      <c r="J258" s="177">
        <v>1.2</v>
      </c>
      <c r="K258" s="177">
        <v>5.92</v>
      </c>
    </row>
    <row r="259" spans="1:11">
      <c r="A259" s="176" t="s">
        <v>32</v>
      </c>
      <c r="B259" s="177">
        <v>468.1</v>
      </c>
      <c r="C259" s="178">
        <v>2</v>
      </c>
      <c r="D259" s="177">
        <v>5.1999999999999998E-2</v>
      </c>
      <c r="E259" s="177">
        <v>1E-3</v>
      </c>
      <c r="F259" s="177">
        <v>1000</v>
      </c>
      <c r="G259" s="177">
        <v>0</v>
      </c>
      <c r="H259" s="177">
        <v>25</v>
      </c>
      <c r="I259" s="176" t="s">
        <v>12</v>
      </c>
      <c r="J259" s="177">
        <v>1.2</v>
      </c>
      <c r="K259" s="177">
        <v>6.11</v>
      </c>
    </row>
    <row r="260" spans="1:11">
      <c r="A260" s="176" t="s">
        <v>32</v>
      </c>
      <c r="B260" s="177">
        <v>467.5</v>
      </c>
      <c r="C260" s="178">
        <v>2</v>
      </c>
      <c r="D260" s="177">
        <v>5.1999999999999998E-2</v>
      </c>
      <c r="E260" s="177">
        <v>1E-3</v>
      </c>
      <c r="F260" s="177">
        <v>1000</v>
      </c>
      <c r="G260" s="177">
        <v>0</v>
      </c>
      <c r="H260" s="177">
        <v>25</v>
      </c>
      <c r="I260" s="176" t="s">
        <v>12</v>
      </c>
      <c r="J260" s="177">
        <v>1.2</v>
      </c>
      <c r="K260" s="177">
        <v>7.18</v>
      </c>
    </row>
    <row r="261" spans="1:11">
      <c r="A261" s="176" t="s">
        <v>32</v>
      </c>
      <c r="B261" s="177">
        <v>466.7</v>
      </c>
      <c r="C261" s="178">
        <v>2</v>
      </c>
      <c r="D261" s="177">
        <v>5.1999999999999998E-2</v>
      </c>
      <c r="E261" s="177">
        <v>1E-3</v>
      </c>
      <c r="F261" s="177">
        <v>1000</v>
      </c>
      <c r="G261" s="177">
        <v>0</v>
      </c>
      <c r="H261" s="177">
        <v>25</v>
      </c>
      <c r="I261" s="176" t="s">
        <v>12</v>
      </c>
      <c r="J261" s="177">
        <v>1.2</v>
      </c>
      <c r="K261" s="177">
        <v>7.33</v>
      </c>
    </row>
    <row r="262" spans="1:11">
      <c r="A262" s="176" t="s">
        <v>32</v>
      </c>
      <c r="B262" s="177">
        <v>468.3</v>
      </c>
      <c r="C262" s="178">
        <v>2</v>
      </c>
      <c r="D262" s="177">
        <v>5.1999999999999998E-2</v>
      </c>
      <c r="E262" s="177">
        <v>1E-3</v>
      </c>
      <c r="F262" s="177">
        <v>1000</v>
      </c>
      <c r="G262" s="177">
        <v>0</v>
      </c>
      <c r="H262" s="177">
        <v>25</v>
      </c>
      <c r="I262" s="176" t="s">
        <v>12</v>
      </c>
      <c r="J262" s="177">
        <v>1.2</v>
      </c>
      <c r="K262" s="177">
        <v>7.49</v>
      </c>
    </row>
    <row r="263" spans="1:11">
      <c r="A263" s="176" t="s">
        <v>32</v>
      </c>
      <c r="B263" s="177">
        <v>469.5</v>
      </c>
      <c r="C263" s="178">
        <v>2</v>
      </c>
      <c r="D263" s="177">
        <v>5.1999999999999998E-2</v>
      </c>
      <c r="E263" s="177">
        <v>1E-3</v>
      </c>
      <c r="F263" s="177">
        <v>1000</v>
      </c>
      <c r="G263" s="177">
        <v>0</v>
      </c>
      <c r="H263" s="177">
        <v>25</v>
      </c>
      <c r="I263" s="176" t="s">
        <v>12</v>
      </c>
      <c r="J263" s="177">
        <v>1.2</v>
      </c>
      <c r="K263" s="177">
        <v>7.62</v>
      </c>
    </row>
    <row r="264" spans="1:11">
      <c r="A264" s="176" t="s">
        <v>32</v>
      </c>
      <c r="B264" s="177">
        <v>468.9</v>
      </c>
      <c r="C264" s="178">
        <v>2</v>
      </c>
      <c r="D264" s="177">
        <v>5.1999999999999998E-2</v>
      </c>
      <c r="E264" s="177">
        <v>1E-3</v>
      </c>
      <c r="F264" s="177">
        <v>1000</v>
      </c>
      <c r="G264" s="177">
        <v>0</v>
      </c>
      <c r="H264" s="177">
        <v>25</v>
      </c>
      <c r="I264" s="176" t="s">
        <v>12</v>
      </c>
      <c r="J264" s="177">
        <v>1.2</v>
      </c>
      <c r="K264" s="177">
        <v>7.74</v>
      </c>
    </row>
    <row r="265" spans="1:11">
      <c r="A265" s="176" t="s">
        <v>32</v>
      </c>
      <c r="B265" s="177">
        <v>89.6</v>
      </c>
      <c r="C265" s="178">
        <v>2</v>
      </c>
      <c r="D265" s="177">
        <v>3.6999999999999998E-2</v>
      </c>
      <c r="E265" s="177">
        <v>1E-3</v>
      </c>
      <c r="F265" s="177">
        <v>1000</v>
      </c>
      <c r="G265" s="177">
        <v>0</v>
      </c>
      <c r="H265" s="177">
        <v>25</v>
      </c>
      <c r="I265" s="176" t="s">
        <v>12</v>
      </c>
      <c r="J265" s="177">
        <v>1.2</v>
      </c>
      <c r="K265" s="177">
        <v>4.8899999999999997</v>
      </c>
    </row>
    <row r="266" spans="1:11">
      <c r="A266" s="176" t="s">
        <v>32</v>
      </c>
      <c r="B266" s="177">
        <v>90.8</v>
      </c>
      <c r="C266" s="178">
        <v>2</v>
      </c>
      <c r="D266" s="177">
        <v>3.6999999999999998E-2</v>
      </c>
      <c r="E266" s="177">
        <v>1E-3</v>
      </c>
      <c r="F266" s="177">
        <v>1000</v>
      </c>
      <c r="G266" s="177">
        <v>0</v>
      </c>
      <c r="H266" s="177">
        <v>25</v>
      </c>
      <c r="I266" s="176" t="s">
        <v>12</v>
      </c>
      <c r="J266" s="177">
        <v>1.2</v>
      </c>
      <c r="K266" s="177">
        <v>5.0199999999999996</v>
      </c>
    </row>
    <row r="267" spans="1:11">
      <c r="A267" s="176" t="s">
        <v>32</v>
      </c>
      <c r="B267" s="177">
        <v>140.80000000000001</v>
      </c>
      <c r="C267" s="178">
        <v>2</v>
      </c>
      <c r="D267" s="177">
        <v>3.6999999999999998E-2</v>
      </c>
      <c r="E267" s="177">
        <v>1E-3</v>
      </c>
      <c r="F267" s="177">
        <v>1000</v>
      </c>
      <c r="G267" s="177">
        <v>0</v>
      </c>
      <c r="H267" s="177">
        <v>25</v>
      </c>
      <c r="I267" s="176" t="s">
        <v>12</v>
      </c>
      <c r="J267" s="177">
        <v>1.2</v>
      </c>
      <c r="K267" s="177">
        <v>5.41</v>
      </c>
    </row>
    <row r="268" spans="1:11">
      <c r="A268" s="176" t="s">
        <v>32</v>
      </c>
      <c r="B268" s="177">
        <v>138.6</v>
      </c>
      <c r="C268" s="178">
        <v>2</v>
      </c>
      <c r="D268" s="177">
        <v>3.6999999999999998E-2</v>
      </c>
      <c r="E268" s="177">
        <v>1E-3</v>
      </c>
      <c r="F268" s="177">
        <v>1000</v>
      </c>
      <c r="G268" s="177">
        <v>0</v>
      </c>
      <c r="H268" s="177">
        <v>25</v>
      </c>
      <c r="I268" s="176" t="s">
        <v>12</v>
      </c>
      <c r="J268" s="177">
        <v>1.2</v>
      </c>
      <c r="K268" s="177">
        <v>5.54</v>
      </c>
    </row>
    <row r="269" spans="1:11">
      <c r="A269" s="176" t="s">
        <v>32</v>
      </c>
      <c r="B269" s="177">
        <v>187.1</v>
      </c>
      <c r="C269" s="178">
        <v>2</v>
      </c>
      <c r="D269" s="177">
        <v>3.6999999999999998E-2</v>
      </c>
      <c r="E269" s="177">
        <v>1E-3</v>
      </c>
      <c r="F269" s="177">
        <v>1000</v>
      </c>
      <c r="G269" s="177">
        <v>0</v>
      </c>
      <c r="H269" s="177">
        <v>25</v>
      </c>
      <c r="I269" s="176" t="s">
        <v>12</v>
      </c>
      <c r="J269" s="177">
        <v>1.2</v>
      </c>
      <c r="K269" s="177">
        <v>5.71</v>
      </c>
    </row>
    <row r="270" spans="1:11">
      <c r="A270" s="176" t="s">
        <v>32</v>
      </c>
      <c r="B270" s="177">
        <v>189.9</v>
      </c>
      <c r="C270" s="178">
        <v>2</v>
      </c>
      <c r="D270" s="177">
        <v>3.6999999999999998E-2</v>
      </c>
      <c r="E270" s="177">
        <v>1E-3</v>
      </c>
      <c r="F270" s="177">
        <v>1000</v>
      </c>
      <c r="G270" s="177">
        <v>0</v>
      </c>
      <c r="H270" s="177">
        <v>25</v>
      </c>
      <c r="I270" s="176" t="s">
        <v>12</v>
      </c>
      <c r="J270" s="177">
        <v>1.2</v>
      </c>
      <c r="K270" s="177">
        <v>6.49</v>
      </c>
    </row>
    <row r="271" spans="1:11">
      <c r="A271" s="176" t="s">
        <v>32</v>
      </c>
      <c r="B271" s="177">
        <v>235.3</v>
      </c>
      <c r="C271" s="178">
        <v>2</v>
      </c>
      <c r="D271" s="177">
        <v>3.6999999999999998E-2</v>
      </c>
      <c r="E271" s="177">
        <v>1E-3</v>
      </c>
      <c r="F271" s="177">
        <v>1000</v>
      </c>
      <c r="G271" s="177">
        <v>0</v>
      </c>
      <c r="H271" s="177">
        <v>25</v>
      </c>
      <c r="I271" s="176" t="s">
        <v>12</v>
      </c>
      <c r="J271" s="177">
        <v>1.2</v>
      </c>
      <c r="K271" s="177">
        <v>5.82</v>
      </c>
    </row>
    <row r="272" spans="1:11">
      <c r="A272" s="176" t="s">
        <v>32</v>
      </c>
      <c r="B272" s="177">
        <v>236.5</v>
      </c>
      <c r="C272" s="178">
        <v>2</v>
      </c>
      <c r="D272" s="177">
        <v>3.6999999999999998E-2</v>
      </c>
      <c r="E272" s="177">
        <v>1E-3</v>
      </c>
      <c r="F272" s="177">
        <v>1000</v>
      </c>
      <c r="G272" s="177">
        <v>0</v>
      </c>
      <c r="H272" s="177">
        <v>25</v>
      </c>
      <c r="I272" s="176" t="s">
        <v>12</v>
      </c>
      <c r="J272" s="177">
        <v>1.2</v>
      </c>
      <c r="K272" s="177">
        <v>5.99</v>
      </c>
    </row>
    <row r="273" spans="1:11">
      <c r="A273" s="176" t="s">
        <v>32</v>
      </c>
      <c r="B273" s="177">
        <v>234.1</v>
      </c>
      <c r="C273" s="178">
        <v>2</v>
      </c>
      <c r="D273" s="177">
        <v>3.6999999999999998E-2</v>
      </c>
      <c r="E273" s="177">
        <v>1E-3</v>
      </c>
      <c r="F273" s="177">
        <v>1000</v>
      </c>
      <c r="G273" s="177">
        <v>0</v>
      </c>
      <c r="H273" s="177">
        <v>25</v>
      </c>
      <c r="I273" s="176" t="s">
        <v>12</v>
      </c>
      <c r="J273" s="177">
        <v>1.2</v>
      </c>
      <c r="K273" s="177">
        <v>6.08</v>
      </c>
    </row>
    <row r="274" spans="1:11">
      <c r="A274" s="176" t="s">
        <v>32</v>
      </c>
      <c r="B274" s="177">
        <v>233.5</v>
      </c>
      <c r="C274" s="178">
        <v>2</v>
      </c>
      <c r="D274" s="177">
        <v>3.6999999999999998E-2</v>
      </c>
      <c r="E274" s="177">
        <v>1E-3</v>
      </c>
      <c r="F274" s="177">
        <v>1000</v>
      </c>
      <c r="G274" s="177">
        <v>0</v>
      </c>
      <c r="H274" s="177">
        <v>25</v>
      </c>
      <c r="I274" s="176" t="s">
        <v>12</v>
      </c>
      <c r="J274" s="177">
        <v>1.2</v>
      </c>
      <c r="K274" s="177">
        <v>6.19</v>
      </c>
    </row>
    <row r="275" spans="1:11">
      <c r="A275" s="176" t="s">
        <v>32</v>
      </c>
      <c r="B275" s="177">
        <v>233</v>
      </c>
      <c r="C275" s="178">
        <v>2</v>
      </c>
      <c r="D275" s="177">
        <v>3.6999999999999998E-2</v>
      </c>
      <c r="E275" s="177">
        <v>1E-3</v>
      </c>
      <c r="F275" s="177">
        <v>1000</v>
      </c>
      <c r="G275" s="177">
        <v>0</v>
      </c>
      <c r="H275" s="177">
        <v>25</v>
      </c>
      <c r="I275" s="176" t="s">
        <v>12</v>
      </c>
      <c r="J275" s="177">
        <v>1.2</v>
      </c>
      <c r="K275" s="177">
        <v>6.75</v>
      </c>
    </row>
    <row r="276" spans="1:11">
      <c r="A276" s="176" t="s">
        <v>32</v>
      </c>
      <c r="B276" s="177">
        <v>234.2</v>
      </c>
      <c r="C276" s="178">
        <v>2</v>
      </c>
      <c r="D276" s="177">
        <v>3.6999999999999998E-2</v>
      </c>
      <c r="E276" s="177">
        <v>1E-3</v>
      </c>
      <c r="F276" s="177">
        <v>1000</v>
      </c>
      <c r="G276" s="177">
        <v>0</v>
      </c>
      <c r="H276" s="177">
        <v>25</v>
      </c>
      <c r="I276" s="176" t="s">
        <v>12</v>
      </c>
      <c r="J276" s="177">
        <v>1.2</v>
      </c>
      <c r="K276" s="177">
        <v>6.87</v>
      </c>
    </row>
    <row r="277" spans="1:11">
      <c r="A277" s="176" t="s">
        <v>32</v>
      </c>
      <c r="B277" s="177">
        <v>234.8</v>
      </c>
      <c r="C277" s="178">
        <v>2</v>
      </c>
      <c r="D277" s="177">
        <v>3.6999999999999998E-2</v>
      </c>
      <c r="E277" s="177">
        <v>1E-3</v>
      </c>
      <c r="F277" s="177">
        <v>1000</v>
      </c>
      <c r="G277" s="177">
        <v>0</v>
      </c>
      <c r="H277" s="177">
        <v>25</v>
      </c>
      <c r="I277" s="176" t="s">
        <v>12</v>
      </c>
      <c r="J277" s="177">
        <v>1.2</v>
      </c>
      <c r="K277" s="177">
        <v>7.01</v>
      </c>
    </row>
    <row r="278" spans="1:11">
      <c r="A278" s="176" t="s">
        <v>32</v>
      </c>
      <c r="B278" s="177">
        <v>235.4</v>
      </c>
      <c r="C278" s="178">
        <v>2</v>
      </c>
      <c r="D278" s="177">
        <v>3.6999999999999998E-2</v>
      </c>
      <c r="E278" s="177">
        <v>1E-3</v>
      </c>
      <c r="F278" s="177">
        <v>1000</v>
      </c>
      <c r="G278" s="177">
        <v>0</v>
      </c>
      <c r="H278" s="177">
        <v>25</v>
      </c>
      <c r="I278" s="176" t="s">
        <v>12</v>
      </c>
      <c r="J278" s="177">
        <v>1.2</v>
      </c>
      <c r="K278" s="177">
        <v>7.11</v>
      </c>
    </row>
    <row r="279" spans="1:11">
      <c r="A279" s="176" t="s">
        <v>32</v>
      </c>
      <c r="B279" s="177">
        <v>282</v>
      </c>
      <c r="C279" s="178">
        <v>2</v>
      </c>
      <c r="D279" s="177">
        <v>3.6999999999999998E-2</v>
      </c>
      <c r="E279" s="177">
        <v>1E-3</v>
      </c>
      <c r="F279" s="177">
        <v>1000</v>
      </c>
      <c r="G279" s="177">
        <v>0</v>
      </c>
      <c r="H279" s="177">
        <v>25</v>
      </c>
      <c r="I279" s="176" t="s">
        <v>12</v>
      </c>
      <c r="J279" s="177">
        <v>1.2</v>
      </c>
      <c r="K279" s="177">
        <v>6.2</v>
      </c>
    </row>
    <row r="280" spans="1:11">
      <c r="A280" s="176" t="s">
        <v>32</v>
      </c>
      <c r="B280" s="177">
        <v>280</v>
      </c>
      <c r="C280" s="178">
        <v>2</v>
      </c>
      <c r="D280" s="177">
        <v>3.6999999999999998E-2</v>
      </c>
      <c r="E280" s="177">
        <v>1E-3</v>
      </c>
      <c r="F280" s="177">
        <v>1000</v>
      </c>
      <c r="G280" s="177">
        <v>0</v>
      </c>
      <c r="H280" s="177">
        <v>25</v>
      </c>
      <c r="I280" s="176" t="s">
        <v>12</v>
      </c>
      <c r="J280" s="177">
        <v>1.2</v>
      </c>
      <c r="K280" s="177">
        <v>6.4</v>
      </c>
    </row>
    <row r="281" spans="1:11">
      <c r="A281" s="176" t="s">
        <v>32</v>
      </c>
      <c r="B281" s="177">
        <v>280</v>
      </c>
      <c r="C281" s="178">
        <v>2</v>
      </c>
      <c r="D281" s="177">
        <v>3.6999999999999998E-2</v>
      </c>
      <c r="E281" s="177">
        <v>1E-3</v>
      </c>
      <c r="F281" s="177">
        <v>1000</v>
      </c>
      <c r="G281" s="177">
        <v>0</v>
      </c>
      <c r="H281" s="177">
        <v>25</v>
      </c>
      <c r="I281" s="176" t="s">
        <v>12</v>
      </c>
      <c r="J281" s="177">
        <v>1.2</v>
      </c>
      <c r="K281" s="177">
        <v>6.51</v>
      </c>
    </row>
    <row r="282" spans="1:11">
      <c r="A282" s="176" t="s">
        <v>32</v>
      </c>
      <c r="B282" s="177">
        <v>278.89999999999998</v>
      </c>
      <c r="C282" s="178">
        <v>2</v>
      </c>
      <c r="D282" s="177">
        <v>3.6999999999999998E-2</v>
      </c>
      <c r="E282" s="177">
        <v>1E-3</v>
      </c>
      <c r="F282" s="177">
        <v>1000</v>
      </c>
      <c r="G282" s="177">
        <v>0</v>
      </c>
      <c r="H282" s="177">
        <v>25</v>
      </c>
      <c r="I282" s="176" t="s">
        <v>12</v>
      </c>
      <c r="J282" s="177">
        <v>1.2</v>
      </c>
      <c r="K282" s="177">
        <v>7.27</v>
      </c>
    </row>
    <row r="283" spans="1:11">
      <c r="A283" s="176" t="s">
        <v>32</v>
      </c>
      <c r="B283" s="177">
        <v>278.89999999999998</v>
      </c>
      <c r="C283" s="178">
        <v>2</v>
      </c>
      <c r="D283" s="177">
        <v>3.6999999999999998E-2</v>
      </c>
      <c r="E283" s="177">
        <v>1E-3</v>
      </c>
      <c r="F283" s="177">
        <v>1000</v>
      </c>
      <c r="G283" s="177">
        <v>0</v>
      </c>
      <c r="H283" s="177">
        <v>25</v>
      </c>
      <c r="I283" s="176" t="s">
        <v>12</v>
      </c>
      <c r="J283" s="177">
        <v>1.2</v>
      </c>
      <c r="K283" s="177">
        <v>7.39</v>
      </c>
    </row>
    <row r="284" spans="1:11">
      <c r="A284" s="176" t="s">
        <v>32</v>
      </c>
      <c r="B284" s="177">
        <v>279.3</v>
      </c>
      <c r="C284" s="178">
        <v>2</v>
      </c>
      <c r="D284" s="177">
        <v>3.6999999999999998E-2</v>
      </c>
      <c r="E284" s="177">
        <v>1E-3</v>
      </c>
      <c r="F284" s="177">
        <v>1000</v>
      </c>
      <c r="G284" s="177">
        <v>0</v>
      </c>
      <c r="H284" s="177">
        <v>25</v>
      </c>
      <c r="I284" s="176" t="s">
        <v>12</v>
      </c>
      <c r="J284" s="177">
        <v>1.2</v>
      </c>
      <c r="K284" s="177">
        <v>7.53</v>
      </c>
    </row>
    <row r="285" spans="1:11">
      <c r="A285" s="176" t="s">
        <v>32</v>
      </c>
      <c r="B285" s="177">
        <v>324.60000000000002</v>
      </c>
      <c r="C285" s="178">
        <v>2</v>
      </c>
      <c r="D285" s="177">
        <v>3.6999999999999998E-2</v>
      </c>
      <c r="E285" s="177">
        <v>1E-3</v>
      </c>
      <c r="F285" s="177">
        <v>1000</v>
      </c>
      <c r="G285" s="177">
        <v>0</v>
      </c>
      <c r="H285" s="177">
        <v>25</v>
      </c>
      <c r="I285" s="176" t="s">
        <v>12</v>
      </c>
      <c r="J285" s="177">
        <v>1.2</v>
      </c>
      <c r="K285" s="177">
        <v>5.83</v>
      </c>
    </row>
    <row r="286" spans="1:11">
      <c r="A286" s="176" t="s">
        <v>32</v>
      </c>
      <c r="B286" s="177">
        <v>325.7</v>
      </c>
      <c r="C286" s="178">
        <v>2</v>
      </c>
      <c r="D286" s="177">
        <v>3.6999999999999998E-2</v>
      </c>
      <c r="E286" s="177">
        <v>1E-3</v>
      </c>
      <c r="F286" s="177">
        <v>1000</v>
      </c>
      <c r="G286" s="177">
        <v>0</v>
      </c>
      <c r="H286" s="177">
        <v>25</v>
      </c>
      <c r="I286" s="176" t="s">
        <v>12</v>
      </c>
      <c r="J286" s="177">
        <v>1.2</v>
      </c>
      <c r="K286" s="177">
        <v>6.1</v>
      </c>
    </row>
    <row r="287" spans="1:11">
      <c r="A287" s="176" t="s">
        <v>32</v>
      </c>
      <c r="B287" s="177">
        <v>326.39999999999998</v>
      </c>
      <c r="C287" s="178">
        <v>2</v>
      </c>
      <c r="D287" s="177">
        <v>3.6999999999999998E-2</v>
      </c>
      <c r="E287" s="177">
        <v>1E-3</v>
      </c>
      <c r="F287" s="177">
        <v>1000</v>
      </c>
      <c r="G287" s="177">
        <v>0</v>
      </c>
      <c r="H287" s="177">
        <v>25</v>
      </c>
      <c r="I287" s="176" t="s">
        <v>12</v>
      </c>
      <c r="J287" s="177">
        <v>1.2</v>
      </c>
      <c r="K287" s="177">
        <v>6.21</v>
      </c>
    </row>
    <row r="288" spans="1:11">
      <c r="A288" s="176" t="s">
        <v>32</v>
      </c>
      <c r="B288" s="177">
        <v>328.1</v>
      </c>
      <c r="C288" s="178">
        <v>2</v>
      </c>
      <c r="D288" s="177">
        <v>3.6999999999999998E-2</v>
      </c>
      <c r="E288" s="177">
        <v>1E-3</v>
      </c>
      <c r="F288" s="177">
        <v>1000</v>
      </c>
      <c r="G288" s="177">
        <v>0</v>
      </c>
      <c r="H288" s="177">
        <v>25</v>
      </c>
      <c r="I288" s="176" t="s">
        <v>12</v>
      </c>
      <c r="J288" s="177">
        <v>1.2</v>
      </c>
      <c r="K288" s="177">
        <v>7.3</v>
      </c>
    </row>
    <row r="289" spans="1:11">
      <c r="A289" s="176" t="s">
        <v>32</v>
      </c>
      <c r="B289" s="177">
        <v>326.8</v>
      </c>
      <c r="C289" s="178">
        <v>2</v>
      </c>
      <c r="D289" s="177">
        <v>3.6999999999999998E-2</v>
      </c>
      <c r="E289" s="177">
        <v>1E-3</v>
      </c>
      <c r="F289" s="177">
        <v>1000</v>
      </c>
      <c r="G289" s="177">
        <v>0</v>
      </c>
      <c r="H289" s="177">
        <v>25</v>
      </c>
      <c r="I289" s="176" t="s">
        <v>12</v>
      </c>
      <c r="J289" s="177">
        <v>1.2</v>
      </c>
      <c r="K289" s="177">
        <v>7.44</v>
      </c>
    </row>
    <row r="290" spans="1:11">
      <c r="A290" s="176" t="s">
        <v>32</v>
      </c>
      <c r="B290" s="177">
        <v>328.5</v>
      </c>
      <c r="C290" s="178">
        <v>2</v>
      </c>
      <c r="D290" s="177">
        <v>3.6999999999999998E-2</v>
      </c>
      <c r="E290" s="177">
        <v>1E-3</v>
      </c>
      <c r="F290" s="177">
        <v>1000</v>
      </c>
      <c r="G290" s="177">
        <v>0</v>
      </c>
      <c r="H290" s="177">
        <v>25</v>
      </c>
      <c r="I290" s="176" t="s">
        <v>12</v>
      </c>
      <c r="J290" s="177">
        <v>1.2</v>
      </c>
      <c r="K290" s="177">
        <v>7.68</v>
      </c>
    </row>
    <row r="291" spans="1:11">
      <c r="A291" s="179" t="s">
        <v>32</v>
      </c>
      <c r="B291" s="179">
        <v>95.141716583666707</v>
      </c>
      <c r="C291" s="180">
        <v>2</v>
      </c>
      <c r="D291" s="179">
        <v>7.1999999999999995E-2</v>
      </c>
      <c r="E291" s="181"/>
      <c r="F291" s="181"/>
      <c r="G291" s="182"/>
      <c r="H291" s="177"/>
      <c r="I291" s="183" t="s">
        <v>12</v>
      </c>
      <c r="J291" s="177"/>
      <c r="K291" s="184"/>
    </row>
    <row r="292" spans="1:11">
      <c r="A292" s="179" t="s">
        <v>32</v>
      </c>
      <c r="B292" s="179">
        <v>141.700405952518</v>
      </c>
      <c r="C292" s="180">
        <v>2</v>
      </c>
      <c r="D292" s="179">
        <v>7.1999999999999995E-2</v>
      </c>
      <c r="E292" s="181"/>
      <c r="F292" s="181"/>
      <c r="G292" s="182"/>
      <c r="H292" s="177"/>
      <c r="I292" s="183" t="s">
        <v>12</v>
      </c>
      <c r="J292" s="177"/>
      <c r="K292" s="184"/>
    </row>
    <row r="293" spans="1:11">
      <c r="A293" s="179" t="s">
        <v>32</v>
      </c>
      <c r="B293" s="179">
        <v>190.28343316733299</v>
      </c>
      <c r="C293" s="180">
        <v>2</v>
      </c>
      <c r="D293" s="179">
        <v>7.1999999999999995E-2</v>
      </c>
      <c r="E293" s="181"/>
      <c r="F293" s="181"/>
      <c r="G293" s="182"/>
      <c r="H293" s="177"/>
      <c r="I293" s="183" t="s">
        <v>12</v>
      </c>
      <c r="J293" s="177"/>
      <c r="K293" s="184"/>
    </row>
    <row r="294" spans="1:11">
      <c r="A294" s="179" t="s">
        <v>32</v>
      </c>
      <c r="B294" s="179">
        <v>236.842122536185</v>
      </c>
      <c r="C294" s="180">
        <v>2</v>
      </c>
      <c r="D294" s="179">
        <v>7.1999999999999995E-2</v>
      </c>
      <c r="E294" s="181"/>
      <c r="F294" s="181"/>
      <c r="G294" s="182"/>
      <c r="H294" s="177"/>
      <c r="I294" s="183" t="s">
        <v>12</v>
      </c>
      <c r="J294" s="177"/>
      <c r="K294" s="184"/>
    </row>
    <row r="295" spans="1:11">
      <c r="A295" s="179" t="s">
        <v>32</v>
      </c>
      <c r="B295" s="179">
        <v>283.40096634622199</v>
      </c>
      <c r="C295" s="180">
        <v>2</v>
      </c>
      <c r="D295" s="179">
        <v>7.1999999999999995E-2</v>
      </c>
      <c r="E295" s="181"/>
      <c r="F295" s="181"/>
      <c r="G295" s="182"/>
      <c r="H295" s="177"/>
      <c r="I295" s="183" t="s">
        <v>12</v>
      </c>
      <c r="J295" s="177"/>
      <c r="K295" s="184"/>
    </row>
    <row r="296" spans="1:11">
      <c r="A296" s="179" t="s">
        <v>32</v>
      </c>
      <c r="B296" s="179">
        <v>331.98376189925801</v>
      </c>
      <c r="C296" s="180">
        <v>2</v>
      </c>
      <c r="D296" s="179">
        <v>7.1999999999999995E-2</v>
      </c>
      <c r="E296" s="181"/>
      <c r="F296" s="181"/>
      <c r="G296" s="182"/>
      <c r="H296" s="177"/>
      <c r="I296" s="183" t="s">
        <v>12</v>
      </c>
      <c r="J296" s="177"/>
      <c r="K296" s="184"/>
    </row>
    <row r="297" spans="1:11">
      <c r="A297" s="179" t="s">
        <v>32</v>
      </c>
      <c r="B297" s="179">
        <v>374.49400723796299</v>
      </c>
      <c r="C297" s="180">
        <v>2</v>
      </c>
      <c r="D297" s="179">
        <v>7.1999999999999995E-2</v>
      </c>
      <c r="E297" s="181"/>
      <c r="F297" s="181"/>
      <c r="G297" s="182"/>
      <c r="H297" s="177"/>
      <c r="I297" s="183" t="s">
        <v>12</v>
      </c>
      <c r="J297" s="177"/>
      <c r="K297" s="184"/>
    </row>
    <row r="298" spans="1:11">
      <c r="A298" s="179" t="s">
        <v>32</v>
      </c>
      <c r="B298" s="179">
        <v>425.10129507814798</v>
      </c>
      <c r="C298" s="180">
        <v>2</v>
      </c>
      <c r="D298" s="179">
        <v>7.1999999999999995E-2</v>
      </c>
      <c r="E298" s="181"/>
      <c r="F298" s="181"/>
      <c r="G298" s="182"/>
      <c r="H298" s="177"/>
      <c r="I298" s="183" t="s">
        <v>12</v>
      </c>
      <c r="J298" s="177"/>
      <c r="K298" s="184"/>
    </row>
    <row r="299" spans="1:11">
      <c r="A299" s="179" t="s">
        <v>32</v>
      </c>
      <c r="B299" s="179">
        <v>423.07688001159198</v>
      </c>
      <c r="C299" s="180">
        <v>2</v>
      </c>
      <c r="D299" s="179">
        <v>7.1999999999999995E-2</v>
      </c>
      <c r="E299" s="181"/>
      <c r="F299" s="181"/>
      <c r="G299" s="182"/>
      <c r="H299" s="177"/>
      <c r="I299" s="183" t="s">
        <v>12</v>
      </c>
      <c r="J299" s="177"/>
      <c r="K299" s="184"/>
    </row>
    <row r="300" spans="1:11">
      <c r="A300" s="179" t="s">
        <v>32</v>
      </c>
      <c r="B300" s="179">
        <v>475.70858291833298</v>
      </c>
      <c r="C300" s="180">
        <v>2</v>
      </c>
      <c r="D300" s="179">
        <v>7.1999999999999995E-2</v>
      </c>
      <c r="E300" s="181"/>
      <c r="F300" s="181"/>
      <c r="G300" s="182"/>
      <c r="H300" s="177"/>
      <c r="I300" s="183" t="s">
        <v>12</v>
      </c>
      <c r="J300" s="177"/>
      <c r="K300" s="184"/>
    </row>
    <row r="301" spans="1:11">
      <c r="A301" s="179" t="s">
        <v>32</v>
      </c>
      <c r="B301" s="179">
        <v>471.65990722640697</v>
      </c>
      <c r="C301" s="180">
        <v>2</v>
      </c>
      <c r="D301" s="179">
        <v>7.1999999999999995E-2</v>
      </c>
      <c r="E301" s="181"/>
      <c r="F301" s="181"/>
      <c r="G301" s="182"/>
      <c r="H301" s="177"/>
      <c r="I301" s="183" t="s">
        <v>12</v>
      </c>
      <c r="J301" s="177"/>
      <c r="K301" s="184"/>
    </row>
    <row r="302" spans="1:11">
      <c r="A302" s="179" t="s">
        <v>32</v>
      </c>
      <c r="B302" s="179">
        <v>518.21867381585196</v>
      </c>
      <c r="C302" s="180">
        <v>2</v>
      </c>
      <c r="D302" s="179">
        <v>7.1999999999999995E-2</v>
      </c>
      <c r="E302" s="181"/>
      <c r="F302" s="181"/>
      <c r="G302" s="182"/>
      <c r="H302" s="177"/>
      <c r="I302" s="183" t="s">
        <v>12</v>
      </c>
      <c r="J302" s="177"/>
      <c r="K302" s="184"/>
    </row>
    <row r="303" spans="1:11">
      <c r="A303" s="179" t="s">
        <v>32</v>
      </c>
      <c r="B303" s="179">
        <v>566.801701030667</v>
      </c>
      <c r="C303" s="180">
        <v>2</v>
      </c>
      <c r="D303" s="179">
        <v>7.1999999999999995E-2</v>
      </c>
      <c r="E303" s="181"/>
      <c r="F303" s="181"/>
      <c r="G303" s="182"/>
      <c r="H303" s="177"/>
      <c r="I303" s="183" t="s">
        <v>12</v>
      </c>
      <c r="J303" s="177"/>
      <c r="K303" s="184"/>
    </row>
    <row r="304" spans="1:11">
      <c r="A304" s="179" t="s">
        <v>32</v>
      </c>
      <c r="B304" s="179">
        <v>615.384573804296</v>
      </c>
      <c r="C304" s="180">
        <v>2</v>
      </c>
      <c r="D304" s="179">
        <v>7.1999999999999995E-2</v>
      </c>
      <c r="E304" s="181"/>
      <c r="F304" s="181"/>
      <c r="G304" s="182"/>
      <c r="H304" s="177"/>
      <c r="I304" s="183" t="s">
        <v>12</v>
      </c>
      <c r="J304" s="177"/>
      <c r="K304" s="184"/>
    </row>
    <row r="305" spans="1:11">
      <c r="A305" s="179" t="s">
        <v>32</v>
      </c>
      <c r="B305" s="179">
        <v>613.36031317892503</v>
      </c>
      <c r="C305" s="180">
        <v>2</v>
      </c>
      <c r="D305" s="179">
        <v>7.1999999999999995E-2</v>
      </c>
      <c r="E305" s="181"/>
      <c r="F305" s="181"/>
      <c r="G305" s="182"/>
      <c r="H305" s="177"/>
      <c r="I305" s="183" t="s">
        <v>12</v>
      </c>
      <c r="J305" s="177"/>
      <c r="K305" s="184"/>
    </row>
    <row r="306" spans="1:11">
      <c r="A306" s="179" t="s">
        <v>32</v>
      </c>
      <c r="B306" s="179">
        <v>661.94334040000001</v>
      </c>
      <c r="C306" s="180">
        <v>2</v>
      </c>
      <c r="D306" s="179">
        <v>7.1999999999999995E-2</v>
      </c>
      <c r="E306" s="181"/>
      <c r="F306" s="181"/>
      <c r="G306" s="182"/>
      <c r="H306" s="177"/>
      <c r="I306" s="183" t="s">
        <v>12</v>
      </c>
      <c r="J306" s="177"/>
      <c r="K306" s="184"/>
    </row>
    <row r="307" spans="1:11">
      <c r="A307" s="179" t="s">
        <v>32</v>
      </c>
      <c r="B307" s="179">
        <v>755.06071913144399</v>
      </c>
      <c r="C307" s="180">
        <v>2</v>
      </c>
      <c r="D307" s="179">
        <v>7.1999999999999995E-2</v>
      </c>
      <c r="E307" s="181"/>
      <c r="F307" s="181"/>
      <c r="G307" s="182"/>
      <c r="H307" s="177"/>
      <c r="I307" s="183" t="s">
        <v>12</v>
      </c>
      <c r="J307" s="177"/>
      <c r="K307" s="184"/>
    </row>
    <row r="308" spans="1:11">
      <c r="A308" s="179" t="s">
        <v>32</v>
      </c>
      <c r="B308" s="179">
        <v>751.01219788070296</v>
      </c>
      <c r="C308" s="180">
        <v>2</v>
      </c>
      <c r="D308" s="179">
        <v>7.1999999999999995E-2</v>
      </c>
      <c r="E308" s="181"/>
      <c r="F308" s="181"/>
      <c r="G308" s="182"/>
      <c r="H308" s="177"/>
      <c r="I308" s="183" t="s">
        <v>12</v>
      </c>
      <c r="J308" s="177"/>
      <c r="K308" s="184"/>
    </row>
    <row r="309" spans="1:11">
      <c r="A309" s="179" t="s">
        <v>32</v>
      </c>
      <c r="B309" s="179">
        <v>803.64374634625904</v>
      </c>
      <c r="C309" s="180">
        <v>2</v>
      </c>
      <c r="D309" s="179">
        <v>7.1999999999999995E-2</v>
      </c>
      <c r="E309" s="181"/>
      <c r="F309" s="181"/>
      <c r="G309" s="182"/>
      <c r="H309" s="177"/>
      <c r="I309" s="183" t="s">
        <v>12</v>
      </c>
      <c r="J309" s="177"/>
      <c r="K309" s="184"/>
    </row>
    <row r="310" spans="1:11">
      <c r="A310" s="179" t="s">
        <v>32</v>
      </c>
      <c r="B310" s="179">
        <v>801.61948572088897</v>
      </c>
      <c r="C310" s="180">
        <v>2</v>
      </c>
      <c r="D310" s="179">
        <v>7.1999999999999995E-2</v>
      </c>
      <c r="E310" s="181"/>
      <c r="F310" s="181"/>
      <c r="G310" s="182"/>
      <c r="H310" s="177"/>
      <c r="I310" s="183" t="s">
        <v>12</v>
      </c>
      <c r="J310" s="177"/>
      <c r="K310" s="184"/>
    </row>
    <row r="311" spans="1:11">
      <c r="A311" s="179" t="s">
        <v>32</v>
      </c>
      <c r="B311" s="179">
        <v>805.66800697162898</v>
      </c>
      <c r="C311" s="180">
        <v>2</v>
      </c>
      <c r="D311" s="179">
        <v>7.1999999999999995E-2</v>
      </c>
      <c r="E311" s="181"/>
      <c r="F311" s="181"/>
      <c r="G311" s="182"/>
      <c r="H311" s="177"/>
      <c r="I311" s="183" t="s">
        <v>12</v>
      </c>
      <c r="J311" s="177"/>
      <c r="K311" s="184"/>
    </row>
    <row r="312" spans="1:11">
      <c r="A312" s="179" t="s">
        <v>32</v>
      </c>
      <c r="B312" s="179">
        <v>848.178097869147</v>
      </c>
      <c r="C312" s="180">
        <v>2</v>
      </c>
      <c r="D312" s="179">
        <v>7.1999999999999995E-2</v>
      </c>
      <c r="E312" s="181"/>
      <c r="F312" s="181"/>
      <c r="G312" s="182"/>
      <c r="H312" s="177"/>
      <c r="I312" s="183" t="s">
        <v>12</v>
      </c>
      <c r="J312" s="177"/>
      <c r="K312" s="184"/>
    </row>
    <row r="313" spans="1:11">
      <c r="A313" s="179" t="s">
        <v>32</v>
      </c>
      <c r="B313" s="179">
        <v>850.20251293570402</v>
      </c>
      <c r="C313" s="180">
        <v>2</v>
      </c>
      <c r="D313" s="179">
        <v>7.1999999999999995E-2</v>
      </c>
      <c r="E313" s="181"/>
      <c r="F313" s="181"/>
      <c r="G313" s="182"/>
      <c r="H313" s="177"/>
      <c r="I313" s="183" t="s">
        <v>12</v>
      </c>
      <c r="J313" s="177"/>
      <c r="K313" s="184"/>
    </row>
    <row r="314" spans="1:11">
      <c r="A314" s="179" t="s">
        <v>32</v>
      </c>
      <c r="B314" s="179">
        <v>894.73686445859198</v>
      </c>
      <c r="C314" s="180">
        <v>2</v>
      </c>
      <c r="D314" s="179">
        <v>7.1999999999999995E-2</v>
      </c>
      <c r="E314" s="181"/>
      <c r="F314" s="181"/>
      <c r="G314" s="182"/>
      <c r="H314" s="177"/>
      <c r="I314" s="183" t="s">
        <v>12</v>
      </c>
      <c r="J314" s="177"/>
      <c r="K314" s="184"/>
    </row>
    <row r="315" spans="1:11">
      <c r="A315" s="179" t="s">
        <v>32</v>
      </c>
      <c r="B315" s="179">
        <v>898.78538570000001</v>
      </c>
      <c r="C315" s="180">
        <v>2</v>
      </c>
      <c r="D315" s="179">
        <v>7.1999999999999995E-2</v>
      </c>
      <c r="E315" s="181"/>
      <c r="F315" s="181"/>
      <c r="G315" s="182"/>
      <c r="H315" s="177"/>
      <c r="I315" s="183" t="s">
        <v>12</v>
      </c>
      <c r="J315" s="177"/>
      <c r="K315" s="184"/>
    </row>
    <row r="316" spans="1:11">
      <c r="A316" s="179" t="s">
        <v>32</v>
      </c>
      <c r="B316" s="179">
        <v>896.76112508396204</v>
      </c>
      <c r="C316" s="180">
        <v>2</v>
      </c>
      <c r="D316" s="179">
        <v>7.1999999999999995E-2</v>
      </c>
      <c r="E316" s="181"/>
      <c r="F316" s="181"/>
      <c r="G316" s="182"/>
      <c r="H316" s="177"/>
      <c r="I316" s="183" t="s">
        <v>12</v>
      </c>
      <c r="J316" s="177"/>
      <c r="K316" s="184"/>
    </row>
    <row r="317" spans="1:11">
      <c r="A317" s="179" t="s">
        <v>32</v>
      </c>
      <c r="B317" s="179">
        <v>945.34415229877698</v>
      </c>
      <c r="C317" s="180">
        <v>2</v>
      </c>
      <c r="D317" s="179">
        <v>7.1999999999999995E-2</v>
      </c>
      <c r="E317" s="181"/>
      <c r="F317" s="181"/>
      <c r="G317" s="182"/>
      <c r="H317" s="177"/>
      <c r="I317" s="183" t="s">
        <v>12</v>
      </c>
      <c r="J317" s="177"/>
      <c r="K317" s="184"/>
    </row>
    <row r="318" spans="1:11">
      <c r="A318" s="179" t="s">
        <v>32</v>
      </c>
      <c r="B318" s="179">
        <v>943.31989167340703</v>
      </c>
      <c r="C318" s="180">
        <v>2</v>
      </c>
      <c r="D318" s="179">
        <v>7.1999999999999995E-2</v>
      </c>
      <c r="E318" s="181"/>
      <c r="F318" s="181"/>
      <c r="G318" s="182"/>
      <c r="H318" s="177"/>
      <c r="I318" s="183" t="s">
        <v>12</v>
      </c>
      <c r="J318" s="177"/>
      <c r="K318" s="184"/>
    </row>
    <row r="319" spans="1:11">
      <c r="A319" s="179" t="s">
        <v>32</v>
      </c>
      <c r="B319" s="179">
        <v>1036.4372704111099</v>
      </c>
      <c r="C319" s="180">
        <v>2</v>
      </c>
      <c r="D319" s="179">
        <v>7.1999999999999995E-2</v>
      </c>
      <c r="E319" s="181"/>
      <c r="F319" s="181"/>
      <c r="G319" s="182"/>
      <c r="H319" s="177"/>
      <c r="I319" s="183" t="s">
        <v>12</v>
      </c>
      <c r="J319" s="177"/>
      <c r="K319" s="184"/>
    </row>
    <row r="320" spans="1:11">
      <c r="A320" s="179" t="s">
        <v>32</v>
      </c>
      <c r="B320" s="179">
        <v>1040.48579166185</v>
      </c>
      <c r="C320" s="180">
        <v>2</v>
      </c>
      <c r="D320" s="179">
        <v>7.1999999999999995E-2</v>
      </c>
      <c r="E320" s="181"/>
      <c r="F320" s="181"/>
      <c r="G320" s="182"/>
      <c r="H320" s="177"/>
      <c r="I320" s="183" t="s">
        <v>12</v>
      </c>
      <c r="J320" s="177"/>
      <c r="K320" s="184"/>
    </row>
    <row r="321" spans="1:11">
      <c r="A321" s="179" t="s">
        <v>32</v>
      </c>
      <c r="B321" s="179">
        <v>1038.46153103648</v>
      </c>
      <c r="C321" s="180">
        <v>2</v>
      </c>
      <c r="D321" s="179">
        <v>7.1999999999999995E-2</v>
      </c>
      <c r="E321" s="181"/>
      <c r="F321" s="181"/>
      <c r="G321" s="182"/>
      <c r="H321" s="177"/>
      <c r="I321" s="183" t="s">
        <v>12</v>
      </c>
      <c r="J321" s="177"/>
      <c r="K321" s="184"/>
    </row>
    <row r="322" spans="1:11">
      <c r="A322" s="179" t="s">
        <v>32</v>
      </c>
      <c r="B322" s="179">
        <v>1036.4372704111099</v>
      </c>
      <c r="C322" s="180">
        <v>2</v>
      </c>
      <c r="D322" s="179">
        <v>7.1999999999999995E-2</v>
      </c>
      <c r="E322" s="181"/>
      <c r="F322" s="181"/>
      <c r="G322" s="182"/>
      <c r="H322" s="177"/>
      <c r="I322" s="183" t="s">
        <v>12</v>
      </c>
      <c r="J322" s="177"/>
      <c r="K322" s="184"/>
    </row>
    <row r="323" spans="1:11">
      <c r="A323" s="179" t="s">
        <v>32</v>
      </c>
      <c r="B323" s="179">
        <v>1131.5789097741799</v>
      </c>
      <c r="C323" s="180">
        <v>2</v>
      </c>
      <c r="D323" s="179">
        <v>7.1999999999999995E-2</v>
      </c>
      <c r="E323" s="181"/>
      <c r="F323" s="181"/>
      <c r="G323" s="182"/>
      <c r="H323" s="177"/>
      <c r="I323" s="183" t="s">
        <v>12</v>
      </c>
      <c r="J323" s="177"/>
      <c r="K323" s="184"/>
    </row>
    <row r="324" spans="1:11">
      <c r="A324" s="179" t="s">
        <v>32</v>
      </c>
      <c r="B324" s="179">
        <v>1129.5546491488101</v>
      </c>
      <c r="C324" s="180">
        <v>2</v>
      </c>
      <c r="D324" s="179">
        <v>7.1999999999999995E-2</v>
      </c>
      <c r="E324" s="181"/>
      <c r="F324" s="181"/>
      <c r="G324" s="182"/>
      <c r="H324" s="177"/>
      <c r="I324" s="183" t="s">
        <v>12</v>
      </c>
      <c r="J324" s="177"/>
      <c r="K324" s="184"/>
    </row>
    <row r="325" spans="1:11">
      <c r="A325" s="179" t="s">
        <v>32</v>
      </c>
      <c r="B325" s="179">
        <v>1226.72070357844</v>
      </c>
      <c r="C325" s="180">
        <v>2</v>
      </c>
      <c r="D325" s="179">
        <v>7.1999999999999995E-2</v>
      </c>
      <c r="E325" s="181"/>
      <c r="F325" s="181"/>
      <c r="G325" s="182"/>
      <c r="H325" s="177"/>
      <c r="I325" s="183" t="s">
        <v>12</v>
      </c>
      <c r="J325" s="177"/>
      <c r="K325" s="184"/>
    </row>
    <row r="326" spans="1:11">
      <c r="A326" s="179" t="s">
        <v>32</v>
      </c>
      <c r="B326" s="179">
        <v>1224.6964429530699</v>
      </c>
      <c r="C326" s="180">
        <v>2</v>
      </c>
      <c r="D326" s="179">
        <v>7.1999999999999995E-2</v>
      </c>
      <c r="E326" s="181"/>
      <c r="F326" s="181"/>
      <c r="G326" s="182"/>
      <c r="H326" s="177"/>
      <c r="I326" s="183" t="s">
        <v>12</v>
      </c>
      <c r="J326" s="177"/>
      <c r="K326" s="184"/>
    </row>
    <row r="327" spans="1:11">
      <c r="A327" s="179" t="s">
        <v>32</v>
      </c>
      <c r="B327" s="179">
        <v>1222.67202788651</v>
      </c>
      <c r="C327" s="180">
        <v>2</v>
      </c>
      <c r="D327" s="179">
        <v>7.1999999999999995E-2</v>
      </c>
      <c r="E327" s="181"/>
      <c r="F327" s="181"/>
      <c r="G327" s="182"/>
      <c r="H327" s="177"/>
      <c r="I327" s="183" t="s">
        <v>12</v>
      </c>
      <c r="J327" s="177"/>
      <c r="K327" s="184"/>
    </row>
    <row r="328" spans="1:11">
      <c r="A328" s="179" t="s">
        <v>32</v>
      </c>
      <c r="B328" s="179">
        <v>1220.64776726114</v>
      </c>
      <c r="C328" s="180">
        <v>2</v>
      </c>
      <c r="D328" s="179">
        <v>7.1999999999999995E-2</v>
      </c>
      <c r="E328" s="181"/>
      <c r="F328" s="181"/>
      <c r="G328" s="182"/>
      <c r="H328" s="177"/>
      <c r="I328" s="183" t="s">
        <v>12</v>
      </c>
      <c r="J328" s="177"/>
      <c r="K328" s="184"/>
    </row>
    <row r="329" spans="1:11">
      <c r="A329" s="179" t="s">
        <v>32</v>
      </c>
      <c r="B329" s="179">
        <v>1323.88660356688</v>
      </c>
      <c r="C329" s="180">
        <v>2</v>
      </c>
      <c r="D329" s="179">
        <v>7.1999999999999995E-2</v>
      </c>
      <c r="E329" s="181"/>
      <c r="F329" s="181"/>
      <c r="G329" s="182"/>
      <c r="H329" s="177"/>
      <c r="I329" s="183" t="s">
        <v>12</v>
      </c>
      <c r="J329" s="177"/>
      <c r="K329" s="184"/>
    </row>
    <row r="330" spans="1:11">
      <c r="A330" s="179" t="s">
        <v>32</v>
      </c>
      <c r="B330" s="179">
        <v>1321.86234294151</v>
      </c>
      <c r="C330" s="180">
        <v>2</v>
      </c>
      <c r="D330" s="179">
        <v>7.1999999999999995E-2</v>
      </c>
      <c r="E330" s="181"/>
      <c r="F330" s="181"/>
      <c r="G330" s="182"/>
      <c r="H330" s="177"/>
      <c r="I330" s="183" t="s">
        <v>12</v>
      </c>
      <c r="J330" s="177"/>
      <c r="K330" s="184"/>
    </row>
    <row r="331" spans="1:11">
      <c r="A331" s="179" t="s">
        <v>32</v>
      </c>
      <c r="B331" s="179">
        <v>1319.8380823161399</v>
      </c>
      <c r="C331" s="180">
        <v>2</v>
      </c>
      <c r="D331" s="179">
        <v>7.1999999999999995E-2</v>
      </c>
      <c r="E331" s="181"/>
      <c r="F331" s="181"/>
      <c r="G331" s="182"/>
      <c r="H331" s="177"/>
      <c r="I331" s="183" t="s">
        <v>12</v>
      </c>
      <c r="J331" s="177"/>
      <c r="K331" s="184"/>
    </row>
    <row r="332" spans="1:11">
      <c r="A332" s="179" t="s">
        <v>32</v>
      </c>
      <c r="B332" s="179">
        <v>1510.1215154834799</v>
      </c>
      <c r="C332" s="180">
        <v>2</v>
      </c>
      <c r="D332" s="179">
        <v>7.1999999999999995E-2</v>
      </c>
      <c r="E332" s="181"/>
      <c r="F332" s="181"/>
      <c r="G332" s="182"/>
      <c r="H332" s="177"/>
      <c r="I332" s="183" t="s">
        <v>12</v>
      </c>
      <c r="J332" s="177"/>
      <c r="K332" s="184"/>
    </row>
    <row r="333" spans="1:11">
      <c r="A333" s="179" t="s">
        <v>32</v>
      </c>
      <c r="B333" s="179">
        <v>1508.0972548581101</v>
      </c>
      <c r="C333" s="180">
        <v>2</v>
      </c>
      <c r="D333" s="179">
        <v>7.1999999999999995E-2</v>
      </c>
      <c r="E333" s="181"/>
      <c r="F333" s="181"/>
      <c r="G333" s="182"/>
      <c r="H333" s="177"/>
      <c r="I333" s="183" t="s">
        <v>12</v>
      </c>
      <c r="J333" s="177"/>
      <c r="K333" s="184"/>
    </row>
    <row r="334" spans="1:11">
      <c r="A334" s="179" t="s">
        <v>32</v>
      </c>
      <c r="B334" s="179">
        <v>1508.0972548581101</v>
      </c>
      <c r="C334" s="180">
        <v>2</v>
      </c>
      <c r="D334" s="179">
        <v>7.1999999999999995E-2</v>
      </c>
      <c r="E334" s="181"/>
      <c r="F334" s="181"/>
      <c r="G334" s="182"/>
      <c r="H334" s="177"/>
      <c r="I334" s="183" t="s">
        <v>12</v>
      </c>
      <c r="J334" s="177"/>
      <c r="K334" s="184"/>
    </row>
    <row r="335" spans="1:11">
      <c r="A335" s="179" t="s">
        <v>32</v>
      </c>
      <c r="B335" s="179">
        <v>1510.1215154834799</v>
      </c>
      <c r="C335" s="180">
        <v>2</v>
      </c>
      <c r="D335" s="179">
        <v>7.1999999999999995E-2</v>
      </c>
      <c r="E335" s="181"/>
      <c r="F335" s="181"/>
      <c r="G335" s="182"/>
      <c r="H335" s="177"/>
      <c r="I335" s="183" t="s">
        <v>12</v>
      </c>
      <c r="J335" s="177"/>
      <c r="K335" s="184"/>
    </row>
    <row r="336" spans="1:11">
      <c r="A336" s="179" t="s">
        <v>32</v>
      </c>
      <c r="B336" s="179">
        <v>1888.6639667515899</v>
      </c>
      <c r="C336" s="180">
        <v>2</v>
      </c>
      <c r="D336" s="179">
        <v>7.1999999999999995E-2</v>
      </c>
      <c r="E336" s="181"/>
      <c r="F336" s="181"/>
      <c r="G336" s="182"/>
      <c r="H336" s="177"/>
      <c r="I336" s="183" t="s">
        <v>12</v>
      </c>
      <c r="J336" s="177"/>
      <c r="K336" s="184"/>
    </row>
    <row r="337" spans="1:11">
      <c r="A337" s="179" t="s">
        <v>32</v>
      </c>
      <c r="B337" s="179">
        <v>1884.61544550085</v>
      </c>
      <c r="C337" s="180">
        <v>2</v>
      </c>
      <c r="D337" s="179">
        <v>7.1999999999999995E-2</v>
      </c>
      <c r="E337" s="181"/>
      <c r="F337" s="181"/>
      <c r="G337" s="182"/>
      <c r="H337" s="177"/>
      <c r="I337" s="183" t="s">
        <v>12</v>
      </c>
      <c r="J337" s="177"/>
      <c r="K337" s="184"/>
    </row>
    <row r="338" spans="1:11">
      <c r="A338" s="179" t="s">
        <v>32</v>
      </c>
      <c r="B338" s="179">
        <v>1886.6398605674001</v>
      </c>
      <c r="C338" s="180">
        <v>2</v>
      </c>
      <c r="D338" s="179">
        <v>7.1999999999999995E-2</v>
      </c>
      <c r="E338" s="181"/>
      <c r="F338" s="181"/>
      <c r="G338" s="182"/>
      <c r="H338" s="177"/>
      <c r="I338" s="183" t="s">
        <v>12</v>
      </c>
      <c r="J338" s="177"/>
      <c r="K338" s="184"/>
    </row>
    <row r="339" spans="1:11">
      <c r="A339" s="179" t="s">
        <v>32</v>
      </c>
      <c r="B339" s="179">
        <v>95.141716583666707</v>
      </c>
      <c r="C339" s="180">
        <v>2</v>
      </c>
      <c r="D339" s="179">
        <v>7.1999999999999995E-2</v>
      </c>
      <c r="E339" s="181"/>
      <c r="F339" s="181"/>
      <c r="G339" s="182"/>
      <c r="H339" s="177"/>
      <c r="I339" s="183" t="s">
        <v>12</v>
      </c>
      <c r="J339" s="177"/>
      <c r="K339" s="184"/>
    </row>
    <row r="340" spans="1:11">
      <c r="A340" s="179" t="s">
        <v>32</v>
      </c>
      <c r="B340" s="179">
        <v>141.700405952518</v>
      </c>
      <c r="C340" s="180">
        <v>2</v>
      </c>
      <c r="D340" s="179">
        <v>7.1999999999999995E-2</v>
      </c>
      <c r="E340" s="181"/>
      <c r="F340" s="181"/>
      <c r="G340" s="182"/>
      <c r="H340" s="177"/>
      <c r="I340" s="183" t="s">
        <v>12</v>
      </c>
      <c r="J340" s="177"/>
      <c r="K340" s="184"/>
    </row>
    <row r="341" spans="1:11">
      <c r="A341" s="179" t="s">
        <v>32</v>
      </c>
      <c r="B341" s="179">
        <v>190.28343316733299</v>
      </c>
      <c r="C341" s="180">
        <v>2</v>
      </c>
      <c r="D341" s="179">
        <v>7.1999999999999995E-2</v>
      </c>
      <c r="E341" s="181"/>
      <c r="F341" s="181"/>
      <c r="G341" s="182"/>
      <c r="H341" s="177"/>
      <c r="I341" s="183" t="s">
        <v>12</v>
      </c>
      <c r="J341" s="177"/>
      <c r="K341" s="184"/>
    </row>
    <row r="342" spans="1:11">
      <c r="A342" s="179" t="s">
        <v>32</v>
      </c>
      <c r="B342" s="179">
        <v>236.842122536185</v>
      </c>
      <c r="C342" s="180">
        <v>2</v>
      </c>
      <c r="D342" s="179">
        <v>7.1999999999999995E-2</v>
      </c>
      <c r="E342" s="181"/>
      <c r="F342" s="181"/>
      <c r="G342" s="182"/>
      <c r="H342" s="177"/>
      <c r="I342" s="183" t="s">
        <v>12</v>
      </c>
      <c r="J342" s="177"/>
      <c r="K342" s="184"/>
    </row>
    <row r="343" spans="1:11">
      <c r="A343" s="179" t="s">
        <v>32</v>
      </c>
      <c r="B343" s="179">
        <v>287.44941037637</v>
      </c>
      <c r="C343" s="180">
        <v>2</v>
      </c>
      <c r="D343" s="179">
        <v>7.1999999999999995E-2</v>
      </c>
      <c r="E343" s="181"/>
      <c r="F343" s="181"/>
      <c r="G343" s="182"/>
      <c r="H343" s="177"/>
      <c r="I343" s="183" t="s">
        <v>12</v>
      </c>
      <c r="J343" s="177"/>
      <c r="K343" s="184"/>
    </row>
    <row r="344" spans="1:11">
      <c r="A344" s="179" t="s">
        <v>32</v>
      </c>
      <c r="B344" s="179">
        <v>283.40096634622199</v>
      </c>
      <c r="C344" s="180">
        <v>2</v>
      </c>
      <c r="D344" s="179">
        <v>7.1999999999999995E-2</v>
      </c>
      <c r="E344" s="181"/>
      <c r="F344" s="181"/>
      <c r="G344" s="182"/>
      <c r="H344" s="177"/>
      <c r="I344" s="183" t="s">
        <v>12</v>
      </c>
      <c r="J344" s="177"/>
      <c r="K344" s="184"/>
    </row>
    <row r="345" spans="1:11">
      <c r="A345" s="179" t="s">
        <v>32</v>
      </c>
      <c r="B345" s="179">
        <v>329.95950127388801</v>
      </c>
      <c r="C345" s="180">
        <v>2</v>
      </c>
      <c r="D345" s="179">
        <v>7.1999999999999995E-2</v>
      </c>
      <c r="E345" s="181"/>
      <c r="F345" s="181"/>
      <c r="G345" s="182"/>
      <c r="H345" s="177"/>
      <c r="I345" s="183" t="s">
        <v>12</v>
      </c>
      <c r="J345" s="177"/>
      <c r="K345" s="184"/>
    </row>
    <row r="346" spans="1:11">
      <c r="A346" s="179" t="s">
        <v>32</v>
      </c>
      <c r="B346" s="179">
        <v>380.56678909999999</v>
      </c>
      <c r="C346" s="180">
        <v>2</v>
      </c>
      <c r="D346" s="179">
        <v>7.1999999999999995E-2</v>
      </c>
      <c r="E346" s="181"/>
      <c r="F346" s="181"/>
      <c r="G346" s="182"/>
      <c r="H346" s="177"/>
      <c r="I346" s="183" t="s">
        <v>12</v>
      </c>
      <c r="J346" s="177"/>
      <c r="K346" s="184"/>
    </row>
    <row r="347" spans="1:11">
      <c r="A347" s="179" t="s">
        <v>32</v>
      </c>
      <c r="B347" s="179">
        <v>376.51826786333299</v>
      </c>
      <c r="C347" s="180">
        <v>2</v>
      </c>
      <c r="D347" s="179">
        <v>7.1999999999999995E-2</v>
      </c>
      <c r="E347" s="181"/>
      <c r="F347" s="181"/>
      <c r="G347" s="182"/>
      <c r="H347" s="177"/>
      <c r="I347" s="183" t="s">
        <v>12</v>
      </c>
      <c r="J347" s="177"/>
      <c r="K347" s="184"/>
    </row>
    <row r="348" spans="1:11">
      <c r="A348" s="179" t="s">
        <v>32</v>
      </c>
      <c r="B348" s="179">
        <v>376.51826786333299</v>
      </c>
      <c r="C348" s="180">
        <v>2</v>
      </c>
      <c r="D348" s="179">
        <v>7.1999999999999995E-2</v>
      </c>
      <c r="E348" s="181"/>
      <c r="F348" s="181"/>
      <c r="G348" s="182"/>
      <c r="H348" s="177"/>
      <c r="I348" s="183" t="s">
        <v>12</v>
      </c>
      <c r="J348" s="177"/>
      <c r="K348" s="184"/>
    </row>
    <row r="349" spans="1:11">
      <c r="A349" s="179" t="s">
        <v>32</v>
      </c>
      <c r="B349" s="179">
        <v>427.12555570351799</v>
      </c>
      <c r="C349" s="180">
        <v>2</v>
      </c>
      <c r="D349" s="179">
        <v>7.1999999999999995E-2</v>
      </c>
      <c r="E349" s="181"/>
      <c r="F349" s="181"/>
      <c r="G349" s="182"/>
      <c r="H349" s="177"/>
      <c r="I349" s="183" t="s">
        <v>12</v>
      </c>
      <c r="J349" s="177"/>
      <c r="K349" s="184"/>
    </row>
    <row r="350" spans="1:11">
      <c r="A350" s="179" t="s">
        <v>32</v>
      </c>
      <c r="B350" s="179">
        <v>471.65990722640697</v>
      </c>
      <c r="C350" s="180">
        <v>2</v>
      </c>
      <c r="D350" s="179">
        <v>7.1999999999999995E-2</v>
      </c>
      <c r="E350" s="181"/>
      <c r="F350" s="181"/>
      <c r="G350" s="182"/>
      <c r="H350" s="177"/>
      <c r="I350" s="183" t="s">
        <v>12</v>
      </c>
      <c r="J350" s="177"/>
      <c r="K350" s="184"/>
    </row>
    <row r="351" spans="1:11">
      <c r="A351" s="179" t="s">
        <v>32</v>
      </c>
      <c r="B351" s="179">
        <v>518.21867381585196</v>
      </c>
      <c r="C351" s="180">
        <v>2</v>
      </c>
      <c r="D351" s="179">
        <v>7.1999999999999995E-2</v>
      </c>
      <c r="E351" s="181"/>
      <c r="F351" s="181"/>
      <c r="G351" s="182"/>
      <c r="H351" s="177"/>
      <c r="I351" s="183" t="s">
        <v>12</v>
      </c>
      <c r="J351" s="177"/>
      <c r="K351" s="184"/>
    </row>
    <row r="352" spans="1:11">
      <c r="A352" s="179" t="s">
        <v>32</v>
      </c>
      <c r="B352" s="179">
        <v>568.82596165603695</v>
      </c>
      <c r="C352" s="180">
        <v>2</v>
      </c>
      <c r="D352" s="179">
        <v>7.1999999999999995E-2</v>
      </c>
      <c r="E352" s="181"/>
      <c r="F352" s="181"/>
      <c r="G352" s="182"/>
      <c r="H352" s="177"/>
      <c r="I352" s="183" t="s">
        <v>12</v>
      </c>
      <c r="J352" s="177"/>
      <c r="K352" s="184"/>
    </row>
    <row r="353" spans="1:11">
      <c r="A353" s="179" t="s">
        <v>32</v>
      </c>
      <c r="B353" s="179">
        <v>570.85022228140701</v>
      </c>
      <c r="C353" s="180">
        <v>2</v>
      </c>
      <c r="D353" s="179">
        <v>7.1999999999999995E-2</v>
      </c>
      <c r="E353" s="181"/>
      <c r="F353" s="181"/>
      <c r="G353" s="182"/>
      <c r="H353" s="177"/>
      <c r="I353" s="183" t="s">
        <v>12</v>
      </c>
      <c r="J353" s="177"/>
      <c r="K353" s="184"/>
    </row>
    <row r="354" spans="1:11">
      <c r="A354" s="179" t="s">
        <v>32</v>
      </c>
      <c r="B354" s="179">
        <v>564.77728596410998</v>
      </c>
      <c r="C354" s="180">
        <v>2</v>
      </c>
      <c r="D354" s="179">
        <v>7.1999999999999995E-2</v>
      </c>
      <c r="E354" s="181"/>
      <c r="F354" s="181"/>
      <c r="G354" s="182"/>
      <c r="H354" s="177"/>
      <c r="I354" s="183" t="s">
        <v>12</v>
      </c>
      <c r="J354" s="177"/>
      <c r="K354" s="184"/>
    </row>
    <row r="355" spans="1:11">
      <c r="A355" s="179" t="s">
        <v>32</v>
      </c>
      <c r="B355" s="179">
        <v>613.36031317892503</v>
      </c>
      <c r="C355" s="180">
        <v>2</v>
      </c>
      <c r="D355" s="179">
        <v>7.1999999999999995E-2</v>
      </c>
      <c r="E355" s="181"/>
      <c r="F355" s="181"/>
      <c r="G355" s="182"/>
      <c r="H355" s="177"/>
      <c r="I355" s="183" t="s">
        <v>12</v>
      </c>
      <c r="J355" s="177"/>
      <c r="K355" s="184"/>
    </row>
    <row r="356" spans="1:11">
      <c r="A356" s="179" t="s">
        <v>32</v>
      </c>
      <c r="B356" s="179">
        <v>611.33605255355496</v>
      </c>
      <c r="C356" s="180">
        <v>2</v>
      </c>
      <c r="D356" s="179">
        <v>7.1999999999999995E-2</v>
      </c>
      <c r="E356" s="181"/>
      <c r="F356" s="181"/>
      <c r="G356" s="182"/>
      <c r="H356" s="177"/>
      <c r="I356" s="183" t="s">
        <v>12</v>
      </c>
      <c r="J356" s="177"/>
      <c r="K356" s="184"/>
    </row>
    <row r="357" spans="1:11">
      <c r="A357" s="179" t="s">
        <v>32</v>
      </c>
      <c r="B357" s="179">
        <v>661.94334040000001</v>
      </c>
      <c r="C357" s="180">
        <v>2</v>
      </c>
      <c r="D357" s="179">
        <v>7.1999999999999995E-2</v>
      </c>
      <c r="E357" s="181"/>
      <c r="F357" s="181"/>
      <c r="G357" s="182"/>
      <c r="H357" s="177"/>
      <c r="I357" s="183" t="s">
        <v>12</v>
      </c>
      <c r="J357" s="177"/>
      <c r="K357" s="184"/>
    </row>
    <row r="358" spans="1:11">
      <c r="A358" s="179" t="s">
        <v>32</v>
      </c>
      <c r="B358" s="179">
        <v>659.91907976837001</v>
      </c>
      <c r="C358" s="180">
        <v>2</v>
      </c>
      <c r="D358" s="179">
        <v>7.1999999999999995E-2</v>
      </c>
      <c r="E358" s="181"/>
      <c r="F358" s="181"/>
      <c r="G358" s="182"/>
      <c r="H358" s="177"/>
      <c r="I358" s="183" t="s">
        <v>12</v>
      </c>
      <c r="J358" s="177"/>
      <c r="K358" s="184"/>
    </row>
    <row r="359" spans="1:11">
      <c r="A359" s="179" t="s">
        <v>32</v>
      </c>
      <c r="B359" s="179">
        <v>655.87040407644395</v>
      </c>
      <c r="C359" s="180">
        <v>2</v>
      </c>
      <c r="D359" s="179">
        <v>7.1999999999999995E-2</v>
      </c>
      <c r="E359" s="181"/>
      <c r="F359" s="181"/>
      <c r="G359" s="182"/>
      <c r="H359" s="177"/>
      <c r="I359" s="183" t="s">
        <v>12</v>
      </c>
      <c r="J359" s="177"/>
      <c r="K359" s="184"/>
    </row>
    <row r="360" spans="1:11">
      <c r="A360" s="179" t="s">
        <v>32</v>
      </c>
      <c r="B360" s="179">
        <v>661.94334040000001</v>
      </c>
      <c r="C360" s="180">
        <v>2</v>
      </c>
      <c r="D360" s="179">
        <v>7.1999999999999995E-2</v>
      </c>
      <c r="E360" s="181"/>
      <c r="F360" s="181"/>
      <c r="G360" s="182"/>
      <c r="H360" s="177"/>
      <c r="I360" s="183" t="s">
        <v>12</v>
      </c>
      <c r="J360" s="177"/>
      <c r="K360" s="184"/>
    </row>
    <row r="361" spans="1:11">
      <c r="A361" s="179" t="s">
        <v>32</v>
      </c>
      <c r="B361" s="179">
        <v>663.96760099999995</v>
      </c>
      <c r="C361" s="180">
        <v>2</v>
      </c>
      <c r="D361" s="179">
        <v>7.1999999999999995E-2</v>
      </c>
      <c r="E361" s="181"/>
      <c r="F361" s="181"/>
      <c r="G361" s="182"/>
      <c r="H361" s="177"/>
      <c r="I361" s="183" t="s">
        <v>12</v>
      </c>
      <c r="J361" s="177"/>
      <c r="K361" s="184"/>
    </row>
    <row r="362" spans="1:11">
      <c r="A362" s="179" t="s">
        <v>32</v>
      </c>
      <c r="B362" s="179">
        <v>708.50210698318494</v>
      </c>
      <c r="C362" s="180">
        <v>2</v>
      </c>
      <c r="D362" s="179">
        <v>7.1999999999999995E-2</v>
      </c>
      <c r="E362" s="181"/>
      <c r="F362" s="181"/>
      <c r="G362" s="182"/>
      <c r="H362" s="177"/>
      <c r="I362" s="183" t="s">
        <v>12</v>
      </c>
      <c r="J362" s="177"/>
      <c r="K362" s="184"/>
    </row>
    <row r="363" spans="1:11">
      <c r="A363" s="179" t="s">
        <v>32</v>
      </c>
      <c r="B363" s="179">
        <v>706.47769191662906</v>
      </c>
      <c r="C363" s="180">
        <v>2</v>
      </c>
      <c r="D363" s="179">
        <v>7.1999999999999995E-2</v>
      </c>
      <c r="E363" s="181"/>
      <c r="F363" s="181"/>
      <c r="G363" s="182"/>
      <c r="H363" s="177"/>
      <c r="I363" s="183" t="s">
        <v>12</v>
      </c>
      <c r="J363" s="177"/>
      <c r="K363" s="184"/>
    </row>
    <row r="364" spans="1:11">
      <c r="A364" s="179" t="s">
        <v>32</v>
      </c>
      <c r="B364" s="179">
        <v>755.06071913144399</v>
      </c>
      <c r="C364" s="180">
        <v>2</v>
      </c>
      <c r="D364" s="179">
        <v>7.1999999999999995E-2</v>
      </c>
      <c r="E364" s="181"/>
      <c r="F364" s="181"/>
      <c r="G364" s="182"/>
      <c r="H364" s="177"/>
      <c r="I364" s="183" t="s">
        <v>12</v>
      </c>
      <c r="J364" s="177"/>
      <c r="K364" s="184"/>
    </row>
    <row r="365" spans="1:11">
      <c r="A365" s="179" t="s">
        <v>32</v>
      </c>
      <c r="B365" s="179">
        <v>801.61948572088897</v>
      </c>
      <c r="C365" s="180">
        <v>2</v>
      </c>
      <c r="D365" s="179">
        <v>7.1999999999999995E-2</v>
      </c>
      <c r="E365" s="181"/>
      <c r="F365" s="181"/>
      <c r="G365" s="182"/>
      <c r="H365" s="177"/>
      <c r="I365" s="183" t="s">
        <v>12</v>
      </c>
      <c r="J365" s="177"/>
      <c r="K365" s="184"/>
    </row>
    <row r="366" spans="1:11">
      <c r="A366" s="179" t="s">
        <v>32</v>
      </c>
      <c r="B366" s="179">
        <v>803.64374634625904</v>
      </c>
      <c r="C366" s="180">
        <v>2</v>
      </c>
      <c r="D366" s="179">
        <v>7.1999999999999995E-2</v>
      </c>
      <c r="E366" s="181"/>
      <c r="F366" s="181"/>
      <c r="G366" s="182"/>
      <c r="H366" s="177"/>
      <c r="I366" s="183" t="s">
        <v>12</v>
      </c>
      <c r="J366" s="177"/>
      <c r="K366" s="184"/>
    </row>
    <row r="367" spans="1:11">
      <c r="A367" s="179" t="s">
        <v>32</v>
      </c>
      <c r="B367" s="179">
        <v>848.178097869147</v>
      </c>
      <c r="C367" s="180">
        <v>2</v>
      </c>
      <c r="D367" s="179">
        <v>7.1999999999999995E-2</v>
      </c>
      <c r="E367" s="181"/>
      <c r="F367" s="181"/>
      <c r="G367" s="182"/>
      <c r="H367" s="177"/>
      <c r="I367" s="183" t="s">
        <v>12</v>
      </c>
      <c r="J367" s="177"/>
      <c r="K367" s="184"/>
    </row>
    <row r="368" spans="1:11">
      <c r="A368" s="179" t="s">
        <v>32</v>
      </c>
      <c r="B368" s="179">
        <v>850.20251293570402</v>
      </c>
      <c r="C368" s="180">
        <v>2</v>
      </c>
      <c r="D368" s="179">
        <v>7.1999999999999995E-2</v>
      </c>
      <c r="E368" s="181"/>
      <c r="F368" s="181"/>
      <c r="G368" s="182"/>
      <c r="H368" s="177"/>
      <c r="I368" s="183" t="s">
        <v>12</v>
      </c>
      <c r="J368" s="177"/>
      <c r="K368" s="184"/>
    </row>
    <row r="369" spans="1:11">
      <c r="A369" s="179" t="s">
        <v>32</v>
      </c>
      <c r="B369" s="179">
        <v>852.22677356107397</v>
      </c>
      <c r="C369" s="180">
        <v>2</v>
      </c>
      <c r="D369" s="179">
        <v>7.1999999999999995E-2</v>
      </c>
      <c r="E369" s="181"/>
      <c r="F369" s="181"/>
      <c r="G369" s="182"/>
      <c r="H369" s="177"/>
      <c r="I369" s="183" t="s">
        <v>12</v>
      </c>
      <c r="J369" s="177"/>
      <c r="K369" s="184"/>
    </row>
    <row r="370" spans="1:11">
      <c r="A370" s="179" t="s">
        <v>32</v>
      </c>
      <c r="B370" s="179">
        <v>896.76112508396204</v>
      </c>
      <c r="C370" s="180">
        <v>2</v>
      </c>
      <c r="D370" s="179">
        <v>7.1999999999999995E-2</v>
      </c>
      <c r="E370" s="181"/>
      <c r="F370" s="181"/>
      <c r="G370" s="182"/>
      <c r="H370" s="177"/>
      <c r="I370" s="183" t="s">
        <v>12</v>
      </c>
      <c r="J370" s="177"/>
      <c r="K370" s="184"/>
    </row>
    <row r="371" spans="1:11">
      <c r="A371" s="179" t="s">
        <v>32</v>
      </c>
      <c r="B371" s="179">
        <v>898.78538570000001</v>
      </c>
      <c r="C371" s="180">
        <v>2</v>
      </c>
      <c r="D371" s="179">
        <v>7.1999999999999995E-2</v>
      </c>
      <c r="E371" s="181"/>
      <c r="F371" s="181"/>
      <c r="G371" s="182"/>
      <c r="H371" s="177"/>
      <c r="I371" s="183" t="s">
        <v>12</v>
      </c>
      <c r="J371" s="177"/>
      <c r="K371" s="184"/>
    </row>
    <row r="372" spans="1:11">
      <c r="A372" s="179" t="s">
        <v>32</v>
      </c>
      <c r="B372" s="179">
        <v>896.76112508396204</v>
      </c>
      <c r="C372" s="180">
        <v>2</v>
      </c>
      <c r="D372" s="179">
        <v>7.1999999999999995E-2</v>
      </c>
      <c r="E372" s="181"/>
      <c r="F372" s="181"/>
      <c r="G372" s="182"/>
      <c r="H372" s="177"/>
      <c r="I372" s="183" t="s">
        <v>12</v>
      </c>
      <c r="J372" s="177"/>
      <c r="K372" s="184"/>
    </row>
    <row r="373" spans="1:11">
      <c r="A373" s="179" t="s">
        <v>32</v>
      </c>
      <c r="B373" s="179">
        <v>943.31989167340703</v>
      </c>
      <c r="C373" s="180">
        <v>2</v>
      </c>
      <c r="D373" s="179">
        <v>7.1999999999999995E-2</v>
      </c>
      <c r="E373" s="181"/>
      <c r="F373" s="181"/>
      <c r="G373" s="182"/>
      <c r="H373" s="177"/>
      <c r="I373" s="183" t="s">
        <v>12</v>
      </c>
      <c r="J373" s="177"/>
      <c r="K373" s="184"/>
    </row>
    <row r="374" spans="1:11">
      <c r="A374" s="179" t="s">
        <v>32</v>
      </c>
      <c r="B374" s="179">
        <v>1038.46153103648</v>
      </c>
      <c r="C374" s="180">
        <v>2</v>
      </c>
      <c r="D374" s="179">
        <v>7.1999999999999995E-2</v>
      </c>
      <c r="E374" s="181"/>
      <c r="F374" s="181"/>
      <c r="G374" s="182"/>
      <c r="H374" s="177"/>
      <c r="I374" s="183" t="s">
        <v>12</v>
      </c>
      <c r="J374" s="177"/>
      <c r="K374" s="184"/>
    </row>
    <row r="375" spans="1:11">
      <c r="A375" s="179" t="s">
        <v>32</v>
      </c>
      <c r="B375" s="179">
        <v>1131.5789097741799</v>
      </c>
      <c r="C375" s="180">
        <v>2</v>
      </c>
      <c r="D375" s="179">
        <v>7.1999999999999995E-2</v>
      </c>
      <c r="E375" s="181"/>
      <c r="F375" s="181"/>
      <c r="G375" s="182"/>
      <c r="H375" s="177"/>
      <c r="I375" s="183" t="s">
        <v>12</v>
      </c>
      <c r="J375" s="177"/>
      <c r="K375" s="184"/>
    </row>
    <row r="376" spans="1:11">
      <c r="A376" s="179" t="s">
        <v>32</v>
      </c>
      <c r="B376" s="179">
        <v>1133.60332484074</v>
      </c>
      <c r="C376" s="180">
        <v>2</v>
      </c>
      <c r="D376" s="179">
        <v>7.1999999999999995E-2</v>
      </c>
      <c r="E376" s="181"/>
      <c r="F376" s="181"/>
      <c r="G376" s="182"/>
      <c r="H376" s="177"/>
      <c r="I376" s="183" t="s">
        <v>12</v>
      </c>
      <c r="J376" s="177"/>
      <c r="K376" s="184"/>
    </row>
    <row r="377" spans="1:11">
      <c r="A377" s="179" t="s">
        <v>32</v>
      </c>
      <c r="B377" s="179">
        <v>1129.5546491488101</v>
      </c>
      <c r="C377" s="180">
        <v>2</v>
      </c>
      <c r="D377" s="179">
        <v>7.1999999999999995E-2</v>
      </c>
      <c r="E377" s="181"/>
      <c r="F377" s="181"/>
      <c r="G377" s="182"/>
      <c r="H377" s="177"/>
      <c r="I377" s="183" t="s">
        <v>12</v>
      </c>
      <c r="J377" s="177"/>
      <c r="K377" s="184"/>
    </row>
    <row r="378" spans="1:11">
      <c r="A378" s="179" t="s">
        <v>32</v>
      </c>
      <c r="B378" s="179">
        <v>1226.72070357844</v>
      </c>
      <c r="C378" s="180">
        <v>2</v>
      </c>
      <c r="D378" s="179">
        <v>7.1999999999999995E-2</v>
      </c>
      <c r="E378" s="181"/>
      <c r="F378" s="181"/>
      <c r="G378" s="182"/>
      <c r="H378" s="177"/>
      <c r="I378" s="183" t="s">
        <v>12</v>
      </c>
      <c r="J378" s="177"/>
      <c r="K378" s="184"/>
    </row>
    <row r="379" spans="1:11">
      <c r="A379" s="179" t="s">
        <v>32</v>
      </c>
      <c r="B379" s="179">
        <v>1222.67202788651</v>
      </c>
      <c r="C379" s="180">
        <v>2</v>
      </c>
      <c r="D379" s="179">
        <v>7.1999999999999995E-2</v>
      </c>
      <c r="E379" s="181"/>
      <c r="F379" s="181"/>
      <c r="G379" s="182"/>
      <c r="H379" s="177"/>
      <c r="I379" s="183" t="s">
        <v>12</v>
      </c>
      <c r="J379" s="177"/>
      <c r="K379" s="184"/>
    </row>
    <row r="380" spans="1:11">
      <c r="A380" s="179" t="s">
        <v>32</v>
      </c>
      <c r="B380" s="179">
        <v>1224.6964429530699</v>
      </c>
      <c r="C380" s="180">
        <v>2</v>
      </c>
      <c r="D380" s="179">
        <v>7.1999999999999995E-2</v>
      </c>
      <c r="E380" s="181"/>
      <c r="F380" s="181"/>
      <c r="G380" s="182"/>
      <c r="H380" s="177"/>
      <c r="I380" s="183" t="s">
        <v>12</v>
      </c>
      <c r="J380" s="177"/>
      <c r="K380" s="184"/>
    </row>
    <row r="381" spans="1:11">
      <c r="A381" s="179" t="s">
        <v>32</v>
      </c>
      <c r="B381" s="179">
        <v>1228.74496420381</v>
      </c>
      <c r="C381" s="180">
        <v>2</v>
      </c>
      <c r="D381" s="179">
        <v>7.1999999999999995E-2</v>
      </c>
      <c r="E381" s="181"/>
      <c r="F381" s="181"/>
      <c r="G381" s="182"/>
      <c r="H381" s="177"/>
      <c r="I381" s="183" t="s">
        <v>12</v>
      </c>
      <c r="J381" s="177"/>
      <c r="K381" s="184"/>
    </row>
    <row r="382" spans="1:11">
      <c r="A382" s="179" t="s">
        <v>32</v>
      </c>
      <c r="B382" s="179">
        <v>1222.67202788651</v>
      </c>
      <c r="C382" s="180">
        <v>2</v>
      </c>
      <c r="D382" s="179">
        <v>7.1999999999999995E-2</v>
      </c>
      <c r="E382" s="181"/>
      <c r="F382" s="181"/>
      <c r="G382" s="182"/>
      <c r="H382" s="177"/>
      <c r="I382" s="183" t="s">
        <v>12</v>
      </c>
      <c r="J382" s="177"/>
      <c r="K382" s="184"/>
    </row>
    <row r="383" spans="1:11">
      <c r="A383" s="179" t="s">
        <v>32</v>
      </c>
      <c r="B383" s="179">
        <v>1321.86234294151</v>
      </c>
      <c r="C383" s="180">
        <v>2</v>
      </c>
      <c r="D383" s="179">
        <v>7.1999999999999995E-2</v>
      </c>
      <c r="E383" s="181"/>
      <c r="F383" s="181"/>
      <c r="G383" s="182"/>
      <c r="H383" s="177"/>
      <c r="I383" s="183" t="s">
        <v>12</v>
      </c>
      <c r="J383" s="177"/>
      <c r="K383" s="184"/>
    </row>
    <row r="384" spans="1:11">
      <c r="A384" s="179" t="s">
        <v>32</v>
      </c>
      <c r="B384" s="179">
        <v>1319.8380823161399</v>
      </c>
      <c r="C384" s="180">
        <v>2</v>
      </c>
      <c r="D384" s="179">
        <v>7.1999999999999995E-2</v>
      </c>
      <c r="E384" s="181"/>
      <c r="F384" s="181"/>
      <c r="G384" s="182"/>
      <c r="H384" s="177"/>
      <c r="I384" s="183" t="s">
        <v>12</v>
      </c>
      <c r="J384" s="177"/>
      <c r="K384" s="184"/>
    </row>
    <row r="385" spans="1:11">
      <c r="A385" s="179" t="s">
        <v>32</v>
      </c>
      <c r="B385" s="179">
        <v>1512.14577610885</v>
      </c>
      <c r="C385" s="180">
        <v>2</v>
      </c>
      <c r="D385" s="179">
        <v>7.1999999999999995E-2</v>
      </c>
      <c r="E385" s="181"/>
      <c r="F385" s="181"/>
      <c r="G385" s="182"/>
      <c r="H385" s="177"/>
      <c r="I385" s="183" t="s">
        <v>12</v>
      </c>
      <c r="J385" s="177"/>
      <c r="K385" s="184"/>
    </row>
    <row r="386" spans="1:11">
      <c r="A386" s="179" t="s">
        <v>32</v>
      </c>
      <c r="B386" s="179">
        <v>1510.1215154834799</v>
      </c>
      <c r="C386" s="180">
        <v>2</v>
      </c>
      <c r="D386" s="179">
        <v>7.1999999999999995E-2</v>
      </c>
      <c r="E386" s="181"/>
      <c r="F386" s="181"/>
      <c r="G386" s="182"/>
      <c r="H386" s="177"/>
      <c r="I386" s="183" t="s">
        <v>12</v>
      </c>
      <c r="J386" s="177"/>
      <c r="K386" s="184"/>
    </row>
    <row r="387" spans="1:11">
      <c r="A387" s="179" t="s">
        <v>32</v>
      </c>
      <c r="B387" s="179">
        <v>1506.07283979155</v>
      </c>
      <c r="C387" s="180">
        <v>2</v>
      </c>
      <c r="D387" s="179">
        <v>7.1999999999999995E-2</v>
      </c>
      <c r="E387" s="181"/>
      <c r="F387" s="181"/>
      <c r="G387" s="182"/>
      <c r="H387" s="177"/>
      <c r="I387" s="183" t="s">
        <v>12</v>
      </c>
      <c r="J387" s="177"/>
      <c r="K387" s="184"/>
    </row>
    <row r="388" spans="1:11">
      <c r="A388" s="179" t="s">
        <v>32</v>
      </c>
      <c r="B388" s="179">
        <v>1508.0972548581101</v>
      </c>
      <c r="C388" s="180">
        <v>2</v>
      </c>
      <c r="D388" s="179">
        <v>7.1999999999999995E-2</v>
      </c>
      <c r="E388" s="181"/>
      <c r="F388" s="181"/>
      <c r="G388" s="182"/>
      <c r="H388" s="177"/>
      <c r="I388" s="183" t="s">
        <v>12</v>
      </c>
      <c r="J388" s="177"/>
      <c r="K388" s="184"/>
    </row>
    <row r="389" spans="1:11">
      <c r="A389" s="179" t="s">
        <v>32</v>
      </c>
      <c r="B389" s="179">
        <v>1514.17003673422</v>
      </c>
      <c r="C389" s="180">
        <v>2</v>
      </c>
      <c r="D389" s="179">
        <v>7.1999999999999995E-2</v>
      </c>
      <c r="E389" s="181"/>
      <c r="F389" s="181"/>
      <c r="G389" s="182"/>
      <c r="H389" s="177"/>
      <c r="I389" s="183" t="s">
        <v>12</v>
      </c>
      <c r="J389" s="177"/>
      <c r="K389" s="184"/>
    </row>
    <row r="390" spans="1:11">
      <c r="A390" s="179" t="s">
        <v>32</v>
      </c>
      <c r="B390" s="179">
        <v>1508.0972548581101</v>
      </c>
      <c r="C390" s="180">
        <v>2</v>
      </c>
      <c r="D390" s="179">
        <v>7.1999999999999995E-2</v>
      </c>
      <c r="E390" s="181"/>
      <c r="F390" s="181"/>
      <c r="G390" s="182"/>
      <c r="H390" s="177"/>
      <c r="I390" s="183" t="s">
        <v>12</v>
      </c>
      <c r="J390" s="177"/>
      <c r="K390" s="184"/>
    </row>
    <row r="391" spans="1:11">
      <c r="A391" s="179" t="s">
        <v>32</v>
      </c>
      <c r="B391" s="179">
        <v>1886.6398605674001</v>
      </c>
      <c r="C391" s="180">
        <v>2</v>
      </c>
      <c r="D391" s="179">
        <v>7.1999999999999995E-2</v>
      </c>
      <c r="E391" s="181"/>
      <c r="F391" s="181"/>
      <c r="G391" s="182"/>
      <c r="H391" s="177"/>
      <c r="I391" s="183" t="s">
        <v>12</v>
      </c>
      <c r="J391" s="177"/>
      <c r="K391" s="184"/>
    </row>
    <row r="392" spans="1:11">
      <c r="A392" s="179" t="s">
        <v>32</v>
      </c>
      <c r="B392" s="179">
        <v>93.117378737703504</v>
      </c>
      <c r="C392" s="180">
        <v>2</v>
      </c>
      <c r="D392" s="179">
        <v>7.1999999999999995E-2</v>
      </c>
      <c r="E392" s="181"/>
      <c r="F392" s="181"/>
      <c r="G392" s="182"/>
      <c r="H392" s="177"/>
      <c r="I392" s="183" t="s">
        <v>12</v>
      </c>
      <c r="J392" s="177"/>
      <c r="K392" s="184"/>
    </row>
    <row r="393" spans="1:11">
      <c r="A393" s="179" t="s">
        <v>32</v>
      </c>
      <c r="B393" s="179">
        <v>141.700405952518</v>
      </c>
      <c r="C393" s="180">
        <v>2</v>
      </c>
      <c r="D393" s="179">
        <v>7.1999999999999995E-2</v>
      </c>
      <c r="E393" s="181"/>
      <c r="F393" s="181"/>
      <c r="G393" s="182"/>
      <c r="H393" s="177"/>
      <c r="I393" s="183" t="s">
        <v>12</v>
      </c>
      <c r="J393" s="177"/>
      <c r="K393" s="184"/>
    </row>
    <row r="394" spans="1:11">
      <c r="A394" s="179" t="s">
        <v>32</v>
      </c>
      <c r="B394" s="179">
        <v>188.25909532137001</v>
      </c>
      <c r="C394" s="180">
        <v>2</v>
      </c>
      <c r="D394" s="179">
        <v>7.1999999999999995E-2</v>
      </c>
      <c r="E394" s="181"/>
      <c r="F394" s="181"/>
      <c r="G394" s="182"/>
      <c r="H394" s="177"/>
      <c r="I394" s="183" t="s">
        <v>12</v>
      </c>
      <c r="J394" s="177"/>
      <c r="K394" s="184"/>
    </row>
    <row r="395" spans="1:11">
      <c r="A395" s="179" t="s">
        <v>32</v>
      </c>
      <c r="B395" s="179">
        <v>236.842122536185</v>
      </c>
      <c r="C395" s="180">
        <v>2</v>
      </c>
      <c r="D395" s="179">
        <v>7.1999999999999995E-2</v>
      </c>
      <c r="E395" s="181"/>
      <c r="F395" s="181"/>
      <c r="G395" s="182"/>
      <c r="H395" s="177"/>
      <c r="I395" s="183" t="s">
        <v>12</v>
      </c>
      <c r="J395" s="177"/>
      <c r="K395" s="184"/>
    </row>
    <row r="396" spans="1:11">
      <c r="A396" s="179" t="s">
        <v>32</v>
      </c>
      <c r="B396" s="179">
        <v>285.42507253040702</v>
      </c>
      <c r="C396" s="180">
        <v>2</v>
      </c>
      <c r="D396" s="179">
        <v>7.1999999999999995E-2</v>
      </c>
      <c r="E396" s="181"/>
      <c r="F396" s="181"/>
      <c r="G396" s="182"/>
      <c r="H396" s="177"/>
      <c r="I396" s="183" t="s">
        <v>12</v>
      </c>
      <c r="J396" s="177"/>
      <c r="K396" s="184"/>
    </row>
    <row r="397" spans="1:11">
      <c r="A397" s="179" t="s">
        <v>32</v>
      </c>
      <c r="B397" s="179">
        <v>331.98376189925801</v>
      </c>
      <c r="C397" s="180">
        <v>2</v>
      </c>
      <c r="D397" s="179">
        <v>7.1999999999999995E-2</v>
      </c>
      <c r="E397" s="181"/>
      <c r="F397" s="181"/>
      <c r="G397" s="182"/>
      <c r="H397" s="177"/>
      <c r="I397" s="183" t="s">
        <v>12</v>
      </c>
      <c r="J397" s="177"/>
      <c r="K397" s="184"/>
    </row>
    <row r="398" spans="1:11">
      <c r="A398" s="179" t="s">
        <v>32</v>
      </c>
      <c r="B398" s="179">
        <v>376.51826786333299</v>
      </c>
      <c r="C398" s="180">
        <v>2</v>
      </c>
      <c r="D398" s="179">
        <v>7.1999999999999995E-2</v>
      </c>
      <c r="E398" s="181"/>
      <c r="F398" s="181"/>
      <c r="G398" s="182"/>
      <c r="H398" s="177"/>
      <c r="I398" s="183" t="s">
        <v>12</v>
      </c>
      <c r="J398" s="177"/>
      <c r="K398" s="184"/>
    </row>
    <row r="399" spans="1:11">
      <c r="A399" s="179" t="s">
        <v>32</v>
      </c>
      <c r="B399" s="179">
        <v>425.10129507814798</v>
      </c>
      <c r="C399" s="180">
        <v>2</v>
      </c>
      <c r="D399" s="179">
        <v>7.1999999999999995E-2</v>
      </c>
      <c r="E399" s="181"/>
      <c r="F399" s="181"/>
      <c r="G399" s="182"/>
      <c r="H399" s="177"/>
      <c r="I399" s="183" t="s">
        <v>12</v>
      </c>
      <c r="J399" s="177"/>
      <c r="K399" s="184"/>
    </row>
    <row r="400" spans="1:11">
      <c r="A400" s="179" t="s">
        <v>32</v>
      </c>
      <c r="B400" s="179">
        <v>471.65990722640697</v>
      </c>
      <c r="C400" s="180">
        <v>2</v>
      </c>
      <c r="D400" s="179">
        <v>7.1999999999999995E-2</v>
      </c>
      <c r="E400" s="181"/>
      <c r="F400" s="181"/>
      <c r="G400" s="182"/>
      <c r="H400" s="177"/>
      <c r="I400" s="183" t="s">
        <v>12</v>
      </c>
      <c r="J400" s="177"/>
      <c r="K400" s="184"/>
    </row>
    <row r="401" spans="1:11">
      <c r="A401" s="179" t="s">
        <v>32</v>
      </c>
      <c r="B401" s="179">
        <v>522.26719506659197</v>
      </c>
      <c r="C401" s="180">
        <v>2</v>
      </c>
      <c r="D401" s="179">
        <v>7.1999999999999995E-2</v>
      </c>
      <c r="E401" s="181"/>
      <c r="F401" s="181"/>
      <c r="G401" s="182"/>
      <c r="H401" s="177"/>
      <c r="I401" s="183" t="s">
        <v>12</v>
      </c>
      <c r="J401" s="177"/>
      <c r="K401" s="184"/>
    </row>
    <row r="402" spans="1:11">
      <c r="A402" s="179" t="s">
        <v>32</v>
      </c>
      <c r="B402" s="179">
        <v>520.24293444122202</v>
      </c>
      <c r="C402" s="180">
        <v>2</v>
      </c>
      <c r="D402" s="179">
        <v>7.1999999999999995E-2</v>
      </c>
      <c r="E402" s="181"/>
      <c r="F402" s="181"/>
      <c r="G402" s="182"/>
      <c r="H402" s="177"/>
      <c r="I402" s="183" t="s">
        <v>12</v>
      </c>
      <c r="J402" s="177"/>
      <c r="K402" s="184"/>
    </row>
    <row r="403" spans="1:11">
      <c r="A403" s="179" t="s">
        <v>32</v>
      </c>
      <c r="B403" s="179">
        <v>566.801701030667</v>
      </c>
      <c r="C403" s="180">
        <v>2</v>
      </c>
      <c r="D403" s="179">
        <v>7.1999999999999995E-2</v>
      </c>
      <c r="E403" s="181"/>
      <c r="F403" s="181"/>
      <c r="G403" s="182"/>
      <c r="H403" s="177"/>
      <c r="I403" s="183" t="s">
        <v>12</v>
      </c>
      <c r="J403" s="177"/>
      <c r="K403" s="184"/>
    </row>
    <row r="404" spans="1:11">
      <c r="A404" s="179" t="s">
        <v>32</v>
      </c>
      <c r="B404" s="179">
        <v>615.384573804296</v>
      </c>
      <c r="C404" s="180">
        <v>2</v>
      </c>
      <c r="D404" s="179">
        <v>7.1999999999999995E-2</v>
      </c>
      <c r="E404" s="181"/>
      <c r="F404" s="181"/>
      <c r="G404" s="182"/>
      <c r="H404" s="177"/>
      <c r="I404" s="183" t="s">
        <v>12</v>
      </c>
      <c r="J404" s="177"/>
      <c r="K404" s="184"/>
    </row>
    <row r="405" spans="1:11">
      <c r="A405" s="179" t="s">
        <v>32</v>
      </c>
      <c r="B405" s="179">
        <v>659.91907976837001</v>
      </c>
      <c r="C405" s="180">
        <v>2</v>
      </c>
      <c r="D405" s="179">
        <v>7.1999999999999995E-2</v>
      </c>
      <c r="E405" s="181"/>
      <c r="F405" s="181"/>
      <c r="G405" s="182"/>
      <c r="H405" s="177"/>
      <c r="I405" s="183" t="s">
        <v>12</v>
      </c>
      <c r="J405" s="177"/>
      <c r="K405" s="184"/>
    </row>
    <row r="406" spans="1:11">
      <c r="A406" s="179" t="s">
        <v>32</v>
      </c>
      <c r="B406" s="179">
        <v>706.47769191662906</v>
      </c>
      <c r="C406" s="180">
        <v>2</v>
      </c>
      <c r="D406" s="179">
        <v>7.1999999999999995E-2</v>
      </c>
      <c r="E406" s="181"/>
      <c r="F406" s="181"/>
      <c r="G406" s="182"/>
      <c r="H406" s="177"/>
      <c r="I406" s="183" t="s">
        <v>12</v>
      </c>
      <c r="J406" s="177"/>
      <c r="K406" s="184"/>
    </row>
    <row r="407" spans="1:11">
      <c r="A407" s="179" t="s">
        <v>32</v>
      </c>
      <c r="B407" s="179">
        <v>753.03645850607404</v>
      </c>
      <c r="C407" s="180">
        <v>2</v>
      </c>
      <c r="D407" s="179">
        <v>7.1999999999999995E-2</v>
      </c>
      <c r="E407" s="181"/>
      <c r="F407" s="181"/>
      <c r="G407" s="182"/>
      <c r="H407" s="177"/>
      <c r="I407" s="183" t="s">
        <v>12</v>
      </c>
      <c r="J407" s="177"/>
      <c r="K407" s="184"/>
    </row>
    <row r="408" spans="1:11">
      <c r="A408" s="179" t="s">
        <v>32</v>
      </c>
      <c r="B408" s="179">
        <v>803.64374634625904</v>
      </c>
      <c r="C408" s="180">
        <v>2</v>
      </c>
      <c r="D408" s="179">
        <v>7.1999999999999995E-2</v>
      </c>
      <c r="E408" s="181"/>
      <c r="F408" s="181"/>
      <c r="G408" s="182"/>
      <c r="H408" s="177"/>
      <c r="I408" s="183" t="s">
        <v>12</v>
      </c>
      <c r="J408" s="177"/>
      <c r="K408" s="184"/>
    </row>
    <row r="409" spans="1:11">
      <c r="A409" s="179" t="s">
        <v>32</v>
      </c>
      <c r="B409" s="179">
        <v>850.20251293570402</v>
      </c>
      <c r="C409" s="180">
        <v>2</v>
      </c>
      <c r="D409" s="179">
        <v>7.1999999999999995E-2</v>
      </c>
      <c r="E409" s="181"/>
      <c r="F409" s="181"/>
      <c r="G409" s="182"/>
      <c r="H409" s="177"/>
      <c r="I409" s="183" t="s">
        <v>12</v>
      </c>
      <c r="J409" s="177"/>
      <c r="K409" s="184"/>
    </row>
    <row r="410" spans="1:11">
      <c r="A410" s="179" t="s">
        <v>32</v>
      </c>
      <c r="B410" s="179">
        <v>848.178097869147</v>
      </c>
      <c r="C410" s="180">
        <v>2</v>
      </c>
      <c r="D410" s="179">
        <v>7.1999999999999995E-2</v>
      </c>
      <c r="E410" s="181"/>
      <c r="F410" s="181"/>
      <c r="G410" s="182"/>
      <c r="H410" s="177"/>
      <c r="I410" s="183" t="s">
        <v>12</v>
      </c>
      <c r="J410" s="177"/>
      <c r="K410" s="184"/>
    </row>
    <row r="411" spans="1:11">
      <c r="A411" s="179" t="s">
        <v>32</v>
      </c>
      <c r="B411" s="179">
        <v>900.80980077588902</v>
      </c>
      <c r="C411" s="180">
        <v>2</v>
      </c>
      <c r="D411" s="179">
        <v>7.1999999999999995E-2</v>
      </c>
      <c r="E411" s="181"/>
      <c r="F411" s="181"/>
      <c r="G411" s="182"/>
      <c r="H411" s="177"/>
      <c r="I411" s="183" t="s">
        <v>12</v>
      </c>
      <c r="J411" s="177"/>
      <c r="K411" s="184"/>
    </row>
    <row r="412" spans="1:11">
      <c r="A412" s="179" t="s">
        <v>32</v>
      </c>
      <c r="B412" s="179">
        <v>898.78538570000001</v>
      </c>
      <c r="C412" s="180">
        <v>2</v>
      </c>
      <c r="D412" s="179">
        <v>7.1999999999999995E-2</v>
      </c>
      <c r="E412" s="181"/>
      <c r="F412" s="181"/>
      <c r="G412" s="182"/>
      <c r="H412" s="177"/>
      <c r="I412" s="183" t="s">
        <v>12</v>
      </c>
      <c r="J412" s="177"/>
      <c r="K412" s="184"/>
    </row>
    <row r="413" spans="1:11">
      <c r="A413" s="179" t="s">
        <v>32</v>
      </c>
      <c r="B413" s="179">
        <v>896.76112508396204</v>
      </c>
      <c r="C413" s="180">
        <v>2</v>
      </c>
      <c r="D413" s="179">
        <v>7.1999999999999995E-2</v>
      </c>
      <c r="E413" s="181"/>
      <c r="F413" s="181"/>
      <c r="G413" s="182"/>
      <c r="H413" s="177"/>
      <c r="I413" s="183" t="s">
        <v>12</v>
      </c>
      <c r="J413" s="177"/>
      <c r="K413" s="184"/>
    </row>
    <row r="414" spans="1:11">
      <c r="A414" s="179" t="s">
        <v>32</v>
      </c>
      <c r="B414" s="179">
        <v>894.73686445859198</v>
      </c>
      <c r="C414" s="180">
        <v>2</v>
      </c>
      <c r="D414" s="179">
        <v>7.1999999999999995E-2</v>
      </c>
      <c r="E414" s="181"/>
      <c r="F414" s="181"/>
      <c r="G414" s="182"/>
      <c r="H414" s="177"/>
      <c r="I414" s="183" t="s">
        <v>12</v>
      </c>
      <c r="J414" s="177"/>
      <c r="K414" s="184"/>
    </row>
    <row r="415" spans="1:11">
      <c r="A415" s="179" t="s">
        <v>32</v>
      </c>
      <c r="B415" s="179">
        <v>945.34415229877698</v>
      </c>
      <c r="C415" s="180">
        <v>2</v>
      </c>
      <c r="D415" s="179">
        <v>7.1999999999999995E-2</v>
      </c>
      <c r="E415" s="181"/>
      <c r="F415" s="181"/>
      <c r="G415" s="182"/>
      <c r="H415" s="177"/>
      <c r="I415" s="183" t="s">
        <v>12</v>
      </c>
      <c r="J415" s="177"/>
      <c r="K415" s="184"/>
    </row>
    <row r="416" spans="1:11">
      <c r="A416" s="179" t="s">
        <v>32</v>
      </c>
      <c r="B416" s="179">
        <v>943.31989167340703</v>
      </c>
      <c r="C416" s="180">
        <v>2</v>
      </c>
      <c r="D416" s="179">
        <v>7.1999999999999995E-2</v>
      </c>
      <c r="E416" s="181"/>
      <c r="F416" s="181"/>
      <c r="G416" s="182"/>
      <c r="H416" s="177"/>
      <c r="I416" s="183" t="s">
        <v>12</v>
      </c>
      <c r="J416" s="177"/>
      <c r="K416" s="184"/>
    </row>
    <row r="417" spans="1:11">
      <c r="A417" s="179" t="s">
        <v>32</v>
      </c>
      <c r="B417" s="179">
        <v>941.29563104803697</v>
      </c>
      <c r="C417" s="180">
        <v>2</v>
      </c>
      <c r="D417" s="179">
        <v>7.1999999999999995E-2</v>
      </c>
      <c r="E417" s="181"/>
      <c r="F417" s="181"/>
      <c r="G417" s="182"/>
      <c r="H417" s="177"/>
      <c r="I417" s="183" t="s">
        <v>12</v>
      </c>
      <c r="J417" s="177"/>
      <c r="K417" s="184"/>
    </row>
    <row r="418" spans="1:11">
      <c r="A418" s="179" t="s">
        <v>32</v>
      </c>
      <c r="B418" s="179">
        <v>1036.4372704111099</v>
      </c>
      <c r="C418" s="180">
        <v>2</v>
      </c>
      <c r="D418" s="179">
        <v>7.1999999999999995E-2</v>
      </c>
      <c r="E418" s="181"/>
      <c r="F418" s="181"/>
      <c r="G418" s="182"/>
      <c r="H418" s="177"/>
      <c r="I418" s="183" t="s">
        <v>12</v>
      </c>
      <c r="J418" s="177"/>
      <c r="K418" s="184"/>
    </row>
    <row r="419" spans="1:11">
      <c r="A419" s="179" t="s">
        <v>32</v>
      </c>
      <c r="B419" s="179">
        <v>1133.60332484074</v>
      </c>
      <c r="C419" s="180">
        <v>2</v>
      </c>
      <c r="D419" s="179">
        <v>7.1999999999999995E-2</v>
      </c>
      <c r="E419" s="181"/>
      <c r="F419" s="181"/>
      <c r="G419" s="182"/>
      <c r="H419" s="177"/>
      <c r="I419" s="183" t="s">
        <v>12</v>
      </c>
      <c r="J419" s="177"/>
      <c r="K419" s="184"/>
    </row>
    <row r="420" spans="1:11">
      <c r="A420" s="179" t="s">
        <v>32</v>
      </c>
      <c r="B420" s="179">
        <v>1131.5789097741799</v>
      </c>
      <c r="C420" s="180">
        <v>2</v>
      </c>
      <c r="D420" s="179">
        <v>7.1999999999999995E-2</v>
      </c>
      <c r="E420" s="181"/>
      <c r="F420" s="181"/>
      <c r="G420" s="182"/>
      <c r="H420" s="177"/>
      <c r="I420" s="183" t="s">
        <v>12</v>
      </c>
      <c r="J420" s="177"/>
      <c r="K420" s="184"/>
    </row>
    <row r="421" spans="1:11">
      <c r="A421" s="179" t="s">
        <v>32</v>
      </c>
      <c r="B421" s="179">
        <v>1224.6964429530699</v>
      </c>
      <c r="C421" s="180">
        <v>2</v>
      </c>
      <c r="D421" s="179">
        <v>7.1999999999999995E-2</v>
      </c>
      <c r="E421" s="181"/>
      <c r="F421" s="181"/>
      <c r="G421" s="182"/>
      <c r="H421" s="177"/>
      <c r="I421" s="183" t="s">
        <v>12</v>
      </c>
      <c r="J421" s="177"/>
      <c r="K421" s="184"/>
    </row>
    <row r="422" spans="1:11">
      <c r="A422" s="179" t="s">
        <v>32</v>
      </c>
      <c r="B422" s="179">
        <v>1323.88660356688</v>
      </c>
      <c r="C422" s="180">
        <v>2</v>
      </c>
      <c r="D422" s="179">
        <v>7.1999999999999995E-2</v>
      </c>
      <c r="E422" s="181"/>
      <c r="F422" s="181"/>
      <c r="G422" s="182"/>
      <c r="H422" s="177"/>
      <c r="I422" s="183" t="s">
        <v>12</v>
      </c>
      <c r="J422" s="177"/>
      <c r="K422" s="184"/>
    </row>
    <row r="423" spans="1:11">
      <c r="A423" s="179" t="s">
        <v>32</v>
      </c>
      <c r="B423" s="179">
        <v>1321.86234294151</v>
      </c>
      <c r="C423" s="180">
        <v>2</v>
      </c>
      <c r="D423" s="179">
        <v>7.1999999999999995E-2</v>
      </c>
      <c r="E423" s="181"/>
      <c r="F423" s="181"/>
      <c r="G423" s="182"/>
      <c r="H423" s="177"/>
      <c r="I423" s="183" t="s">
        <v>12</v>
      </c>
      <c r="J423" s="177"/>
      <c r="K423" s="184"/>
    </row>
    <row r="424" spans="1:11">
      <c r="A424" s="179" t="s">
        <v>32</v>
      </c>
      <c r="B424" s="179">
        <v>1512.14577610885</v>
      </c>
      <c r="C424" s="180">
        <v>2</v>
      </c>
      <c r="D424" s="179">
        <v>7.1999999999999995E-2</v>
      </c>
      <c r="E424" s="181"/>
      <c r="F424" s="181"/>
      <c r="G424" s="182"/>
      <c r="H424" s="177"/>
      <c r="I424" s="183" t="s">
        <v>12</v>
      </c>
      <c r="J424" s="177"/>
      <c r="K424" s="184"/>
    </row>
    <row r="425" spans="1:11">
      <c r="A425" s="179" t="s">
        <v>32</v>
      </c>
      <c r="B425" s="179">
        <v>1506.07283979155</v>
      </c>
      <c r="C425" s="180">
        <v>2</v>
      </c>
      <c r="D425" s="179">
        <v>7.1999999999999995E-2</v>
      </c>
      <c r="E425" s="181"/>
      <c r="F425" s="181"/>
      <c r="G425" s="182"/>
      <c r="H425" s="177"/>
      <c r="I425" s="183" t="s">
        <v>12</v>
      </c>
      <c r="J425" s="177"/>
      <c r="K425" s="184"/>
    </row>
    <row r="426" spans="1:11">
      <c r="A426" s="179" t="s">
        <v>32</v>
      </c>
      <c r="B426" s="179">
        <v>1510.1215154834799</v>
      </c>
      <c r="C426" s="180">
        <v>2</v>
      </c>
      <c r="D426" s="179">
        <v>7.1999999999999995E-2</v>
      </c>
      <c r="E426" s="181"/>
      <c r="F426" s="181"/>
      <c r="G426" s="182"/>
      <c r="H426" s="177"/>
      <c r="I426" s="183" t="s">
        <v>12</v>
      </c>
      <c r="J426" s="177"/>
      <c r="K426" s="184"/>
    </row>
    <row r="427" spans="1:11">
      <c r="A427" s="179" t="s">
        <v>32</v>
      </c>
      <c r="B427" s="179">
        <v>1884.61544550085</v>
      </c>
      <c r="C427" s="180">
        <v>2</v>
      </c>
      <c r="D427" s="179">
        <v>7.1999999999999995E-2</v>
      </c>
      <c r="E427" s="181"/>
      <c r="F427" s="181"/>
      <c r="G427" s="182"/>
      <c r="H427" s="177"/>
      <c r="I427" s="183" t="s">
        <v>12</v>
      </c>
      <c r="J427" s="177"/>
      <c r="K427" s="184"/>
    </row>
    <row r="428" spans="1:11">
      <c r="A428" s="179" t="s">
        <v>32</v>
      </c>
      <c r="B428" s="179">
        <v>1886.6398605674001</v>
      </c>
      <c r="C428" s="180">
        <v>2</v>
      </c>
      <c r="D428" s="179">
        <v>7.1999999999999995E-2</v>
      </c>
      <c r="E428" s="181"/>
      <c r="F428" s="181"/>
      <c r="G428" s="182"/>
      <c r="H428" s="177"/>
      <c r="I428" s="183" t="s">
        <v>12</v>
      </c>
      <c r="J428" s="177"/>
      <c r="K428" s="184"/>
    </row>
    <row r="429" spans="1:11">
      <c r="A429" s="179" t="s">
        <v>32</v>
      </c>
      <c r="B429" s="179">
        <v>1890.68838181814</v>
      </c>
      <c r="C429" s="180">
        <v>2</v>
      </c>
      <c r="D429" s="179">
        <v>7.1999999999999995E-2</v>
      </c>
      <c r="E429" s="181"/>
      <c r="F429" s="181"/>
      <c r="G429" s="182"/>
      <c r="H429" s="177"/>
      <c r="I429" s="183" t="s">
        <v>12</v>
      </c>
      <c r="J429" s="177"/>
      <c r="K429" s="184"/>
    </row>
    <row r="430" spans="1:11">
      <c r="A430" s="179" t="s">
        <v>32</v>
      </c>
      <c r="B430" s="179">
        <v>1888.6639667515899</v>
      </c>
      <c r="C430" s="180">
        <v>2</v>
      </c>
      <c r="D430" s="179">
        <v>7.1999999999999995E-2</v>
      </c>
      <c r="E430" s="181"/>
      <c r="F430" s="181"/>
      <c r="G430" s="182"/>
      <c r="H430" s="177"/>
      <c r="I430" s="183" t="s">
        <v>12</v>
      </c>
      <c r="J430" s="177"/>
      <c r="K430" s="184"/>
    </row>
    <row r="431" spans="1:11">
      <c r="A431" s="179" t="s">
        <v>32</v>
      </c>
      <c r="B431" s="179">
        <v>69.364127859999996</v>
      </c>
      <c r="C431" s="180">
        <v>4</v>
      </c>
      <c r="D431" s="179">
        <v>7.1999999999999995E-2</v>
      </c>
      <c r="E431" s="181"/>
      <c r="F431" s="181"/>
      <c r="G431" s="182"/>
      <c r="H431" s="177"/>
      <c r="I431" s="183" t="s">
        <v>12</v>
      </c>
      <c r="J431" s="177"/>
      <c r="K431" s="184"/>
    </row>
    <row r="432" spans="1:11">
      <c r="A432" s="179" t="s">
        <v>32</v>
      </c>
      <c r="B432" s="179">
        <v>146.43541370664701</v>
      </c>
      <c r="C432" s="180">
        <v>4</v>
      </c>
      <c r="D432" s="179">
        <v>7.1999999999999995E-2</v>
      </c>
      <c r="E432" s="181"/>
      <c r="F432" s="181"/>
      <c r="G432" s="182"/>
      <c r="H432" s="177"/>
      <c r="I432" s="183" t="s">
        <v>12</v>
      </c>
      <c r="J432" s="177"/>
      <c r="K432" s="184"/>
    </row>
    <row r="433" spans="1:11">
      <c r="A433" s="179" t="s">
        <v>32</v>
      </c>
      <c r="B433" s="179">
        <v>223.506699552442</v>
      </c>
      <c r="C433" s="180">
        <v>4</v>
      </c>
      <c r="D433" s="179">
        <v>7.1999999999999995E-2</v>
      </c>
      <c r="E433" s="181"/>
      <c r="F433" s="181"/>
      <c r="G433" s="182"/>
      <c r="H433" s="177"/>
      <c r="I433" s="183" t="s">
        <v>12</v>
      </c>
      <c r="J433" s="177"/>
      <c r="K433" s="184"/>
    </row>
    <row r="434" spans="1:11">
      <c r="A434" s="179" t="s">
        <v>32</v>
      </c>
      <c r="B434" s="179">
        <v>265.895847966904</v>
      </c>
      <c r="C434" s="180">
        <v>4</v>
      </c>
      <c r="D434" s="179">
        <v>7.1999999999999995E-2</v>
      </c>
      <c r="E434" s="181"/>
      <c r="F434" s="181"/>
      <c r="G434" s="182"/>
      <c r="H434" s="177"/>
      <c r="I434" s="183" t="s">
        <v>12</v>
      </c>
      <c r="J434" s="177"/>
      <c r="K434" s="184"/>
    </row>
    <row r="435" spans="1:11">
      <c r="A435" s="179" t="s">
        <v>32</v>
      </c>
      <c r="B435" s="179">
        <v>300.57798539823602</v>
      </c>
      <c r="C435" s="180">
        <v>4</v>
      </c>
      <c r="D435" s="179">
        <v>7.1999999999999995E-2</v>
      </c>
      <c r="E435" s="181"/>
      <c r="F435" s="181"/>
      <c r="G435" s="182"/>
      <c r="H435" s="177"/>
      <c r="I435" s="183" t="s">
        <v>12</v>
      </c>
      <c r="J435" s="177"/>
      <c r="K435" s="184"/>
    </row>
    <row r="436" spans="1:11">
      <c r="A436" s="179" t="s">
        <v>32</v>
      </c>
      <c r="B436" s="179">
        <v>335.25997582775699</v>
      </c>
      <c r="C436" s="180">
        <v>4</v>
      </c>
      <c r="D436" s="179">
        <v>7.1999999999999995E-2</v>
      </c>
      <c r="E436" s="181"/>
      <c r="F436" s="181"/>
      <c r="G436" s="182"/>
      <c r="H436" s="177"/>
      <c r="I436" s="183" t="s">
        <v>12</v>
      </c>
      <c r="J436" s="177"/>
      <c r="K436" s="184"/>
    </row>
    <row r="437" spans="1:11">
      <c r="A437" s="179" t="s">
        <v>32</v>
      </c>
      <c r="B437" s="179">
        <v>369.94211325908901</v>
      </c>
      <c r="C437" s="180">
        <v>4</v>
      </c>
      <c r="D437" s="179">
        <v>7.1999999999999995E-2</v>
      </c>
      <c r="E437" s="181"/>
      <c r="F437" s="181"/>
      <c r="G437" s="182"/>
      <c r="H437" s="177"/>
      <c r="I437" s="183" t="s">
        <v>12</v>
      </c>
      <c r="J437" s="177"/>
      <c r="K437" s="184"/>
    </row>
    <row r="438" spans="1:11">
      <c r="A438" s="179" t="s">
        <v>32</v>
      </c>
      <c r="B438" s="179">
        <v>416.18491416692802</v>
      </c>
      <c r="C438" s="180">
        <v>4</v>
      </c>
      <c r="D438" s="179">
        <v>7.1999999999999995E-2</v>
      </c>
      <c r="E438" s="181"/>
      <c r="F438" s="181"/>
      <c r="G438" s="182"/>
      <c r="H438" s="177"/>
      <c r="I438" s="183" t="s">
        <v>12</v>
      </c>
      <c r="J438" s="177"/>
      <c r="K438" s="184"/>
    </row>
    <row r="439" spans="1:11">
      <c r="A439" s="179" t="s">
        <v>32</v>
      </c>
      <c r="B439" s="179">
        <v>412.33126167355101</v>
      </c>
      <c r="C439" s="180">
        <v>4</v>
      </c>
      <c r="D439" s="179">
        <v>7.1999999999999995E-2</v>
      </c>
      <c r="E439" s="181"/>
      <c r="F439" s="181"/>
      <c r="G439" s="182"/>
      <c r="H439" s="177"/>
      <c r="I439" s="183" t="s">
        <v>12</v>
      </c>
      <c r="J439" s="177"/>
      <c r="K439" s="184"/>
    </row>
    <row r="440" spans="1:11">
      <c r="A440" s="179" t="s">
        <v>32</v>
      </c>
      <c r="B440" s="179">
        <v>489.402547519346</v>
      </c>
      <c r="C440" s="180">
        <v>4</v>
      </c>
      <c r="D440" s="179">
        <v>7.1999999999999995E-2</v>
      </c>
      <c r="E440" s="181"/>
      <c r="F440" s="181"/>
      <c r="G440" s="182"/>
      <c r="H440" s="177"/>
      <c r="I440" s="183" t="s">
        <v>12</v>
      </c>
      <c r="J440" s="177"/>
      <c r="K440" s="184"/>
    </row>
    <row r="441" spans="1:11">
      <c r="A441" s="179" t="s">
        <v>32</v>
      </c>
      <c r="B441" s="179">
        <v>470.13472605789701</v>
      </c>
      <c r="C441" s="180">
        <v>4</v>
      </c>
      <c r="D441" s="179">
        <v>7.1999999999999995E-2</v>
      </c>
      <c r="E441" s="181"/>
      <c r="F441" s="181"/>
      <c r="G441" s="182"/>
      <c r="H441" s="177"/>
      <c r="I441" s="183" t="s">
        <v>12</v>
      </c>
      <c r="J441" s="177"/>
      <c r="K441" s="184"/>
    </row>
    <row r="442" spans="1:11">
      <c r="A442" s="179" t="s">
        <v>32</v>
      </c>
      <c r="B442" s="179">
        <v>531.79184293562002</v>
      </c>
      <c r="C442" s="180">
        <v>4</v>
      </c>
      <c r="D442" s="179">
        <v>7.1999999999999995E-2</v>
      </c>
      <c r="E442" s="181"/>
      <c r="F442" s="181"/>
      <c r="G442" s="182"/>
      <c r="H442" s="177"/>
      <c r="I442" s="183" t="s">
        <v>12</v>
      </c>
      <c r="J442" s="177"/>
      <c r="K442" s="184"/>
    </row>
    <row r="443" spans="1:11">
      <c r="A443" s="179" t="s">
        <v>32</v>
      </c>
      <c r="B443" s="179">
        <v>524.08468495067802</v>
      </c>
      <c r="C443" s="180">
        <v>4</v>
      </c>
      <c r="D443" s="179">
        <v>7.1999999999999995E-2</v>
      </c>
      <c r="E443" s="181"/>
      <c r="F443" s="181"/>
      <c r="G443" s="182"/>
      <c r="H443" s="177"/>
      <c r="I443" s="183" t="s">
        <v>12</v>
      </c>
      <c r="J443" s="177"/>
      <c r="K443" s="184"/>
    </row>
    <row r="444" spans="1:11">
      <c r="A444" s="179" t="s">
        <v>32</v>
      </c>
      <c r="B444" s="179">
        <v>570.32748585851698</v>
      </c>
      <c r="C444" s="180">
        <v>4</v>
      </c>
      <c r="D444" s="179">
        <v>7.1999999999999995E-2</v>
      </c>
      <c r="E444" s="181"/>
      <c r="F444" s="181"/>
      <c r="G444" s="182"/>
      <c r="H444" s="177"/>
      <c r="I444" s="183" t="s">
        <v>12</v>
      </c>
      <c r="J444" s="177"/>
      <c r="K444" s="184"/>
    </row>
    <row r="445" spans="1:11">
      <c r="A445" s="179" t="s">
        <v>32</v>
      </c>
      <c r="B445" s="179">
        <v>566.47383336513997</v>
      </c>
      <c r="C445" s="180">
        <v>4</v>
      </c>
      <c r="D445" s="179">
        <v>7.1999999999999995E-2</v>
      </c>
      <c r="E445" s="181"/>
      <c r="F445" s="181"/>
      <c r="G445" s="182"/>
      <c r="H445" s="177"/>
      <c r="I445" s="183" t="s">
        <v>12</v>
      </c>
      <c r="J445" s="177"/>
      <c r="K445" s="184"/>
    </row>
    <row r="446" spans="1:11">
      <c r="A446" s="179" t="s">
        <v>32</v>
      </c>
      <c r="B446" s="179">
        <v>616.57028676635605</v>
      </c>
      <c r="C446" s="180">
        <v>4</v>
      </c>
      <c r="D446" s="179">
        <v>7.1999999999999995E-2</v>
      </c>
      <c r="E446" s="181"/>
      <c r="F446" s="181"/>
      <c r="G446" s="182"/>
      <c r="H446" s="177"/>
      <c r="I446" s="183" t="s">
        <v>12</v>
      </c>
      <c r="J446" s="177"/>
      <c r="K446" s="184"/>
    </row>
    <row r="447" spans="1:11">
      <c r="A447" s="179" t="s">
        <v>32</v>
      </c>
      <c r="B447" s="179">
        <v>612.71663427297904</v>
      </c>
      <c r="C447" s="180">
        <v>4</v>
      </c>
      <c r="D447" s="179">
        <v>7.1999999999999995E-2</v>
      </c>
      <c r="E447" s="181"/>
      <c r="F447" s="181"/>
      <c r="G447" s="182"/>
      <c r="H447" s="177"/>
      <c r="I447" s="183" t="s">
        <v>12</v>
      </c>
      <c r="J447" s="177"/>
      <c r="K447" s="184"/>
    </row>
    <row r="448" spans="1:11">
      <c r="A448" s="179" t="s">
        <v>32</v>
      </c>
      <c r="B448" s="179">
        <v>674.37375115070199</v>
      </c>
      <c r="C448" s="180">
        <v>4</v>
      </c>
      <c r="D448" s="179">
        <v>7.1999999999999995E-2</v>
      </c>
      <c r="E448" s="181"/>
      <c r="F448" s="181"/>
      <c r="G448" s="182"/>
      <c r="H448" s="177"/>
      <c r="I448" s="183" t="s">
        <v>12</v>
      </c>
      <c r="J448" s="177"/>
      <c r="K448" s="184"/>
    </row>
    <row r="449" spans="1:11">
      <c r="A449" s="179" t="s">
        <v>32</v>
      </c>
      <c r="B449" s="179">
        <v>670.52009865732498</v>
      </c>
      <c r="C449" s="180">
        <v>4</v>
      </c>
      <c r="D449" s="179">
        <v>7.1999999999999995E-2</v>
      </c>
      <c r="E449" s="181"/>
      <c r="F449" s="181"/>
      <c r="G449" s="182"/>
      <c r="H449" s="177"/>
      <c r="I449" s="183" t="s">
        <v>12</v>
      </c>
      <c r="J449" s="177"/>
      <c r="K449" s="184"/>
    </row>
    <row r="450" spans="1:11">
      <c r="A450" s="179" t="s">
        <v>32</v>
      </c>
      <c r="B450" s="179">
        <v>674.37375115070199</v>
      </c>
      <c r="C450" s="180">
        <v>4</v>
      </c>
      <c r="D450" s="179">
        <v>7.1999999999999995E-2</v>
      </c>
      <c r="E450" s="181"/>
      <c r="F450" s="181"/>
      <c r="G450" s="182"/>
      <c r="H450" s="177"/>
      <c r="I450" s="183" t="s">
        <v>12</v>
      </c>
      <c r="J450" s="177"/>
      <c r="K450" s="184"/>
    </row>
    <row r="451" spans="1:11">
      <c r="A451" s="179" t="s">
        <v>32</v>
      </c>
      <c r="B451" s="179">
        <v>658.95943520000003</v>
      </c>
      <c r="C451" s="180">
        <v>4</v>
      </c>
      <c r="D451" s="179">
        <v>7.1999999999999995E-2</v>
      </c>
      <c r="E451" s="181"/>
      <c r="F451" s="181"/>
      <c r="G451" s="182"/>
      <c r="H451" s="177"/>
      <c r="I451" s="183" t="s">
        <v>12</v>
      </c>
      <c r="J451" s="177"/>
      <c r="K451" s="184"/>
    </row>
    <row r="452" spans="1:11">
      <c r="A452" s="179" t="s">
        <v>32</v>
      </c>
      <c r="B452" s="179">
        <v>755.29868948987303</v>
      </c>
      <c r="C452" s="180">
        <v>4</v>
      </c>
      <c r="D452" s="179">
        <v>7.1999999999999995E-2</v>
      </c>
      <c r="E452" s="181"/>
      <c r="F452" s="181"/>
      <c r="G452" s="182"/>
      <c r="H452" s="177"/>
      <c r="I452" s="183" t="s">
        <v>12</v>
      </c>
      <c r="J452" s="177"/>
      <c r="K452" s="184"/>
    </row>
    <row r="453" spans="1:11">
      <c r="A453" s="179" t="s">
        <v>32</v>
      </c>
      <c r="B453" s="179">
        <v>747.59138450312003</v>
      </c>
      <c r="C453" s="180">
        <v>4</v>
      </c>
      <c r="D453" s="179">
        <v>7.1999999999999995E-2</v>
      </c>
      <c r="E453" s="181"/>
      <c r="F453" s="181"/>
      <c r="G453" s="182"/>
      <c r="H453" s="177"/>
      <c r="I453" s="183" t="s">
        <v>12</v>
      </c>
      <c r="J453" s="177"/>
      <c r="K453" s="184"/>
    </row>
    <row r="454" spans="1:11">
      <c r="A454" s="179" t="s">
        <v>32</v>
      </c>
      <c r="B454" s="179">
        <v>747.59138450312003</v>
      </c>
      <c r="C454" s="180">
        <v>4</v>
      </c>
      <c r="D454" s="179">
        <v>7.1999999999999995E-2</v>
      </c>
      <c r="E454" s="181"/>
      <c r="F454" s="181"/>
      <c r="G454" s="182"/>
      <c r="H454" s="177"/>
      <c r="I454" s="183" t="s">
        <v>12</v>
      </c>
      <c r="J454" s="177"/>
      <c r="K454" s="184"/>
    </row>
    <row r="455" spans="1:11">
      <c r="A455" s="179" t="s">
        <v>32</v>
      </c>
      <c r="B455" s="179">
        <v>1132.94781373209</v>
      </c>
      <c r="C455" s="180">
        <v>4</v>
      </c>
      <c r="D455" s="179">
        <v>7.1999999999999995E-2</v>
      </c>
      <c r="E455" s="181"/>
      <c r="F455" s="181"/>
      <c r="G455" s="182"/>
      <c r="H455" s="177"/>
      <c r="I455" s="183" t="s">
        <v>12</v>
      </c>
      <c r="J455" s="177"/>
      <c r="K455" s="184"/>
    </row>
    <row r="456" spans="1:11">
      <c r="A456" s="179" t="s">
        <v>32</v>
      </c>
      <c r="B456" s="179">
        <v>1129.0943082405199</v>
      </c>
      <c r="C456" s="180">
        <v>4</v>
      </c>
      <c r="D456" s="179">
        <v>7.1999999999999995E-2</v>
      </c>
      <c r="E456" s="181"/>
      <c r="F456" s="181"/>
      <c r="G456" s="182"/>
      <c r="H456" s="177"/>
      <c r="I456" s="183" t="s">
        <v>12</v>
      </c>
      <c r="J456" s="177"/>
      <c r="K456" s="184"/>
    </row>
    <row r="457" spans="1:11">
      <c r="A457" s="179" t="s">
        <v>32</v>
      </c>
      <c r="B457" s="179">
        <v>1136.8013192236499</v>
      </c>
      <c r="C457" s="180">
        <v>4</v>
      </c>
      <c r="D457" s="179">
        <v>7.1999999999999995E-2</v>
      </c>
      <c r="E457" s="181"/>
      <c r="F457" s="181"/>
      <c r="G457" s="182"/>
      <c r="H457" s="177"/>
      <c r="I457" s="183" t="s">
        <v>12</v>
      </c>
      <c r="J457" s="177"/>
      <c r="K457" s="184"/>
    </row>
    <row r="458" spans="1:11">
      <c r="A458" s="179" t="s">
        <v>32</v>
      </c>
      <c r="B458" s="179">
        <v>1132.94781373209</v>
      </c>
      <c r="C458" s="180">
        <v>4</v>
      </c>
      <c r="D458" s="179">
        <v>7.1999999999999995E-2</v>
      </c>
      <c r="E458" s="181"/>
      <c r="F458" s="181"/>
      <c r="G458" s="182"/>
      <c r="H458" s="177"/>
      <c r="I458" s="183" t="s">
        <v>12</v>
      </c>
      <c r="J458" s="177"/>
      <c r="K458" s="184"/>
    </row>
    <row r="459" spans="1:11">
      <c r="A459" s="179" t="s">
        <v>32</v>
      </c>
      <c r="B459" s="179">
        <v>1129.0943082405199</v>
      </c>
      <c r="C459" s="180">
        <v>4</v>
      </c>
      <c r="D459" s="179">
        <v>7.1999999999999995E-2</v>
      </c>
      <c r="E459" s="181"/>
      <c r="F459" s="181"/>
      <c r="G459" s="182"/>
      <c r="H459" s="177"/>
      <c r="I459" s="183" t="s">
        <v>12</v>
      </c>
      <c r="J459" s="177"/>
      <c r="K459" s="184"/>
    </row>
    <row r="460" spans="1:11">
      <c r="A460" s="179" t="s">
        <v>32</v>
      </c>
      <c r="B460" s="179">
        <v>1125.24080274896</v>
      </c>
      <c r="C460" s="180">
        <v>4</v>
      </c>
      <c r="D460" s="179">
        <v>7.1999999999999995E-2</v>
      </c>
      <c r="E460" s="181"/>
      <c r="F460" s="181"/>
      <c r="G460" s="182"/>
      <c r="H460" s="177"/>
      <c r="I460" s="183" t="s">
        <v>12</v>
      </c>
      <c r="J460" s="177"/>
      <c r="K460" s="184"/>
    </row>
    <row r="461" spans="1:11">
      <c r="A461" s="179" t="s">
        <v>32</v>
      </c>
      <c r="B461" s="179">
        <v>1506.74372648637</v>
      </c>
      <c r="C461" s="180">
        <v>4</v>
      </c>
      <c r="D461" s="179">
        <v>7.1999999999999995E-2</v>
      </c>
      <c r="E461" s="181"/>
      <c r="F461" s="181"/>
      <c r="G461" s="182"/>
      <c r="H461" s="177"/>
      <c r="I461" s="183" t="s">
        <v>12</v>
      </c>
      <c r="J461" s="177"/>
      <c r="K461" s="184"/>
    </row>
    <row r="462" spans="1:11">
      <c r="A462" s="179" t="s">
        <v>32</v>
      </c>
      <c r="B462" s="179">
        <v>1510.5972319779301</v>
      </c>
      <c r="C462" s="180">
        <v>4</v>
      </c>
      <c r="D462" s="179">
        <v>7.1999999999999995E-2</v>
      </c>
      <c r="E462" s="181"/>
      <c r="F462" s="181"/>
      <c r="G462" s="182"/>
      <c r="H462" s="177"/>
      <c r="I462" s="183" t="s">
        <v>12</v>
      </c>
      <c r="J462" s="177"/>
      <c r="K462" s="184"/>
    </row>
    <row r="463" spans="1:11">
      <c r="A463" s="179" t="s">
        <v>32</v>
      </c>
      <c r="B463" s="179">
        <v>2258.1887634828599</v>
      </c>
      <c r="C463" s="180">
        <v>4</v>
      </c>
      <c r="D463" s="179">
        <v>7.1999999999999995E-2</v>
      </c>
      <c r="E463" s="181"/>
      <c r="F463" s="181"/>
      <c r="G463" s="182"/>
      <c r="H463" s="177"/>
      <c r="I463" s="183" t="s">
        <v>12</v>
      </c>
      <c r="J463" s="177"/>
      <c r="K463" s="184"/>
    </row>
    <row r="464" spans="1:11">
      <c r="A464" s="179" t="s">
        <v>32</v>
      </c>
      <c r="B464" s="179">
        <v>3009.6338004793602</v>
      </c>
      <c r="C464" s="180">
        <v>4</v>
      </c>
      <c r="D464" s="179">
        <v>7.1999999999999995E-2</v>
      </c>
      <c r="E464" s="181"/>
      <c r="F464" s="181"/>
      <c r="G464" s="182"/>
      <c r="H464" s="177"/>
      <c r="I464" s="183" t="s">
        <v>12</v>
      </c>
      <c r="J464" s="177"/>
      <c r="K464" s="184"/>
    </row>
    <row r="465" spans="1:11">
      <c r="A465" s="179" t="s">
        <v>32</v>
      </c>
      <c r="B465" s="179">
        <v>3013.4873059709298</v>
      </c>
      <c r="C465" s="180">
        <v>4</v>
      </c>
      <c r="D465" s="179">
        <v>7.1999999999999995E-2</v>
      </c>
      <c r="E465" s="181"/>
      <c r="F465" s="181"/>
      <c r="G465" s="182"/>
      <c r="H465" s="177"/>
      <c r="I465" s="183" t="s">
        <v>12</v>
      </c>
      <c r="J465" s="177"/>
      <c r="K465" s="184"/>
    </row>
    <row r="466" spans="1:11">
      <c r="A466" s="179" t="s">
        <v>32</v>
      </c>
      <c r="B466" s="179">
        <v>73.217633352417806</v>
      </c>
      <c r="C466" s="180">
        <v>4</v>
      </c>
      <c r="D466" s="179">
        <v>7.1999999999999995E-2</v>
      </c>
      <c r="E466" s="181"/>
      <c r="F466" s="181"/>
      <c r="G466" s="182"/>
      <c r="H466" s="177"/>
      <c r="I466" s="183" t="s">
        <v>12</v>
      </c>
      <c r="J466" s="177"/>
      <c r="K466" s="184"/>
    </row>
    <row r="467" spans="1:11">
      <c r="A467" s="179" t="s">
        <v>32</v>
      </c>
      <c r="B467" s="179">
        <v>84.778296830000002</v>
      </c>
      <c r="C467" s="180">
        <v>4</v>
      </c>
      <c r="D467" s="179">
        <v>7.1999999999999995E-2</v>
      </c>
      <c r="E467" s="181"/>
      <c r="F467" s="181"/>
      <c r="G467" s="182"/>
      <c r="H467" s="177"/>
      <c r="I467" s="183" t="s">
        <v>12</v>
      </c>
      <c r="J467" s="177"/>
      <c r="K467" s="184"/>
    </row>
    <row r="468" spans="1:11">
      <c r="A468" s="179" t="s">
        <v>32</v>
      </c>
      <c r="B468" s="179">
        <v>119.46043426025599</v>
      </c>
      <c r="C468" s="180">
        <v>4</v>
      </c>
      <c r="D468" s="179">
        <v>7.1999999999999995E-2</v>
      </c>
      <c r="E468" s="181"/>
      <c r="F468" s="181"/>
      <c r="G468" s="182"/>
      <c r="H468" s="177"/>
      <c r="I468" s="183" t="s">
        <v>12</v>
      </c>
      <c r="J468" s="177"/>
      <c r="K468" s="184"/>
    </row>
    <row r="469" spans="1:11">
      <c r="A469" s="179" t="s">
        <v>32</v>
      </c>
      <c r="B469" s="179">
        <v>131.02109773676301</v>
      </c>
      <c r="C469" s="180">
        <v>4</v>
      </c>
      <c r="D469" s="179">
        <v>7.1999999999999995E-2</v>
      </c>
      <c r="E469" s="181"/>
      <c r="F469" s="181"/>
      <c r="G469" s="182"/>
      <c r="H469" s="177"/>
      <c r="I469" s="183" t="s">
        <v>12</v>
      </c>
      <c r="J469" s="177"/>
      <c r="K469" s="184"/>
    </row>
    <row r="470" spans="1:11">
      <c r="A470" s="179" t="s">
        <v>32</v>
      </c>
      <c r="B470" s="179">
        <v>154.14257169158901</v>
      </c>
      <c r="C470" s="180">
        <v>4</v>
      </c>
      <c r="D470" s="179">
        <v>7.1999999999999995E-2</v>
      </c>
      <c r="E470" s="181"/>
      <c r="F470" s="181"/>
      <c r="G470" s="182"/>
      <c r="H470" s="177"/>
      <c r="I470" s="183" t="s">
        <v>12</v>
      </c>
      <c r="J470" s="177"/>
      <c r="K470" s="184"/>
    </row>
    <row r="471" spans="1:11">
      <c r="A471" s="179" t="s">
        <v>32</v>
      </c>
      <c r="B471" s="179">
        <v>146.43541370664701</v>
      </c>
      <c r="C471" s="180">
        <v>4</v>
      </c>
      <c r="D471" s="179">
        <v>7.1999999999999995E-2</v>
      </c>
      <c r="E471" s="181"/>
      <c r="F471" s="181"/>
      <c r="G471" s="182"/>
      <c r="H471" s="177"/>
      <c r="I471" s="183" t="s">
        <v>12</v>
      </c>
      <c r="J471" s="177"/>
      <c r="K471" s="184"/>
    </row>
    <row r="472" spans="1:11">
      <c r="A472" s="179" t="s">
        <v>32</v>
      </c>
      <c r="B472" s="179">
        <v>219.65304705906499</v>
      </c>
      <c r="C472" s="180">
        <v>4</v>
      </c>
      <c r="D472" s="179">
        <v>7.1999999999999995E-2</v>
      </c>
      <c r="E472" s="181"/>
      <c r="F472" s="181"/>
      <c r="G472" s="182"/>
      <c r="H472" s="177"/>
      <c r="I472" s="183" t="s">
        <v>12</v>
      </c>
      <c r="J472" s="177"/>
      <c r="K472" s="184"/>
    </row>
    <row r="473" spans="1:11">
      <c r="A473" s="179" t="s">
        <v>32</v>
      </c>
      <c r="B473" s="179">
        <v>265.895847966904</v>
      </c>
      <c r="C473" s="180">
        <v>4</v>
      </c>
      <c r="D473" s="179">
        <v>7.1999999999999995E-2</v>
      </c>
      <c r="E473" s="181"/>
      <c r="F473" s="181"/>
      <c r="G473" s="182"/>
      <c r="H473" s="177"/>
      <c r="I473" s="183" t="s">
        <v>12</v>
      </c>
      <c r="J473" s="177"/>
      <c r="K473" s="184"/>
    </row>
    <row r="474" spans="1:11">
      <c r="A474" s="179" t="s">
        <v>32</v>
      </c>
      <c r="B474" s="179">
        <v>304.43149088980101</v>
      </c>
      <c r="C474" s="180">
        <v>4</v>
      </c>
      <c r="D474" s="179">
        <v>7.1999999999999995E-2</v>
      </c>
      <c r="E474" s="181"/>
      <c r="F474" s="181"/>
      <c r="G474" s="182"/>
      <c r="H474" s="177"/>
      <c r="I474" s="183" t="s">
        <v>12</v>
      </c>
      <c r="J474" s="177"/>
      <c r="K474" s="184"/>
    </row>
    <row r="475" spans="1:11">
      <c r="A475" s="179" t="s">
        <v>32</v>
      </c>
      <c r="B475" s="179">
        <v>346.82078630607498</v>
      </c>
      <c r="C475" s="180">
        <v>4</v>
      </c>
      <c r="D475" s="179">
        <v>7.1999999999999995E-2</v>
      </c>
      <c r="E475" s="181"/>
      <c r="F475" s="181"/>
      <c r="G475" s="182"/>
      <c r="H475" s="177"/>
      <c r="I475" s="183" t="s">
        <v>12</v>
      </c>
      <c r="J475" s="177"/>
      <c r="K475" s="184"/>
    </row>
    <row r="476" spans="1:11">
      <c r="A476" s="179" t="s">
        <v>32</v>
      </c>
      <c r="B476" s="179">
        <v>420.03841965849301</v>
      </c>
      <c r="C476" s="180">
        <v>4</v>
      </c>
      <c r="D476" s="179">
        <v>7.1999999999999995E-2</v>
      </c>
      <c r="E476" s="181"/>
      <c r="F476" s="181"/>
      <c r="G476" s="182"/>
      <c r="H476" s="177"/>
      <c r="I476" s="183" t="s">
        <v>12</v>
      </c>
      <c r="J476" s="177"/>
      <c r="K476" s="184"/>
    </row>
    <row r="477" spans="1:11">
      <c r="A477" s="179" t="s">
        <v>32</v>
      </c>
      <c r="B477" s="179">
        <v>427.74557764343501</v>
      </c>
      <c r="C477" s="180">
        <v>4</v>
      </c>
      <c r="D477" s="179">
        <v>7.1999999999999995E-2</v>
      </c>
      <c r="E477" s="181"/>
      <c r="F477" s="181"/>
      <c r="G477" s="182"/>
      <c r="H477" s="177"/>
      <c r="I477" s="183" t="s">
        <v>12</v>
      </c>
      <c r="J477" s="177"/>
      <c r="K477" s="184"/>
    </row>
    <row r="478" spans="1:11">
      <c r="A478" s="179" t="s">
        <v>32</v>
      </c>
      <c r="B478" s="179">
        <v>458.57406258139002</v>
      </c>
      <c r="C478" s="180">
        <v>4</v>
      </c>
      <c r="D478" s="179">
        <v>7.1999999999999995E-2</v>
      </c>
      <c r="E478" s="181"/>
      <c r="F478" s="181"/>
      <c r="G478" s="182"/>
      <c r="H478" s="177"/>
      <c r="I478" s="183" t="s">
        <v>12</v>
      </c>
      <c r="J478" s="177"/>
      <c r="K478" s="184"/>
    </row>
    <row r="479" spans="1:11">
      <c r="A479" s="179" t="s">
        <v>32</v>
      </c>
      <c r="B479" s="179">
        <v>524.08468495067802</v>
      </c>
      <c r="C479" s="180">
        <v>4</v>
      </c>
      <c r="D479" s="179">
        <v>7.1999999999999995E-2</v>
      </c>
      <c r="E479" s="181"/>
      <c r="F479" s="181"/>
      <c r="G479" s="182"/>
      <c r="H479" s="177"/>
      <c r="I479" s="183" t="s">
        <v>12</v>
      </c>
      <c r="J479" s="177"/>
      <c r="K479" s="184"/>
    </row>
    <row r="480" spans="1:11">
      <c r="A480" s="179" t="s">
        <v>32</v>
      </c>
      <c r="B480" s="179">
        <v>408.47775618198602</v>
      </c>
      <c r="C480" s="180">
        <v>4</v>
      </c>
      <c r="D480" s="179">
        <v>7.1999999999999995E-2</v>
      </c>
      <c r="E480" s="181"/>
      <c r="F480" s="181"/>
      <c r="G480" s="182"/>
      <c r="H480" s="177"/>
      <c r="I480" s="183" t="s">
        <v>12</v>
      </c>
      <c r="J480" s="177"/>
      <c r="K480" s="184"/>
    </row>
    <row r="481" spans="1:11">
      <c r="A481" s="179" t="s">
        <v>32</v>
      </c>
      <c r="B481" s="179">
        <v>466.28122056633202</v>
      </c>
      <c r="C481" s="180">
        <v>4</v>
      </c>
      <c r="D481" s="179">
        <v>7.1999999999999995E-2</v>
      </c>
      <c r="E481" s="181"/>
      <c r="F481" s="181"/>
      <c r="G481" s="182"/>
      <c r="H481" s="177"/>
      <c r="I481" s="183" t="s">
        <v>12</v>
      </c>
      <c r="J481" s="177"/>
      <c r="K481" s="184"/>
    </row>
    <row r="482" spans="1:11">
      <c r="A482" s="179" t="s">
        <v>32</v>
      </c>
      <c r="B482" s="179">
        <v>497.10970550428698</v>
      </c>
      <c r="C482" s="180">
        <v>4</v>
      </c>
      <c r="D482" s="179">
        <v>7.1999999999999995E-2</v>
      </c>
      <c r="E482" s="181"/>
      <c r="F482" s="181"/>
      <c r="G482" s="182"/>
      <c r="H482" s="177"/>
      <c r="I482" s="183" t="s">
        <v>12</v>
      </c>
      <c r="J482" s="177"/>
      <c r="K482" s="184"/>
    </row>
    <row r="483" spans="1:11">
      <c r="A483" s="179" t="s">
        <v>32</v>
      </c>
      <c r="B483" s="179">
        <v>531.79184293562002</v>
      </c>
      <c r="C483" s="180">
        <v>4</v>
      </c>
      <c r="D483" s="179">
        <v>7.1999999999999995E-2</v>
      </c>
      <c r="E483" s="181"/>
      <c r="F483" s="181"/>
      <c r="G483" s="182"/>
      <c r="H483" s="177"/>
      <c r="I483" s="183" t="s">
        <v>12</v>
      </c>
      <c r="J483" s="177"/>
      <c r="K483" s="184"/>
    </row>
    <row r="484" spans="1:11">
      <c r="A484" s="179" t="s">
        <v>32</v>
      </c>
      <c r="B484" s="179">
        <v>566.47383336513997</v>
      </c>
      <c r="C484" s="180">
        <v>4</v>
      </c>
      <c r="D484" s="179">
        <v>7.1999999999999995E-2</v>
      </c>
      <c r="E484" s="181"/>
      <c r="F484" s="181"/>
      <c r="G484" s="182"/>
      <c r="H484" s="177"/>
      <c r="I484" s="183" t="s">
        <v>12</v>
      </c>
      <c r="J484" s="177"/>
      <c r="K484" s="184"/>
    </row>
    <row r="485" spans="1:11">
      <c r="A485" s="179" t="s">
        <v>32</v>
      </c>
      <c r="B485" s="179">
        <v>516.37752696573602</v>
      </c>
      <c r="C485" s="180">
        <v>4</v>
      </c>
      <c r="D485" s="179">
        <v>7.1999999999999995E-2</v>
      </c>
      <c r="E485" s="181"/>
      <c r="F485" s="181"/>
      <c r="G485" s="182"/>
      <c r="H485" s="177"/>
      <c r="I485" s="183" t="s">
        <v>12</v>
      </c>
      <c r="J485" s="177"/>
      <c r="K485" s="184"/>
    </row>
    <row r="486" spans="1:11">
      <c r="A486" s="179" t="s">
        <v>32</v>
      </c>
      <c r="B486" s="179">
        <v>574.18099135008197</v>
      </c>
      <c r="C486" s="180">
        <v>4</v>
      </c>
      <c r="D486" s="179">
        <v>7.1999999999999995E-2</v>
      </c>
      <c r="E486" s="181"/>
      <c r="F486" s="181"/>
      <c r="G486" s="182"/>
      <c r="H486" s="177"/>
      <c r="I486" s="183" t="s">
        <v>12</v>
      </c>
      <c r="J486" s="177"/>
      <c r="K486" s="184"/>
    </row>
    <row r="487" spans="1:11">
      <c r="A487" s="179" t="s">
        <v>32</v>
      </c>
      <c r="B487" s="179">
        <v>562.62032787357498</v>
      </c>
      <c r="C487" s="180">
        <v>4</v>
      </c>
      <c r="D487" s="179">
        <v>7.1999999999999995E-2</v>
      </c>
      <c r="E487" s="181"/>
      <c r="F487" s="181"/>
      <c r="G487" s="182"/>
      <c r="H487" s="177"/>
      <c r="I487" s="183" t="s">
        <v>12</v>
      </c>
      <c r="J487" s="177"/>
      <c r="K487" s="184"/>
    </row>
    <row r="488" spans="1:11">
      <c r="A488" s="179" t="s">
        <v>32</v>
      </c>
      <c r="B488" s="179">
        <v>574.18099135008197</v>
      </c>
      <c r="C488" s="180">
        <v>4</v>
      </c>
      <c r="D488" s="179">
        <v>7.1999999999999995E-2</v>
      </c>
      <c r="E488" s="181"/>
      <c r="F488" s="181"/>
      <c r="G488" s="182"/>
      <c r="H488" s="177"/>
      <c r="I488" s="183" t="s">
        <v>12</v>
      </c>
      <c r="J488" s="177"/>
      <c r="K488" s="184"/>
    </row>
    <row r="489" spans="1:11">
      <c r="A489" s="179" t="s">
        <v>32</v>
      </c>
      <c r="B489" s="179">
        <v>558.76682238200999</v>
      </c>
      <c r="C489" s="180">
        <v>4</v>
      </c>
      <c r="D489" s="179">
        <v>7.1999999999999995E-2</v>
      </c>
      <c r="E489" s="181"/>
      <c r="F489" s="181"/>
      <c r="G489" s="182"/>
      <c r="H489" s="177"/>
      <c r="I489" s="183" t="s">
        <v>12</v>
      </c>
      <c r="J489" s="177"/>
      <c r="K489" s="184"/>
    </row>
    <row r="490" spans="1:11">
      <c r="A490" s="179" t="s">
        <v>32</v>
      </c>
      <c r="B490" s="179">
        <v>639.69161371937003</v>
      </c>
      <c r="C490" s="180">
        <v>4</v>
      </c>
      <c r="D490" s="179">
        <v>7.1999999999999995E-2</v>
      </c>
      <c r="E490" s="181"/>
      <c r="F490" s="181"/>
      <c r="G490" s="182"/>
      <c r="H490" s="177"/>
      <c r="I490" s="183" t="s">
        <v>12</v>
      </c>
      <c r="J490" s="177"/>
      <c r="K490" s="184"/>
    </row>
    <row r="491" spans="1:11">
      <c r="A491" s="179" t="s">
        <v>32</v>
      </c>
      <c r="B491" s="179">
        <v>635.83810822780504</v>
      </c>
      <c r="C491" s="180">
        <v>4</v>
      </c>
      <c r="D491" s="179">
        <v>7.1999999999999995E-2</v>
      </c>
      <c r="E491" s="181"/>
      <c r="F491" s="181"/>
      <c r="G491" s="182"/>
      <c r="H491" s="177"/>
      <c r="I491" s="183" t="s">
        <v>12</v>
      </c>
      <c r="J491" s="177"/>
      <c r="K491" s="184"/>
    </row>
    <row r="492" spans="1:11">
      <c r="A492" s="179" t="s">
        <v>32</v>
      </c>
      <c r="B492" s="179">
        <v>682.08076213383197</v>
      </c>
      <c r="C492" s="180">
        <v>4</v>
      </c>
      <c r="D492" s="179">
        <v>7.1999999999999995E-2</v>
      </c>
      <c r="E492" s="181"/>
      <c r="F492" s="181"/>
      <c r="G492" s="182"/>
      <c r="H492" s="177"/>
      <c r="I492" s="183" t="s">
        <v>12</v>
      </c>
      <c r="J492" s="177"/>
      <c r="K492" s="184"/>
    </row>
    <row r="493" spans="1:11">
      <c r="A493" s="179" t="s">
        <v>32</v>
      </c>
      <c r="B493" s="179">
        <v>678.22725664226698</v>
      </c>
      <c r="C493" s="180">
        <v>4</v>
      </c>
      <c r="D493" s="179">
        <v>7.1999999999999995E-2</v>
      </c>
      <c r="E493" s="181"/>
      <c r="F493" s="181"/>
      <c r="G493" s="182"/>
      <c r="H493" s="177"/>
      <c r="I493" s="183" t="s">
        <v>12</v>
      </c>
      <c r="J493" s="177"/>
      <c r="K493" s="184"/>
    </row>
    <row r="494" spans="1:11">
      <c r="A494" s="179" t="s">
        <v>32</v>
      </c>
      <c r="B494" s="179">
        <v>747.59138450312003</v>
      </c>
      <c r="C494" s="180">
        <v>4</v>
      </c>
      <c r="D494" s="179">
        <v>7.1999999999999995E-2</v>
      </c>
      <c r="E494" s="181"/>
      <c r="F494" s="181"/>
      <c r="G494" s="182"/>
      <c r="H494" s="177"/>
      <c r="I494" s="183" t="s">
        <v>12</v>
      </c>
      <c r="J494" s="177"/>
      <c r="K494" s="184"/>
    </row>
    <row r="495" spans="1:11">
      <c r="A495" s="179" t="s">
        <v>32</v>
      </c>
      <c r="B495" s="179">
        <v>743.73787901155504</v>
      </c>
      <c r="C495" s="180">
        <v>4</v>
      </c>
      <c r="D495" s="179">
        <v>7.1999999999999995E-2</v>
      </c>
      <c r="E495" s="181"/>
      <c r="F495" s="181"/>
      <c r="G495" s="182"/>
      <c r="H495" s="177"/>
      <c r="I495" s="183" t="s">
        <v>12</v>
      </c>
      <c r="J495" s="177"/>
      <c r="K495" s="184"/>
    </row>
    <row r="496" spans="1:11">
      <c r="A496" s="179" t="s">
        <v>32</v>
      </c>
      <c r="B496" s="179">
        <v>1129.0943082405199</v>
      </c>
      <c r="C496" s="180">
        <v>4</v>
      </c>
      <c r="D496" s="179">
        <v>7.1999999999999995E-2</v>
      </c>
      <c r="E496" s="181"/>
      <c r="F496" s="181"/>
      <c r="G496" s="182"/>
      <c r="H496" s="177"/>
      <c r="I496" s="183" t="s">
        <v>12</v>
      </c>
      <c r="J496" s="177"/>
      <c r="K496" s="184"/>
    </row>
    <row r="497" spans="1:11">
      <c r="A497" s="179" t="s">
        <v>32</v>
      </c>
      <c r="B497" s="179">
        <v>1125.24080274896</v>
      </c>
      <c r="C497" s="180">
        <v>4</v>
      </c>
      <c r="D497" s="179">
        <v>7.1999999999999995E-2</v>
      </c>
      <c r="E497" s="181"/>
      <c r="F497" s="181"/>
      <c r="G497" s="182"/>
      <c r="H497" s="177"/>
      <c r="I497" s="183" t="s">
        <v>12</v>
      </c>
      <c r="J497" s="177"/>
      <c r="K497" s="184"/>
    </row>
    <row r="498" spans="1:11">
      <c r="A498" s="179" t="s">
        <v>32</v>
      </c>
      <c r="B498" s="179">
        <v>1132.94781373209</v>
      </c>
      <c r="C498" s="180">
        <v>4</v>
      </c>
      <c r="D498" s="179">
        <v>7.1999999999999995E-2</v>
      </c>
      <c r="E498" s="181"/>
      <c r="F498" s="181"/>
      <c r="G498" s="182"/>
      <c r="H498" s="177"/>
      <c r="I498" s="183" t="s">
        <v>12</v>
      </c>
      <c r="J498" s="177"/>
      <c r="K498" s="184"/>
    </row>
    <row r="499" spans="1:11">
      <c r="A499" s="179" t="s">
        <v>32</v>
      </c>
      <c r="B499" s="179">
        <v>1121.3872972573899</v>
      </c>
      <c r="C499" s="180">
        <v>4</v>
      </c>
      <c r="D499" s="179">
        <v>7.1999999999999995E-2</v>
      </c>
      <c r="E499" s="181"/>
      <c r="F499" s="181"/>
      <c r="G499" s="182"/>
      <c r="H499" s="177"/>
      <c r="I499" s="183" t="s">
        <v>12</v>
      </c>
      <c r="J499" s="177"/>
      <c r="K499" s="184"/>
    </row>
    <row r="500" spans="1:11">
      <c r="A500" s="179" t="s">
        <v>32</v>
      </c>
      <c r="B500" s="179">
        <v>1129.0943082405199</v>
      </c>
      <c r="C500" s="180">
        <v>4</v>
      </c>
      <c r="D500" s="179">
        <v>7.1999999999999995E-2</v>
      </c>
      <c r="E500" s="181"/>
      <c r="F500" s="181"/>
      <c r="G500" s="182"/>
      <c r="H500" s="177"/>
      <c r="I500" s="183" t="s">
        <v>12</v>
      </c>
      <c r="J500" s="177"/>
      <c r="K500" s="184"/>
    </row>
    <row r="501" spans="1:11">
      <c r="A501" s="179" t="s">
        <v>32</v>
      </c>
      <c r="B501" s="179">
        <v>1506.74372648637</v>
      </c>
      <c r="C501" s="180">
        <v>4</v>
      </c>
      <c r="D501" s="179">
        <v>7.1999999999999995E-2</v>
      </c>
      <c r="E501" s="181"/>
      <c r="F501" s="181"/>
      <c r="G501" s="182"/>
      <c r="H501" s="177"/>
      <c r="I501" s="183" t="s">
        <v>12</v>
      </c>
      <c r="J501" s="177"/>
      <c r="K501" s="184"/>
    </row>
    <row r="502" spans="1:11">
      <c r="A502" s="179" t="s">
        <v>32</v>
      </c>
      <c r="B502" s="179">
        <v>1502.8899269911799</v>
      </c>
      <c r="C502" s="180">
        <v>4</v>
      </c>
      <c r="D502" s="179">
        <v>7.1999999999999995E-2</v>
      </c>
      <c r="E502" s="181"/>
      <c r="F502" s="181"/>
      <c r="G502" s="182"/>
      <c r="H502" s="177"/>
      <c r="I502" s="183" t="s">
        <v>12</v>
      </c>
      <c r="J502" s="177"/>
      <c r="K502" s="184"/>
    </row>
    <row r="503" spans="1:11">
      <c r="A503" s="179" t="s">
        <v>32</v>
      </c>
      <c r="B503" s="179">
        <v>1510.5972319779301</v>
      </c>
      <c r="C503" s="180">
        <v>4</v>
      </c>
      <c r="D503" s="179">
        <v>7.1999999999999995E-2</v>
      </c>
      <c r="E503" s="181"/>
      <c r="F503" s="181"/>
      <c r="G503" s="182"/>
      <c r="H503" s="177"/>
      <c r="I503" s="183" t="s">
        <v>12</v>
      </c>
      <c r="J503" s="177"/>
      <c r="K503" s="184"/>
    </row>
    <row r="504" spans="1:11">
      <c r="A504" s="179" t="s">
        <v>32</v>
      </c>
      <c r="B504" s="179">
        <v>2258.1887634828599</v>
      </c>
      <c r="C504" s="180">
        <v>4</v>
      </c>
      <c r="D504" s="179">
        <v>7.1999999999999995E-2</v>
      </c>
      <c r="E504" s="181"/>
      <c r="F504" s="181"/>
      <c r="G504" s="182"/>
      <c r="H504" s="177"/>
      <c r="I504" s="183" t="s">
        <v>12</v>
      </c>
      <c r="J504" s="177"/>
      <c r="K504" s="184"/>
    </row>
    <row r="505" spans="1:11">
      <c r="A505" s="179" t="s">
        <v>32</v>
      </c>
      <c r="B505" s="179">
        <v>2262.04226897443</v>
      </c>
      <c r="C505" s="180">
        <v>4</v>
      </c>
      <c r="D505" s="179">
        <v>7.1999999999999995E-2</v>
      </c>
      <c r="E505" s="181"/>
      <c r="F505" s="181"/>
      <c r="G505" s="182"/>
      <c r="H505" s="177"/>
      <c r="I505" s="183" t="s">
        <v>12</v>
      </c>
      <c r="J505" s="177"/>
      <c r="K505" s="184"/>
    </row>
    <row r="506" spans="1:11">
      <c r="A506" s="179" t="s">
        <v>32</v>
      </c>
      <c r="B506" s="179">
        <v>3017.3408114624899</v>
      </c>
      <c r="C506" s="180">
        <v>4</v>
      </c>
      <c r="D506" s="179">
        <v>7.1999999999999995E-2</v>
      </c>
      <c r="E506" s="181"/>
      <c r="F506" s="181"/>
      <c r="G506" s="182"/>
      <c r="H506" s="177"/>
      <c r="I506" s="183" t="s">
        <v>12</v>
      </c>
      <c r="J506" s="177"/>
      <c r="K506" s="184"/>
    </row>
    <row r="507" spans="1:11">
      <c r="A507" s="179" t="s">
        <v>32</v>
      </c>
      <c r="B507" s="179">
        <v>3013.4873059709298</v>
      </c>
      <c r="C507" s="180">
        <v>4</v>
      </c>
      <c r="D507" s="179">
        <v>7.1999999999999995E-2</v>
      </c>
      <c r="E507" s="181"/>
      <c r="F507" s="181"/>
      <c r="G507" s="182"/>
      <c r="H507" s="177"/>
      <c r="I507" s="183" t="s">
        <v>12</v>
      </c>
      <c r="J507" s="177"/>
      <c r="K507" s="184"/>
    </row>
    <row r="508" spans="1:11">
      <c r="A508" s="179" t="s">
        <v>32</v>
      </c>
      <c r="B508" s="179">
        <v>3021.19431695406</v>
      </c>
      <c r="C508" s="180">
        <v>4</v>
      </c>
      <c r="D508" s="179">
        <v>7.1999999999999995E-2</v>
      </c>
      <c r="E508" s="181"/>
      <c r="F508" s="181"/>
      <c r="G508" s="182"/>
      <c r="H508" s="177"/>
      <c r="I508" s="183" t="s">
        <v>12</v>
      </c>
      <c r="J508" s="177"/>
      <c r="K508" s="184"/>
    </row>
    <row r="509" spans="1:11">
      <c r="A509" s="179" t="s">
        <v>32</v>
      </c>
      <c r="B509" s="179">
        <v>73.217633352417806</v>
      </c>
      <c r="C509" s="180">
        <v>4</v>
      </c>
      <c r="D509" s="179">
        <v>7.1999999999999995E-2</v>
      </c>
      <c r="E509" s="181"/>
      <c r="F509" s="181"/>
      <c r="G509" s="182"/>
      <c r="H509" s="177"/>
      <c r="I509" s="183" t="s">
        <v>12</v>
      </c>
      <c r="J509" s="177"/>
      <c r="K509" s="184"/>
    </row>
    <row r="510" spans="1:11">
      <c r="A510" s="179" t="s">
        <v>32</v>
      </c>
      <c r="B510" s="179">
        <v>115.60692876869101</v>
      </c>
      <c r="C510" s="180">
        <v>4</v>
      </c>
      <c r="D510" s="179">
        <v>7.1999999999999995E-2</v>
      </c>
      <c r="E510" s="181"/>
      <c r="F510" s="181"/>
      <c r="G510" s="182"/>
      <c r="H510" s="177"/>
      <c r="I510" s="183" t="s">
        <v>12</v>
      </c>
      <c r="J510" s="177"/>
      <c r="K510" s="184"/>
    </row>
    <row r="511" spans="1:11">
      <c r="A511" s="179" t="s">
        <v>32</v>
      </c>
      <c r="B511" s="179">
        <v>111.753276275315</v>
      </c>
      <c r="C511" s="180">
        <v>4</v>
      </c>
      <c r="D511" s="179">
        <v>7.1999999999999995E-2</v>
      </c>
      <c r="E511" s="181"/>
      <c r="F511" s="181"/>
      <c r="G511" s="182"/>
      <c r="H511" s="177"/>
      <c r="I511" s="183" t="s">
        <v>12</v>
      </c>
      <c r="J511" s="177"/>
      <c r="K511" s="184"/>
    </row>
    <row r="512" spans="1:11">
      <c r="A512" s="179" t="s">
        <v>32</v>
      </c>
      <c r="B512" s="179">
        <v>150.288919198212</v>
      </c>
      <c r="C512" s="180">
        <v>4</v>
      </c>
      <c r="D512" s="179">
        <v>7.1999999999999995E-2</v>
      </c>
      <c r="E512" s="181"/>
      <c r="F512" s="181"/>
      <c r="G512" s="182"/>
      <c r="H512" s="177"/>
      <c r="I512" s="183" t="s">
        <v>12</v>
      </c>
      <c r="J512" s="177"/>
      <c r="K512" s="184"/>
    </row>
    <row r="513" spans="1:11">
      <c r="A513" s="179" t="s">
        <v>32</v>
      </c>
      <c r="B513" s="179">
        <v>262.04234247533901</v>
      </c>
      <c r="C513" s="180">
        <v>4</v>
      </c>
      <c r="D513" s="179">
        <v>7.1999999999999995E-2</v>
      </c>
      <c r="E513" s="181"/>
      <c r="F513" s="181"/>
      <c r="G513" s="182"/>
      <c r="H513" s="177"/>
      <c r="I513" s="183" t="s">
        <v>12</v>
      </c>
      <c r="J513" s="177"/>
      <c r="K513" s="184"/>
    </row>
    <row r="514" spans="1:11">
      <c r="A514" s="179" t="s">
        <v>32</v>
      </c>
      <c r="B514" s="179">
        <v>219.65304705906499</v>
      </c>
      <c r="C514" s="180">
        <v>4</v>
      </c>
      <c r="D514" s="179">
        <v>7.1999999999999995E-2</v>
      </c>
      <c r="E514" s="181"/>
      <c r="F514" s="181"/>
      <c r="G514" s="182"/>
      <c r="H514" s="177"/>
      <c r="I514" s="183" t="s">
        <v>12</v>
      </c>
      <c r="J514" s="177"/>
      <c r="K514" s="184"/>
    </row>
    <row r="515" spans="1:11">
      <c r="A515" s="179" t="s">
        <v>32</v>
      </c>
      <c r="B515" s="179">
        <v>308.28514338317802</v>
      </c>
      <c r="C515" s="180">
        <v>4</v>
      </c>
      <c r="D515" s="179">
        <v>7.1999999999999995E-2</v>
      </c>
      <c r="E515" s="181"/>
      <c r="F515" s="181"/>
      <c r="G515" s="182"/>
      <c r="H515" s="177"/>
      <c r="I515" s="183" t="s">
        <v>12</v>
      </c>
      <c r="J515" s="177"/>
      <c r="K515" s="184"/>
    </row>
    <row r="516" spans="1:11">
      <c r="A516" s="179" t="s">
        <v>32</v>
      </c>
      <c r="B516" s="179">
        <v>358.38144978258202</v>
      </c>
      <c r="C516" s="180">
        <v>4</v>
      </c>
      <c r="D516" s="179">
        <v>7.1999999999999995E-2</v>
      </c>
      <c r="E516" s="181"/>
      <c r="F516" s="181"/>
      <c r="G516" s="182"/>
      <c r="H516" s="177"/>
      <c r="I516" s="183" t="s">
        <v>12</v>
      </c>
      <c r="J516" s="177"/>
      <c r="K516" s="184"/>
    </row>
    <row r="517" spans="1:11">
      <c r="A517" s="179" t="s">
        <v>32</v>
      </c>
      <c r="B517" s="179">
        <v>362.23495527414701</v>
      </c>
      <c r="C517" s="180">
        <v>4</v>
      </c>
      <c r="D517" s="179">
        <v>7.1999999999999995E-2</v>
      </c>
      <c r="E517" s="181"/>
      <c r="F517" s="181"/>
      <c r="G517" s="182"/>
      <c r="H517" s="177"/>
      <c r="I517" s="183" t="s">
        <v>12</v>
      </c>
      <c r="J517" s="177"/>
      <c r="K517" s="184"/>
    </row>
    <row r="518" spans="1:11">
      <c r="A518" s="179" t="s">
        <v>32</v>
      </c>
      <c r="B518" s="179">
        <v>420.03841965849301</v>
      </c>
      <c r="C518" s="180">
        <v>4</v>
      </c>
      <c r="D518" s="179">
        <v>7.1999999999999995E-2</v>
      </c>
      <c r="E518" s="181"/>
      <c r="F518" s="181"/>
      <c r="G518" s="182"/>
      <c r="H518" s="177"/>
      <c r="I518" s="183" t="s">
        <v>12</v>
      </c>
      <c r="J518" s="177"/>
      <c r="K518" s="184"/>
    </row>
    <row r="519" spans="1:11">
      <c r="A519" s="179" t="s">
        <v>32</v>
      </c>
      <c r="B519" s="179">
        <v>416.18491416692802</v>
      </c>
      <c r="C519" s="180">
        <v>4</v>
      </c>
      <c r="D519" s="179">
        <v>7.1999999999999995E-2</v>
      </c>
      <c r="E519" s="181"/>
      <c r="F519" s="181"/>
      <c r="G519" s="182"/>
      <c r="H519" s="177"/>
      <c r="I519" s="183" t="s">
        <v>12</v>
      </c>
      <c r="J519" s="177"/>
      <c r="K519" s="184"/>
    </row>
    <row r="520" spans="1:11">
      <c r="A520" s="179" t="s">
        <v>32</v>
      </c>
      <c r="B520" s="179">
        <v>412.33126167355101</v>
      </c>
      <c r="C520" s="180">
        <v>4</v>
      </c>
      <c r="D520" s="179">
        <v>7.1999999999999995E-2</v>
      </c>
      <c r="E520" s="181"/>
      <c r="F520" s="181"/>
      <c r="G520" s="182"/>
      <c r="H520" s="177"/>
      <c r="I520" s="183" t="s">
        <v>12</v>
      </c>
      <c r="J520" s="177"/>
      <c r="K520" s="184"/>
    </row>
    <row r="521" spans="1:11">
      <c r="A521" s="179" t="s">
        <v>32</v>
      </c>
      <c r="B521" s="179">
        <v>450.86690459644802</v>
      </c>
      <c r="C521" s="180">
        <v>4</v>
      </c>
      <c r="D521" s="179">
        <v>7.1999999999999995E-2</v>
      </c>
      <c r="E521" s="181"/>
      <c r="F521" s="181"/>
      <c r="G521" s="182"/>
      <c r="H521" s="177"/>
      <c r="I521" s="183" t="s">
        <v>12</v>
      </c>
      <c r="J521" s="177"/>
      <c r="K521" s="184"/>
    </row>
    <row r="522" spans="1:11">
      <c r="A522" s="179" t="s">
        <v>32</v>
      </c>
      <c r="B522" s="179">
        <v>447.01339910488298</v>
      </c>
      <c r="C522" s="180">
        <v>4</v>
      </c>
      <c r="D522" s="179">
        <v>7.1999999999999995E-2</v>
      </c>
      <c r="E522" s="181"/>
      <c r="F522" s="181"/>
      <c r="G522" s="182"/>
      <c r="H522" s="177"/>
      <c r="I522" s="183" t="s">
        <v>12</v>
      </c>
      <c r="J522" s="177"/>
      <c r="K522" s="184"/>
    </row>
    <row r="523" spans="1:11">
      <c r="A523" s="179" t="s">
        <v>32</v>
      </c>
      <c r="B523" s="179">
        <v>493.25620001272199</v>
      </c>
      <c r="C523" s="180">
        <v>4</v>
      </c>
      <c r="D523" s="179">
        <v>7.1999999999999995E-2</v>
      </c>
      <c r="E523" s="181"/>
      <c r="F523" s="181"/>
      <c r="G523" s="182"/>
      <c r="H523" s="177"/>
      <c r="I523" s="183" t="s">
        <v>12</v>
      </c>
      <c r="J523" s="177"/>
      <c r="K523" s="184"/>
    </row>
    <row r="524" spans="1:11">
      <c r="A524" s="179" t="s">
        <v>32</v>
      </c>
      <c r="B524" s="179">
        <v>535.64534842718501</v>
      </c>
      <c r="C524" s="180">
        <v>4</v>
      </c>
      <c r="D524" s="179">
        <v>7.1999999999999995E-2</v>
      </c>
      <c r="E524" s="181"/>
      <c r="F524" s="181"/>
      <c r="G524" s="182"/>
      <c r="H524" s="177"/>
      <c r="I524" s="183" t="s">
        <v>12</v>
      </c>
      <c r="J524" s="177"/>
      <c r="K524" s="184"/>
    </row>
    <row r="525" spans="1:11">
      <c r="A525" s="179" t="s">
        <v>32</v>
      </c>
      <c r="B525" s="179">
        <v>539.49900092056203</v>
      </c>
      <c r="C525" s="180">
        <v>4</v>
      </c>
      <c r="D525" s="179">
        <v>7.1999999999999995E-2</v>
      </c>
      <c r="E525" s="181"/>
      <c r="F525" s="181"/>
      <c r="G525" s="182"/>
      <c r="H525" s="177"/>
      <c r="I525" s="183" t="s">
        <v>12</v>
      </c>
      <c r="J525" s="177"/>
      <c r="K525" s="184"/>
    </row>
    <row r="526" spans="1:11">
      <c r="A526" s="179" t="s">
        <v>32</v>
      </c>
      <c r="B526" s="179">
        <v>527.93819044224301</v>
      </c>
      <c r="C526" s="180">
        <v>4</v>
      </c>
      <c r="D526" s="179">
        <v>7.1999999999999995E-2</v>
      </c>
      <c r="E526" s="181"/>
      <c r="F526" s="181"/>
      <c r="G526" s="182"/>
      <c r="H526" s="177"/>
      <c r="I526" s="183" t="s">
        <v>12</v>
      </c>
      <c r="J526" s="177"/>
      <c r="K526" s="184"/>
    </row>
    <row r="527" spans="1:11">
      <c r="A527" s="179" t="s">
        <v>32</v>
      </c>
      <c r="B527" s="179">
        <v>605.00947628803794</v>
      </c>
      <c r="C527" s="180">
        <v>4</v>
      </c>
      <c r="D527" s="179">
        <v>7.1999999999999995E-2</v>
      </c>
      <c r="E527" s="181"/>
      <c r="F527" s="181"/>
      <c r="G527" s="182"/>
      <c r="H527" s="177"/>
      <c r="I527" s="183" t="s">
        <v>12</v>
      </c>
      <c r="J527" s="177"/>
      <c r="K527" s="184"/>
    </row>
    <row r="528" spans="1:11">
      <c r="A528" s="179" t="s">
        <v>32</v>
      </c>
      <c r="B528" s="179">
        <v>601.15597079647296</v>
      </c>
      <c r="C528" s="180">
        <v>4</v>
      </c>
      <c r="D528" s="179">
        <v>7.1999999999999995E-2</v>
      </c>
      <c r="E528" s="181"/>
      <c r="F528" s="181"/>
      <c r="G528" s="182"/>
      <c r="H528" s="177"/>
      <c r="I528" s="183" t="s">
        <v>12</v>
      </c>
      <c r="J528" s="177"/>
      <c r="K528" s="184"/>
    </row>
    <row r="529" spans="1:11">
      <c r="A529" s="179" t="s">
        <v>32</v>
      </c>
      <c r="B529" s="179">
        <v>562.62032787357498</v>
      </c>
      <c r="C529" s="180">
        <v>4</v>
      </c>
      <c r="D529" s="179">
        <v>7.1999999999999995E-2</v>
      </c>
      <c r="E529" s="181"/>
      <c r="F529" s="181"/>
      <c r="G529" s="182"/>
      <c r="H529" s="177"/>
      <c r="I529" s="183" t="s">
        <v>12</v>
      </c>
      <c r="J529" s="177"/>
      <c r="K529" s="184"/>
    </row>
    <row r="530" spans="1:11">
      <c r="A530" s="179" t="s">
        <v>32</v>
      </c>
      <c r="B530" s="179">
        <v>558.76682238200999</v>
      </c>
      <c r="C530" s="180">
        <v>4</v>
      </c>
      <c r="D530" s="179">
        <v>7.1999999999999995E-2</v>
      </c>
      <c r="E530" s="181"/>
      <c r="F530" s="181"/>
      <c r="G530" s="182"/>
      <c r="H530" s="177"/>
      <c r="I530" s="183" t="s">
        <v>12</v>
      </c>
      <c r="J530" s="177"/>
      <c r="K530" s="184"/>
    </row>
    <row r="531" spans="1:11">
      <c r="A531" s="179" t="s">
        <v>32</v>
      </c>
      <c r="B531" s="179">
        <v>605.00947628803794</v>
      </c>
      <c r="C531" s="180">
        <v>4</v>
      </c>
      <c r="D531" s="179">
        <v>7.1999999999999995E-2</v>
      </c>
      <c r="E531" s="181"/>
      <c r="F531" s="181"/>
      <c r="G531" s="182"/>
      <c r="H531" s="177"/>
      <c r="I531" s="183" t="s">
        <v>12</v>
      </c>
      <c r="J531" s="177"/>
      <c r="K531" s="184"/>
    </row>
    <row r="532" spans="1:11">
      <c r="A532" s="179" t="s">
        <v>32</v>
      </c>
      <c r="B532" s="179">
        <v>601.15597079647296</v>
      </c>
      <c r="C532" s="180">
        <v>4</v>
      </c>
      <c r="D532" s="179">
        <v>7.1999999999999995E-2</v>
      </c>
      <c r="E532" s="181"/>
      <c r="F532" s="181"/>
      <c r="G532" s="182"/>
      <c r="H532" s="177"/>
      <c r="I532" s="183" t="s">
        <v>12</v>
      </c>
      <c r="J532" s="177"/>
      <c r="K532" s="184"/>
    </row>
    <row r="533" spans="1:11">
      <c r="A533" s="179" t="s">
        <v>32</v>
      </c>
      <c r="B533" s="179">
        <v>643.54511921093501</v>
      </c>
      <c r="C533" s="180">
        <v>4</v>
      </c>
      <c r="D533" s="179">
        <v>7.1999999999999995E-2</v>
      </c>
      <c r="E533" s="181"/>
      <c r="F533" s="181"/>
      <c r="G533" s="182"/>
      <c r="H533" s="177"/>
      <c r="I533" s="183" t="s">
        <v>12</v>
      </c>
      <c r="J533" s="177"/>
      <c r="K533" s="184"/>
    </row>
    <row r="534" spans="1:11">
      <c r="A534" s="179" t="s">
        <v>32</v>
      </c>
      <c r="B534" s="179">
        <v>689.78792011877397</v>
      </c>
      <c r="C534" s="180">
        <v>4</v>
      </c>
      <c r="D534" s="179">
        <v>7.1999999999999995E-2</v>
      </c>
      <c r="E534" s="181"/>
      <c r="F534" s="181"/>
      <c r="G534" s="182"/>
      <c r="H534" s="177"/>
      <c r="I534" s="183" t="s">
        <v>12</v>
      </c>
      <c r="J534" s="177"/>
      <c r="K534" s="184"/>
    </row>
    <row r="535" spans="1:11">
      <c r="A535" s="179" t="s">
        <v>32</v>
      </c>
      <c r="B535" s="179">
        <v>693.64157261215098</v>
      </c>
      <c r="C535" s="180">
        <v>4</v>
      </c>
      <c r="D535" s="179">
        <v>7.1999999999999995E-2</v>
      </c>
      <c r="E535" s="181"/>
      <c r="F535" s="181"/>
      <c r="G535" s="182"/>
      <c r="H535" s="177"/>
      <c r="I535" s="183" t="s">
        <v>12</v>
      </c>
      <c r="J535" s="177"/>
      <c r="K535" s="184"/>
    </row>
    <row r="536" spans="1:11">
      <c r="A536" s="179" t="s">
        <v>32</v>
      </c>
      <c r="B536" s="179">
        <v>643.54511921093501</v>
      </c>
      <c r="C536" s="180">
        <v>4</v>
      </c>
      <c r="D536" s="179">
        <v>7.1999999999999995E-2</v>
      </c>
      <c r="E536" s="181"/>
      <c r="F536" s="181"/>
      <c r="G536" s="182"/>
      <c r="H536" s="177"/>
      <c r="I536" s="183" t="s">
        <v>12</v>
      </c>
      <c r="J536" s="177"/>
      <c r="K536" s="184"/>
    </row>
    <row r="537" spans="1:11">
      <c r="A537" s="179" t="s">
        <v>32</v>
      </c>
      <c r="B537" s="179">
        <v>682.08076213383197</v>
      </c>
      <c r="C537" s="180">
        <v>4</v>
      </c>
      <c r="D537" s="179">
        <v>7.1999999999999995E-2</v>
      </c>
      <c r="E537" s="181"/>
      <c r="F537" s="181"/>
      <c r="G537" s="182"/>
      <c r="H537" s="177"/>
      <c r="I537" s="183" t="s">
        <v>12</v>
      </c>
      <c r="J537" s="177"/>
      <c r="K537" s="184"/>
    </row>
    <row r="538" spans="1:11">
      <c r="A538" s="179" t="s">
        <v>32</v>
      </c>
      <c r="B538" s="179">
        <v>674.37375115070199</v>
      </c>
      <c r="C538" s="180">
        <v>4</v>
      </c>
      <c r="D538" s="179">
        <v>7.1999999999999995E-2</v>
      </c>
      <c r="E538" s="181"/>
      <c r="F538" s="181"/>
      <c r="G538" s="182"/>
      <c r="H538" s="177"/>
      <c r="I538" s="183" t="s">
        <v>12</v>
      </c>
      <c r="J538" s="177"/>
      <c r="K538" s="184"/>
    </row>
    <row r="539" spans="1:11">
      <c r="A539" s="179" t="s">
        <v>32</v>
      </c>
      <c r="B539" s="179">
        <v>751.44488999468501</v>
      </c>
      <c r="C539" s="180">
        <v>4</v>
      </c>
      <c r="D539" s="179">
        <v>7.1999999999999995E-2</v>
      </c>
      <c r="E539" s="181"/>
      <c r="F539" s="181"/>
      <c r="G539" s="182"/>
      <c r="H539" s="177"/>
      <c r="I539" s="183" t="s">
        <v>12</v>
      </c>
      <c r="J539" s="177"/>
      <c r="K539" s="184"/>
    </row>
    <row r="540" spans="1:11">
      <c r="A540" s="179" t="s">
        <v>32</v>
      </c>
      <c r="B540" s="179">
        <v>755.29868948987303</v>
      </c>
      <c r="C540" s="180">
        <v>4</v>
      </c>
      <c r="D540" s="179">
        <v>7.1999999999999995E-2</v>
      </c>
      <c r="E540" s="181"/>
      <c r="F540" s="181"/>
      <c r="G540" s="182"/>
      <c r="H540" s="177"/>
      <c r="I540" s="183" t="s">
        <v>12</v>
      </c>
      <c r="J540" s="177"/>
      <c r="K540" s="184"/>
    </row>
    <row r="541" spans="1:11">
      <c r="A541" s="179" t="s">
        <v>32</v>
      </c>
      <c r="B541" s="179">
        <v>1132.94781373209</v>
      </c>
      <c r="C541" s="180">
        <v>4</v>
      </c>
      <c r="D541" s="179">
        <v>7.1999999999999995E-2</v>
      </c>
      <c r="E541" s="181"/>
      <c r="F541" s="181"/>
      <c r="G541" s="182"/>
      <c r="H541" s="177"/>
      <c r="I541" s="183" t="s">
        <v>12</v>
      </c>
      <c r="J541" s="177"/>
      <c r="K541" s="184"/>
    </row>
    <row r="542" spans="1:11">
      <c r="A542" s="179" t="s">
        <v>32</v>
      </c>
      <c r="B542" s="179">
        <v>1129.0943082405199</v>
      </c>
      <c r="C542" s="180">
        <v>4</v>
      </c>
      <c r="D542" s="179">
        <v>7.1999999999999995E-2</v>
      </c>
      <c r="E542" s="181"/>
      <c r="F542" s="181"/>
      <c r="G542" s="182"/>
      <c r="H542" s="177"/>
      <c r="I542" s="183" t="s">
        <v>12</v>
      </c>
      <c r="J542" s="177"/>
      <c r="K542" s="184"/>
    </row>
    <row r="543" spans="1:11">
      <c r="A543" s="179" t="s">
        <v>32</v>
      </c>
      <c r="B543" s="179">
        <v>1132.94781373209</v>
      </c>
      <c r="C543" s="180">
        <v>4</v>
      </c>
      <c r="D543" s="179">
        <v>7.1999999999999995E-2</v>
      </c>
      <c r="E543" s="181"/>
      <c r="F543" s="181"/>
      <c r="G543" s="182"/>
      <c r="H543" s="177"/>
      <c r="I543" s="183" t="s">
        <v>12</v>
      </c>
      <c r="J543" s="177"/>
      <c r="K543" s="184"/>
    </row>
    <row r="544" spans="1:11">
      <c r="A544" s="179" t="s">
        <v>32</v>
      </c>
      <c r="B544" s="179">
        <v>1502.8899269911799</v>
      </c>
      <c r="C544" s="180">
        <v>4</v>
      </c>
      <c r="D544" s="179">
        <v>7.1999999999999995E-2</v>
      </c>
      <c r="E544" s="181"/>
      <c r="F544" s="181"/>
      <c r="G544" s="182"/>
      <c r="H544" s="177"/>
      <c r="I544" s="183" t="s">
        <v>12</v>
      </c>
      <c r="J544" s="177"/>
      <c r="K544" s="184"/>
    </row>
    <row r="545" spans="1:11">
      <c r="A545" s="179" t="s">
        <v>32</v>
      </c>
      <c r="B545" s="179">
        <v>1510.5972319779301</v>
      </c>
      <c r="C545" s="180">
        <v>4</v>
      </c>
      <c r="D545" s="179">
        <v>7.1999999999999995E-2</v>
      </c>
      <c r="E545" s="181"/>
      <c r="F545" s="181"/>
      <c r="G545" s="182"/>
      <c r="H545" s="177"/>
      <c r="I545" s="183" t="s">
        <v>12</v>
      </c>
      <c r="J545" s="177"/>
      <c r="K545" s="184"/>
    </row>
    <row r="546" spans="1:11">
      <c r="A546" s="179" t="s">
        <v>32</v>
      </c>
      <c r="B546" s="179">
        <v>1506.74372648637</v>
      </c>
      <c r="C546" s="180">
        <v>4</v>
      </c>
      <c r="D546" s="179">
        <v>7.1999999999999995E-2</v>
      </c>
      <c r="E546" s="181"/>
      <c r="F546" s="181"/>
      <c r="G546" s="182"/>
      <c r="H546" s="177"/>
      <c r="I546" s="183" t="s">
        <v>12</v>
      </c>
      <c r="J546" s="177"/>
      <c r="K546" s="184"/>
    </row>
    <row r="547" spans="1:11">
      <c r="A547" s="179" t="s">
        <v>32</v>
      </c>
      <c r="B547" s="179">
        <v>1514.4507374694999</v>
      </c>
      <c r="C547" s="180">
        <v>4</v>
      </c>
      <c r="D547" s="179">
        <v>7.1999999999999995E-2</v>
      </c>
      <c r="E547" s="181"/>
      <c r="F547" s="181"/>
      <c r="G547" s="182"/>
      <c r="H547" s="177"/>
      <c r="I547" s="183" t="s">
        <v>12</v>
      </c>
      <c r="J547" s="177"/>
      <c r="K547" s="184"/>
    </row>
    <row r="548" spans="1:11">
      <c r="A548" s="179" t="s">
        <v>32</v>
      </c>
      <c r="B548" s="179">
        <v>1510.5972319779301</v>
      </c>
      <c r="C548" s="180">
        <v>4</v>
      </c>
      <c r="D548" s="179">
        <v>7.1999999999999995E-2</v>
      </c>
      <c r="E548" s="181"/>
      <c r="F548" s="181"/>
      <c r="G548" s="182"/>
      <c r="H548" s="177"/>
      <c r="I548" s="183" t="s">
        <v>12</v>
      </c>
      <c r="J548" s="177"/>
      <c r="K548" s="184"/>
    </row>
    <row r="549" spans="1:11">
      <c r="A549" s="179" t="s">
        <v>32</v>
      </c>
      <c r="B549" s="179">
        <v>2258.1887634828599</v>
      </c>
      <c r="C549" s="180">
        <v>4</v>
      </c>
      <c r="D549" s="179">
        <v>7.1999999999999995E-2</v>
      </c>
      <c r="E549" s="181"/>
      <c r="F549" s="181"/>
      <c r="G549" s="182"/>
      <c r="H549" s="177"/>
      <c r="I549" s="183" t="s">
        <v>12</v>
      </c>
      <c r="J549" s="177"/>
      <c r="K549" s="184"/>
    </row>
    <row r="550" spans="1:11">
      <c r="A550" s="179" t="s">
        <v>32</v>
      </c>
      <c r="B550" s="179">
        <v>2265.8957744659901</v>
      </c>
      <c r="C550" s="180">
        <v>4</v>
      </c>
      <c r="D550" s="179">
        <v>7.1999999999999995E-2</v>
      </c>
      <c r="E550" s="181"/>
      <c r="F550" s="181"/>
      <c r="G550" s="182"/>
      <c r="H550" s="177"/>
      <c r="I550" s="183" t="s">
        <v>12</v>
      </c>
      <c r="J550" s="177"/>
      <c r="K550" s="184"/>
    </row>
    <row r="551" spans="1:11">
      <c r="A551" s="179" t="s">
        <v>32</v>
      </c>
      <c r="B551" s="179">
        <v>2262.04226897443</v>
      </c>
      <c r="C551" s="180">
        <v>4</v>
      </c>
      <c r="D551" s="179">
        <v>7.1999999999999995E-2</v>
      </c>
      <c r="E551" s="181"/>
      <c r="F551" s="181"/>
      <c r="G551" s="182"/>
      <c r="H551" s="177"/>
      <c r="I551" s="183" t="s">
        <v>12</v>
      </c>
      <c r="J551" s="177"/>
      <c r="K551" s="184"/>
    </row>
    <row r="552" spans="1:11">
      <c r="A552" s="179" t="s">
        <v>32</v>
      </c>
      <c r="B552" s="179">
        <v>3017.3408114624899</v>
      </c>
      <c r="C552" s="180">
        <v>4</v>
      </c>
      <c r="D552" s="179">
        <v>7.1999999999999995E-2</v>
      </c>
      <c r="E552" s="181"/>
      <c r="F552" s="181"/>
      <c r="G552" s="182"/>
      <c r="H552" s="177"/>
      <c r="I552" s="183" t="s">
        <v>12</v>
      </c>
      <c r="J552" s="177"/>
      <c r="K552" s="184"/>
    </row>
    <row r="553" spans="1:11">
      <c r="A553" s="179" t="s">
        <v>32</v>
      </c>
      <c r="B553" s="179">
        <v>3017.3408114624899</v>
      </c>
      <c r="C553" s="180">
        <v>4</v>
      </c>
      <c r="D553" s="179">
        <v>7.1999999999999995E-2</v>
      </c>
      <c r="E553" s="181"/>
      <c r="F553" s="181"/>
      <c r="G553" s="182"/>
      <c r="H553" s="177"/>
      <c r="I553" s="183" t="s">
        <v>12</v>
      </c>
      <c r="J553" s="177"/>
      <c r="K553" s="184"/>
    </row>
    <row r="554" spans="1:11">
      <c r="A554" s="179" t="s">
        <v>32</v>
      </c>
      <c r="B554" s="179">
        <v>3013.4873059709298</v>
      </c>
      <c r="C554" s="180">
        <v>4</v>
      </c>
      <c r="D554" s="179">
        <v>7.1999999999999995E-2</v>
      </c>
      <c r="E554" s="181"/>
      <c r="F554" s="181"/>
      <c r="G554" s="182"/>
      <c r="H554" s="177"/>
      <c r="I554" s="183" t="s">
        <v>12</v>
      </c>
      <c r="J554" s="177"/>
      <c r="K554" s="184"/>
    </row>
    <row r="555" spans="1:11">
      <c r="A555" s="179" t="s">
        <v>32</v>
      </c>
      <c r="B555" s="179">
        <v>3009.6338004793602</v>
      </c>
      <c r="C555" s="180">
        <v>4</v>
      </c>
      <c r="D555" s="179">
        <v>7.1999999999999995E-2</v>
      </c>
      <c r="E555" s="181"/>
      <c r="F555" s="181"/>
      <c r="G555" s="182"/>
      <c r="H555" s="177"/>
      <c r="I555" s="183" t="s">
        <v>12</v>
      </c>
      <c r="J555" s="177"/>
      <c r="K555" s="184"/>
    </row>
    <row r="556" spans="1:11">
      <c r="A556" s="179" t="s">
        <v>32</v>
      </c>
      <c r="B556" s="179">
        <v>75.3423606787279</v>
      </c>
      <c r="C556" s="180">
        <v>6</v>
      </c>
      <c r="D556" s="179">
        <v>7.1999999999999995E-2</v>
      </c>
      <c r="E556" s="181"/>
      <c r="F556" s="181"/>
      <c r="G556" s="182"/>
      <c r="H556" s="177"/>
      <c r="I556" s="183" t="s">
        <v>12</v>
      </c>
      <c r="J556" s="177"/>
      <c r="K556" s="184"/>
    </row>
    <row r="557" spans="1:11">
      <c r="A557" s="179" t="s">
        <v>32</v>
      </c>
      <c r="B557" s="179">
        <v>171.232875434047</v>
      </c>
      <c r="C557" s="180">
        <v>6</v>
      </c>
      <c r="D557" s="179">
        <v>7.1999999999999995E-2</v>
      </c>
      <c r="E557" s="181"/>
      <c r="F557" s="181"/>
      <c r="G557" s="182"/>
      <c r="H557" s="177"/>
      <c r="I557" s="183" t="s">
        <v>12</v>
      </c>
      <c r="J557" s="177"/>
      <c r="K557" s="184"/>
    </row>
    <row r="558" spans="1:11">
      <c r="A558" s="179" t="s">
        <v>32</v>
      </c>
      <c r="B558" s="179">
        <v>352.73969726607498</v>
      </c>
      <c r="C558" s="180">
        <v>6</v>
      </c>
      <c r="D558" s="179">
        <v>7.1999999999999995E-2</v>
      </c>
      <c r="E558" s="181"/>
      <c r="F558" s="181"/>
      <c r="G558" s="182"/>
      <c r="H558" s="177"/>
      <c r="I558" s="183" t="s">
        <v>12</v>
      </c>
      <c r="J558" s="177"/>
      <c r="K558" s="184"/>
    </row>
    <row r="559" spans="1:11">
      <c r="A559" s="179" t="s">
        <v>32</v>
      </c>
      <c r="B559" s="179">
        <v>325.34246332469002</v>
      </c>
      <c r="C559" s="180">
        <v>6</v>
      </c>
      <c r="D559" s="179">
        <v>7.1999999999999995E-2</v>
      </c>
      <c r="E559" s="181"/>
      <c r="F559" s="181"/>
      <c r="G559" s="182"/>
      <c r="H559" s="177"/>
      <c r="I559" s="183" t="s">
        <v>12</v>
      </c>
      <c r="J559" s="177"/>
      <c r="K559" s="184"/>
    </row>
    <row r="560" spans="1:11">
      <c r="A560" s="179" t="s">
        <v>32</v>
      </c>
      <c r="B560" s="179">
        <v>352.73969726607498</v>
      </c>
      <c r="C560" s="180">
        <v>6</v>
      </c>
      <c r="D560" s="179">
        <v>7.1999999999999995E-2</v>
      </c>
      <c r="E560" s="181"/>
      <c r="F560" s="181"/>
      <c r="G560" s="182"/>
      <c r="H560" s="177"/>
      <c r="I560" s="183" t="s">
        <v>12</v>
      </c>
      <c r="J560" s="177"/>
      <c r="K560" s="184"/>
    </row>
    <row r="561" spans="1:11">
      <c r="A561" s="179" t="s">
        <v>32</v>
      </c>
      <c r="B561" s="179">
        <v>383.56153646001297</v>
      </c>
      <c r="C561" s="180">
        <v>6</v>
      </c>
      <c r="D561" s="179">
        <v>7.1999999999999995E-2</v>
      </c>
      <c r="E561" s="181"/>
      <c r="F561" s="181"/>
      <c r="G561" s="182"/>
      <c r="H561" s="177"/>
      <c r="I561" s="183" t="s">
        <v>12</v>
      </c>
      <c r="J561" s="177"/>
      <c r="K561" s="184"/>
    </row>
    <row r="562" spans="1:11">
      <c r="A562" s="179" t="s">
        <v>32</v>
      </c>
      <c r="B562" s="179">
        <v>434.93139909022801</v>
      </c>
      <c r="C562" s="180">
        <v>6</v>
      </c>
      <c r="D562" s="179">
        <v>7.1999999999999995E-2</v>
      </c>
      <c r="E562" s="181"/>
      <c r="F562" s="181"/>
      <c r="G562" s="182"/>
      <c r="H562" s="177"/>
      <c r="I562" s="183" t="s">
        <v>12</v>
      </c>
      <c r="J562" s="177"/>
      <c r="K562" s="184"/>
    </row>
    <row r="563" spans="1:11">
      <c r="A563" s="179" t="s">
        <v>32</v>
      </c>
      <c r="B563" s="179">
        <v>472.60271006990803</v>
      </c>
      <c r="C563" s="180">
        <v>6</v>
      </c>
      <c r="D563" s="179">
        <v>7.1999999999999995E-2</v>
      </c>
      <c r="E563" s="181"/>
      <c r="F563" s="181"/>
      <c r="G563" s="182"/>
      <c r="H563" s="177"/>
      <c r="I563" s="183" t="s">
        <v>12</v>
      </c>
      <c r="J563" s="177"/>
      <c r="K563" s="184"/>
    </row>
    <row r="564" spans="1:11">
      <c r="A564" s="179" t="s">
        <v>32</v>
      </c>
      <c r="B564" s="179">
        <v>510.27389040927198</v>
      </c>
      <c r="C564" s="180">
        <v>6</v>
      </c>
      <c r="D564" s="179">
        <v>7.1999999999999995E-2</v>
      </c>
      <c r="E564" s="181"/>
      <c r="F564" s="181"/>
      <c r="G564" s="182"/>
      <c r="H564" s="177"/>
      <c r="I564" s="183" t="s">
        <v>12</v>
      </c>
      <c r="J564" s="177"/>
      <c r="K564" s="184"/>
    </row>
    <row r="565" spans="1:11">
      <c r="A565" s="179" t="s">
        <v>32</v>
      </c>
      <c r="B565" s="179">
        <v>517.12323155469699</v>
      </c>
      <c r="C565" s="180">
        <v>6</v>
      </c>
      <c r="D565" s="179">
        <v>7.1999999999999995E-2</v>
      </c>
      <c r="E565" s="181"/>
      <c r="F565" s="181"/>
      <c r="G565" s="182"/>
      <c r="H565" s="177"/>
      <c r="I565" s="183" t="s">
        <v>12</v>
      </c>
      <c r="J565" s="177"/>
      <c r="K565" s="184"/>
    </row>
    <row r="566" spans="1:11">
      <c r="A566" s="179" t="s">
        <v>32</v>
      </c>
      <c r="B566" s="179">
        <v>554.794411894061</v>
      </c>
      <c r="C566" s="180">
        <v>6</v>
      </c>
      <c r="D566" s="179">
        <v>7.1999999999999995E-2</v>
      </c>
      <c r="E566" s="181"/>
      <c r="F566" s="181"/>
      <c r="G566" s="182"/>
      <c r="H566" s="177"/>
      <c r="I566" s="183" t="s">
        <v>12</v>
      </c>
      <c r="J566" s="177"/>
      <c r="K566" s="184"/>
    </row>
    <row r="567" spans="1:11">
      <c r="A567" s="179" t="s">
        <v>32</v>
      </c>
      <c r="B567" s="179">
        <v>592.46572289999995</v>
      </c>
      <c r="C567" s="180">
        <v>6</v>
      </c>
      <c r="D567" s="179">
        <v>7.1999999999999995E-2</v>
      </c>
      <c r="E567" s="181"/>
      <c r="F567" s="181"/>
      <c r="G567" s="182"/>
      <c r="H567" s="177"/>
      <c r="I567" s="183" t="s">
        <v>12</v>
      </c>
      <c r="J567" s="177"/>
      <c r="K567" s="184"/>
    </row>
    <row r="568" spans="1:11">
      <c r="A568" s="179" t="s">
        <v>32</v>
      </c>
      <c r="B568" s="179">
        <v>551.36980664150701</v>
      </c>
      <c r="C568" s="180">
        <v>6</v>
      </c>
      <c r="D568" s="179">
        <v>7.1999999999999995E-2</v>
      </c>
      <c r="E568" s="181"/>
      <c r="F568" s="181"/>
      <c r="G568" s="182"/>
      <c r="H568" s="177"/>
      <c r="I568" s="183" t="s">
        <v>12</v>
      </c>
      <c r="J568" s="177"/>
      <c r="K568" s="184"/>
    </row>
    <row r="569" spans="1:11">
      <c r="A569" s="179" t="s">
        <v>32</v>
      </c>
      <c r="B569" s="179">
        <v>585.61638172831601</v>
      </c>
      <c r="C569" s="180">
        <v>6</v>
      </c>
      <c r="D569" s="179">
        <v>7.1999999999999995E-2</v>
      </c>
      <c r="E569" s="181"/>
      <c r="F569" s="181"/>
      <c r="G569" s="182"/>
      <c r="H569" s="177"/>
      <c r="I569" s="183" t="s">
        <v>12</v>
      </c>
      <c r="J569" s="177"/>
      <c r="K569" s="184"/>
    </row>
    <row r="570" spans="1:11">
      <c r="A570" s="179" t="s">
        <v>32</v>
      </c>
      <c r="B570" s="179">
        <v>633.56163910597604</v>
      </c>
      <c r="C570" s="180">
        <v>6</v>
      </c>
      <c r="D570" s="179">
        <v>7.1999999999999995E-2</v>
      </c>
      <c r="E570" s="181"/>
      <c r="F570" s="181"/>
      <c r="G570" s="182"/>
      <c r="H570" s="177"/>
      <c r="I570" s="183" t="s">
        <v>12</v>
      </c>
      <c r="J570" s="177"/>
      <c r="K570" s="184"/>
    </row>
    <row r="571" spans="1:11">
      <c r="A571" s="179" t="s">
        <v>32</v>
      </c>
      <c r="B571" s="179">
        <v>684.93137109587406</v>
      </c>
      <c r="C571" s="180">
        <v>6</v>
      </c>
      <c r="D571" s="179">
        <v>7.1999999999999995E-2</v>
      </c>
      <c r="E571" s="181"/>
      <c r="F571" s="181"/>
      <c r="G571" s="182"/>
      <c r="H571" s="177"/>
      <c r="I571" s="183" t="s">
        <v>12</v>
      </c>
      <c r="J571" s="177"/>
      <c r="K571" s="184"/>
    </row>
    <row r="572" spans="1:11">
      <c r="A572" s="179" t="s">
        <v>32</v>
      </c>
      <c r="B572" s="179">
        <v>722.60281271587098</v>
      </c>
      <c r="C572" s="180">
        <v>6</v>
      </c>
      <c r="D572" s="179">
        <v>7.1999999999999995E-2</v>
      </c>
      <c r="E572" s="181"/>
      <c r="F572" s="181"/>
      <c r="G572" s="182"/>
      <c r="H572" s="177"/>
      <c r="I572" s="183" t="s">
        <v>12</v>
      </c>
      <c r="J572" s="177"/>
      <c r="K572" s="184"/>
    </row>
    <row r="573" spans="1:11">
      <c r="A573" s="179" t="s">
        <v>32</v>
      </c>
      <c r="B573" s="179">
        <v>726.02741796842497</v>
      </c>
      <c r="C573" s="180">
        <v>6</v>
      </c>
      <c r="D573" s="179">
        <v>7.1999999999999995E-2</v>
      </c>
      <c r="E573" s="181"/>
      <c r="F573" s="181"/>
      <c r="G573" s="182"/>
      <c r="H573" s="177"/>
      <c r="I573" s="183" t="s">
        <v>12</v>
      </c>
      <c r="J573" s="177"/>
      <c r="K573" s="184"/>
    </row>
    <row r="574" spans="1:11">
      <c r="A574" s="179" t="s">
        <v>32</v>
      </c>
      <c r="B574" s="179">
        <v>767.123203560344</v>
      </c>
      <c r="C574" s="180">
        <v>6</v>
      </c>
      <c r="D574" s="179">
        <v>7.1999999999999995E-2</v>
      </c>
      <c r="E574" s="181"/>
      <c r="F574" s="181"/>
      <c r="G574" s="182"/>
      <c r="H574" s="177"/>
      <c r="I574" s="183" t="s">
        <v>12</v>
      </c>
      <c r="J574" s="177"/>
      <c r="K574" s="184"/>
    </row>
    <row r="575" spans="1:11">
      <c r="A575" s="179" t="s">
        <v>32</v>
      </c>
      <c r="B575" s="179">
        <v>815.06846093800402</v>
      </c>
      <c r="C575" s="180">
        <v>6</v>
      </c>
      <c r="D575" s="179">
        <v>7.1999999999999995E-2</v>
      </c>
      <c r="E575" s="181"/>
      <c r="F575" s="181"/>
      <c r="G575" s="182"/>
      <c r="H575" s="177"/>
      <c r="I575" s="183" t="s">
        <v>12</v>
      </c>
      <c r="J575" s="177"/>
      <c r="K575" s="184"/>
    </row>
    <row r="576" spans="1:11">
      <c r="A576" s="179" t="s">
        <v>32</v>
      </c>
      <c r="B576" s="179">
        <v>852.73964127736804</v>
      </c>
      <c r="C576" s="180">
        <v>6</v>
      </c>
      <c r="D576" s="179">
        <v>7.1999999999999995E-2</v>
      </c>
      <c r="E576" s="181"/>
      <c r="F576" s="181"/>
      <c r="G576" s="182"/>
      <c r="H576" s="177"/>
      <c r="I576" s="183" t="s">
        <v>12</v>
      </c>
      <c r="J576" s="177"/>
      <c r="K576" s="184"/>
    </row>
    <row r="577" spans="1:11">
      <c r="A577" s="179" t="s">
        <v>32</v>
      </c>
      <c r="B577" s="179">
        <v>797.94517339459901</v>
      </c>
      <c r="C577" s="180">
        <v>6</v>
      </c>
      <c r="D577" s="179">
        <v>7.1999999999999995E-2</v>
      </c>
      <c r="E577" s="181"/>
      <c r="F577" s="181"/>
      <c r="G577" s="182"/>
      <c r="H577" s="177"/>
      <c r="I577" s="183" t="s">
        <v>12</v>
      </c>
      <c r="J577" s="177"/>
      <c r="K577" s="184"/>
    </row>
    <row r="578" spans="1:11">
      <c r="A578" s="179" t="s">
        <v>32</v>
      </c>
      <c r="B578" s="179">
        <v>770.54780881289798</v>
      </c>
      <c r="C578" s="180">
        <v>6</v>
      </c>
      <c r="D578" s="179">
        <v>7.1999999999999995E-2</v>
      </c>
      <c r="E578" s="181"/>
      <c r="F578" s="181"/>
      <c r="G578" s="182"/>
      <c r="H578" s="177"/>
      <c r="I578" s="183" t="s">
        <v>12</v>
      </c>
      <c r="J578" s="177"/>
      <c r="K578" s="184"/>
    </row>
    <row r="579" spans="1:11">
      <c r="A579" s="179" t="s">
        <v>32</v>
      </c>
      <c r="B579" s="179">
        <v>839.04095898651701</v>
      </c>
      <c r="C579" s="180">
        <v>6</v>
      </c>
      <c r="D579" s="179">
        <v>7.1999999999999995E-2</v>
      </c>
      <c r="E579" s="181"/>
      <c r="F579" s="181"/>
      <c r="G579" s="182"/>
      <c r="H579" s="177"/>
      <c r="I579" s="183" t="s">
        <v>12</v>
      </c>
      <c r="J579" s="177"/>
      <c r="K579" s="184"/>
    </row>
    <row r="580" spans="1:11">
      <c r="A580" s="179" t="s">
        <v>32</v>
      </c>
      <c r="B580" s="179">
        <v>797.94517339459901</v>
      </c>
      <c r="C580" s="180">
        <v>6</v>
      </c>
      <c r="D580" s="179">
        <v>7.1999999999999995E-2</v>
      </c>
      <c r="E580" s="181"/>
      <c r="F580" s="181"/>
      <c r="G580" s="182"/>
      <c r="H580" s="177"/>
      <c r="I580" s="183" t="s">
        <v>12</v>
      </c>
      <c r="J580" s="177"/>
      <c r="K580" s="184"/>
    </row>
    <row r="581" spans="1:11">
      <c r="A581" s="179" t="s">
        <v>32</v>
      </c>
      <c r="B581" s="179">
        <v>763.69859830778898</v>
      </c>
      <c r="C581" s="180">
        <v>6</v>
      </c>
      <c r="D581" s="179">
        <v>7.1999999999999995E-2</v>
      </c>
      <c r="E581" s="181"/>
      <c r="F581" s="181"/>
      <c r="G581" s="182"/>
      <c r="H581" s="177"/>
      <c r="I581" s="183" t="s">
        <v>12</v>
      </c>
      <c r="J581" s="177"/>
      <c r="K581" s="184"/>
    </row>
    <row r="582" spans="1:11">
      <c r="A582" s="179" t="s">
        <v>32</v>
      </c>
      <c r="B582" s="179">
        <v>722.60281271587098</v>
      </c>
      <c r="C582" s="180">
        <v>6</v>
      </c>
      <c r="D582" s="179">
        <v>7.1999999999999995E-2</v>
      </c>
      <c r="E582" s="181"/>
      <c r="F582" s="181"/>
      <c r="G582" s="182"/>
      <c r="H582" s="177"/>
      <c r="I582" s="183" t="s">
        <v>12</v>
      </c>
      <c r="J582" s="177"/>
      <c r="K582" s="184"/>
    </row>
    <row r="583" spans="1:11">
      <c r="A583" s="179" t="s">
        <v>32</v>
      </c>
      <c r="B583" s="179">
        <v>928.08226323672795</v>
      </c>
      <c r="C583" s="180">
        <v>6</v>
      </c>
      <c r="D583" s="179">
        <v>7.1999999999999995E-2</v>
      </c>
      <c r="E583" s="181"/>
      <c r="F583" s="181"/>
      <c r="G583" s="182"/>
      <c r="H583" s="177"/>
      <c r="I583" s="183" t="s">
        <v>12</v>
      </c>
      <c r="J583" s="177"/>
      <c r="K583" s="184"/>
    </row>
    <row r="584" spans="1:11">
      <c r="A584" s="179" t="s">
        <v>32</v>
      </c>
      <c r="B584" s="179">
        <v>924.65739670354105</v>
      </c>
      <c r="C584" s="180">
        <v>6</v>
      </c>
      <c r="D584" s="179">
        <v>7.1999999999999995E-2</v>
      </c>
      <c r="E584" s="181"/>
      <c r="F584" s="181"/>
      <c r="G584" s="182"/>
      <c r="H584" s="177"/>
      <c r="I584" s="183" t="s">
        <v>12</v>
      </c>
      <c r="J584" s="177"/>
      <c r="K584" s="184"/>
    </row>
    <row r="585" spans="1:11">
      <c r="A585" s="179" t="s">
        <v>32</v>
      </c>
      <c r="B585" s="179">
        <v>934.93147374183695</v>
      </c>
      <c r="C585" s="180">
        <v>6</v>
      </c>
      <c r="D585" s="179">
        <v>7.1999999999999995E-2</v>
      </c>
      <c r="E585" s="181"/>
      <c r="F585" s="181"/>
      <c r="G585" s="182"/>
      <c r="H585" s="177"/>
      <c r="I585" s="183" t="s">
        <v>12</v>
      </c>
      <c r="J585" s="177"/>
      <c r="K585" s="184"/>
    </row>
    <row r="586" spans="1:11">
      <c r="A586" s="179" t="s">
        <v>32</v>
      </c>
      <c r="B586" s="179">
        <v>1013.6987009537499</v>
      </c>
      <c r="C586" s="180">
        <v>6</v>
      </c>
      <c r="D586" s="179">
        <v>7.1999999999999995E-2</v>
      </c>
      <c r="E586" s="181"/>
      <c r="F586" s="181"/>
      <c r="G586" s="182"/>
      <c r="H586" s="177"/>
      <c r="I586" s="183" t="s">
        <v>12</v>
      </c>
      <c r="J586" s="177"/>
      <c r="K586" s="184"/>
    </row>
    <row r="587" spans="1:11">
      <c r="A587" s="179" t="s">
        <v>32</v>
      </c>
      <c r="B587" s="179">
        <v>1020.54791145886</v>
      </c>
      <c r="C587" s="180">
        <v>6</v>
      </c>
      <c r="D587" s="179">
        <v>7.1999999999999995E-2</v>
      </c>
      <c r="E587" s="181"/>
      <c r="F587" s="181"/>
      <c r="G587" s="182"/>
      <c r="H587" s="177"/>
      <c r="I587" s="183" t="s">
        <v>12</v>
      </c>
      <c r="J587" s="177"/>
      <c r="K587" s="184"/>
    </row>
    <row r="588" spans="1:11">
      <c r="A588" s="179" t="s">
        <v>32</v>
      </c>
      <c r="B588" s="179">
        <v>1191.7807868929001</v>
      </c>
      <c r="C588" s="180">
        <v>6</v>
      </c>
      <c r="D588" s="179">
        <v>7.1999999999999995E-2</v>
      </c>
      <c r="E588" s="181"/>
      <c r="F588" s="181"/>
      <c r="G588" s="182"/>
      <c r="H588" s="177"/>
      <c r="I588" s="183" t="s">
        <v>12</v>
      </c>
      <c r="J588" s="177"/>
      <c r="K588" s="184"/>
    </row>
    <row r="589" spans="1:11">
      <c r="A589" s="179" t="s">
        <v>32</v>
      </c>
      <c r="B589" s="179">
        <v>1188.3561816403501</v>
      </c>
      <c r="C589" s="180">
        <v>6</v>
      </c>
      <c r="D589" s="179">
        <v>7.1999999999999995E-2</v>
      </c>
      <c r="E589" s="181"/>
      <c r="F589" s="181"/>
      <c r="G589" s="182"/>
      <c r="H589" s="177"/>
      <c r="I589" s="183" t="s">
        <v>12</v>
      </c>
      <c r="J589" s="177"/>
      <c r="K589" s="184"/>
    </row>
    <row r="590" spans="1:11">
      <c r="A590" s="179" t="s">
        <v>32</v>
      </c>
      <c r="B590" s="179">
        <v>1359.5890570744</v>
      </c>
      <c r="C590" s="180">
        <v>6</v>
      </c>
      <c r="D590" s="179">
        <v>7.1999999999999995E-2</v>
      </c>
      <c r="E590" s="181"/>
      <c r="F590" s="181"/>
      <c r="G590" s="182"/>
      <c r="H590" s="177"/>
      <c r="I590" s="183" t="s">
        <v>12</v>
      </c>
      <c r="J590" s="177"/>
      <c r="K590" s="184"/>
    </row>
    <row r="591" spans="1:11">
      <c r="A591" s="179" t="s">
        <v>32</v>
      </c>
      <c r="B591" s="179">
        <v>1356.16445182184</v>
      </c>
      <c r="C591" s="180">
        <v>6</v>
      </c>
      <c r="D591" s="179">
        <v>7.1999999999999995E-2</v>
      </c>
      <c r="E591" s="181"/>
      <c r="F591" s="181"/>
      <c r="G591" s="182"/>
      <c r="H591" s="177"/>
      <c r="I591" s="183" t="s">
        <v>12</v>
      </c>
      <c r="J591" s="177"/>
      <c r="K591" s="184"/>
    </row>
    <row r="592" spans="1:11">
      <c r="A592" s="179" t="s">
        <v>32</v>
      </c>
      <c r="B592" s="179">
        <v>1352.73958528866</v>
      </c>
      <c r="C592" s="180">
        <v>6</v>
      </c>
      <c r="D592" s="179">
        <v>7.1999999999999995E-2</v>
      </c>
      <c r="E592" s="181"/>
      <c r="F592" s="181"/>
      <c r="G592" s="182"/>
      <c r="H592" s="177"/>
      <c r="I592" s="183" t="s">
        <v>12</v>
      </c>
      <c r="J592" s="177"/>
      <c r="K592" s="184"/>
    </row>
    <row r="593" spans="1:11">
      <c r="A593" s="179" t="s">
        <v>32</v>
      </c>
      <c r="B593" s="179">
        <v>1702.05480794249</v>
      </c>
      <c r="C593" s="180">
        <v>6</v>
      </c>
      <c r="D593" s="179">
        <v>7.1999999999999995E-2</v>
      </c>
      <c r="E593" s="181"/>
      <c r="F593" s="181"/>
      <c r="G593" s="182"/>
      <c r="H593" s="177"/>
      <c r="I593" s="183" t="s">
        <v>12</v>
      </c>
      <c r="J593" s="177"/>
      <c r="K593" s="184"/>
    </row>
    <row r="594" spans="1:11">
      <c r="A594" s="179" t="s">
        <v>32</v>
      </c>
      <c r="B594" s="179">
        <v>1698.63020268994</v>
      </c>
      <c r="C594" s="180">
        <v>6</v>
      </c>
      <c r="D594" s="179">
        <v>7.1999999999999995E-2</v>
      </c>
      <c r="E594" s="181"/>
      <c r="F594" s="181"/>
      <c r="G594" s="182"/>
      <c r="H594" s="177"/>
      <c r="I594" s="183" t="s">
        <v>12</v>
      </c>
      <c r="J594" s="177"/>
      <c r="K594" s="184"/>
    </row>
    <row r="595" spans="1:11">
      <c r="A595" s="179" t="s">
        <v>32</v>
      </c>
      <c r="B595" s="179">
        <v>1695.20533615675</v>
      </c>
      <c r="C595" s="180">
        <v>6</v>
      </c>
      <c r="D595" s="179">
        <v>7.1999999999999995E-2</v>
      </c>
      <c r="E595" s="181"/>
      <c r="F595" s="181"/>
      <c r="G595" s="182"/>
      <c r="H595" s="177"/>
      <c r="I595" s="183" t="s">
        <v>12</v>
      </c>
      <c r="J595" s="177"/>
      <c r="K595" s="184"/>
    </row>
    <row r="596" spans="1:11">
      <c r="A596" s="179" t="s">
        <v>32</v>
      </c>
      <c r="B596" s="179">
        <v>2547.9451080744402</v>
      </c>
      <c r="C596" s="180">
        <v>6</v>
      </c>
      <c r="D596" s="179">
        <v>7.1999999999999995E-2</v>
      </c>
      <c r="E596" s="181"/>
      <c r="F596" s="181"/>
      <c r="G596" s="182"/>
      <c r="H596" s="177"/>
      <c r="I596" s="183" t="s">
        <v>12</v>
      </c>
      <c r="J596" s="177"/>
      <c r="K596" s="184"/>
    </row>
    <row r="597" spans="1:11">
      <c r="A597" s="179" t="s">
        <v>32</v>
      </c>
      <c r="B597" s="179">
        <v>3106.1643869999998</v>
      </c>
      <c r="C597" s="180">
        <v>6</v>
      </c>
      <c r="D597" s="179">
        <v>7.1999999999999995E-2</v>
      </c>
      <c r="E597" s="181"/>
      <c r="F597" s="181"/>
      <c r="G597" s="182"/>
      <c r="H597" s="177"/>
      <c r="I597" s="183" t="s">
        <v>12</v>
      </c>
      <c r="J597" s="177"/>
      <c r="K597" s="184"/>
    </row>
    <row r="598" spans="1:11">
      <c r="A598" s="179" t="s">
        <v>32</v>
      </c>
      <c r="B598" s="179">
        <v>3102.7395199685002</v>
      </c>
      <c r="C598" s="180">
        <v>6</v>
      </c>
      <c r="D598" s="179">
        <v>7.1999999999999995E-2</v>
      </c>
      <c r="E598" s="181"/>
      <c r="F598" s="181"/>
      <c r="G598" s="182"/>
      <c r="H598" s="177"/>
      <c r="I598" s="183" t="s">
        <v>12</v>
      </c>
      <c r="J598" s="177"/>
      <c r="K598" s="184"/>
    </row>
    <row r="599" spans="1:11">
      <c r="A599" s="179" t="s">
        <v>32</v>
      </c>
      <c r="B599" s="179">
        <v>164.383534288622</v>
      </c>
      <c r="C599" s="180">
        <v>6</v>
      </c>
      <c r="D599" s="179">
        <v>7.1999999999999995E-2</v>
      </c>
      <c r="E599" s="181"/>
      <c r="F599" s="181"/>
      <c r="G599" s="182"/>
      <c r="H599" s="177"/>
      <c r="I599" s="183" t="s">
        <v>12</v>
      </c>
      <c r="J599" s="177"/>
      <c r="K599" s="184"/>
    </row>
    <row r="600" spans="1:11">
      <c r="A600" s="179" t="s">
        <v>32</v>
      </c>
      <c r="B600" s="179">
        <v>160.95879839575099</v>
      </c>
      <c r="C600" s="180">
        <v>6</v>
      </c>
      <c r="D600" s="179">
        <v>7.1999999999999995E-2</v>
      </c>
      <c r="E600" s="181"/>
      <c r="F600" s="181"/>
      <c r="G600" s="182"/>
      <c r="H600" s="177"/>
      <c r="I600" s="183" t="s">
        <v>12</v>
      </c>
      <c r="J600" s="177"/>
      <c r="K600" s="184"/>
    </row>
    <row r="601" spans="1:11">
      <c r="A601" s="179" t="s">
        <v>32</v>
      </c>
      <c r="B601" s="179">
        <v>249.99997200564599</v>
      </c>
      <c r="C601" s="180">
        <v>6</v>
      </c>
      <c r="D601" s="179">
        <v>7.1999999999999995E-2</v>
      </c>
      <c r="E601" s="181"/>
      <c r="F601" s="181"/>
      <c r="G601" s="182"/>
      <c r="H601" s="177"/>
      <c r="I601" s="183" t="s">
        <v>12</v>
      </c>
      <c r="J601" s="177"/>
      <c r="K601" s="184"/>
    </row>
    <row r="602" spans="1:11">
      <c r="A602" s="179" t="s">
        <v>32</v>
      </c>
      <c r="B602" s="179">
        <v>339.04101497522402</v>
      </c>
      <c r="C602" s="180">
        <v>6</v>
      </c>
      <c r="D602" s="179">
        <v>7.1999999999999995E-2</v>
      </c>
      <c r="E602" s="181"/>
      <c r="F602" s="181"/>
      <c r="G602" s="182"/>
      <c r="H602" s="177"/>
      <c r="I602" s="183" t="s">
        <v>12</v>
      </c>
      <c r="J602" s="177"/>
      <c r="K602" s="184"/>
    </row>
    <row r="603" spans="1:11">
      <c r="A603" s="179" t="s">
        <v>32</v>
      </c>
      <c r="B603" s="179">
        <v>376.712325954905</v>
      </c>
      <c r="C603" s="180">
        <v>6</v>
      </c>
      <c r="D603" s="179">
        <v>7.1999999999999995E-2</v>
      </c>
      <c r="E603" s="181"/>
      <c r="F603" s="181"/>
      <c r="G603" s="182"/>
      <c r="H603" s="177"/>
      <c r="I603" s="183" t="s">
        <v>12</v>
      </c>
      <c r="J603" s="177"/>
      <c r="K603" s="184"/>
    </row>
    <row r="604" spans="1:11">
      <c r="A604" s="179" t="s">
        <v>32</v>
      </c>
      <c r="B604" s="179">
        <v>417.808111546823</v>
      </c>
      <c r="C604" s="180">
        <v>6</v>
      </c>
      <c r="D604" s="179">
        <v>7.1999999999999995E-2</v>
      </c>
      <c r="E604" s="181"/>
      <c r="F604" s="181"/>
      <c r="G604" s="182"/>
      <c r="H604" s="177"/>
      <c r="I604" s="183" t="s">
        <v>12</v>
      </c>
      <c r="J604" s="177"/>
      <c r="K604" s="184"/>
    </row>
    <row r="605" spans="1:11">
      <c r="A605" s="179" t="s">
        <v>32</v>
      </c>
      <c r="B605" s="179">
        <v>452.05468663363303</v>
      </c>
      <c r="C605" s="180">
        <v>6</v>
      </c>
      <c r="D605" s="179">
        <v>7.1999999999999995E-2</v>
      </c>
      <c r="E605" s="181"/>
      <c r="F605" s="181"/>
      <c r="G605" s="182"/>
      <c r="H605" s="177"/>
      <c r="I605" s="183" t="s">
        <v>12</v>
      </c>
      <c r="J605" s="177"/>
      <c r="K605" s="184"/>
    </row>
    <row r="606" spans="1:11">
      <c r="A606" s="179" t="s">
        <v>32</v>
      </c>
      <c r="B606" s="179">
        <v>476.0273153</v>
      </c>
      <c r="C606" s="180">
        <v>6</v>
      </c>
      <c r="D606" s="179">
        <v>7.1999999999999995E-2</v>
      </c>
      <c r="E606" s="181"/>
      <c r="F606" s="181"/>
      <c r="G606" s="182"/>
      <c r="H606" s="177"/>
      <c r="I606" s="183" t="s">
        <v>12</v>
      </c>
      <c r="J606" s="177"/>
      <c r="K606" s="184"/>
    </row>
    <row r="607" spans="1:11">
      <c r="A607" s="179" t="s">
        <v>32</v>
      </c>
      <c r="B607" s="179">
        <v>510.27389040927198</v>
      </c>
      <c r="C607" s="180">
        <v>6</v>
      </c>
      <c r="D607" s="179">
        <v>7.1999999999999995E-2</v>
      </c>
      <c r="E607" s="181"/>
      <c r="F607" s="181"/>
      <c r="G607" s="182"/>
      <c r="H607" s="177"/>
      <c r="I607" s="183" t="s">
        <v>12</v>
      </c>
      <c r="J607" s="177"/>
      <c r="K607" s="184"/>
    </row>
    <row r="608" spans="1:11">
      <c r="A608" s="179" t="s">
        <v>32</v>
      </c>
      <c r="B608" s="179">
        <v>506.849285156718</v>
      </c>
      <c r="C608" s="180">
        <v>6</v>
      </c>
      <c r="D608" s="179">
        <v>7.1999999999999995E-2</v>
      </c>
      <c r="E608" s="181"/>
      <c r="F608" s="181"/>
      <c r="G608" s="182"/>
      <c r="H608" s="177"/>
      <c r="I608" s="183" t="s">
        <v>12</v>
      </c>
      <c r="J608" s="177"/>
      <c r="K608" s="184"/>
    </row>
    <row r="609" spans="1:11">
      <c r="A609" s="179" t="s">
        <v>32</v>
      </c>
      <c r="B609" s="179">
        <v>547.94520139999997</v>
      </c>
      <c r="C609" s="180">
        <v>6</v>
      </c>
      <c r="D609" s="179">
        <v>7.1999999999999995E-2</v>
      </c>
      <c r="E609" s="181"/>
      <c r="F609" s="181"/>
      <c r="G609" s="182"/>
      <c r="H609" s="177"/>
      <c r="I609" s="183" t="s">
        <v>12</v>
      </c>
      <c r="J609" s="177"/>
      <c r="K609" s="184"/>
    </row>
    <row r="610" spans="1:11">
      <c r="A610" s="179" t="s">
        <v>32</v>
      </c>
      <c r="B610" s="179">
        <v>551.36980664150701</v>
      </c>
      <c r="C610" s="180">
        <v>6</v>
      </c>
      <c r="D610" s="179">
        <v>7.1999999999999995E-2</v>
      </c>
      <c r="E610" s="181"/>
      <c r="F610" s="181"/>
      <c r="G610" s="182"/>
      <c r="H610" s="177"/>
      <c r="I610" s="183" t="s">
        <v>12</v>
      </c>
      <c r="J610" s="177"/>
      <c r="K610" s="184"/>
    </row>
    <row r="611" spans="1:11">
      <c r="A611" s="179" t="s">
        <v>32</v>
      </c>
      <c r="B611" s="179">
        <v>595.89032812629603</v>
      </c>
      <c r="C611" s="180">
        <v>6</v>
      </c>
      <c r="D611" s="179">
        <v>7.1999999999999995E-2</v>
      </c>
      <c r="E611" s="181"/>
      <c r="F611" s="181"/>
      <c r="G611" s="182"/>
      <c r="H611" s="177"/>
      <c r="I611" s="183" t="s">
        <v>12</v>
      </c>
      <c r="J611" s="177"/>
      <c r="K611" s="184"/>
    </row>
    <row r="612" spans="1:11">
      <c r="A612" s="179" t="s">
        <v>32</v>
      </c>
      <c r="B612" s="179">
        <v>592.46572289999995</v>
      </c>
      <c r="C612" s="180">
        <v>6</v>
      </c>
      <c r="D612" s="179">
        <v>7.1999999999999995E-2</v>
      </c>
      <c r="E612" s="181"/>
      <c r="F612" s="181"/>
      <c r="G612" s="182"/>
      <c r="H612" s="177"/>
      <c r="I612" s="183" t="s">
        <v>12</v>
      </c>
      <c r="J612" s="177"/>
      <c r="K612" s="184"/>
    </row>
    <row r="613" spans="1:11">
      <c r="A613" s="179" t="s">
        <v>32</v>
      </c>
      <c r="B613" s="179">
        <v>636.98650563916306</v>
      </c>
      <c r="C613" s="180">
        <v>6</v>
      </c>
      <c r="D613" s="179">
        <v>7.1999999999999995E-2</v>
      </c>
      <c r="E613" s="181"/>
      <c r="F613" s="181"/>
      <c r="G613" s="182"/>
      <c r="H613" s="177"/>
      <c r="I613" s="183" t="s">
        <v>12</v>
      </c>
      <c r="J613" s="177"/>
      <c r="K613" s="184"/>
    </row>
    <row r="614" spans="1:11">
      <c r="A614" s="179" t="s">
        <v>32</v>
      </c>
      <c r="B614" s="179">
        <v>674.65755533821095</v>
      </c>
      <c r="C614" s="180">
        <v>6</v>
      </c>
      <c r="D614" s="179">
        <v>7.1999999999999995E-2</v>
      </c>
      <c r="E614" s="181"/>
      <c r="F614" s="181"/>
      <c r="G614" s="182"/>
      <c r="H614" s="177"/>
      <c r="I614" s="183" t="s">
        <v>12</v>
      </c>
      <c r="J614" s="177"/>
      <c r="K614" s="184"/>
    </row>
    <row r="615" spans="1:11">
      <c r="A615" s="179" t="s">
        <v>32</v>
      </c>
      <c r="B615" s="179">
        <v>671.23295008565697</v>
      </c>
      <c r="C615" s="180">
        <v>6</v>
      </c>
      <c r="D615" s="179">
        <v>7.1999999999999995E-2</v>
      </c>
      <c r="E615" s="181"/>
      <c r="F615" s="181"/>
      <c r="G615" s="182"/>
      <c r="H615" s="177"/>
      <c r="I615" s="183" t="s">
        <v>12</v>
      </c>
      <c r="J615" s="177"/>
      <c r="K615" s="184"/>
    </row>
    <row r="616" spans="1:11">
      <c r="A616" s="179" t="s">
        <v>32</v>
      </c>
      <c r="B616" s="179">
        <v>715.75334093012896</v>
      </c>
      <c r="C616" s="180">
        <v>6</v>
      </c>
      <c r="D616" s="179">
        <v>7.1999999999999995E-2</v>
      </c>
      <c r="E616" s="181"/>
      <c r="F616" s="181"/>
      <c r="G616" s="182"/>
      <c r="H616" s="177"/>
      <c r="I616" s="183" t="s">
        <v>12</v>
      </c>
      <c r="J616" s="177"/>
      <c r="K616" s="184"/>
    </row>
    <row r="617" spans="1:11">
      <c r="A617" s="179" t="s">
        <v>32</v>
      </c>
      <c r="B617" s="179">
        <v>719.17794618268397</v>
      </c>
      <c r="C617" s="180">
        <v>6</v>
      </c>
      <c r="D617" s="179">
        <v>7.1999999999999995E-2</v>
      </c>
      <c r="E617" s="181"/>
      <c r="F617" s="181"/>
      <c r="G617" s="182"/>
      <c r="H617" s="177"/>
      <c r="I617" s="183" t="s">
        <v>12</v>
      </c>
      <c r="J617" s="177"/>
      <c r="K617" s="184"/>
    </row>
    <row r="618" spans="1:11">
      <c r="A618" s="179" t="s">
        <v>32</v>
      </c>
      <c r="B618" s="179">
        <v>756.84938780267998</v>
      </c>
      <c r="C618" s="180">
        <v>6</v>
      </c>
      <c r="D618" s="179">
        <v>7.1999999999999995E-2</v>
      </c>
      <c r="E618" s="181"/>
      <c r="F618" s="181"/>
      <c r="G618" s="182"/>
      <c r="H618" s="177"/>
      <c r="I618" s="183" t="s">
        <v>12</v>
      </c>
      <c r="J618" s="177"/>
      <c r="K618" s="184"/>
    </row>
    <row r="619" spans="1:11">
      <c r="A619" s="179" t="s">
        <v>32</v>
      </c>
      <c r="B619" s="179">
        <v>760.273993055235</v>
      </c>
      <c r="C619" s="180">
        <v>6</v>
      </c>
      <c r="D619" s="179">
        <v>7.1999999999999995E-2</v>
      </c>
      <c r="E619" s="181"/>
      <c r="F619" s="181"/>
      <c r="G619" s="182"/>
      <c r="H619" s="177"/>
      <c r="I619" s="183" t="s">
        <v>12</v>
      </c>
      <c r="J619" s="177"/>
      <c r="K619" s="184"/>
    </row>
    <row r="620" spans="1:11">
      <c r="A620" s="179" t="s">
        <v>32</v>
      </c>
      <c r="B620" s="179">
        <v>811.64385568544901</v>
      </c>
      <c r="C620" s="180">
        <v>6</v>
      </c>
      <c r="D620" s="179">
        <v>7.1999999999999995E-2</v>
      </c>
      <c r="E620" s="181"/>
      <c r="F620" s="181"/>
      <c r="G620" s="182"/>
      <c r="H620" s="177"/>
      <c r="I620" s="183" t="s">
        <v>12</v>
      </c>
      <c r="J620" s="177"/>
      <c r="K620" s="184"/>
    </row>
    <row r="621" spans="1:11">
      <c r="A621" s="179" t="s">
        <v>32</v>
      </c>
      <c r="B621" s="179">
        <v>804.79438389970801</v>
      </c>
      <c r="C621" s="180">
        <v>6</v>
      </c>
      <c r="D621" s="179">
        <v>7.1999999999999995E-2</v>
      </c>
      <c r="E621" s="181"/>
      <c r="F621" s="181"/>
      <c r="G621" s="182"/>
      <c r="H621" s="177"/>
      <c r="I621" s="183" t="s">
        <v>12</v>
      </c>
      <c r="J621" s="177"/>
      <c r="K621" s="184"/>
    </row>
    <row r="622" spans="1:11">
      <c r="A622" s="179" t="s">
        <v>32</v>
      </c>
      <c r="B622" s="179">
        <v>801.369778647153</v>
      </c>
      <c r="C622" s="180">
        <v>6</v>
      </c>
      <c r="D622" s="179">
        <v>7.1999999999999995E-2</v>
      </c>
      <c r="E622" s="181"/>
      <c r="F622" s="181"/>
      <c r="G622" s="182"/>
      <c r="H622" s="177"/>
      <c r="I622" s="183" t="s">
        <v>12</v>
      </c>
      <c r="J622" s="177"/>
      <c r="K622" s="184"/>
    </row>
    <row r="623" spans="1:11">
      <c r="A623" s="179" t="s">
        <v>32</v>
      </c>
      <c r="B623" s="179">
        <v>845.89043077225904</v>
      </c>
      <c r="C623" s="180">
        <v>6</v>
      </c>
      <c r="D623" s="179">
        <v>7.1999999999999995E-2</v>
      </c>
      <c r="E623" s="181"/>
      <c r="F623" s="181"/>
      <c r="G623" s="182"/>
      <c r="H623" s="177"/>
      <c r="I623" s="183" t="s">
        <v>12</v>
      </c>
      <c r="J623" s="177"/>
      <c r="K623" s="184"/>
    </row>
    <row r="624" spans="1:11">
      <c r="A624" s="179" t="s">
        <v>32</v>
      </c>
      <c r="B624" s="179">
        <v>941.78068424694595</v>
      </c>
      <c r="C624" s="180">
        <v>6</v>
      </c>
      <c r="D624" s="179">
        <v>7.1999999999999995E-2</v>
      </c>
      <c r="E624" s="181"/>
      <c r="F624" s="181"/>
      <c r="G624" s="182"/>
      <c r="H624" s="177"/>
      <c r="I624" s="183" t="s">
        <v>12</v>
      </c>
      <c r="J624" s="177"/>
      <c r="K624" s="184"/>
    </row>
    <row r="625" spans="1:11">
      <c r="A625" s="179" t="s">
        <v>32</v>
      </c>
      <c r="B625" s="179">
        <v>938.35607899439105</v>
      </c>
      <c r="C625" s="180">
        <v>6</v>
      </c>
      <c r="D625" s="179">
        <v>7.1999999999999995E-2</v>
      </c>
      <c r="E625" s="181"/>
      <c r="F625" s="181"/>
      <c r="G625" s="182"/>
      <c r="H625" s="177"/>
      <c r="I625" s="183" t="s">
        <v>12</v>
      </c>
      <c r="J625" s="177"/>
      <c r="K625" s="184"/>
    </row>
    <row r="626" spans="1:11">
      <c r="A626" s="179" t="s">
        <v>32</v>
      </c>
      <c r="B626" s="179">
        <v>1013.6987009537499</v>
      </c>
      <c r="C626" s="180">
        <v>6</v>
      </c>
      <c r="D626" s="179">
        <v>7.1999999999999995E-2</v>
      </c>
      <c r="E626" s="181"/>
      <c r="F626" s="181"/>
      <c r="G626" s="182"/>
      <c r="H626" s="177"/>
      <c r="I626" s="183" t="s">
        <v>12</v>
      </c>
      <c r="J626" s="177"/>
      <c r="K626" s="184"/>
    </row>
    <row r="627" spans="1:11">
      <c r="A627" s="179" t="s">
        <v>32</v>
      </c>
      <c r="B627" s="179">
        <v>1017.1233062063</v>
      </c>
      <c r="C627" s="180">
        <v>6</v>
      </c>
      <c r="D627" s="179">
        <v>7.1999999999999995E-2</v>
      </c>
      <c r="E627" s="181"/>
      <c r="F627" s="181"/>
      <c r="G627" s="182"/>
      <c r="H627" s="177"/>
      <c r="I627" s="183" t="s">
        <v>12</v>
      </c>
      <c r="J627" s="177"/>
      <c r="K627" s="184"/>
    </row>
    <row r="628" spans="1:11">
      <c r="A628" s="179" t="s">
        <v>32</v>
      </c>
      <c r="B628" s="179">
        <v>1188.3561816403501</v>
      </c>
      <c r="C628" s="180">
        <v>6</v>
      </c>
      <c r="D628" s="179">
        <v>7.1999999999999995E-2</v>
      </c>
      <c r="E628" s="181"/>
      <c r="F628" s="181"/>
      <c r="G628" s="182"/>
      <c r="H628" s="177"/>
      <c r="I628" s="183" t="s">
        <v>12</v>
      </c>
      <c r="J628" s="177"/>
      <c r="K628" s="184"/>
    </row>
    <row r="629" spans="1:11">
      <c r="A629" s="179" t="s">
        <v>32</v>
      </c>
      <c r="B629" s="179">
        <v>1184.9315763878001</v>
      </c>
      <c r="C629" s="180">
        <v>6</v>
      </c>
      <c r="D629" s="179">
        <v>7.1999999999999995E-2</v>
      </c>
      <c r="E629" s="181"/>
      <c r="F629" s="181"/>
      <c r="G629" s="182"/>
      <c r="H629" s="177"/>
      <c r="I629" s="183" t="s">
        <v>12</v>
      </c>
      <c r="J629" s="177"/>
      <c r="K629" s="184"/>
    </row>
    <row r="630" spans="1:11">
      <c r="A630" s="179" t="s">
        <v>32</v>
      </c>
      <c r="B630" s="179">
        <v>1359.5890570744</v>
      </c>
      <c r="C630" s="180">
        <v>6</v>
      </c>
      <c r="D630" s="179">
        <v>7.1999999999999995E-2</v>
      </c>
      <c r="E630" s="181"/>
      <c r="F630" s="181"/>
      <c r="G630" s="182"/>
      <c r="H630" s="177"/>
      <c r="I630" s="183" t="s">
        <v>12</v>
      </c>
      <c r="J630" s="177"/>
      <c r="K630" s="184"/>
    </row>
    <row r="631" spans="1:11">
      <c r="A631" s="179" t="s">
        <v>32</v>
      </c>
      <c r="B631" s="179">
        <v>1356.16445182184</v>
      </c>
      <c r="C631" s="180">
        <v>6</v>
      </c>
      <c r="D631" s="179">
        <v>7.1999999999999995E-2</v>
      </c>
      <c r="E631" s="181"/>
      <c r="F631" s="181"/>
      <c r="G631" s="182"/>
      <c r="H631" s="177"/>
      <c r="I631" s="183" t="s">
        <v>12</v>
      </c>
      <c r="J631" s="177"/>
      <c r="K631" s="184"/>
    </row>
    <row r="632" spans="1:11">
      <c r="A632" s="179" t="s">
        <v>32</v>
      </c>
      <c r="B632" s="179">
        <v>1352.73958528866</v>
      </c>
      <c r="C632" s="180">
        <v>6</v>
      </c>
      <c r="D632" s="179">
        <v>7.1999999999999995E-2</v>
      </c>
      <c r="E632" s="181"/>
      <c r="F632" s="181"/>
      <c r="G632" s="182"/>
      <c r="H632" s="177"/>
      <c r="I632" s="183" t="s">
        <v>12</v>
      </c>
      <c r="J632" s="177"/>
      <c r="K632" s="184"/>
    </row>
    <row r="633" spans="1:11">
      <c r="A633" s="179" t="s">
        <v>32</v>
      </c>
      <c r="B633" s="179">
        <v>1695.20533615675</v>
      </c>
      <c r="C633" s="180">
        <v>6</v>
      </c>
      <c r="D633" s="179">
        <v>7.1999999999999995E-2</v>
      </c>
      <c r="E633" s="181"/>
      <c r="F633" s="181"/>
      <c r="G633" s="182"/>
      <c r="H633" s="177"/>
      <c r="I633" s="183" t="s">
        <v>12</v>
      </c>
      <c r="J633" s="177"/>
      <c r="K633" s="184"/>
    </row>
    <row r="634" spans="1:11">
      <c r="A634" s="179" t="s">
        <v>32</v>
      </c>
      <c r="B634" s="179">
        <v>1702.05480794249</v>
      </c>
      <c r="C634" s="180">
        <v>6</v>
      </c>
      <c r="D634" s="179">
        <v>7.1999999999999995E-2</v>
      </c>
      <c r="E634" s="181"/>
      <c r="F634" s="181"/>
      <c r="G634" s="182"/>
      <c r="H634" s="177"/>
      <c r="I634" s="183" t="s">
        <v>12</v>
      </c>
      <c r="J634" s="177"/>
      <c r="K634" s="184"/>
    </row>
    <row r="635" spans="1:11">
      <c r="A635" s="179" t="s">
        <v>32</v>
      </c>
      <c r="B635" s="179">
        <v>1698.63020268994</v>
      </c>
      <c r="C635" s="180">
        <v>6</v>
      </c>
      <c r="D635" s="179">
        <v>7.1999999999999995E-2</v>
      </c>
      <c r="E635" s="181"/>
      <c r="F635" s="181"/>
      <c r="G635" s="182"/>
      <c r="H635" s="177"/>
      <c r="I635" s="183" t="s">
        <v>12</v>
      </c>
      <c r="J635" s="177"/>
      <c r="K635" s="184"/>
    </row>
    <row r="636" spans="1:11">
      <c r="A636" s="179" t="s">
        <v>32</v>
      </c>
      <c r="B636" s="179">
        <v>82.1917018241531</v>
      </c>
      <c r="C636" s="180">
        <v>6</v>
      </c>
      <c r="D636" s="179">
        <v>7.1999999999999995E-2</v>
      </c>
      <c r="E636" s="181"/>
      <c r="F636" s="181"/>
      <c r="G636" s="182"/>
      <c r="H636" s="177"/>
      <c r="I636" s="183" t="s">
        <v>12</v>
      </c>
      <c r="J636" s="177"/>
      <c r="K636" s="184"/>
    </row>
    <row r="637" spans="1:11">
      <c r="A637" s="179" t="s">
        <v>32</v>
      </c>
      <c r="B637" s="179">
        <v>78.767096571598699</v>
      </c>
      <c r="C637" s="180">
        <v>6</v>
      </c>
      <c r="D637" s="179">
        <v>7.1999999999999995E-2</v>
      </c>
      <c r="E637" s="181"/>
      <c r="F637" s="181"/>
      <c r="G637" s="182"/>
      <c r="H637" s="177"/>
      <c r="I637" s="183" t="s">
        <v>12</v>
      </c>
      <c r="J637" s="177"/>
      <c r="K637" s="184"/>
    </row>
    <row r="638" spans="1:11">
      <c r="A638" s="179" t="s">
        <v>32</v>
      </c>
      <c r="B638" s="179">
        <v>160.95879839575099</v>
      </c>
      <c r="C638" s="180">
        <v>6</v>
      </c>
      <c r="D638" s="179">
        <v>7.1999999999999995E-2</v>
      </c>
      <c r="E638" s="181"/>
      <c r="F638" s="181"/>
      <c r="G638" s="182"/>
      <c r="H638" s="177"/>
      <c r="I638" s="183" t="s">
        <v>12</v>
      </c>
      <c r="J638" s="177"/>
      <c r="K638" s="184"/>
    </row>
    <row r="639" spans="1:11">
      <c r="A639" s="179" t="s">
        <v>32</v>
      </c>
      <c r="B639" s="179">
        <v>246.575236112775</v>
      </c>
      <c r="C639" s="180">
        <v>6</v>
      </c>
      <c r="D639" s="179">
        <v>7.1999999999999995E-2</v>
      </c>
      <c r="E639" s="181"/>
      <c r="F639" s="181"/>
      <c r="G639" s="182"/>
      <c r="H639" s="177"/>
      <c r="I639" s="183" t="s">
        <v>12</v>
      </c>
      <c r="J639" s="177"/>
      <c r="K639" s="184"/>
    </row>
    <row r="640" spans="1:11">
      <c r="A640" s="179" t="s">
        <v>32</v>
      </c>
      <c r="B640" s="179">
        <v>335.61640972267003</v>
      </c>
      <c r="C640" s="180">
        <v>6</v>
      </c>
      <c r="D640" s="179">
        <v>7.1999999999999995E-2</v>
      </c>
      <c r="E640" s="181"/>
      <c r="F640" s="181"/>
      <c r="G640" s="182"/>
      <c r="H640" s="177"/>
      <c r="I640" s="183" t="s">
        <v>12</v>
      </c>
      <c r="J640" s="177"/>
      <c r="K640" s="184"/>
    </row>
    <row r="641" spans="1:11">
      <c r="A641" s="179" t="s">
        <v>32</v>
      </c>
      <c r="B641" s="179">
        <v>373.28759006203398</v>
      </c>
      <c r="C641" s="180">
        <v>6</v>
      </c>
      <c r="D641" s="179">
        <v>7.1999999999999995E-2</v>
      </c>
      <c r="E641" s="181"/>
      <c r="F641" s="181"/>
      <c r="G641" s="182"/>
      <c r="H641" s="177"/>
      <c r="I641" s="183" t="s">
        <v>12</v>
      </c>
      <c r="J641" s="177"/>
      <c r="K641" s="184"/>
    </row>
    <row r="642" spans="1:11">
      <c r="A642" s="179" t="s">
        <v>32</v>
      </c>
      <c r="B642" s="179">
        <v>369.86298479999999</v>
      </c>
      <c r="C642" s="180">
        <v>6</v>
      </c>
      <c r="D642" s="179">
        <v>7.1999999999999995E-2</v>
      </c>
      <c r="E642" s="181"/>
      <c r="F642" s="181"/>
      <c r="G642" s="182"/>
      <c r="H642" s="177"/>
      <c r="I642" s="183" t="s">
        <v>12</v>
      </c>
      <c r="J642" s="177"/>
      <c r="K642" s="184"/>
    </row>
    <row r="643" spans="1:11">
      <c r="A643" s="179" t="s">
        <v>32</v>
      </c>
      <c r="B643" s="179">
        <v>417.808111546823</v>
      </c>
      <c r="C643" s="180">
        <v>6</v>
      </c>
      <c r="D643" s="179">
        <v>7.1999999999999995E-2</v>
      </c>
      <c r="E643" s="181"/>
      <c r="F643" s="181"/>
      <c r="G643" s="182"/>
      <c r="H643" s="177"/>
      <c r="I643" s="183" t="s">
        <v>12</v>
      </c>
      <c r="J643" s="177"/>
      <c r="K643" s="184"/>
    </row>
    <row r="644" spans="1:11">
      <c r="A644" s="179" t="s">
        <v>32</v>
      </c>
      <c r="B644" s="179">
        <v>472.60271006990803</v>
      </c>
      <c r="C644" s="180">
        <v>6</v>
      </c>
      <c r="D644" s="179">
        <v>7.1999999999999995E-2</v>
      </c>
      <c r="E644" s="181"/>
      <c r="F644" s="181"/>
      <c r="G644" s="182"/>
      <c r="H644" s="177"/>
      <c r="I644" s="183" t="s">
        <v>12</v>
      </c>
      <c r="J644" s="177"/>
      <c r="K644" s="184"/>
    </row>
    <row r="645" spans="1:11">
      <c r="A645" s="179" t="s">
        <v>32</v>
      </c>
      <c r="B645" s="179">
        <v>465.75336892448303</v>
      </c>
      <c r="C645" s="180">
        <v>6</v>
      </c>
      <c r="D645" s="179">
        <v>7.1999999999999995E-2</v>
      </c>
      <c r="E645" s="181"/>
      <c r="F645" s="181"/>
      <c r="G645" s="182"/>
      <c r="H645" s="177"/>
      <c r="I645" s="183" t="s">
        <v>12</v>
      </c>
      <c r="J645" s="177"/>
      <c r="K645" s="184"/>
    </row>
    <row r="646" spans="1:11">
      <c r="A646" s="179" t="s">
        <v>32</v>
      </c>
      <c r="B646" s="179">
        <v>462.32876367192898</v>
      </c>
      <c r="C646" s="180">
        <v>6</v>
      </c>
      <c r="D646" s="179">
        <v>7.1999999999999995E-2</v>
      </c>
      <c r="E646" s="181"/>
      <c r="F646" s="181"/>
      <c r="G646" s="182"/>
      <c r="H646" s="177"/>
      <c r="I646" s="183" t="s">
        <v>12</v>
      </c>
      <c r="J646" s="177"/>
      <c r="K646" s="184"/>
    </row>
    <row r="647" spans="1:11">
      <c r="A647" s="179" t="s">
        <v>32</v>
      </c>
      <c r="B647" s="179">
        <v>510.27389040927198</v>
      </c>
      <c r="C647" s="180">
        <v>6</v>
      </c>
      <c r="D647" s="179">
        <v>7.1999999999999995E-2</v>
      </c>
      <c r="E647" s="181"/>
      <c r="F647" s="181"/>
      <c r="G647" s="182"/>
      <c r="H647" s="177"/>
      <c r="I647" s="183" t="s">
        <v>12</v>
      </c>
      <c r="J647" s="177"/>
      <c r="K647" s="184"/>
    </row>
    <row r="648" spans="1:11">
      <c r="A648" s="179" t="s">
        <v>32</v>
      </c>
      <c r="B648" s="179">
        <v>506.849285156718</v>
      </c>
      <c r="C648" s="180">
        <v>6</v>
      </c>
      <c r="D648" s="179">
        <v>7.1999999999999995E-2</v>
      </c>
      <c r="E648" s="181"/>
      <c r="F648" s="181"/>
      <c r="G648" s="182"/>
      <c r="H648" s="177"/>
      <c r="I648" s="183" t="s">
        <v>12</v>
      </c>
      <c r="J648" s="177"/>
      <c r="K648" s="184"/>
    </row>
    <row r="649" spans="1:11">
      <c r="A649" s="179" t="s">
        <v>32</v>
      </c>
      <c r="B649" s="179">
        <v>554.794411894061</v>
      </c>
      <c r="C649" s="180">
        <v>6</v>
      </c>
      <c r="D649" s="179">
        <v>7.1999999999999995E-2</v>
      </c>
      <c r="E649" s="181"/>
      <c r="F649" s="181"/>
      <c r="G649" s="182"/>
      <c r="H649" s="177"/>
      <c r="I649" s="183" t="s">
        <v>12</v>
      </c>
      <c r="J649" s="177"/>
      <c r="K649" s="184"/>
    </row>
    <row r="650" spans="1:11">
      <c r="A650" s="179" t="s">
        <v>32</v>
      </c>
      <c r="B650" s="179">
        <v>551.36980664150701</v>
      </c>
      <c r="C650" s="180">
        <v>6</v>
      </c>
      <c r="D650" s="179">
        <v>7.1999999999999995E-2</v>
      </c>
      <c r="E650" s="181"/>
      <c r="F650" s="181"/>
      <c r="G650" s="182"/>
      <c r="H650" s="177"/>
      <c r="I650" s="183" t="s">
        <v>12</v>
      </c>
      <c r="J650" s="177"/>
      <c r="K650" s="184"/>
    </row>
    <row r="651" spans="1:11">
      <c r="A651" s="179" t="s">
        <v>32</v>
      </c>
      <c r="B651" s="179">
        <v>595.89032812629603</v>
      </c>
      <c r="C651" s="180">
        <v>6</v>
      </c>
      <c r="D651" s="179">
        <v>7.1999999999999995E-2</v>
      </c>
      <c r="E651" s="181"/>
      <c r="F651" s="181"/>
      <c r="G651" s="182"/>
      <c r="H651" s="177"/>
      <c r="I651" s="183" t="s">
        <v>12</v>
      </c>
      <c r="J651" s="177"/>
      <c r="K651" s="184"/>
    </row>
    <row r="652" spans="1:11">
      <c r="A652" s="179" t="s">
        <v>32</v>
      </c>
      <c r="B652" s="179">
        <v>654.10966254225195</v>
      </c>
      <c r="C652" s="180">
        <v>6</v>
      </c>
      <c r="D652" s="179">
        <v>7.1999999999999995E-2</v>
      </c>
      <c r="E652" s="181"/>
      <c r="F652" s="181"/>
      <c r="G652" s="182"/>
      <c r="H652" s="177"/>
      <c r="I652" s="183" t="s">
        <v>12</v>
      </c>
      <c r="J652" s="177"/>
      <c r="K652" s="184"/>
    </row>
    <row r="653" spans="1:11">
      <c r="A653" s="179" t="s">
        <v>32</v>
      </c>
      <c r="B653" s="179">
        <v>585.61638172831601</v>
      </c>
      <c r="C653" s="180">
        <v>6</v>
      </c>
      <c r="D653" s="179">
        <v>7.1999999999999995E-2</v>
      </c>
      <c r="E653" s="181"/>
      <c r="F653" s="181"/>
      <c r="G653" s="182"/>
      <c r="H653" s="177"/>
      <c r="I653" s="183" t="s">
        <v>12</v>
      </c>
      <c r="J653" s="177"/>
      <c r="K653" s="184"/>
    </row>
    <row r="654" spans="1:11">
      <c r="A654" s="179" t="s">
        <v>32</v>
      </c>
      <c r="B654" s="179">
        <v>647.26019075651004</v>
      </c>
      <c r="C654" s="180">
        <v>6</v>
      </c>
      <c r="D654" s="179">
        <v>7.1999999999999995E-2</v>
      </c>
      <c r="E654" s="181"/>
      <c r="F654" s="181"/>
      <c r="G654" s="182"/>
      <c r="H654" s="177"/>
      <c r="I654" s="183" t="s">
        <v>12</v>
      </c>
      <c r="J654" s="177"/>
      <c r="K654" s="184"/>
    </row>
    <row r="655" spans="1:11">
      <c r="A655" s="179" t="s">
        <v>32</v>
      </c>
      <c r="B655" s="179">
        <v>708.90413042502098</v>
      </c>
      <c r="C655" s="180">
        <v>6</v>
      </c>
      <c r="D655" s="179">
        <v>7.1999999999999995E-2</v>
      </c>
      <c r="E655" s="181"/>
      <c r="F655" s="181"/>
      <c r="G655" s="182"/>
      <c r="H655" s="177"/>
      <c r="I655" s="183" t="s">
        <v>12</v>
      </c>
      <c r="J655" s="177"/>
      <c r="K655" s="184"/>
    </row>
    <row r="656" spans="1:11">
      <c r="A656" s="179" t="s">
        <v>32</v>
      </c>
      <c r="B656" s="179">
        <v>760.273993055235</v>
      </c>
      <c r="C656" s="180">
        <v>6</v>
      </c>
      <c r="D656" s="179">
        <v>7.1999999999999995E-2</v>
      </c>
      <c r="E656" s="181"/>
      <c r="F656" s="181"/>
      <c r="G656" s="182"/>
      <c r="H656" s="177"/>
      <c r="I656" s="183" t="s">
        <v>12</v>
      </c>
      <c r="J656" s="177"/>
      <c r="K656" s="184"/>
    </row>
    <row r="657" spans="1:11">
      <c r="A657" s="179" t="s">
        <v>32</v>
      </c>
      <c r="B657" s="179">
        <v>756.84938780267998</v>
      </c>
      <c r="C657" s="180">
        <v>6</v>
      </c>
      <c r="D657" s="179">
        <v>7.1999999999999995E-2</v>
      </c>
      <c r="E657" s="181"/>
      <c r="F657" s="181"/>
      <c r="G657" s="182"/>
      <c r="H657" s="177"/>
      <c r="I657" s="183" t="s">
        <v>12</v>
      </c>
      <c r="J657" s="177"/>
      <c r="K657" s="184"/>
    </row>
    <row r="658" spans="1:11">
      <c r="A658" s="179" t="s">
        <v>32</v>
      </c>
      <c r="B658" s="179">
        <v>773.972675346085</v>
      </c>
      <c r="C658" s="180">
        <v>6</v>
      </c>
      <c r="D658" s="179">
        <v>7.1999999999999995E-2</v>
      </c>
      <c r="E658" s="181"/>
      <c r="F658" s="181"/>
      <c r="G658" s="182"/>
      <c r="H658" s="177"/>
      <c r="I658" s="183" t="s">
        <v>12</v>
      </c>
      <c r="J658" s="177"/>
      <c r="K658" s="184"/>
    </row>
    <row r="659" spans="1:11">
      <c r="A659" s="179" t="s">
        <v>32</v>
      </c>
      <c r="B659" s="179">
        <v>770.54780881289798</v>
      </c>
      <c r="C659" s="180">
        <v>6</v>
      </c>
      <c r="D659" s="179">
        <v>7.1999999999999995E-2</v>
      </c>
      <c r="E659" s="181"/>
      <c r="F659" s="181"/>
      <c r="G659" s="182"/>
      <c r="H659" s="177"/>
      <c r="I659" s="183" t="s">
        <v>12</v>
      </c>
      <c r="J659" s="177"/>
      <c r="K659" s="184"/>
    </row>
    <row r="660" spans="1:11">
      <c r="A660" s="179" t="s">
        <v>32</v>
      </c>
      <c r="B660" s="179">
        <v>832.19174848140801</v>
      </c>
      <c r="C660" s="180">
        <v>6</v>
      </c>
      <c r="D660" s="179">
        <v>7.1999999999999995E-2</v>
      </c>
      <c r="E660" s="181"/>
      <c r="F660" s="181"/>
      <c r="G660" s="182"/>
      <c r="H660" s="177"/>
      <c r="I660" s="183" t="s">
        <v>12</v>
      </c>
      <c r="J660" s="177"/>
      <c r="K660" s="184"/>
    </row>
    <row r="661" spans="1:11">
      <c r="A661" s="179" t="s">
        <v>32</v>
      </c>
      <c r="B661" s="179">
        <v>818.49306619055801</v>
      </c>
      <c r="C661" s="180">
        <v>6</v>
      </c>
      <c r="D661" s="179">
        <v>7.1999999999999995E-2</v>
      </c>
      <c r="E661" s="181"/>
      <c r="F661" s="181"/>
      <c r="G661" s="182"/>
      <c r="H661" s="177"/>
      <c r="I661" s="183" t="s">
        <v>12</v>
      </c>
      <c r="J661" s="177"/>
      <c r="K661" s="184"/>
    </row>
    <row r="662" spans="1:11">
      <c r="A662" s="179" t="s">
        <v>32</v>
      </c>
      <c r="B662" s="179">
        <v>931.50686848928297</v>
      </c>
      <c r="C662" s="180">
        <v>6</v>
      </c>
      <c r="D662" s="179">
        <v>7.1999999999999995E-2</v>
      </c>
      <c r="E662" s="181"/>
      <c r="F662" s="181"/>
      <c r="G662" s="182"/>
      <c r="H662" s="177"/>
      <c r="I662" s="183" t="s">
        <v>12</v>
      </c>
      <c r="J662" s="177"/>
      <c r="K662" s="184"/>
    </row>
    <row r="663" spans="1:11">
      <c r="A663" s="179" t="s">
        <v>32</v>
      </c>
      <c r="B663" s="179">
        <v>928.08226323672795</v>
      </c>
      <c r="C663" s="180">
        <v>6</v>
      </c>
      <c r="D663" s="179">
        <v>7.1999999999999995E-2</v>
      </c>
      <c r="E663" s="181"/>
      <c r="F663" s="181"/>
      <c r="G663" s="182"/>
      <c r="H663" s="177"/>
      <c r="I663" s="183" t="s">
        <v>12</v>
      </c>
      <c r="J663" s="177"/>
      <c r="K663" s="184"/>
    </row>
    <row r="664" spans="1:11">
      <c r="A664" s="179" t="s">
        <v>32</v>
      </c>
      <c r="B664" s="179">
        <v>1006.84922916801</v>
      </c>
      <c r="C664" s="180">
        <v>6</v>
      </c>
      <c r="D664" s="179">
        <v>7.1999999999999995E-2</v>
      </c>
      <c r="E664" s="181"/>
      <c r="F664" s="181"/>
      <c r="G664" s="182"/>
      <c r="H664" s="177"/>
      <c r="I664" s="183" t="s">
        <v>12</v>
      </c>
      <c r="J664" s="177"/>
      <c r="K664" s="184"/>
    </row>
    <row r="665" spans="1:11">
      <c r="A665" s="179" t="s">
        <v>32</v>
      </c>
      <c r="B665" s="179">
        <v>1020.54791145886</v>
      </c>
      <c r="C665" s="180">
        <v>6</v>
      </c>
      <c r="D665" s="179">
        <v>7.1999999999999995E-2</v>
      </c>
      <c r="E665" s="181"/>
      <c r="F665" s="181"/>
      <c r="G665" s="182"/>
      <c r="H665" s="177"/>
      <c r="I665" s="183" t="s">
        <v>12</v>
      </c>
      <c r="J665" s="177"/>
      <c r="K665" s="184"/>
    </row>
    <row r="666" spans="1:11">
      <c r="A666" s="179" t="s">
        <v>32</v>
      </c>
      <c r="B666" s="179">
        <v>1184.9315763878001</v>
      </c>
      <c r="C666" s="180">
        <v>6</v>
      </c>
      <c r="D666" s="179">
        <v>7.1999999999999995E-2</v>
      </c>
      <c r="E666" s="181"/>
      <c r="F666" s="181"/>
      <c r="G666" s="182"/>
      <c r="H666" s="177"/>
      <c r="I666" s="183" t="s">
        <v>12</v>
      </c>
      <c r="J666" s="177"/>
      <c r="K666" s="184"/>
    </row>
    <row r="667" spans="1:11">
      <c r="A667" s="179" t="s">
        <v>32</v>
      </c>
      <c r="B667" s="179">
        <v>1195.2053921454601</v>
      </c>
      <c r="C667" s="180">
        <v>6</v>
      </c>
      <c r="D667" s="179">
        <v>7.1999999999999995E-2</v>
      </c>
      <c r="E667" s="181"/>
      <c r="F667" s="181"/>
      <c r="G667" s="182"/>
      <c r="H667" s="177"/>
      <c r="I667" s="183" t="s">
        <v>12</v>
      </c>
      <c r="J667" s="177"/>
      <c r="K667" s="184"/>
    </row>
    <row r="668" spans="1:11">
      <c r="A668" s="179" t="s">
        <v>32</v>
      </c>
      <c r="B668" s="179">
        <v>1359.5890570744</v>
      </c>
      <c r="C668" s="180">
        <v>6</v>
      </c>
      <c r="D668" s="179">
        <v>7.1999999999999995E-2</v>
      </c>
      <c r="E668" s="181"/>
      <c r="F668" s="181"/>
      <c r="G668" s="182"/>
      <c r="H668" s="177"/>
      <c r="I668" s="183" t="s">
        <v>12</v>
      </c>
      <c r="J668" s="177"/>
      <c r="K668" s="184"/>
    </row>
    <row r="669" spans="1:11">
      <c r="A669" s="179" t="s">
        <v>32</v>
      </c>
      <c r="B669" s="179">
        <v>1356.16445182184</v>
      </c>
      <c r="C669" s="180">
        <v>6</v>
      </c>
      <c r="D669" s="179">
        <v>7.1999999999999995E-2</v>
      </c>
      <c r="E669" s="181"/>
      <c r="F669" s="181"/>
      <c r="G669" s="182"/>
      <c r="H669" s="177"/>
      <c r="I669" s="183" t="s">
        <v>12</v>
      </c>
      <c r="J669" s="177"/>
      <c r="K669" s="184"/>
    </row>
    <row r="670" spans="1:11">
      <c r="A670" s="179" t="s">
        <v>32</v>
      </c>
      <c r="B670" s="179">
        <v>1698.63020268994</v>
      </c>
      <c r="C670" s="180">
        <v>6</v>
      </c>
      <c r="D670" s="179">
        <v>7.1999999999999995E-2</v>
      </c>
      <c r="E670" s="181"/>
      <c r="F670" s="181"/>
      <c r="G670" s="182"/>
      <c r="H670" s="177"/>
      <c r="I670" s="183" t="s">
        <v>12</v>
      </c>
      <c r="J670" s="177"/>
      <c r="K670" s="184"/>
    </row>
    <row r="671" spans="1:11">
      <c r="A671" s="179" t="s">
        <v>32</v>
      </c>
      <c r="B671" s="179">
        <v>1695.20533615675</v>
      </c>
      <c r="C671" s="180">
        <v>6</v>
      </c>
      <c r="D671" s="179">
        <v>7.1999999999999995E-2</v>
      </c>
      <c r="E671" s="181"/>
      <c r="F671" s="181"/>
      <c r="G671" s="182"/>
      <c r="H671" s="177"/>
      <c r="I671" s="183" t="s">
        <v>12</v>
      </c>
      <c r="J671" s="177"/>
      <c r="K671" s="184"/>
    </row>
    <row r="672" spans="1:11">
      <c r="A672" s="179" t="s">
        <v>32</v>
      </c>
      <c r="B672" s="179">
        <v>1691.7807309042</v>
      </c>
      <c r="C672" s="180">
        <v>6</v>
      </c>
      <c r="D672" s="179">
        <v>7.1999999999999995E-2</v>
      </c>
      <c r="E672" s="181"/>
      <c r="F672" s="181"/>
      <c r="G672" s="182"/>
      <c r="H672" s="177"/>
      <c r="I672" s="183" t="s">
        <v>12</v>
      </c>
      <c r="J672" s="177"/>
      <c r="K672" s="184"/>
    </row>
    <row r="673" spans="1:11">
      <c r="A673" s="179" t="s">
        <v>32</v>
      </c>
      <c r="B673" s="179">
        <v>2547.9451080744402</v>
      </c>
      <c r="C673" s="180">
        <v>6</v>
      </c>
      <c r="D673" s="179">
        <v>7.1999999999999995E-2</v>
      </c>
      <c r="E673" s="181"/>
      <c r="F673" s="181"/>
      <c r="G673" s="182"/>
      <c r="H673" s="177"/>
      <c r="I673" s="183" t="s">
        <v>12</v>
      </c>
      <c r="J673" s="177"/>
      <c r="K673" s="184"/>
    </row>
    <row r="674" spans="1:11">
      <c r="A674" s="179" t="s">
        <v>32</v>
      </c>
      <c r="B674" s="179">
        <v>2551.3697133269902</v>
      </c>
      <c r="C674" s="180">
        <v>6</v>
      </c>
      <c r="D674" s="179">
        <v>7.1999999999999995E-2</v>
      </c>
      <c r="E674" s="181"/>
      <c r="F674" s="181"/>
      <c r="G674" s="182"/>
      <c r="H674" s="177"/>
      <c r="I674" s="183" t="s">
        <v>12</v>
      </c>
      <c r="J674" s="177"/>
      <c r="K674" s="184"/>
    </row>
    <row r="675" spans="1:11">
      <c r="A675" s="179" t="s">
        <v>32</v>
      </c>
      <c r="B675" s="179">
        <v>3102.7395199685002</v>
      </c>
      <c r="C675" s="180">
        <v>6</v>
      </c>
      <c r="D675" s="179">
        <v>7.1999999999999995E-2</v>
      </c>
      <c r="E675" s="181"/>
      <c r="F675" s="181"/>
      <c r="G675" s="182"/>
      <c r="H675" s="177"/>
      <c r="I675" s="183" t="s">
        <v>12</v>
      </c>
      <c r="J675" s="177"/>
      <c r="K675" s="184"/>
    </row>
    <row r="676" spans="1:11">
      <c r="A676" s="179" t="s">
        <v>32</v>
      </c>
      <c r="B676" s="179">
        <v>3099.3151759965799</v>
      </c>
      <c r="C676" s="180">
        <v>6</v>
      </c>
      <c r="D676" s="179">
        <v>7.1999999999999995E-2</v>
      </c>
      <c r="E676" s="181"/>
      <c r="F676" s="181"/>
      <c r="G676" s="182"/>
      <c r="H676" s="177"/>
      <c r="I676" s="183" t="s">
        <v>12</v>
      </c>
      <c r="J676" s="177"/>
      <c r="K676" s="184"/>
    </row>
    <row r="677" spans="1:11">
      <c r="A677" s="179" t="s">
        <v>32</v>
      </c>
      <c r="B677" s="179">
        <v>91.846319409117299</v>
      </c>
      <c r="C677" s="180">
        <v>2</v>
      </c>
      <c r="D677" s="179">
        <v>7.1999999999999995E-2</v>
      </c>
      <c r="E677" s="181"/>
      <c r="F677" s="181"/>
      <c r="G677" s="182"/>
      <c r="H677" s="177"/>
      <c r="I677" s="183" t="s">
        <v>12</v>
      </c>
      <c r="J677" s="177"/>
      <c r="K677" s="184"/>
    </row>
    <row r="678" spans="1:11">
      <c r="A678" s="179" t="s">
        <v>32</v>
      </c>
      <c r="B678" s="179">
        <v>138.70667186208999</v>
      </c>
      <c r="C678" s="180">
        <v>2</v>
      </c>
      <c r="D678" s="179">
        <v>7.1999999999999995E-2</v>
      </c>
      <c r="E678" s="181"/>
      <c r="F678" s="181"/>
      <c r="G678" s="182"/>
      <c r="H678" s="177"/>
      <c r="I678" s="183" t="s">
        <v>12</v>
      </c>
      <c r="J678" s="177"/>
      <c r="K678" s="184"/>
    </row>
    <row r="679" spans="1:11">
      <c r="A679" s="179" t="s">
        <v>32</v>
      </c>
      <c r="B679" s="179">
        <v>187.44140981189301</v>
      </c>
      <c r="C679" s="180">
        <v>2</v>
      </c>
      <c r="D679" s="179">
        <v>7.1999999999999995E-2</v>
      </c>
      <c r="E679" s="181"/>
      <c r="F679" s="181"/>
      <c r="G679" s="182"/>
      <c r="H679" s="177"/>
      <c r="I679" s="183" t="s">
        <v>12</v>
      </c>
      <c r="J679" s="177"/>
      <c r="K679" s="184"/>
    </row>
    <row r="680" spans="1:11">
      <c r="A680" s="179" t="s">
        <v>32</v>
      </c>
      <c r="B680" s="179">
        <v>234.30176226486699</v>
      </c>
      <c r="C680" s="180">
        <v>2</v>
      </c>
      <c r="D680" s="179">
        <v>7.1999999999999995E-2</v>
      </c>
      <c r="E680" s="181"/>
      <c r="F680" s="181"/>
      <c r="G680" s="182"/>
      <c r="H680" s="177"/>
      <c r="I680" s="183" t="s">
        <v>12</v>
      </c>
      <c r="J680" s="177"/>
      <c r="K680" s="184"/>
    </row>
    <row r="681" spans="1:11">
      <c r="A681" s="179" t="s">
        <v>32</v>
      </c>
      <c r="B681" s="179">
        <v>281.16211471783998</v>
      </c>
      <c r="C681" s="180">
        <v>2</v>
      </c>
      <c r="D681" s="179">
        <v>7.1999999999999995E-2</v>
      </c>
      <c r="E681" s="181"/>
      <c r="F681" s="181"/>
      <c r="G681" s="182"/>
      <c r="H681" s="177"/>
      <c r="I681" s="183" t="s">
        <v>12</v>
      </c>
      <c r="J681" s="177"/>
      <c r="K681" s="184"/>
    </row>
    <row r="682" spans="1:11">
      <c r="A682" s="179" t="s">
        <v>32</v>
      </c>
      <c r="B682" s="179">
        <v>283.03650021467001</v>
      </c>
      <c r="C682" s="180">
        <v>2</v>
      </c>
      <c r="D682" s="179">
        <v>7.1999999999999995E-2</v>
      </c>
      <c r="E682" s="181"/>
      <c r="F682" s="181"/>
      <c r="G682" s="182"/>
      <c r="H682" s="177"/>
      <c r="I682" s="183" t="s">
        <v>12</v>
      </c>
      <c r="J682" s="177"/>
      <c r="K682" s="184"/>
    </row>
    <row r="683" spans="1:11">
      <c r="A683" s="179" t="s">
        <v>32</v>
      </c>
      <c r="B683" s="179">
        <v>328.02246717081402</v>
      </c>
      <c r="C683" s="180">
        <v>2</v>
      </c>
      <c r="D683" s="179">
        <v>7.1999999999999995E-2</v>
      </c>
      <c r="E683" s="181"/>
      <c r="F683" s="181"/>
      <c r="G683" s="182"/>
      <c r="H683" s="177"/>
      <c r="I683" s="183" t="s">
        <v>12</v>
      </c>
      <c r="J683" s="177"/>
      <c r="K683" s="184"/>
    </row>
    <row r="684" spans="1:11">
      <c r="A684" s="179" t="s">
        <v>32</v>
      </c>
      <c r="B684" s="179">
        <v>329.89685270000001</v>
      </c>
      <c r="C684" s="180">
        <v>2</v>
      </c>
      <c r="D684" s="179">
        <v>7.1999999999999995E-2</v>
      </c>
      <c r="E684" s="181"/>
      <c r="F684" s="181"/>
      <c r="G684" s="182"/>
      <c r="H684" s="177"/>
      <c r="I684" s="183" t="s">
        <v>12</v>
      </c>
      <c r="J684" s="177"/>
      <c r="K684" s="184"/>
    </row>
    <row r="685" spans="1:11">
      <c r="A685" s="179" t="s">
        <v>32</v>
      </c>
      <c r="B685" s="179">
        <v>376.75727662384003</v>
      </c>
      <c r="C685" s="180">
        <v>2</v>
      </c>
      <c r="D685" s="179">
        <v>7.1999999999999995E-2</v>
      </c>
      <c r="E685" s="181"/>
      <c r="F685" s="181"/>
      <c r="G685" s="182"/>
      <c r="H685" s="177"/>
      <c r="I685" s="183" t="s">
        <v>12</v>
      </c>
      <c r="J685" s="177"/>
      <c r="K685" s="184"/>
    </row>
    <row r="686" spans="1:11">
      <c r="A686" s="179" t="s">
        <v>32</v>
      </c>
      <c r="B686" s="179">
        <v>421.74324357998398</v>
      </c>
      <c r="C686" s="180">
        <v>2</v>
      </c>
      <c r="D686" s="179">
        <v>7.1999999999999995E-2</v>
      </c>
      <c r="E686" s="181"/>
      <c r="F686" s="181"/>
      <c r="G686" s="182"/>
      <c r="H686" s="177"/>
      <c r="I686" s="183" t="s">
        <v>12</v>
      </c>
      <c r="J686" s="177"/>
      <c r="K686" s="184"/>
    </row>
    <row r="687" spans="1:11">
      <c r="A687" s="179" t="s">
        <v>32</v>
      </c>
      <c r="B687" s="179">
        <v>419.86871507670799</v>
      </c>
      <c r="C687" s="180">
        <v>2</v>
      </c>
      <c r="D687" s="179">
        <v>7.1999999999999995E-2</v>
      </c>
      <c r="E687" s="181"/>
      <c r="F687" s="181"/>
      <c r="G687" s="182"/>
      <c r="H687" s="177"/>
      <c r="I687" s="183" t="s">
        <v>12</v>
      </c>
      <c r="J687" s="177"/>
      <c r="K687" s="184"/>
    </row>
    <row r="688" spans="1:11">
      <c r="A688" s="179" t="s">
        <v>32</v>
      </c>
      <c r="B688" s="179">
        <v>423.61762907681401</v>
      </c>
      <c r="C688" s="180">
        <v>2</v>
      </c>
      <c r="D688" s="179">
        <v>7.1999999999999995E-2</v>
      </c>
      <c r="E688" s="181"/>
      <c r="F688" s="181"/>
      <c r="G688" s="182"/>
      <c r="H688" s="177"/>
      <c r="I688" s="183" t="s">
        <v>12</v>
      </c>
      <c r="J688" s="177"/>
      <c r="K688" s="184"/>
    </row>
    <row r="689" spans="1:11">
      <c r="A689" s="179" t="s">
        <v>32</v>
      </c>
      <c r="B689" s="179">
        <v>468.60359603295802</v>
      </c>
      <c r="C689" s="180">
        <v>2</v>
      </c>
      <c r="D689" s="179">
        <v>7.1999999999999995E-2</v>
      </c>
      <c r="E689" s="181"/>
      <c r="F689" s="181"/>
      <c r="G689" s="182"/>
      <c r="H689" s="177"/>
      <c r="I689" s="183" t="s">
        <v>12</v>
      </c>
      <c r="J689" s="177"/>
      <c r="K689" s="184"/>
    </row>
    <row r="690" spans="1:11">
      <c r="A690" s="179" t="s">
        <v>32</v>
      </c>
      <c r="B690" s="179">
        <v>470.47798152978697</v>
      </c>
      <c r="C690" s="180">
        <v>2</v>
      </c>
      <c r="D690" s="179">
        <v>7.1999999999999995E-2</v>
      </c>
      <c r="E690" s="181"/>
      <c r="F690" s="181"/>
      <c r="G690" s="182"/>
      <c r="H690" s="177"/>
      <c r="I690" s="183" t="s">
        <v>12</v>
      </c>
      <c r="J690" s="177"/>
      <c r="K690" s="184"/>
    </row>
    <row r="691" spans="1:11">
      <c r="A691" s="179" t="s">
        <v>32</v>
      </c>
      <c r="B691" s="179">
        <v>517.33833398276101</v>
      </c>
      <c r="C691" s="180">
        <v>2</v>
      </c>
      <c r="D691" s="179">
        <v>7.1999999999999995E-2</v>
      </c>
      <c r="E691" s="181"/>
      <c r="F691" s="181"/>
      <c r="G691" s="182"/>
      <c r="H691" s="177"/>
      <c r="I691" s="183" t="s">
        <v>12</v>
      </c>
      <c r="J691" s="177"/>
      <c r="K691" s="184"/>
    </row>
    <row r="692" spans="1:11">
      <c r="A692" s="179" t="s">
        <v>32</v>
      </c>
      <c r="B692" s="179">
        <v>515.46394848593104</v>
      </c>
      <c r="C692" s="180">
        <v>2</v>
      </c>
      <c r="D692" s="179">
        <v>7.1999999999999995E-2</v>
      </c>
      <c r="E692" s="181"/>
      <c r="F692" s="181"/>
      <c r="G692" s="182"/>
      <c r="H692" s="177"/>
      <c r="I692" s="183" t="s">
        <v>12</v>
      </c>
      <c r="J692" s="177"/>
      <c r="K692" s="184"/>
    </row>
    <row r="693" spans="1:11">
      <c r="A693" s="179" t="s">
        <v>32</v>
      </c>
      <c r="B693" s="179">
        <v>562.32430093890503</v>
      </c>
      <c r="C693" s="180">
        <v>2</v>
      </c>
      <c r="D693" s="179">
        <v>7.1999999999999995E-2</v>
      </c>
      <c r="E693" s="181"/>
      <c r="F693" s="181"/>
      <c r="G693" s="182"/>
      <c r="H693" s="177"/>
      <c r="I693" s="183" t="s">
        <v>12</v>
      </c>
      <c r="J693" s="177"/>
      <c r="K693" s="184"/>
    </row>
    <row r="694" spans="1:11">
      <c r="A694" s="179" t="s">
        <v>32</v>
      </c>
      <c r="B694" s="179">
        <v>567.94745739999996</v>
      </c>
      <c r="C694" s="180">
        <v>2</v>
      </c>
      <c r="D694" s="179">
        <v>7.1999999999999995E-2</v>
      </c>
      <c r="E694" s="181"/>
      <c r="F694" s="181"/>
      <c r="G694" s="182"/>
      <c r="H694" s="177"/>
      <c r="I694" s="183" t="s">
        <v>12</v>
      </c>
      <c r="J694" s="177"/>
      <c r="K694" s="184"/>
    </row>
    <row r="695" spans="1:11">
      <c r="A695" s="179" t="s">
        <v>32</v>
      </c>
      <c r="B695" s="179">
        <v>566.07307193256395</v>
      </c>
      <c r="C695" s="180">
        <v>2</v>
      </c>
      <c r="D695" s="179">
        <v>7.1999999999999995E-2</v>
      </c>
      <c r="E695" s="181"/>
      <c r="F695" s="181"/>
      <c r="G695" s="182"/>
      <c r="H695" s="177"/>
      <c r="I695" s="183" t="s">
        <v>12</v>
      </c>
      <c r="J695" s="177"/>
      <c r="K695" s="184"/>
    </row>
    <row r="696" spans="1:11">
      <c r="A696" s="179" t="s">
        <v>32</v>
      </c>
      <c r="B696" s="179">
        <v>564.19868643573398</v>
      </c>
      <c r="C696" s="180">
        <v>2</v>
      </c>
      <c r="D696" s="179">
        <v>7.1999999999999995E-2</v>
      </c>
      <c r="E696" s="181"/>
      <c r="F696" s="181"/>
      <c r="G696" s="182"/>
      <c r="H696" s="177"/>
      <c r="I696" s="183" t="s">
        <v>12</v>
      </c>
      <c r="J696" s="177"/>
      <c r="K696" s="184"/>
    </row>
    <row r="697" spans="1:11">
      <c r="A697" s="179" t="s">
        <v>32</v>
      </c>
      <c r="B697" s="179">
        <v>611.05903888870796</v>
      </c>
      <c r="C697" s="180">
        <v>2</v>
      </c>
      <c r="D697" s="179">
        <v>7.1999999999999995E-2</v>
      </c>
      <c r="E697" s="181"/>
      <c r="F697" s="181"/>
      <c r="G697" s="182"/>
      <c r="H697" s="177"/>
      <c r="I697" s="183" t="s">
        <v>12</v>
      </c>
      <c r="J697" s="177"/>
      <c r="K697" s="184"/>
    </row>
    <row r="698" spans="1:11">
      <c r="A698" s="179" t="s">
        <v>32</v>
      </c>
      <c r="B698" s="179">
        <v>612.93342440000004</v>
      </c>
      <c r="C698" s="180">
        <v>2</v>
      </c>
      <c r="D698" s="179">
        <v>7.1999999999999995E-2</v>
      </c>
      <c r="E698" s="181"/>
      <c r="F698" s="181"/>
      <c r="G698" s="182"/>
      <c r="H698" s="177"/>
      <c r="I698" s="183" t="s">
        <v>12</v>
      </c>
      <c r="J698" s="177"/>
      <c r="K698" s="184"/>
    </row>
    <row r="699" spans="1:11">
      <c r="A699" s="179" t="s">
        <v>32</v>
      </c>
      <c r="B699" s="179">
        <v>661.66816233534098</v>
      </c>
      <c r="C699" s="180">
        <v>2</v>
      </c>
      <c r="D699" s="179">
        <v>7.1999999999999995E-2</v>
      </c>
      <c r="E699" s="181"/>
      <c r="F699" s="181"/>
      <c r="G699" s="182"/>
      <c r="H699" s="177"/>
      <c r="I699" s="183" t="s">
        <v>12</v>
      </c>
      <c r="J699" s="177"/>
      <c r="K699" s="184"/>
    </row>
    <row r="700" spans="1:11">
      <c r="A700" s="179" t="s">
        <v>32</v>
      </c>
      <c r="B700" s="179">
        <v>659.79377683851101</v>
      </c>
      <c r="C700" s="180">
        <v>2</v>
      </c>
      <c r="D700" s="179">
        <v>7.1999999999999995E-2</v>
      </c>
      <c r="E700" s="181"/>
      <c r="F700" s="181"/>
      <c r="G700" s="182"/>
      <c r="H700" s="177"/>
      <c r="I700" s="183" t="s">
        <v>12</v>
      </c>
      <c r="J700" s="177"/>
      <c r="K700" s="184"/>
    </row>
    <row r="701" spans="1:11">
      <c r="A701" s="179" t="s">
        <v>32</v>
      </c>
      <c r="B701" s="179">
        <v>704.77974379465502</v>
      </c>
      <c r="C701" s="180">
        <v>2</v>
      </c>
      <c r="D701" s="179">
        <v>7.1999999999999995E-2</v>
      </c>
      <c r="E701" s="181"/>
      <c r="F701" s="181"/>
      <c r="G701" s="182"/>
      <c r="H701" s="177"/>
      <c r="I701" s="183" t="s">
        <v>12</v>
      </c>
      <c r="J701" s="177"/>
      <c r="K701" s="184"/>
    </row>
    <row r="702" spans="1:11">
      <c r="A702" s="179" t="s">
        <v>32</v>
      </c>
      <c r="B702" s="179">
        <v>706.65412930000002</v>
      </c>
      <c r="C702" s="180">
        <v>2</v>
      </c>
      <c r="D702" s="179">
        <v>7.1999999999999995E-2</v>
      </c>
      <c r="E702" s="181"/>
      <c r="F702" s="181"/>
      <c r="G702" s="182"/>
      <c r="H702" s="177"/>
      <c r="I702" s="183" t="s">
        <v>12</v>
      </c>
      <c r="J702" s="177"/>
      <c r="K702" s="184"/>
    </row>
    <row r="703" spans="1:11">
      <c r="A703" s="179" t="s">
        <v>32</v>
      </c>
      <c r="B703" s="179">
        <v>755.38886720000005</v>
      </c>
      <c r="C703" s="180">
        <v>2</v>
      </c>
      <c r="D703" s="179">
        <v>7.1999999999999995E-2</v>
      </c>
      <c r="E703" s="181"/>
      <c r="F703" s="181"/>
      <c r="G703" s="182"/>
      <c r="H703" s="177"/>
      <c r="I703" s="183" t="s">
        <v>12</v>
      </c>
      <c r="J703" s="177"/>
      <c r="K703" s="184"/>
    </row>
    <row r="704" spans="1:11">
      <c r="A704" s="179" t="s">
        <v>32</v>
      </c>
      <c r="B704" s="179">
        <v>753.51448174445795</v>
      </c>
      <c r="C704" s="180">
        <v>2</v>
      </c>
      <c r="D704" s="179">
        <v>7.1999999999999995E-2</v>
      </c>
      <c r="E704" s="181"/>
      <c r="F704" s="181"/>
      <c r="G704" s="182"/>
      <c r="H704" s="177"/>
      <c r="I704" s="183" t="s">
        <v>12</v>
      </c>
      <c r="J704" s="177"/>
      <c r="K704" s="184"/>
    </row>
    <row r="705" spans="1:11">
      <c r="A705" s="179" t="s">
        <v>32</v>
      </c>
      <c r="B705" s="179">
        <v>751.64009620000002</v>
      </c>
      <c r="C705" s="180">
        <v>2</v>
      </c>
      <c r="D705" s="179">
        <v>7.1999999999999995E-2</v>
      </c>
      <c r="E705" s="181"/>
      <c r="F705" s="181"/>
      <c r="G705" s="182"/>
      <c r="H705" s="177"/>
      <c r="I705" s="183" t="s">
        <v>12</v>
      </c>
      <c r="J705" s="177"/>
      <c r="K705" s="184"/>
    </row>
    <row r="706" spans="1:11">
      <c r="A706" s="179" t="s">
        <v>32</v>
      </c>
      <c r="B706" s="179">
        <v>802.249219694261</v>
      </c>
      <c r="C706" s="180">
        <v>2</v>
      </c>
      <c r="D706" s="179">
        <v>7.1999999999999995E-2</v>
      </c>
      <c r="E706" s="181"/>
      <c r="F706" s="181"/>
      <c r="G706" s="182"/>
      <c r="H706" s="177"/>
      <c r="I706" s="183" t="s">
        <v>12</v>
      </c>
      <c r="J706" s="177"/>
      <c r="K706" s="184"/>
    </row>
    <row r="707" spans="1:11">
      <c r="A707" s="179" t="s">
        <v>32</v>
      </c>
      <c r="B707" s="179">
        <v>800.37483420000001</v>
      </c>
      <c r="C707" s="180">
        <v>2</v>
      </c>
      <c r="D707" s="179">
        <v>7.1999999999999995E-2</v>
      </c>
      <c r="E707" s="181"/>
      <c r="F707" s="181"/>
      <c r="G707" s="182"/>
      <c r="H707" s="177"/>
      <c r="I707" s="183" t="s">
        <v>12</v>
      </c>
      <c r="J707" s="177"/>
      <c r="K707" s="184"/>
    </row>
    <row r="708" spans="1:11">
      <c r="A708" s="179" t="s">
        <v>32</v>
      </c>
      <c r="B708" s="179">
        <v>847.23518665040501</v>
      </c>
      <c r="C708" s="180">
        <v>2</v>
      </c>
      <c r="D708" s="179">
        <v>7.1999999999999995E-2</v>
      </c>
      <c r="E708" s="181"/>
      <c r="F708" s="181"/>
      <c r="G708" s="182"/>
      <c r="H708" s="177"/>
      <c r="I708" s="183" t="s">
        <v>12</v>
      </c>
      <c r="J708" s="177"/>
      <c r="K708" s="184"/>
    </row>
    <row r="709" spans="1:11">
      <c r="A709" s="179" t="s">
        <v>32</v>
      </c>
      <c r="B709" s="179">
        <v>850.98395764406405</v>
      </c>
      <c r="C709" s="180">
        <v>2</v>
      </c>
      <c r="D709" s="179">
        <v>7.1999999999999995E-2</v>
      </c>
      <c r="E709" s="181"/>
      <c r="F709" s="181"/>
      <c r="G709" s="182"/>
      <c r="H709" s="177"/>
      <c r="I709" s="183" t="s">
        <v>12</v>
      </c>
      <c r="J709" s="177"/>
      <c r="K709" s="184"/>
    </row>
    <row r="710" spans="1:11">
      <c r="A710" s="179" t="s">
        <v>32</v>
      </c>
      <c r="B710" s="179">
        <v>849.10957214723499</v>
      </c>
      <c r="C710" s="180">
        <v>2</v>
      </c>
      <c r="D710" s="179">
        <v>7.1999999999999995E-2</v>
      </c>
      <c r="E710" s="181"/>
      <c r="F710" s="181"/>
      <c r="G710" s="182"/>
      <c r="H710" s="177"/>
      <c r="I710" s="183" t="s">
        <v>12</v>
      </c>
      <c r="J710" s="177"/>
      <c r="K710" s="184"/>
    </row>
    <row r="711" spans="1:11">
      <c r="A711" s="179" t="s">
        <v>32</v>
      </c>
      <c r="B711" s="179">
        <v>895.96992460020795</v>
      </c>
      <c r="C711" s="180">
        <v>2</v>
      </c>
      <c r="D711" s="179">
        <v>7.1999999999999995E-2</v>
      </c>
      <c r="E711" s="181"/>
      <c r="F711" s="181"/>
      <c r="G711" s="182"/>
      <c r="H711" s="177"/>
      <c r="I711" s="183" t="s">
        <v>12</v>
      </c>
      <c r="J711" s="177"/>
      <c r="K711" s="184"/>
    </row>
    <row r="712" spans="1:11">
      <c r="A712" s="179" t="s">
        <v>32</v>
      </c>
      <c r="B712" s="179">
        <v>944.70466255001099</v>
      </c>
      <c r="C712" s="180">
        <v>2</v>
      </c>
      <c r="D712" s="179">
        <v>7.1999999999999995E-2</v>
      </c>
      <c r="E712" s="181"/>
      <c r="F712" s="181"/>
      <c r="G712" s="182"/>
      <c r="H712" s="177"/>
      <c r="I712" s="183" t="s">
        <v>12</v>
      </c>
      <c r="J712" s="177"/>
      <c r="K712" s="184"/>
    </row>
    <row r="713" spans="1:11">
      <c r="A713" s="179" t="s">
        <v>32</v>
      </c>
      <c r="B713" s="179">
        <v>942.83027705318102</v>
      </c>
      <c r="C713" s="180">
        <v>2</v>
      </c>
      <c r="D713" s="179">
        <v>7.1999999999999995E-2</v>
      </c>
      <c r="E713" s="181"/>
      <c r="F713" s="181"/>
      <c r="G713" s="182"/>
      <c r="H713" s="177"/>
      <c r="I713" s="183" t="s">
        <v>12</v>
      </c>
      <c r="J713" s="177"/>
      <c r="K713" s="184"/>
    </row>
    <row r="714" spans="1:11">
      <c r="A714" s="179" t="s">
        <v>32</v>
      </c>
      <c r="B714" s="179">
        <v>940.95589155635196</v>
      </c>
      <c r="C714" s="180">
        <v>2</v>
      </c>
      <c r="D714" s="179">
        <v>7.1999999999999995E-2</v>
      </c>
      <c r="E714" s="181"/>
      <c r="F714" s="181"/>
      <c r="G714" s="182"/>
      <c r="H714" s="177"/>
      <c r="I714" s="183" t="s">
        <v>12</v>
      </c>
      <c r="J714" s="177"/>
      <c r="K714" s="184"/>
    </row>
    <row r="715" spans="1:11">
      <c r="A715" s="179" t="s">
        <v>32</v>
      </c>
      <c r="B715" s="179">
        <v>944.70466255001099</v>
      </c>
      <c r="C715" s="180">
        <v>2</v>
      </c>
      <c r="D715" s="179">
        <v>7.1999999999999995E-2</v>
      </c>
      <c r="E715" s="181"/>
      <c r="F715" s="181"/>
      <c r="G715" s="182"/>
      <c r="H715" s="177"/>
      <c r="I715" s="183" t="s">
        <v>12</v>
      </c>
      <c r="J715" s="177"/>
      <c r="K715" s="184"/>
    </row>
    <row r="716" spans="1:11">
      <c r="A716" s="179" t="s">
        <v>32</v>
      </c>
      <c r="B716" s="179">
        <v>1040.2998959592301</v>
      </c>
      <c r="C716" s="180">
        <v>2</v>
      </c>
      <c r="D716" s="179">
        <v>7.1999999999999995E-2</v>
      </c>
      <c r="E716" s="181"/>
      <c r="F716" s="181"/>
      <c r="G716" s="182"/>
      <c r="H716" s="177"/>
      <c r="I716" s="183" t="s">
        <v>12</v>
      </c>
      <c r="J716" s="177"/>
      <c r="K716" s="184"/>
    </row>
    <row r="717" spans="1:11">
      <c r="A717" s="179" t="s">
        <v>32</v>
      </c>
      <c r="B717" s="179">
        <v>1036.55098195912</v>
      </c>
      <c r="C717" s="180">
        <v>2</v>
      </c>
      <c r="D717" s="179">
        <v>7.1999999999999995E-2</v>
      </c>
      <c r="E717" s="181"/>
      <c r="F717" s="181"/>
      <c r="G717" s="182"/>
      <c r="H717" s="177"/>
      <c r="I717" s="183" t="s">
        <v>12</v>
      </c>
      <c r="J717" s="177"/>
      <c r="K717" s="184"/>
    </row>
    <row r="718" spans="1:11">
      <c r="A718" s="179" t="s">
        <v>32</v>
      </c>
      <c r="B718" s="179">
        <v>1034.67659646229</v>
      </c>
      <c r="C718" s="180">
        <v>2</v>
      </c>
      <c r="D718" s="179">
        <v>7.1999999999999995E-2</v>
      </c>
      <c r="E718" s="181"/>
      <c r="F718" s="181"/>
      <c r="G718" s="182"/>
      <c r="H718" s="177"/>
      <c r="I718" s="183" t="s">
        <v>12</v>
      </c>
      <c r="J718" s="177"/>
      <c r="K718" s="184"/>
    </row>
    <row r="719" spans="1:11">
      <c r="A719" s="179" t="s">
        <v>32</v>
      </c>
      <c r="B719" s="179">
        <v>1135.8949863620101</v>
      </c>
      <c r="C719" s="180">
        <v>2</v>
      </c>
      <c r="D719" s="179">
        <v>7.1999999999999995E-2</v>
      </c>
      <c r="E719" s="181"/>
      <c r="F719" s="181"/>
      <c r="G719" s="182"/>
      <c r="H719" s="177"/>
      <c r="I719" s="183" t="s">
        <v>12</v>
      </c>
      <c r="J719" s="177"/>
      <c r="K719" s="184"/>
    </row>
    <row r="720" spans="1:11">
      <c r="A720" s="179" t="s">
        <v>32</v>
      </c>
      <c r="B720" s="179">
        <v>1134.0206008651801</v>
      </c>
      <c r="C720" s="180">
        <v>2</v>
      </c>
      <c r="D720" s="179">
        <v>7.1999999999999995E-2</v>
      </c>
      <c r="E720" s="181"/>
      <c r="F720" s="181"/>
      <c r="G720" s="182"/>
      <c r="H720" s="177"/>
      <c r="I720" s="183" t="s">
        <v>12</v>
      </c>
      <c r="J720" s="177"/>
      <c r="K720" s="184"/>
    </row>
    <row r="721" spans="1:11">
      <c r="A721" s="179" t="s">
        <v>32</v>
      </c>
      <c r="B721" s="179">
        <v>1132.1460723619</v>
      </c>
      <c r="C721" s="180">
        <v>2</v>
      </c>
      <c r="D721" s="179">
        <v>7.1999999999999995E-2</v>
      </c>
      <c r="E721" s="181"/>
      <c r="F721" s="181"/>
      <c r="G721" s="182"/>
      <c r="H721" s="177"/>
      <c r="I721" s="183" t="s">
        <v>12</v>
      </c>
      <c r="J721" s="177"/>
      <c r="K721" s="184"/>
    </row>
    <row r="722" spans="1:11">
      <c r="A722" s="179" t="s">
        <v>32</v>
      </c>
      <c r="B722" s="179">
        <v>1130.27168686507</v>
      </c>
      <c r="C722" s="180">
        <v>2</v>
      </c>
      <c r="D722" s="179">
        <v>7.1999999999999995E-2</v>
      </c>
      <c r="E722" s="181"/>
      <c r="F722" s="181"/>
      <c r="G722" s="182"/>
      <c r="H722" s="177"/>
      <c r="I722" s="183" t="s">
        <v>12</v>
      </c>
      <c r="J722" s="177"/>
      <c r="K722" s="184"/>
    </row>
    <row r="723" spans="1:11">
      <c r="A723" s="179" t="s">
        <v>32</v>
      </c>
      <c r="B723" s="179">
        <v>1225.86677726785</v>
      </c>
      <c r="C723" s="180">
        <v>2</v>
      </c>
      <c r="D723" s="179">
        <v>7.1999999999999995E-2</v>
      </c>
      <c r="E723" s="181"/>
      <c r="F723" s="181"/>
      <c r="G723" s="182"/>
      <c r="H723" s="177"/>
      <c r="I723" s="183" t="s">
        <v>12</v>
      </c>
      <c r="J723" s="177"/>
      <c r="K723" s="184"/>
    </row>
    <row r="724" spans="1:11">
      <c r="A724" s="179" t="s">
        <v>32</v>
      </c>
      <c r="B724" s="179">
        <v>1222.1180062741901</v>
      </c>
      <c r="C724" s="180">
        <v>2</v>
      </c>
      <c r="D724" s="179">
        <v>7.1999999999999995E-2</v>
      </c>
      <c r="E724" s="181"/>
      <c r="F724" s="181"/>
      <c r="G724" s="182"/>
      <c r="H724" s="177"/>
      <c r="I724" s="183" t="s">
        <v>12</v>
      </c>
      <c r="J724" s="177"/>
      <c r="K724" s="184"/>
    </row>
    <row r="725" spans="1:11">
      <c r="A725" s="179" t="s">
        <v>32</v>
      </c>
      <c r="B725" s="179">
        <v>1225.86677726785</v>
      </c>
      <c r="C725" s="180">
        <v>2</v>
      </c>
      <c r="D725" s="179">
        <v>7.1999999999999995E-2</v>
      </c>
      <c r="E725" s="181"/>
      <c r="F725" s="181"/>
      <c r="G725" s="182"/>
      <c r="H725" s="177"/>
      <c r="I725" s="183" t="s">
        <v>12</v>
      </c>
      <c r="J725" s="177"/>
      <c r="K725" s="184"/>
    </row>
    <row r="726" spans="1:11">
      <c r="A726" s="179" t="s">
        <v>32</v>
      </c>
      <c r="B726" s="179">
        <v>1223.99239177102</v>
      </c>
      <c r="C726" s="180">
        <v>2</v>
      </c>
      <c r="D726" s="179">
        <v>7.1999999999999995E-2</v>
      </c>
      <c r="E726" s="181"/>
      <c r="F726" s="181"/>
      <c r="G726" s="182"/>
      <c r="H726" s="177"/>
      <c r="I726" s="183" t="s">
        <v>12</v>
      </c>
      <c r="J726" s="177"/>
      <c r="K726" s="184"/>
    </row>
    <row r="727" spans="1:11">
      <c r="A727" s="179" t="s">
        <v>32</v>
      </c>
      <c r="B727" s="179">
        <v>1319.58748217379</v>
      </c>
      <c r="C727" s="180">
        <v>2</v>
      </c>
      <c r="D727" s="179">
        <v>7.1999999999999995E-2</v>
      </c>
      <c r="E727" s="181"/>
      <c r="F727" s="181"/>
      <c r="G727" s="182"/>
      <c r="H727" s="177"/>
      <c r="I727" s="183" t="s">
        <v>12</v>
      </c>
      <c r="J727" s="177"/>
      <c r="K727" s="184"/>
    </row>
    <row r="728" spans="1:11">
      <c r="A728" s="179" t="s">
        <v>32</v>
      </c>
      <c r="B728" s="179">
        <v>1317.71309667696</v>
      </c>
      <c r="C728" s="180">
        <v>2</v>
      </c>
      <c r="D728" s="179">
        <v>7.1999999999999995E-2</v>
      </c>
      <c r="E728" s="181"/>
      <c r="F728" s="181"/>
      <c r="G728" s="182"/>
      <c r="H728" s="177"/>
      <c r="I728" s="183" t="s">
        <v>12</v>
      </c>
      <c r="J728" s="177"/>
      <c r="K728" s="184"/>
    </row>
    <row r="729" spans="1:11">
      <c r="A729" s="179" t="s">
        <v>32</v>
      </c>
      <c r="B729" s="179">
        <v>1508.9034200000001</v>
      </c>
      <c r="C729" s="180">
        <v>2</v>
      </c>
      <c r="D729" s="179">
        <v>7.1999999999999995E-2</v>
      </c>
      <c r="E729" s="181"/>
      <c r="F729" s="181"/>
      <c r="G729" s="182"/>
      <c r="H729" s="177"/>
      <c r="I729" s="183" t="s">
        <v>12</v>
      </c>
      <c r="J729" s="177"/>
      <c r="K729" s="184"/>
    </row>
    <row r="730" spans="1:11">
      <c r="A730" s="179" t="s">
        <v>32</v>
      </c>
      <c r="B730" s="179">
        <v>1510.7778059857901</v>
      </c>
      <c r="C730" s="180">
        <v>2</v>
      </c>
      <c r="D730" s="179">
        <v>7.1999999999999995E-2</v>
      </c>
      <c r="E730" s="181"/>
      <c r="F730" s="181"/>
      <c r="G730" s="182"/>
      <c r="H730" s="177"/>
      <c r="I730" s="183" t="s">
        <v>12</v>
      </c>
      <c r="J730" s="177"/>
      <c r="K730" s="184"/>
    </row>
    <row r="731" spans="1:11">
      <c r="A731" s="179" t="s">
        <v>32</v>
      </c>
      <c r="B731" s="179">
        <v>1889.4093966032401</v>
      </c>
      <c r="C731" s="180">
        <v>2</v>
      </c>
      <c r="D731" s="179">
        <v>7.1999999999999995E-2</v>
      </c>
      <c r="E731" s="181"/>
      <c r="F731" s="181"/>
      <c r="G731" s="182"/>
      <c r="H731" s="177"/>
      <c r="I731" s="183" t="s">
        <v>12</v>
      </c>
      <c r="J731" s="177"/>
      <c r="K731" s="184"/>
    </row>
    <row r="732" spans="1:11">
      <c r="A732" s="179" t="s">
        <v>32</v>
      </c>
      <c r="B732" s="179">
        <v>1887.53515411286</v>
      </c>
      <c r="C732" s="180">
        <v>2</v>
      </c>
      <c r="D732" s="179">
        <v>7.1999999999999995E-2</v>
      </c>
      <c r="E732" s="181"/>
      <c r="F732" s="181"/>
      <c r="G732" s="182"/>
      <c r="H732" s="177"/>
      <c r="I732" s="183" t="s">
        <v>12</v>
      </c>
      <c r="J732" s="177"/>
      <c r="K732" s="184"/>
    </row>
    <row r="733" spans="1:11">
      <c r="A733" s="179" t="s">
        <v>32</v>
      </c>
      <c r="B733" s="179">
        <v>1885.6606256095799</v>
      </c>
      <c r="C733" s="180">
        <v>2</v>
      </c>
      <c r="D733" s="179">
        <v>7.1999999999999995E-2</v>
      </c>
      <c r="E733" s="181"/>
      <c r="F733" s="181"/>
      <c r="G733" s="182"/>
      <c r="H733" s="177"/>
      <c r="I733" s="183" t="s">
        <v>12</v>
      </c>
      <c r="J733" s="177"/>
      <c r="K733" s="184"/>
    </row>
    <row r="734" spans="1:11">
      <c r="A734" s="179" t="s">
        <v>32</v>
      </c>
      <c r="B734" s="179">
        <v>93.720704905947002</v>
      </c>
      <c r="C734" s="180">
        <v>2</v>
      </c>
      <c r="D734" s="179">
        <v>5.1999999999999998E-2</v>
      </c>
      <c r="E734" s="181"/>
      <c r="F734" s="181"/>
      <c r="G734" s="182"/>
      <c r="H734" s="177"/>
      <c r="I734" s="183" t="s">
        <v>12</v>
      </c>
      <c r="J734" s="177"/>
      <c r="K734" s="184"/>
    </row>
    <row r="735" spans="1:11">
      <c r="A735" s="179" t="s">
        <v>32</v>
      </c>
      <c r="B735" s="179">
        <v>138.70667186208999</v>
      </c>
      <c r="C735" s="180">
        <v>2</v>
      </c>
      <c r="D735" s="179">
        <v>5.1999999999999998E-2</v>
      </c>
      <c r="E735" s="181"/>
      <c r="F735" s="181"/>
      <c r="G735" s="182"/>
      <c r="H735" s="177"/>
      <c r="I735" s="183" t="s">
        <v>12</v>
      </c>
      <c r="J735" s="177"/>
      <c r="K735" s="184"/>
    </row>
    <row r="736" spans="1:11">
      <c r="A736" s="179" t="s">
        <v>32</v>
      </c>
      <c r="B736" s="179">
        <v>140.58105735891999</v>
      </c>
      <c r="C736" s="180">
        <v>2</v>
      </c>
      <c r="D736" s="179">
        <v>5.1999999999999998E-2</v>
      </c>
      <c r="E736" s="181"/>
      <c r="F736" s="181"/>
      <c r="G736" s="182"/>
      <c r="H736" s="177"/>
      <c r="I736" s="183" t="s">
        <v>12</v>
      </c>
      <c r="J736" s="177"/>
      <c r="K736" s="184"/>
    </row>
    <row r="737" spans="1:11">
      <c r="A737" s="179" t="s">
        <v>32</v>
      </c>
      <c r="B737" s="179">
        <v>187.44140981189301</v>
      </c>
      <c r="C737" s="180">
        <v>2</v>
      </c>
      <c r="D737" s="179">
        <v>5.1999999999999998E-2</v>
      </c>
      <c r="E737" s="181"/>
      <c r="F737" s="181"/>
      <c r="G737" s="182"/>
      <c r="H737" s="177"/>
      <c r="I737" s="183" t="s">
        <v>12</v>
      </c>
      <c r="J737" s="177"/>
      <c r="K737" s="184"/>
    </row>
    <row r="738" spans="1:11">
      <c r="A738" s="179" t="s">
        <v>32</v>
      </c>
      <c r="B738" s="179">
        <v>234.30176226486699</v>
      </c>
      <c r="C738" s="180">
        <v>2</v>
      </c>
      <c r="D738" s="179">
        <v>5.1999999999999998E-2</v>
      </c>
      <c r="E738" s="181"/>
      <c r="F738" s="181"/>
      <c r="G738" s="182"/>
      <c r="H738" s="177"/>
      <c r="I738" s="183" t="s">
        <v>12</v>
      </c>
      <c r="J738" s="177"/>
      <c r="K738" s="184"/>
    </row>
    <row r="739" spans="1:11">
      <c r="A739" s="179" t="s">
        <v>32</v>
      </c>
      <c r="B739" s="179">
        <v>281.16211471783998</v>
      </c>
      <c r="C739" s="180">
        <v>2</v>
      </c>
      <c r="D739" s="179">
        <v>5.1999999999999998E-2</v>
      </c>
      <c r="E739" s="181"/>
      <c r="F739" s="181"/>
      <c r="G739" s="182"/>
      <c r="H739" s="177"/>
      <c r="I739" s="183" t="s">
        <v>12</v>
      </c>
      <c r="J739" s="177"/>
      <c r="K739" s="184"/>
    </row>
    <row r="740" spans="1:11">
      <c r="A740" s="179" t="s">
        <v>32</v>
      </c>
      <c r="B740" s="179">
        <v>328.02246717081402</v>
      </c>
      <c r="C740" s="180">
        <v>2</v>
      </c>
      <c r="D740" s="179">
        <v>5.1999999999999998E-2</v>
      </c>
      <c r="E740" s="181"/>
      <c r="F740" s="181"/>
      <c r="G740" s="182"/>
      <c r="H740" s="177"/>
      <c r="I740" s="183" t="s">
        <v>12</v>
      </c>
      <c r="J740" s="177"/>
      <c r="K740" s="184"/>
    </row>
    <row r="741" spans="1:11">
      <c r="A741" s="179" t="s">
        <v>32</v>
      </c>
      <c r="B741" s="179">
        <v>326.148081673984</v>
      </c>
      <c r="C741" s="180">
        <v>2</v>
      </c>
      <c r="D741" s="179">
        <v>5.1999999999999998E-2</v>
      </c>
      <c r="E741" s="181"/>
      <c r="F741" s="181"/>
      <c r="G741" s="182"/>
      <c r="H741" s="177"/>
      <c r="I741" s="183" t="s">
        <v>12</v>
      </c>
      <c r="J741" s="177"/>
      <c r="K741" s="184"/>
    </row>
    <row r="742" spans="1:11">
      <c r="A742" s="179" t="s">
        <v>32</v>
      </c>
      <c r="B742" s="179">
        <v>328.02246717081402</v>
      </c>
      <c r="C742" s="180">
        <v>2</v>
      </c>
      <c r="D742" s="179">
        <v>5.1999999999999998E-2</v>
      </c>
      <c r="E742" s="181"/>
      <c r="F742" s="181"/>
      <c r="G742" s="182"/>
      <c r="H742" s="177"/>
      <c r="I742" s="183" t="s">
        <v>12</v>
      </c>
      <c r="J742" s="177"/>
      <c r="K742" s="184"/>
    </row>
    <row r="743" spans="1:11">
      <c r="A743" s="179" t="s">
        <v>32</v>
      </c>
      <c r="B743" s="179">
        <v>374.88289112701102</v>
      </c>
      <c r="C743" s="180">
        <v>2</v>
      </c>
      <c r="D743" s="179">
        <v>5.1999999999999998E-2</v>
      </c>
      <c r="E743" s="181"/>
      <c r="F743" s="181"/>
      <c r="G743" s="182"/>
      <c r="H743" s="177"/>
      <c r="I743" s="183" t="s">
        <v>12</v>
      </c>
      <c r="J743" s="177"/>
      <c r="K743" s="184"/>
    </row>
    <row r="744" spans="1:11">
      <c r="A744" s="179" t="s">
        <v>32</v>
      </c>
      <c r="B744" s="179">
        <v>378.63166212067</v>
      </c>
      <c r="C744" s="180">
        <v>2</v>
      </c>
      <c r="D744" s="179">
        <v>5.1999999999999998E-2</v>
      </c>
      <c r="E744" s="181"/>
      <c r="F744" s="181"/>
      <c r="G744" s="182"/>
      <c r="H744" s="177"/>
      <c r="I744" s="183" t="s">
        <v>12</v>
      </c>
      <c r="J744" s="177"/>
      <c r="K744" s="184"/>
    </row>
    <row r="745" spans="1:11">
      <c r="A745" s="179" t="s">
        <v>32</v>
      </c>
      <c r="B745" s="179">
        <v>371.13397712690499</v>
      </c>
      <c r="C745" s="180">
        <v>2</v>
      </c>
      <c r="D745" s="179">
        <v>5.1999999999999998E-2</v>
      </c>
      <c r="E745" s="181"/>
      <c r="F745" s="181"/>
      <c r="G745" s="182"/>
      <c r="H745" s="177"/>
      <c r="I745" s="183" t="s">
        <v>12</v>
      </c>
      <c r="J745" s="177"/>
      <c r="K745" s="184"/>
    </row>
    <row r="746" spans="1:11">
      <c r="A746" s="179" t="s">
        <v>32</v>
      </c>
      <c r="B746" s="179">
        <v>425.49201457364302</v>
      </c>
      <c r="C746" s="180">
        <v>2</v>
      </c>
      <c r="D746" s="179">
        <v>5.1999999999999998E-2</v>
      </c>
      <c r="E746" s="181"/>
      <c r="F746" s="181"/>
      <c r="G746" s="182"/>
      <c r="H746" s="177"/>
      <c r="I746" s="183" t="s">
        <v>12</v>
      </c>
      <c r="J746" s="177"/>
      <c r="K746" s="184"/>
    </row>
    <row r="747" spans="1:11">
      <c r="A747" s="179" t="s">
        <v>32</v>
      </c>
      <c r="B747" s="179">
        <v>423.61762907681401</v>
      </c>
      <c r="C747" s="180">
        <v>2</v>
      </c>
      <c r="D747" s="179">
        <v>5.1999999999999998E-2</v>
      </c>
      <c r="E747" s="181"/>
      <c r="F747" s="181"/>
      <c r="G747" s="182"/>
      <c r="H747" s="177"/>
      <c r="I747" s="183" t="s">
        <v>12</v>
      </c>
      <c r="J747" s="177"/>
      <c r="K747" s="184"/>
    </row>
    <row r="748" spans="1:11">
      <c r="A748" s="179" t="s">
        <v>32</v>
      </c>
      <c r="B748" s="179">
        <v>421.74324357998398</v>
      </c>
      <c r="C748" s="180">
        <v>2</v>
      </c>
      <c r="D748" s="179">
        <v>5.1999999999999998E-2</v>
      </c>
      <c r="E748" s="181"/>
      <c r="F748" s="181"/>
      <c r="G748" s="182"/>
      <c r="H748" s="177"/>
      <c r="I748" s="183" t="s">
        <v>12</v>
      </c>
      <c r="J748" s="177"/>
      <c r="K748" s="184"/>
    </row>
    <row r="749" spans="1:11">
      <c r="A749" s="179" t="s">
        <v>32</v>
      </c>
      <c r="B749" s="179">
        <v>472.352367026617</v>
      </c>
      <c r="C749" s="180">
        <v>2</v>
      </c>
      <c r="D749" s="179">
        <v>5.1999999999999998E-2</v>
      </c>
      <c r="E749" s="181"/>
      <c r="F749" s="181"/>
      <c r="G749" s="182"/>
      <c r="H749" s="177"/>
      <c r="I749" s="183" t="s">
        <v>12</v>
      </c>
      <c r="J749" s="177"/>
      <c r="K749" s="184"/>
    </row>
    <row r="750" spans="1:11">
      <c r="A750" s="179" t="s">
        <v>32</v>
      </c>
      <c r="B750" s="179">
        <v>517.33833398276101</v>
      </c>
      <c r="C750" s="180">
        <v>2</v>
      </c>
      <c r="D750" s="179">
        <v>5.1999999999999998E-2</v>
      </c>
      <c r="E750" s="181"/>
      <c r="F750" s="181"/>
      <c r="G750" s="182"/>
      <c r="H750" s="177"/>
      <c r="I750" s="183" t="s">
        <v>12</v>
      </c>
      <c r="J750" s="177"/>
      <c r="K750" s="184"/>
    </row>
    <row r="751" spans="1:11">
      <c r="A751" s="179" t="s">
        <v>32</v>
      </c>
      <c r="B751" s="179">
        <v>519.21271950000005</v>
      </c>
      <c r="C751" s="180">
        <v>2</v>
      </c>
      <c r="D751" s="179">
        <v>5.1999999999999998E-2</v>
      </c>
      <c r="E751" s="181"/>
      <c r="F751" s="181"/>
      <c r="G751" s="182"/>
      <c r="H751" s="177"/>
      <c r="I751" s="183" t="s">
        <v>12</v>
      </c>
      <c r="J751" s="177"/>
      <c r="K751" s="184"/>
    </row>
    <row r="752" spans="1:11">
      <c r="A752" s="179" t="s">
        <v>32</v>
      </c>
      <c r="B752" s="179">
        <v>566.07307193256395</v>
      </c>
      <c r="C752" s="180">
        <v>2</v>
      </c>
      <c r="D752" s="179">
        <v>5.1999999999999998E-2</v>
      </c>
      <c r="E752" s="181"/>
      <c r="F752" s="181"/>
      <c r="G752" s="182"/>
      <c r="H752" s="177"/>
      <c r="I752" s="183" t="s">
        <v>12</v>
      </c>
      <c r="J752" s="177"/>
      <c r="K752" s="184"/>
    </row>
    <row r="753" spans="1:11">
      <c r="A753" s="179" t="s">
        <v>32</v>
      </c>
      <c r="B753" s="179">
        <v>564.19868643573398</v>
      </c>
      <c r="C753" s="180">
        <v>2</v>
      </c>
      <c r="D753" s="179">
        <v>5.1999999999999998E-2</v>
      </c>
      <c r="E753" s="181"/>
      <c r="F753" s="181"/>
      <c r="G753" s="182"/>
      <c r="H753" s="177"/>
      <c r="I753" s="183" t="s">
        <v>12</v>
      </c>
      <c r="J753" s="177"/>
      <c r="K753" s="184"/>
    </row>
    <row r="754" spans="1:11">
      <c r="A754" s="179" t="s">
        <v>32</v>
      </c>
      <c r="B754" s="179">
        <v>612.93342440000004</v>
      </c>
      <c r="C754" s="180">
        <v>2</v>
      </c>
      <c r="D754" s="179">
        <v>5.1999999999999998E-2</v>
      </c>
      <c r="E754" s="181"/>
      <c r="F754" s="181"/>
      <c r="G754" s="182"/>
      <c r="H754" s="177"/>
      <c r="I754" s="183" t="s">
        <v>12</v>
      </c>
      <c r="J754" s="177"/>
      <c r="K754" s="184"/>
    </row>
    <row r="755" spans="1:11">
      <c r="A755" s="179" t="s">
        <v>32</v>
      </c>
      <c r="B755" s="179">
        <v>614.807809882367</v>
      </c>
      <c r="C755" s="180">
        <v>2</v>
      </c>
      <c r="D755" s="179">
        <v>5.1999999999999998E-2</v>
      </c>
      <c r="E755" s="181"/>
      <c r="F755" s="181"/>
      <c r="G755" s="182"/>
      <c r="H755" s="177"/>
      <c r="I755" s="183" t="s">
        <v>12</v>
      </c>
      <c r="J755" s="177"/>
      <c r="K755" s="184"/>
    </row>
    <row r="756" spans="1:11">
      <c r="A756" s="179" t="s">
        <v>32</v>
      </c>
      <c r="B756" s="179">
        <v>611.05903888870796</v>
      </c>
      <c r="C756" s="180">
        <v>2</v>
      </c>
      <c r="D756" s="179">
        <v>5.1999999999999998E-2</v>
      </c>
      <c r="E756" s="181"/>
      <c r="F756" s="181"/>
      <c r="G756" s="182"/>
      <c r="H756" s="177"/>
      <c r="I756" s="183" t="s">
        <v>12</v>
      </c>
      <c r="J756" s="177"/>
      <c r="K756" s="184"/>
    </row>
    <row r="757" spans="1:11">
      <c r="A757" s="179" t="s">
        <v>32</v>
      </c>
      <c r="B757" s="179">
        <v>659.79377683851101</v>
      </c>
      <c r="C757" s="180">
        <v>2</v>
      </c>
      <c r="D757" s="179">
        <v>5.1999999999999998E-2</v>
      </c>
      <c r="E757" s="181"/>
      <c r="F757" s="181"/>
      <c r="G757" s="182"/>
      <c r="H757" s="177"/>
      <c r="I757" s="183" t="s">
        <v>12</v>
      </c>
      <c r="J757" s="177"/>
      <c r="K757" s="184"/>
    </row>
    <row r="758" spans="1:11">
      <c r="A758" s="179" t="s">
        <v>32</v>
      </c>
      <c r="B758" s="179">
        <v>661.66816233534098</v>
      </c>
      <c r="C758" s="180">
        <v>2</v>
      </c>
      <c r="D758" s="179">
        <v>5.1999999999999998E-2</v>
      </c>
      <c r="E758" s="181"/>
      <c r="F758" s="181"/>
      <c r="G758" s="182"/>
      <c r="H758" s="177"/>
      <c r="I758" s="183" t="s">
        <v>12</v>
      </c>
      <c r="J758" s="177"/>
      <c r="K758" s="184"/>
    </row>
    <row r="759" spans="1:11">
      <c r="A759" s="179" t="s">
        <v>32</v>
      </c>
      <c r="B759" s="179">
        <v>659.79377683851101</v>
      </c>
      <c r="C759" s="180">
        <v>2</v>
      </c>
      <c r="D759" s="179">
        <v>5.1999999999999998E-2</v>
      </c>
      <c r="E759" s="181"/>
      <c r="F759" s="181"/>
      <c r="G759" s="182"/>
      <c r="H759" s="177"/>
      <c r="I759" s="183" t="s">
        <v>12</v>
      </c>
      <c r="J759" s="177"/>
      <c r="K759" s="184"/>
    </row>
    <row r="760" spans="1:11">
      <c r="A760" s="179" t="s">
        <v>32</v>
      </c>
      <c r="B760" s="179">
        <v>753.51448174445795</v>
      </c>
      <c r="C760" s="180">
        <v>2</v>
      </c>
      <c r="D760" s="179">
        <v>5.1999999999999998E-2</v>
      </c>
      <c r="E760" s="181"/>
      <c r="F760" s="181"/>
      <c r="G760" s="182"/>
      <c r="H760" s="177"/>
      <c r="I760" s="183" t="s">
        <v>12</v>
      </c>
      <c r="J760" s="177"/>
      <c r="K760" s="184"/>
    </row>
    <row r="761" spans="1:11">
      <c r="A761" s="179" t="s">
        <v>32</v>
      </c>
      <c r="B761" s="179">
        <v>755.38886720000005</v>
      </c>
      <c r="C761" s="180">
        <v>2</v>
      </c>
      <c r="D761" s="179">
        <v>5.1999999999999998E-2</v>
      </c>
      <c r="E761" s="181"/>
      <c r="F761" s="181"/>
      <c r="G761" s="182"/>
      <c r="H761" s="177"/>
      <c r="I761" s="183" t="s">
        <v>12</v>
      </c>
      <c r="J761" s="177"/>
      <c r="K761" s="184"/>
    </row>
    <row r="762" spans="1:11">
      <c r="A762" s="179" t="s">
        <v>32</v>
      </c>
      <c r="B762" s="179">
        <v>850.98395764406405</v>
      </c>
      <c r="C762" s="180">
        <v>2</v>
      </c>
      <c r="D762" s="179">
        <v>5.1999999999999998E-2</v>
      </c>
      <c r="E762" s="181"/>
      <c r="F762" s="181"/>
      <c r="G762" s="182"/>
      <c r="H762" s="177"/>
      <c r="I762" s="183" t="s">
        <v>12</v>
      </c>
      <c r="J762" s="177"/>
      <c r="K762" s="184"/>
    </row>
    <row r="763" spans="1:11">
      <c r="A763" s="179" t="s">
        <v>32</v>
      </c>
      <c r="B763" s="179">
        <v>849.10957214723499</v>
      </c>
      <c r="C763" s="180">
        <v>2</v>
      </c>
      <c r="D763" s="179">
        <v>5.1999999999999998E-2</v>
      </c>
      <c r="E763" s="181"/>
      <c r="F763" s="181"/>
      <c r="G763" s="182"/>
      <c r="H763" s="177"/>
      <c r="I763" s="183" t="s">
        <v>12</v>
      </c>
      <c r="J763" s="177"/>
      <c r="K763" s="184"/>
    </row>
    <row r="764" spans="1:11">
      <c r="A764" s="179" t="s">
        <v>32</v>
      </c>
      <c r="B764" s="179">
        <v>847.23518665040501</v>
      </c>
      <c r="C764" s="180">
        <v>2</v>
      </c>
      <c r="D764" s="179">
        <v>5.1999999999999998E-2</v>
      </c>
      <c r="E764" s="181"/>
      <c r="F764" s="181"/>
      <c r="G764" s="182"/>
      <c r="H764" s="177"/>
      <c r="I764" s="183" t="s">
        <v>12</v>
      </c>
      <c r="J764" s="177"/>
      <c r="K764" s="184"/>
    </row>
    <row r="765" spans="1:11">
      <c r="A765" s="179" t="s">
        <v>32</v>
      </c>
      <c r="B765" s="179">
        <v>849.10957214723499</v>
      </c>
      <c r="C765" s="180">
        <v>2</v>
      </c>
      <c r="D765" s="179">
        <v>5.1999999999999998E-2</v>
      </c>
      <c r="E765" s="181"/>
      <c r="F765" s="181"/>
      <c r="G765" s="182"/>
      <c r="H765" s="177"/>
      <c r="I765" s="183" t="s">
        <v>12</v>
      </c>
      <c r="J765" s="177"/>
      <c r="K765" s="184"/>
    </row>
    <row r="766" spans="1:11">
      <c r="A766" s="179" t="s">
        <v>32</v>
      </c>
      <c r="B766" s="179">
        <v>944.70466255001099</v>
      </c>
      <c r="C766" s="180">
        <v>2</v>
      </c>
      <c r="D766" s="179">
        <v>5.1999999999999998E-2</v>
      </c>
      <c r="E766" s="181"/>
      <c r="F766" s="181"/>
      <c r="G766" s="182"/>
      <c r="H766" s="177"/>
      <c r="I766" s="183" t="s">
        <v>12</v>
      </c>
      <c r="J766" s="177"/>
      <c r="K766" s="184"/>
    </row>
    <row r="767" spans="1:11">
      <c r="A767" s="179" t="s">
        <v>32</v>
      </c>
      <c r="B767" s="179">
        <v>942.83027705318102</v>
      </c>
      <c r="C767" s="180">
        <v>2</v>
      </c>
      <c r="D767" s="179">
        <v>5.1999999999999998E-2</v>
      </c>
      <c r="E767" s="181"/>
      <c r="F767" s="181"/>
      <c r="G767" s="182"/>
      <c r="H767" s="177"/>
      <c r="I767" s="183" t="s">
        <v>12</v>
      </c>
      <c r="J767" s="177"/>
      <c r="K767" s="184"/>
    </row>
    <row r="768" spans="1:11">
      <c r="A768" s="179" t="s">
        <v>32</v>
      </c>
      <c r="B768" s="179">
        <v>1134.0206008651801</v>
      </c>
      <c r="C768" s="180">
        <v>2</v>
      </c>
      <c r="D768" s="179">
        <v>5.1999999999999998E-2</v>
      </c>
      <c r="E768" s="181"/>
      <c r="F768" s="181"/>
      <c r="G768" s="182"/>
      <c r="H768" s="177"/>
      <c r="I768" s="183" t="s">
        <v>12</v>
      </c>
      <c r="J768" s="177"/>
      <c r="K768" s="184"/>
    </row>
    <row r="769" spans="1:11">
      <c r="A769" s="179" t="s">
        <v>32</v>
      </c>
      <c r="B769" s="179">
        <v>1132.1460723619</v>
      </c>
      <c r="C769" s="180">
        <v>2</v>
      </c>
      <c r="D769" s="179">
        <v>5.1999999999999998E-2</v>
      </c>
      <c r="E769" s="181"/>
      <c r="F769" s="181"/>
      <c r="G769" s="182"/>
      <c r="H769" s="177"/>
      <c r="I769" s="183" t="s">
        <v>12</v>
      </c>
      <c r="J769" s="177"/>
      <c r="K769" s="184"/>
    </row>
    <row r="770" spans="1:11">
      <c r="A770" s="179" t="s">
        <v>32</v>
      </c>
      <c r="B770" s="179">
        <v>1128.3973013682401</v>
      </c>
      <c r="C770" s="180">
        <v>2</v>
      </c>
      <c r="D770" s="179">
        <v>5.1999999999999998E-2</v>
      </c>
      <c r="E770" s="181"/>
      <c r="F770" s="181"/>
      <c r="G770" s="182"/>
      <c r="H770" s="177"/>
      <c r="I770" s="183" t="s">
        <v>12</v>
      </c>
      <c r="J770" s="177"/>
      <c r="K770" s="184"/>
    </row>
    <row r="771" spans="1:11">
      <c r="A771" s="179" t="s">
        <v>32</v>
      </c>
      <c r="B771" s="179">
        <v>1134.0206008651801</v>
      </c>
      <c r="C771" s="180">
        <v>2</v>
      </c>
      <c r="D771" s="179">
        <v>5.1999999999999998E-2</v>
      </c>
      <c r="E771" s="181"/>
      <c r="F771" s="181"/>
      <c r="G771" s="182"/>
      <c r="H771" s="177"/>
      <c r="I771" s="183" t="s">
        <v>12</v>
      </c>
      <c r="J771" s="177"/>
      <c r="K771" s="184"/>
    </row>
    <row r="772" spans="1:11">
      <c r="A772" s="179" t="s">
        <v>32</v>
      </c>
      <c r="B772" s="179">
        <v>1321.4620106770701</v>
      </c>
      <c r="C772" s="180">
        <v>2</v>
      </c>
      <c r="D772" s="179">
        <v>5.1999999999999998E-2</v>
      </c>
      <c r="E772" s="181"/>
      <c r="F772" s="181"/>
      <c r="G772" s="182"/>
      <c r="H772" s="177"/>
      <c r="I772" s="183" t="s">
        <v>12</v>
      </c>
      <c r="J772" s="177"/>
      <c r="K772" s="184"/>
    </row>
    <row r="773" spans="1:11">
      <c r="A773" s="179" t="s">
        <v>32</v>
      </c>
      <c r="B773" s="179">
        <v>1319.58748217379</v>
      </c>
      <c r="C773" s="180">
        <v>2</v>
      </c>
      <c r="D773" s="179">
        <v>5.1999999999999998E-2</v>
      </c>
      <c r="E773" s="181"/>
      <c r="F773" s="181"/>
      <c r="G773" s="182"/>
      <c r="H773" s="177"/>
      <c r="I773" s="183" t="s">
        <v>12</v>
      </c>
      <c r="J773" s="177"/>
      <c r="K773" s="184"/>
    </row>
    <row r="774" spans="1:11">
      <c r="A774" s="179" t="s">
        <v>32</v>
      </c>
      <c r="B774" s="179">
        <v>1885.6606256095799</v>
      </c>
      <c r="C774" s="180">
        <v>2</v>
      </c>
      <c r="D774" s="179">
        <v>5.1999999999999998E-2</v>
      </c>
      <c r="E774" s="181"/>
      <c r="F774" s="181"/>
      <c r="G774" s="182"/>
      <c r="H774" s="177"/>
      <c r="I774" s="183" t="s">
        <v>12</v>
      </c>
      <c r="J774" s="177"/>
      <c r="K774" s="184"/>
    </row>
    <row r="775" spans="1:11">
      <c r="A775" s="179" t="s">
        <v>32</v>
      </c>
      <c r="B775" s="179">
        <v>1887.53515411286</v>
      </c>
      <c r="C775" s="180">
        <v>2</v>
      </c>
      <c r="D775" s="179">
        <v>5.1999999999999998E-2</v>
      </c>
      <c r="E775" s="181"/>
      <c r="F775" s="181"/>
      <c r="G775" s="182"/>
      <c r="H775" s="177"/>
      <c r="I775" s="183" t="s">
        <v>12</v>
      </c>
      <c r="J775" s="177"/>
      <c r="K775" s="184"/>
    </row>
    <row r="776" spans="1:11">
      <c r="A776" s="179" t="s">
        <v>32</v>
      </c>
      <c r="B776" s="179">
        <v>1883.7860971063101</v>
      </c>
      <c r="C776" s="180">
        <v>2</v>
      </c>
      <c r="D776" s="179">
        <v>5.1999999999999998E-2</v>
      </c>
      <c r="E776" s="181"/>
      <c r="F776" s="181"/>
      <c r="G776" s="182"/>
      <c r="H776" s="177"/>
      <c r="I776" s="183" t="s">
        <v>12</v>
      </c>
      <c r="J776" s="177"/>
      <c r="K776" s="184"/>
    </row>
    <row r="777" spans="1:11">
      <c r="A777" s="179" t="s">
        <v>32</v>
      </c>
      <c r="B777" s="179">
        <v>1883.7860971063101</v>
      </c>
      <c r="C777" s="180">
        <v>2</v>
      </c>
      <c r="D777" s="179">
        <v>5.1999999999999998E-2</v>
      </c>
      <c r="E777" s="181"/>
      <c r="F777" s="181"/>
      <c r="G777" s="182"/>
      <c r="H777" s="177"/>
      <c r="I777" s="183" t="s">
        <v>12</v>
      </c>
      <c r="J777" s="177"/>
      <c r="K777" s="184"/>
    </row>
    <row r="778" spans="1:11">
      <c r="A778" s="179" t="s">
        <v>32</v>
      </c>
      <c r="B778" s="179">
        <v>91.846319409117299</v>
      </c>
      <c r="C778" s="180">
        <v>2</v>
      </c>
      <c r="D778" s="179">
        <v>3.6999999999999998E-2</v>
      </c>
      <c r="E778" s="181"/>
      <c r="F778" s="181"/>
      <c r="G778" s="182"/>
      <c r="H778" s="177"/>
      <c r="I778" s="183" t="s">
        <v>12</v>
      </c>
      <c r="J778" s="177"/>
      <c r="K778" s="184"/>
    </row>
    <row r="779" spans="1:11">
      <c r="A779" s="179" t="s">
        <v>32</v>
      </c>
      <c r="B779" s="179">
        <v>138.70667186208999</v>
      </c>
      <c r="C779" s="180">
        <v>2</v>
      </c>
      <c r="D779" s="179">
        <v>3.6999999999999998E-2</v>
      </c>
      <c r="E779" s="181"/>
      <c r="F779" s="181"/>
      <c r="G779" s="182"/>
      <c r="H779" s="177"/>
      <c r="I779" s="183" t="s">
        <v>12</v>
      </c>
      <c r="J779" s="177"/>
      <c r="K779" s="184"/>
    </row>
    <row r="780" spans="1:11">
      <c r="A780" s="179" t="s">
        <v>32</v>
      </c>
      <c r="B780" s="179">
        <v>185.567024315064</v>
      </c>
      <c r="C780" s="180">
        <v>2</v>
      </c>
      <c r="D780" s="179">
        <v>3.6999999999999998E-2</v>
      </c>
      <c r="E780" s="181"/>
      <c r="F780" s="181"/>
      <c r="G780" s="182"/>
      <c r="H780" s="177"/>
      <c r="I780" s="183" t="s">
        <v>12</v>
      </c>
      <c r="J780" s="177"/>
      <c r="K780" s="184"/>
    </row>
    <row r="781" spans="1:11">
      <c r="A781" s="179" t="s">
        <v>32</v>
      </c>
      <c r="B781" s="179">
        <v>189.31579530872301</v>
      </c>
      <c r="C781" s="180">
        <v>2</v>
      </c>
      <c r="D781" s="179">
        <v>3.6999999999999998E-2</v>
      </c>
      <c r="E781" s="181"/>
      <c r="F781" s="181"/>
      <c r="G781" s="182"/>
      <c r="H781" s="177"/>
      <c r="I781" s="183" t="s">
        <v>12</v>
      </c>
      <c r="J781" s="177"/>
      <c r="K781" s="184"/>
    </row>
    <row r="782" spans="1:11">
      <c r="A782" s="179" t="s">
        <v>32</v>
      </c>
      <c r="B782" s="179">
        <v>236.176147761697</v>
      </c>
      <c r="C782" s="180">
        <v>2</v>
      </c>
      <c r="D782" s="179">
        <v>3.6999999999999998E-2</v>
      </c>
      <c r="E782" s="181"/>
      <c r="F782" s="181"/>
      <c r="G782" s="182"/>
      <c r="H782" s="177"/>
      <c r="I782" s="183" t="s">
        <v>12</v>
      </c>
      <c r="J782" s="177"/>
      <c r="K782" s="184"/>
    </row>
    <row r="783" spans="1:11">
      <c r="A783" s="179" t="s">
        <v>32</v>
      </c>
      <c r="B783" s="179">
        <v>234.30176226486699</v>
      </c>
      <c r="C783" s="180">
        <v>2</v>
      </c>
      <c r="D783" s="179">
        <v>3.6999999999999998E-2</v>
      </c>
      <c r="E783" s="181"/>
      <c r="F783" s="181"/>
      <c r="G783" s="182"/>
      <c r="H783" s="177"/>
      <c r="I783" s="183" t="s">
        <v>12</v>
      </c>
      <c r="J783" s="177"/>
      <c r="K783" s="184"/>
    </row>
    <row r="784" spans="1:11">
      <c r="A784" s="179" t="s">
        <v>32</v>
      </c>
      <c r="B784" s="179">
        <v>238.05060476175001</v>
      </c>
      <c r="C784" s="180">
        <v>2</v>
      </c>
      <c r="D784" s="179">
        <v>3.6999999999999998E-2</v>
      </c>
      <c r="E784" s="181"/>
      <c r="F784" s="181"/>
      <c r="G784" s="182"/>
      <c r="H784" s="177"/>
      <c r="I784" s="183" t="s">
        <v>12</v>
      </c>
      <c r="J784" s="177"/>
      <c r="K784" s="184"/>
    </row>
    <row r="785" spans="1:11">
      <c r="A785" s="179" t="s">
        <v>32</v>
      </c>
      <c r="B785" s="179">
        <v>236.176147761697</v>
      </c>
      <c r="C785" s="180">
        <v>2</v>
      </c>
      <c r="D785" s="179">
        <v>3.6999999999999998E-2</v>
      </c>
      <c r="E785" s="181"/>
      <c r="F785" s="181"/>
      <c r="G785" s="182"/>
      <c r="H785" s="177"/>
      <c r="I785" s="183" t="s">
        <v>12</v>
      </c>
      <c r="J785" s="177"/>
      <c r="K785" s="184"/>
    </row>
    <row r="786" spans="1:11">
      <c r="A786" s="179" t="s">
        <v>32</v>
      </c>
      <c r="B786" s="179">
        <v>283.03650021467001</v>
      </c>
      <c r="C786" s="180">
        <v>2</v>
      </c>
      <c r="D786" s="179">
        <v>3.6999999999999998E-2</v>
      </c>
      <c r="E786" s="181"/>
      <c r="F786" s="181"/>
      <c r="G786" s="182"/>
      <c r="H786" s="177"/>
      <c r="I786" s="183" t="s">
        <v>12</v>
      </c>
      <c r="J786" s="177"/>
      <c r="K786" s="184"/>
    </row>
    <row r="787" spans="1:11">
      <c r="A787" s="179" t="s">
        <v>32</v>
      </c>
      <c r="B787" s="179">
        <v>281.16211471783998</v>
      </c>
      <c r="C787" s="180">
        <v>2</v>
      </c>
      <c r="D787" s="179">
        <v>3.6999999999999998E-2</v>
      </c>
      <c r="E787" s="181"/>
      <c r="F787" s="181"/>
      <c r="G787" s="182"/>
      <c r="H787" s="177"/>
      <c r="I787" s="183" t="s">
        <v>12</v>
      </c>
      <c r="J787" s="177"/>
      <c r="K787" s="184"/>
    </row>
    <row r="788" spans="1:11">
      <c r="A788" s="179" t="s">
        <v>32</v>
      </c>
      <c r="B788" s="179">
        <v>283.03650021467001</v>
      </c>
      <c r="C788" s="180">
        <v>2</v>
      </c>
      <c r="D788" s="179">
        <v>3.6999999999999998E-2</v>
      </c>
      <c r="E788" s="181"/>
      <c r="F788" s="181"/>
      <c r="G788" s="182"/>
      <c r="H788" s="177"/>
      <c r="I788" s="183" t="s">
        <v>12</v>
      </c>
      <c r="J788" s="177"/>
      <c r="K788" s="184"/>
    </row>
    <row r="789" spans="1:11">
      <c r="A789" s="179" t="s">
        <v>32</v>
      </c>
      <c r="B789" s="179">
        <v>329.89685270000001</v>
      </c>
      <c r="C789" s="180">
        <v>2</v>
      </c>
      <c r="D789" s="179">
        <v>3.6999999999999998E-2</v>
      </c>
      <c r="E789" s="181"/>
      <c r="F789" s="181"/>
      <c r="G789" s="182"/>
      <c r="H789" s="177"/>
      <c r="I789" s="183" t="s">
        <v>12</v>
      </c>
      <c r="J789" s="177"/>
      <c r="K789" s="184"/>
    </row>
    <row r="790" spans="1:11">
      <c r="A790" s="179" t="s">
        <v>32</v>
      </c>
      <c r="B790" s="179">
        <v>376.75727662384003</v>
      </c>
      <c r="C790" s="180">
        <v>2</v>
      </c>
      <c r="D790" s="179">
        <v>3.6999999999999998E-2</v>
      </c>
      <c r="E790" s="181"/>
      <c r="F790" s="181"/>
      <c r="G790" s="182"/>
      <c r="H790" s="177"/>
      <c r="I790" s="183" t="s">
        <v>12</v>
      </c>
      <c r="J790" s="177"/>
      <c r="K790" s="184"/>
    </row>
    <row r="791" spans="1:11">
      <c r="A791" s="179" t="s">
        <v>32</v>
      </c>
      <c r="B791" s="179">
        <v>378.63166212067</v>
      </c>
      <c r="C791" s="180">
        <v>2</v>
      </c>
      <c r="D791" s="179">
        <v>3.6999999999999998E-2</v>
      </c>
      <c r="E791" s="181"/>
      <c r="F791" s="181"/>
      <c r="G791" s="182"/>
      <c r="H791" s="177"/>
      <c r="I791" s="183" t="s">
        <v>12</v>
      </c>
      <c r="J791" s="177"/>
      <c r="K791" s="184"/>
    </row>
    <row r="792" spans="1:11">
      <c r="A792" s="179" t="s">
        <v>32</v>
      </c>
      <c r="B792" s="179">
        <v>373.008362623734</v>
      </c>
      <c r="C792" s="180">
        <v>2</v>
      </c>
      <c r="D792" s="179">
        <v>3.6999999999999998E-2</v>
      </c>
      <c r="E792" s="181"/>
      <c r="F792" s="181"/>
      <c r="G792" s="182"/>
      <c r="H792" s="177"/>
      <c r="I792" s="183" t="s">
        <v>12</v>
      </c>
      <c r="J792" s="177"/>
      <c r="K792" s="184"/>
    </row>
    <row r="793" spans="1:11">
      <c r="A793" s="179" t="s">
        <v>32</v>
      </c>
      <c r="B793" s="179">
        <v>423.61762907681401</v>
      </c>
      <c r="C793" s="180">
        <v>2</v>
      </c>
      <c r="D793" s="179">
        <v>3.6999999999999998E-2</v>
      </c>
      <c r="E793" s="181"/>
      <c r="F793" s="181"/>
      <c r="G793" s="182"/>
      <c r="H793" s="177"/>
      <c r="I793" s="183" t="s">
        <v>12</v>
      </c>
      <c r="J793" s="177"/>
      <c r="K793" s="184"/>
    </row>
    <row r="794" spans="1:11">
      <c r="A794" s="179" t="s">
        <v>32</v>
      </c>
      <c r="B794" s="179">
        <v>425.49201457364302</v>
      </c>
      <c r="C794" s="180">
        <v>2</v>
      </c>
      <c r="D794" s="179">
        <v>3.6999999999999998E-2</v>
      </c>
      <c r="E794" s="181"/>
      <c r="F794" s="181"/>
      <c r="G794" s="182"/>
      <c r="H794" s="177"/>
      <c r="I794" s="183" t="s">
        <v>12</v>
      </c>
      <c r="J794" s="177"/>
      <c r="K794" s="184"/>
    </row>
    <row r="795" spans="1:11">
      <c r="A795" s="179" t="s">
        <v>32</v>
      </c>
      <c r="B795" s="179">
        <v>421.74324357998398</v>
      </c>
      <c r="C795" s="180">
        <v>2</v>
      </c>
      <c r="D795" s="179">
        <v>3.6999999999999998E-2</v>
      </c>
      <c r="E795" s="181"/>
      <c r="F795" s="181"/>
      <c r="G795" s="182"/>
      <c r="H795" s="177"/>
      <c r="I795" s="183" t="s">
        <v>12</v>
      </c>
      <c r="J795" s="177"/>
      <c r="K795" s="184"/>
    </row>
    <row r="796" spans="1:11">
      <c r="A796" s="179" t="s">
        <v>32</v>
      </c>
      <c r="B796" s="179">
        <v>468.60359603295802</v>
      </c>
      <c r="C796" s="180">
        <v>2</v>
      </c>
      <c r="D796" s="179">
        <v>3.6999999999999998E-2</v>
      </c>
      <c r="E796" s="181"/>
      <c r="F796" s="181"/>
      <c r="G796" s="182"/>
      <c r="H796" s="177"/>
      <c r="I796" s="183" t="s">
        <v>12</v>
      </c>
      <c r="J796" s="177"/>
      <c r="K796" s="184"/>
    </row>
    <row r="797" spans="1:11">
      <c r="A797" s="179" t="s">
        <v>32</v>
      </c>
      <c r="B797" s="179">
        <v>466.729067529681</v>
      </c>
      <c r="C797" s="180">
        <v>2</v>
      </c>
      <c r="D797" s="179">
        <v>3.6999999999999998E-2</v>
      </c>
      <c r="E797" s="181"/>
      <c r="F797" s="181"/>
      <c r="G797" s="182"/>
      <c r="H797" s="177"/>
      <c r="I797" s="183" t="s">
        <v>12</v>
      </c>
      <c r="J797" s="177"/>
      <c r="K797" s="184"/>
    </row>
    <row r="798" spans="1:11">
      <c r="A798" s="179" t="s">
        <v>32</v>
      </c>
      <c r="B798" s="179">
        <v>470.47798152978697</v>
      </c>
      <c r="C798" s="180">
        <v>2</v>
      </c>
      <c r="D798" s="179">
        <v>3.6999999999999998E-2</v>
      </c>
      <c r="E798" s="181"/>
      <c r="F798" s="181"/>
      <c r="G798" s="182"/>
      <c r="H798" s="177"/>
      <c r="I798" s="183" t="s">
        <v>12</v>
      </c>
      <c r="J798" s="177"/>
      <c r="K798" s="184"/>
    </row>
    <row r="799" spans="1:11">
      <c r="A799" s="179" t="s">
        <v>32</v>
      </c>
      <c r="B799" s="179">
        <v>566.07307193256395</v>
      </c>
      <c r="C799" s="180">
        <v>2</v>
      </c>
      <c r="D799" s="179">
        <v>3.6999999999999998E-2</v>
      </c>
      <c r="E799" s="181"/>
      <c r="F799" s="181"/>
      <c r="G799" s="182"/>
      <c r="H799" s="177"/>
      <c r="I799" s="183" t="s">
        <v>12</v>
      </c>
      <c r="J799" s="177"/>
      <c r="K799" s="184"/>
    </row>
    <row r="800" spans="1:11">
      <c r="A800" s="179" t="s">
        <v>32</v>
      </c>
      <c r="B800" s="179">
        <v>564.19868643573398</v>
      </c>
      <c r="C800" s="180">
        <v>2</v>
      </c>
      <c r="D800" s="179">
        <v>3.6999999999999998E-2</v>
      </c>
      <c r="E800" s="181"/>
      <c r="F800" s="181"/>
      <c r="G800" s="182"/>
      <c r="H800" s="177"/>
      <c r="I800" s="183" t="s">
        <v>12</v>
      </c>
      <c r="J800" s="177"/>
      <c r="K800" s="184"/>
    </row>
    <row r="801" spans="1:11">
      <c r="A801" s="179" t="s">
        <v>32</v>
      </c>
      <c r="B801" s="179">
        <v>659.79377683851101</v>
      </c>
      <c r="C801" s="180">
        <v>2</v>
      </c>
      <c r="D801" s="179">
        <v>3.6999999999999998E-2</v>
      </c>
      <c r="E801" s="181"/>
      <c r="F801" s="181"/>
      <c r="G801" s="182"/>
      <c r="H801" s="177"/>
      <c r="I801" s="183" t="s">
        <v>12</v>
      </c>
      <c r="J801" s="177"/>
      <c r="K801" s="184"/>
    </row>
    <row r="802" spans="1:11">
      <c r="A802" s="179" t="s">
        <v>32</v>
      </c>
      <c r="B802" s="179">
        <v>661.66816233534098</v>
      </c>
      <c r="C802" s="180">
        <v>2</v>
      </c>
      <c r="D802" s="179">
        <v>3.6999999999999998E-2</v>
      </c>
      <c r="E802" s="181"/>
      <c r="F802" s="181"/>
      <c r="G802" s="182"/>
      <c r="H802" s="177"/>
      <c r="I802" s="183" t="s">
        <v>12</v>
      </c>
      <c r="J802" s="177"/>
      <c r="K802" s="184"/>
    </row>
    <row r="803" spans="1:11">
      <c r="A803" s="179" t="s">
        <v>32</v>
      </c>
      <c r="B803" s="179">
        <v>657.91939134168103</v>
      </c>
      <c r="C803" s="180">
        <v>2</v>
      </c>
      <c r="D803" s="179">
        <v>3.6999999999999998E-2</v>
      </c>
      <c r="E803" s="181"/>
      <c r="F803" s="181"/>
      <c r="G803" s="182"/>
      <c r="H803" s="177"/>
      <c r="I803" s="183" t="s">
        <v>12</v>
      </c>
      <c r="J803" s="177"/>
      <c r="K803" s="184"/>
    </row>
    <row r="804" spans="1:11">
      <c r="A804" s="179" t="s">
        <v>32</v>
      </c>
      <c r="B804" s="179">
        <v>751.64009620000002</v>
      </c>
      <c r="C804" s="180">
        <v>2</v>
      </c>
      <c r="D804" s="179">
        <v>3.6999999999999998E-2</v>
      </c>
      <c r="E804" s="181"/>
      <c r="F804" s="181"/>
      <c r="G804" s="182"/>
      <c r="H804" s="177"/>
      <c r="I804" s="183" t="s">
        <v>12</v>
      </c>
      <c r="J804" s="177"/>
      <c r="K804" s="184"/>
    </row>
    <row r="805" spans="1:11">
      <c r="A805" s="179" t="s">
        <v>32</v>
      </c>
      <c r="B805" s="179">
        <v>755.38886720000005</v>
      </c>
      <c r="C805" s="180">
        <v>2</v>
      </c>
      <c r="D805" s="179">
        <v>3.6999999999999998E-2</v>
      </c>
      <c r="E805" s="181"/>
      <c r="F805" s="181"/>
      <c r="G805" s="182"/>
      <c r="H805" s="177"/>
      <c r="I805" s="183" t="s">
        <v>12</v>
      </c>
      <c r="J805" s="177"/>
      <c r="K805" s="184"/>
    </row>
    <row r="806" spans="1:11">
      <c r="A806" s="179" t="s">
        <v>32</v>
      </c>
      <c r="B806" s="179">
        <v>753.51448174445795</v>
      </c>
      <c r="C806" s="180">
        <v>2</v>
      </c>
      <c r="D806" s="179">
        <v>3.6999999999999998E-2</v>
      </c>
      <c r="E806" s="181"/>
      <c r="F806" s="181"/>
      <c r="G806" s="182"/>
      <c r="H806" s="177"/>
      <c r="I806" s="183" t="s">
        <v>12</v>
      </c>
      <c r="J806" s="177"/>
      <c r="K806" s="184"/>
    </row>
    <row r="807" spans="1:11">
      <c r="A807" s="179" t="s">
        <v>32</v>
      </c>
      <c r="B807" s="179">
        <v>847.23518665040501</v>
      </c>
      <c r="C807" s="180">
        <v>2</v>
      </c>
      <c r="D807" s="179">
        <v>3.6999999999999998E-2</v>
      </c>
      <c r="E807" s="181"/>
      <c r="F807" s="181"/>
      <c r="G807" s="182"/>
      <c r="H807" s="177"/>
      <c r="I807" s="183" t="s">
        <v>12</v>
      </c>
      <c r="J807" s="177"/>
      <c r="K807" s="184"/>
    </row>
    <row r="808" spans="1:11">
      <c r="A808" s="179" t="s">
        <v>32</v>
      </c>
      <c r="B808" s="179">
        <v>849.10957214723499</v>
      </c>
      <c r="C808" s="180">
        <v>2</v>
      </c>
      <c r="D808" s="179">
        <v>3.6999999999999998E-2</v>
      </c>
      <c r="E808" s="181"/>
      <c r="F808" s="181"/>
      <c r="G808" s="182"/>
      <c r="H808" s="177"/>
      <c r="I808" s="183" t="s">
        <v>12</v>
      </c>
      <c r="J808" s="177"/>
      <c r="K808" s="184"/>
    </row>
    <row r="809" spans="1:11">
      <c r="A809" s="179" t="s">
        <v>32</v>
      </c>
      <c r="B809" s="179">
        <v>845.36080115357504</v>
      </c>
      <c r="C809" s="180">
        <v>2</v>
      </c>
      <c r="D809" s="179">
        <v>3.6999999999999998E-2</v>
      </c>
      <c r="E809" s="181"/>
      <c r="F809" s="181"/>
      <c r="G809" s="182"/>
      <c r="H809" s="177"/>
      <c r="I809" s="183" t="s">
        <v>12</v>
      </c>
      <c r="J809" s="177"/>
      <c r="K809" s="184"/>
    </row>
    <row r="810" spans="1:11">
      <c r="A810" s="179" t="s">
        <v>32</v>
      </c>
      <c r="B810" s="179">
        <v>847.23518665040501</v>
      </c>
      <c r="C810" s="180">
        <v>2</v>
      </c>
      <c r="D810" s="179">
        <v>3.6999999999999998E-2</v>
      </c>
      <c r="E810" s="181"/>
      <c r="F810" s="181"/>
      <c r="G810" s="182"/>
      <c r="H810" s="177"/>
      <c r="I810" s="183" t="s">
        <v>12</v>
      </c>
      <c r="J810" s="177"/>
      <c r="K810" s="184"/>
    </row>
    <row r="811" spans="1:11">
      <c r="A811" s="179" t="s">
        <v>32</v>
      </c>
      <c r="B811" s="179">
        <v>944.70466255001099</v>
      </c>
      <c r="C811" s="180">
        <v>2</v>
      </c>
      <c r="D811" s="179">
        <v>3.6999999999999998E-2</v>
      </c>
      <c r="E811" s="181"/>
      <c r="F811" s="181"/>
      <c r="G811" s="182"/>
      <c r="H811" s="177"/>
      <c r="I811" s="183" t="s">
        <v>12</v>
      </c>
      <c r="J811" s="177"/>
      <c r="K811" s="184"/>
    </row>
    <row r="812" spans="1:11">
      <c r="A812" s="179" t="s">
        <v>32</v>
      </c>
      <c r="B812" s="179">
        <v>946.57919105328699</v>
      </c>
      <c r="C812" s="180">
        <v>2</v>
      </c>
      <c r="D812" s="179">
        <v>3.6999999999999998E-2</v>
      </c>
      <c r="E812" s="181"/>
      <c r="F812" s="181"/>
      <c r="G812" s="182"/>
      <c r="H812" s="177"/>
      <c r="I812" s="183" t="s">
        <v>12</v>
      </c>
      <c r="J812" s="177"/>
      <c r="K812" s="184"/>
    </row>
    <row r="813" spans="1:11">
      <c r="A813" s="179" t="s">
        <v>32</v>
      </c>
      <c r="B813" s="179">
        <v>940.95589155635196</v>
      </c>
      <c r="C813" s="180">
        <v>2</v>
      </c>
      <c r="D813" s="179">
        <v>3.6999999999999998E-2</v>
      </c>
      <c r="E813" s="181"/>
      <c r="F813" s="181"/>
      <c r="G813" s="182"/>
      <c r="H813" s="177"/>
      <c r="I813" s="183" t="s">
        <v>12</v>
      </c>
      <c r="J813" s="177"/>
      <c r="K813" s="184"/>
    </row>
    <row r="814" spans="1:11">
      <c r="A814" s="179" t="s">
        <v>32</v>
      </c>
      <c r="B814" s="179">
        <v>944.70466255001099</v>
      </c>
      <c r="C814" s="180">
        <v>2</v>
      </c>
      <c r="D814" s="179">
        <v>3.6999999999999998E-2</v>
      </c>
      <c r="E814" s="181"/>
      <c r="F814" s="181"/>
      <c r="G814" s="182"/>
      <c r="H814" s="177"/>
      <c r="I814" s="183" t="s">
        <v>12</v>
      </c>
      <c r="J814" s="177"/>
      <c r="K814" s="184"/>
    </row>
    <row r="815" spans="1:11">
      <c r="A815" s="179" t="s">
        <v>32</v>
      </c>
      <c r="B815" s="179">
        <v>1132.1460723619</v>
      </c>
      <c r="C815" s="180">
        <v>2</v>
      </c>
      <c r="D815" s="179">
        <v>3.6999999999999998E-2</v>
      </c>
      <c r="E815" s="181"/>
      <c r="F815" s="181"/>
      <c r="G815" s="182"/>
      <c r="H815" s="177"/>
      <c r="I815" s="183" t="s">
        <v>12</v>
      </c>
      <c r="J815" s="177"/>
      <c r="K815" s="184"/>
    </row>
    <row r="816" spans="1:11">
      <c r="A816" s="179" t="s">
        <v>32</v>
      </c>
      <c r="B816" s="179">
        <v>1130.27168686507</v>
      </c>
      <c r="C816" s="180">
        <v>2</v>
      </c>
      <c r="D816" s="179">
        <v>3.6999999999999998E-2</v>
      </c>
      <c r="E816" s="181"/>
      <c r="F816" s="181"/>
      <c r="G816" s="182"/>
      <c r="H816" s="177"/>
      <c r="I816" s="183" t="s">
        <v>12</v>
      </c>
      <c r="J816" s="177"/>
      <c r="K816" s="184"/>
    </row>
    <row r="817" spans="1:11">
      <c r="A817" s="179" t="s">
        <v>32</v>
      </c>
      <c r="B817" s="179">
        <v>1321.4620106770701</v>
      </c>
      <c r="C817" s="180">
        <v>2</v>
      </c>
      <c r="D817" s="179">
        <v>3.6999999999999998E-2</v>
      </c>
      <c r="E817" s="181"/>
      <c r="F817" s="181"/>
      <c r="G817" s="182"/>
      <c r="H817" s="177"/>
      <c r="I817" s="183" t="s">
        <v>12</v>
      </c>
      <c r="J817" s="177"/>
      <c r="K817" s="184"/>
    </row>
    <row r="818" spans="1:11">
      <c r="A818" s="179" t="s">
        <v>32</v>
      </c>
      <c r="B818" s="179">
        <v>1319.58748217379</v>
      </c>
      <c r="C818" s="180">
        <v>2</v>
      </c>
      <c r="D818" s="179">
        <v>3.6999999999999998E-2</v>
      </c>
      <c r="E818" s="181"/>
      <c r="F818" s="181"/>
      <c r="G818" s="182"/>
      <c r="H818" s="177"/>
      <c r="I818" s="183" t="s">
        <v>12</v>
      </c>
      <c r="J818" s="177"/>
      <c r="K818" s="184"/>
    </row>
    <row r="819" spans="1:11">
      <c r="A819" s="179" t="s">
        <v>32</v>
      </c>
      <c r="B819" s="179">
        <v>1323.3363961739001</v>
      </c>
      <c r="C819" s="180">
        <v>2</v>
      </c>
      <c r="D819" s="179">
        <v>3.6999999999999998E-2</v>
      </c>
      <c r="E819" s="181"/>
      <c r="F819" s="181"/>
      <c r="G819" s="182"/>
      <c r="H819" s="177"/>
      <c r="I819" s="183" t="s">
        <v>12</v>
      </c>
      <c r="J819" s="177"/>
      <c r="K819" s="184"/>
    </row>
    <row r="820" spans="1:11">
      <c r="A820" s="179" t="s">
        <v>32</v>
      </c>
      <c r="B820" s="179">
        <v>1510.7778059857901</v>
      </c>
      <c r="C820" s="180">
        <v>2</v>
      </c>
      <c r="D820" s="179">
        <v>3.6999999999999998E-2</v>
      </c>
      <c r="E820" s="181"/>
      <c r="F820" s="181"/>
      <c r="G820" s="182"/>
      <c r="H820" s="177"/>
      <c r="I820" s="183" t="s">
        <v>12</v>
      </c>
      <c r="J820" s="177"/>
      <c r="K820" s="184"/>
    </row>
    <row r="821" spans="1:11">
      <c r="A821" s="179" t="s">
        <v>32</v>
      </c>
      <c r="B821" s="179">
        <v>1508.9034200000001</v>
      </c>
      <c r="C821" s="180">
        <v>2</v>
      </c>
      <c r="D821" s="179">
        <v>3.6999999999999998E-2</v>
      </c>
      <c r="E821" s="181"/>
      <c r="F821" s="181"/>
      <c r="G821" s="182"/>
      <c r="H821" s="177"/>
      <c r="I821" s="183" t="s">
        <v>12</v>
      </c>
      <c r="J821" s="177"/>
      <c r="K821" s="184"/>
    </row>
    <row r="822" spans="1:11">
      <c r="A822" s="179" t="s">
        <v>32</v>
      </c>
      <c r="B822" s="179">
        <v>1507.0288919856901</v>
      </c>
      <c r="C822" s="180">
        <v>2</v>
      </c>
      <c r="D822" s="179">
        <v>3.6999999999999998E-2</v>
      </c>
      <c r="E822" s="181"/>
      <c r="F822" s="181"/>
      <c r="G822" s="182"/>
      <c r="H822" s="177"/>
      <c r="I822" s="183" t="s">
        <v>12</v>
      </c>
      <c r="J822" s="177"/>
      <c r="K822" s="184"/>
    </row>
    <row r="823" spans="1:11">
      <c r="A823" s="179" t="s">
        <v>32</v>
      </c>
      <c r="B823" s="179">
        <v>1508.9034200000001</v>
      </c>
      <c r="C823" s="180">
        <v>2</v>
      </c>
      <c r="D823" s="179">
        <v>3.6999999999999998E-2</v>
      </c>
      <c r="E823" s="181"/>
      <c r="F823" s="181"/>
      <c r="G823" s="182"/>
      <c r="H823" s="177"/>
      <c r="I823" s="183" t="s">
        <v>12</v>
      </c>
      <c r="J823" s="177"/>
      <c r="K823" s="184"/>
    </row>
    <row r="824" spans="1:11">
      <c r="A824" s="179" t="s">
        <v>32</v>
      </c>
      <c r="B824" s="179">
        <v>1512.6521914826201</v>
      </c>
      <c r="C824" s="180">
        <v>2</v>
      </c>
      <c r="D824" s="179">
        <v>3.6999999999999998E-2</v>
      </c>
      <c r="E824" s="181"/>
      <c r="F824" s="181"/>
      <c r="G824" s="182"/>
      <c r="H824" s="177"/>
      <c r="I824" s="183" t="s">
        <v>12</v>
      </c>
      <c r="J824" s="177"/>
      <c r="K824" s="184"/>
    </row>
    <row r="825" spans="1:11">
      <c r="A825" s="179" t="s">
        <v>32</v>
      </c>
      <c r="B825" s="179">
        <v>1507.0288919856901</v>
      </c>
      <c r="C825" s="180">
        <v>2</v>
      </c>
      <c r="D825" s="179">
        <v>3.6999999999999998E-2</v>
      </c>
      <c r="E825" s="181"/>
      <c r="F825" s="181"/>
      <c r="G825" s="182"/>
      <c r="H825" s="177"/>
      <c r="I825" s="183" t="s">
        <v>12</v>
      </c>
      <c r="J825" s="177"/>
      <c r="K825" s="184"/>
    </row>
    <row r="826" spans="1:11">
      <c r="A826" s="179" t="s">
        <v>32</v>
      </c>
      <c r="B826" s="179">
        <v>1891.28392510652</v>
      </c>
      <c r="C826" s="180">
        <v>2</v>
      </c>
      <c r="D826" s="179">
        <v>3.6999999999999998E-2</v>
      </c>
      <c r="E826" s="181"/>
      <c r="F826" s="181"/>
      <c r="G826" s="182"/>
      <c r="H826" s="177"/>
      <c r="I826" s="183" t="s">
        <v>12</v>
      </c>
      <c r="J826" s="177"/>
      <c r="K826" s="184"/>
    </row>
    <row r="827" spans="1:11">
      <c r="A827" s="179" t="s">
        <v>32</v>
      </c>
      <c r="B827" s="179">
        <v>1889.4093966032401</v>
      </c>
      <c r="C827" s="180">
        <v>2</v>
      </c>
      <c r="D827" s="179">
        <v>3.6999999999999998E-2</v>
      </c>
      <c r="E827" s="181"/>
      <c r="F827" s="181"/>
      <c r="G827" s="182"/>
      <c r="H827" s="177"/>
      <c r="I827" s="183" t="s">
        <v>12</v>
      </c>
      <c r="J827" s="177"/>
      <c r="K827" s="184"/>
    </row>
    <row r="828" spans="1:11">
      <c r="A828" s="179" t="s">
        <v>32</v>
      </c>
      <c r="B828" s="179">
        <v>1887.53515411286</v>
      </c>
      <c r="C828" s="180">
        <v>2</v>
      </c>
      <c r="D828" s="179">
        <v>3.6999999999999998E-2</v>
      </c>
      <c r="E828" s="181"/>
      <c r="F828" s="181"/>
      <c r="G828" s="182"/>
      <c r="H828" s="177"/>
      <c r="I828" s="183" t="s">
        <v>12</v>
      </c>
      <c r="J828" s="177"/>
      <c r="K828" s="184"/>
    </row>
    <row r="829" spans="1:11">
      <c r="A829" s="179" t="s">
        <v>32</v>
      </c>
      <c r="B829" s="179">
        <v>1885.6606256095799</v>
      </c>
      <c r="C829" s="180">
        <v>2</v>
      </c>
      <c r="D829" s="179">
        <v>3.6999999999999998E-2</v>
      </c>
      <c r="E829" s="181"/>
      <c r="F829" s="181"/>
      <c r="G829" s="182"/>
      <c r="H829" s="177"/>
      <c r="I829" s="183" t="s">
        <v>12</v>
      </c>
      <c r="J829" s="177"/>
      <c r="K829" s="184"/>
    </row>
    <row r="830" spans="1:11">
      <c r="A830" s="179" t="s">
        <v>32</v>
      </c>
      <c r="B830" s="179">
        <v>1889.4093966032401</v>
      </c>
      <c r="C830" s="180">
        <v>2</v>
      </c>
      <c r="D830" s="179">
        <v>3.6999999999999998E-2</v>
      </c>
      <c r="E830" s="181"/>
      <c r="F830" s="181"/>
      <c r="G830" s="182"/>
      <c r="H830" s="177"/>
      <c r="I830" s="183" t="s">
        <v>12</v>
      </c>
      <c r="J830" s="177"/>
      <c r="K830" s="184"/>
    </row>
    <row r="831" spans="1:11">
      <c r="A831" s="179" t="s">
        <v>36</v>
      </c>
      <c r="B831" s="179">
        <v>500</v>
      </c>
      <c r="C831" s="180">
        <v>2</v>
      </c>
      <c r="D831" s="179">
        <v>7.2800000000000004E-2</v>
      </c>
      <c r="E831" s="179">
        <v>6.4999999999999997E-3</v>
      </c>
      <c r="F831" s="179">
        <v>1005</v>
      </c>
      <c r="G831" s="179"/>
      <c r="H831" s="179">
        <v>25.5</v>
      </c>
      <c r="I831" s="179" t="s">
        <v>12</v>
      </c>
      <c r="J831" s="179"/>
      <c r="K831" s="180"/>
    </row>
    <row r="832" spans="1:11">
      <c r="A832" s="179" t="s">
        <v>36</v>
      </c>
      <c r="B832" s="179">
        <v>500</v>
      </c>
      <c r="C832" s="180">
        <v>2</v>
      </c>
      <c r="D832" s="179">
        <v>6.7599999999999993E-2</v>
      </c>
      <c r="E832" s="179">
        <v>1.2E-2</v>
      </c>
      <c r="F832" s="179">
        <v>1127</v>
      </c>
      <c r="G832" s="179"/>
      <c r="H832" s="179">
        <v>25.5</v>
      </c>
      <c r="I832" s="179" t="s">
        <v>12</v>
      </c>
      <c r="J832" s="179"/>
      <c r="K832" s="180"/>
    </row>
    <row r="833" spans="1:11">
      <c r="A833" s="179" t="s">
        <v>36</v>
      </c>
      <c r="B833" s="179">
        <v>500</v>
      </c>
      <c r="C833" s="180">
        <v>2</v>
      </c>
      <c r="D833" s="179">
        <v>6.6299999999999998E-2</v>
      </c>
      <c r="E833" s="179">
        <v>3.15E-2</v>
      </c>
      <c r="F833" s="179">
        <v>1160</v>
      </c>
      <c r="G833" s="179"/>
      <c r="H833" s="179">
        <v>25.5</v>
      </c>
      <c r="I833" s="179" t="s">
        <v>12</v>
      </c>
      <c r="J833" s="179"/>
      <c r="K833" s="180"/>
    </row>
    <row r="834" spans="1:11">
      <c r="A834" s="179" t="s">
        <v>36</v>
      </c>
      <c r="B834" s="179">
        <v>500</v>
      </c>
      <c r="C834" s="180">
        <v>2</v>
      </c>
      <c r="D834" s="179">
        <v>6.4799999999999996E-2</v>
      </c>
      <c r="E834" s="179">
        <v>0.108</v>
      </c>
      <c r="F834" s="179">
        <v>1210</v>
      </c>
      <c r="G834" s="179"/>
      <c r="H834" s="179">
        <v>25.5</v>
      </c>
      <c r="I834" s="179" t="s">
        <v>12</v>
      </c>
      <c r="J834" s="179"/>
      <c r="K834" s="180"/>
    </row>
    <row r="835" spans="1:11">
      <c r="A835" s="179" t="s">
        <v>36</v>
      </c>
      <c r="B835" s="179">
        <v>500</v>
      </c>
      <c r="C835" s="180">
        <v>2</v>
      </c>
      <c r="D835" s="179">
        <v>6.2399999999999997E-2</v>
      </c>
      <c r="E835" s="179">
        <v>0.84899999999999998</v>
      </c>
      <c r="F835" s="179">
        <v>1254</v>
      </c>
      <c r="G835" s="179"/>
      <c r="H835" s="179">
        <v>25.5</v>
      </c>
      <c r="I835" s="179" t="s">
        <v>12</v>
      </c>
      <c r="J835" s="179"/>
      <c r="K835" s="180"/>
    </row>
    <row r="836" spans="1:11">
      <c r="A836" s="179" t="s">
        <v>36</v>
      </c>
      <c r="B836" s="179">
        <v>500</v>
      </c>
      <c r="C836" s="180">
        <v>2</v>
      </c>
      <c r="D836" s="179">
        <v>6.3399999999999998E-2</v>
      </c>
      <c r="E836" s="179">
        <v>0.378</v>
      </c>
      <c r="F836" s="179">
        <v>1235</v>
      </c>
      <c r="G836" s="179"/>
      <c r="H836" s="179">
        <v>25.5</v>
      </c>
      <c r="I836" s="179" t="s">
        <v>12</v>
      </c>
      <c r="J836" s="179"/>
      <c r="K836" s="180"/>
    </row>
    <row r="837" spans="1:11">
      <c r="A837" s="179" t="s">
        <v>36</v>
      </c>
      <c r="B837" s="179">
        <v>1000</v>
      </c>
      <c r="C837" s="180">
        <v>2</v>
      </c>
      <c r="D837" s="179">
        <v>7.2800000000000004E-2</v>
      </c>
      <c r="E837" s="179">
        <v>6.4999999999999997E-3</v>
      </c>
      <c r="F837" s="179">
        <v>1005</v>
      </c>
      <c r="G837" s="179"/>
      <c r="H837" s="179">
        <v>25.5</v>
      </c>
      <c r="I837" s="179" t="s">
        <v>12</v>
      </c>
      <c r="J837" s="179"/>
      <c r="K837" s="180"/>
    </row>
    <row r="838" spans="1:11">
      <c r="A838" s="179" t="s">
        <v>36</v>
      </c>
      <c r="B838" s="179">
        <v>1000</v>
      </c>
      <c r="C838" s="180">
        <v>2</v>
      </c>
      <c r="D838" s="179">
        <v>6.7599999999999993E-2</v>
      </c>
      <c r="E838" s="179">
        <v>1.2E-2</v>
      </c>
      <c r="F838" s="179">
        <v>1127</v>
      </c>
      <c r="G838" s="179"/>
      <c r="H838" s="179">
        <v>25.5</v>
      </c>
      <c r="I838" s="179" t="s">
        <v>12</v>
      </c>
      <c r="J838" s="179"/>
      <c r="K838" s="180"/>
    </row>
    <row r="839" spans="1:11">
      <c r="A839" s="179" t="s">
        <v>36</v>
      </c>
      <c r="B839" s="179">
        <v>1000</v>
      </c>
      <c r="C839" s="180">
        <v>2</v>
      </c>
      <c r="D839" s="179">
        <v>6.6299999999999998E-2</v>
      </c>
      <c r="E839" s="179">
        <v>3.15E-2</v>
      </c>
      <c r="F839" s="179">
        <v>1160</v>
      </c>
      <c r="G839" s="179"/>
      <c r="H839" s="179">
        <v>25.5</v>
      </c>
      <c r="I839" s="179" t="s">
        <v>12</v>
      </c>
      <c r="J839" s="179"/>
      <c r="K839" s="180"/>
    </row>
    <row r="840" spans="1:11">
      <c r="A840" s="179" t="s">
        <v>36</v>
      </c>
      <c r="B840" s="179">
        <v>1000</v>
      </c>
      <c r="C840" s="180">
        <v>2</v>
      </c>
      <c r="D840" s="179">
        <v>6.4799999999999996E-2</v>
      </c>
      <c r="E840" s="179">
        <v>0.108</v>
      </c>
      <c r="F840" s="179">
        <v>1210</v>
      </c>
      <c r="G840" s="179"/>
      <c r="H840" s="179">
        <v>25.5</v>
      </c>
      <c r="I840" s="179" t="s">
        <v>12</v>
      </c>
      <c r="J840" s="179"/>
      <c r="K840" s="180"/>
    </row>
    <row r="841" spans="1:11">
      <c r="A841" s="179" t="s">
        <v>36</v>
      </c>
      <c r="B841" s="179">
        <v>1000</v>
      </c>
      <c r="C841" s="180">
        <v>2</v>
      </c>
      <c r="D841" s="179">
        <v>6.3399999999999998E-2</v>
      </c>
      <c r="E841" s="179">
        <v>0.378</v>
      </c>
      <c r="F841" s="179">
        <v>1235</v>
      </c>
      <c r="G841" s="179"/>
      <c r="H841" s="179">
        <v>25.5</v>
      </c>
      <c r="I841" s="179" t="s">
        <v>12</v>
      </c>
      <c r="J841" s="179"/>
      <c r="K841" s="180"/>
    </row>
    <row r="842" spans="1:11">
      <c r="A842" s="179" t="s">
        <v>36</v>
      </c>
      <c r="B842" s="179">
        <v>1000</v>
      </c>
      <c r="C842" s="180">
        <v>2</v>
      </c>
      <c r="D842" s="179">
        <v>6.2399999999999997E-2</v>
      </c>
      <c r="E842" s="179">
        <v>0.84899999999999998</v>
      </c>
      <c r="F842" s="179">
        <v>1254</v>
      </c>
      <c r="G842" s="179"/>
      <c r="H842" s="179">
        <v>25.5</v>
      </c>
      <c r="I842" s="179" t="s">
        <v>12</v>
      </c>
      <c r="J842" s="179"/>
      <c r="K842" s="180"/>
    </row>
    <row r="843" spans="1:11">
      <c r="A843" s="179" t="s">
        <v>36</v>
      </c>
      <c r="B843" s="179">
        <v>1500</v>
      </c>
      <c r="C843" s="180">
        <v>2</v>
      </c>
      <c r="D843" s="179">
        <v>7.2800000000000004E-2</v>
      </c>
      <c r="E843" s="179">
        <v>6.4999999999999997E-3</v>
      </c>
      <c r="F843" s="179">
        <v>1005</v>
      </c>
      <c r="G843" s="179"/>
      <c r="H843" s="179">
        <v>25.5</v>
      </c>
      <c r="I843" s="179" t="s">
        <v>12</v>
      </c>
      <c r="J843" s="179"/>
      <c r="K843" s="180"/>
    </row>
    <row r="844" spans="1:11">
      <c r="A844" s="179" t="s">
        <v>36</v>
      </c>
      <c r="B844" s="179">
        <v>1500</v>
      </c>
      <c r="C844" s="180">
        <v>2</v>
      </c>
      <c r="D844" s="179">
        <v>6.7599999999999993E-2</v>
      </c>
      <c r="E844" s="179">
        <v>1.2E-2</v>
      </c>
      <c r="F844" s="179">
        <v>1127</v>
      </c>
      <c r="G844" s="179"/>
      <c r="H844" s="179">
        <v>25.5</v>
      </c>
      <c r="I844" s="179" t="s">
        <v>12</v>
      </c>
      <c r="J844" s="179"/>
      <c r="K844" s="180"/>
    </row>
    <row r="845" spans="1:11">
      <c r="A845" s="179" t="s">
        <v>36</v>
      </c>
      <c r="B845" s="179">
        <v>1500</v>
      </c>
      <c r="C845" s="180">
        <v>2</v>
      </c>
      <c r="D845" s="179">
        <v>6.6299999999999998E-2</v>
      </c>
      <c r="E845" s="179">
        <v>3.15E-2</v>
      </c>
      <c r="F845" s="179">
        <v>1160</v>
      </c>
      <c r="G845" s="179"/>
      <c r="H845" s="179">
        <v>25.5</v>
      </c>
      <c r="I845" s="179" t="s">
        <v>12</v>
      </c>
      <c r="J845" s="179"/>
      <c r="K845" s="180"/>
    </row>
    <row r="846" spans="1:11">
      <c r="A846" s="179" t="s">
        <v>36</v>
      </c>
      <c r="B846" s="179">
        <v>1500</v>
      </c>
      <c r="C846" s="180">
        <v>2</v>
      </c>
      <c r="D846" s="179">
        <v>6.4799999999999996E-2</v>
      </c>
      <c r="E846" s="179">
        <v>0.108</v>
      </c>
      <c r="F846" s="179">
        <v>1210</v>
      </c>
      <c r="G846" s="179"/>
      <c r="H846" s="179">
        <v>25.5</v>
      </c>
      <c r="I846" s="179" t="s">
        <v>12</v>
      </c>
      <c r="J846" s="179"/>
      <c r="K846" s="180"/>
    </row>
    <row r="847" spans="1:11">
      <c r="A847" s="179" t="s">
        <v>36</v>
      </c>
      <c r="B847" s="179">
        <v>1500</v>
      </c>
      <c r="C847" s="180">
        <v>2</v>
      </c>
      <c r="D847" s="179">
        <v>6.3399999999999998E-2</v>
      </c>
      <c r="E847" s="179">
        <v>0.378</v>
      </c>
      <c r="F847" s="179">
        <v>1235</v>
      </c>
      <c r="G847" s="179"/>
      <c r="H847" s="179">
        <v>25.5</v>
      </c>
      <c r="I847" s="179" t="s">
        <v>12</v>
      </c>
      <c r="J847" s="179"/>
      <c r="K847" s="180"/>
    </row>
    <row r="848" spans="1:11">
      <c r="A848" s="179" t="s">
        <v>36</v>
      </c>
      <c r="B848" s="179">
        <v>1500</v>
      </c>
      <c r="C848" s="180">
        <v>2</v>
      </c>
      <c r="D848" s="179">
        <v>6.2399999999999997E-2</v>
      </c>
      <c r="E848" s="179">
        <v>0.84899999999999998</v>
      </c>
      <c r="F848" s="179">
        <v>1254</v>
      </c>
      <c r="G848" s="179"/>
      <c r="H848" s="179">
        <v>25.5</v>
      </c>
      <c r="I848" s="179" t="s">
        <v>12</v>
      </c>
      <c r="J848" s="179"/>
      <c r="K848" s="180"/>
    </row>
    <row r="849" spans="1:11">
      <c r="A849" s="179" t="s">
        <v>36</v>
      </c>
      <c r="B849" s="179">
        <v>500</v>
      </c>
      <c r="C849" s="180">
        <v>5</v>
      </c>
      <c r="D849" s="179">
        <v>7.2800000000000004E-2</v>
      </c>
      <c r="E849" s="179">
        <v>6.4999999999999997E-3</v>
      </c>
      <c r="F849" s="179">
        <v>1005</v>
      </c>
      <c r="G849" s="179"/>
      <c r="H849" s="179">
        <v>25.5</v>
      </c>
      <c r="I849" s="179" t="s">
        <v>12</v>
      </c>
      <c r="J849" s="179"/>
      <c r="K849" s="180"/>
    </row>
    <row r="850" spans="1:11">
      <c r="A850" s="179" t="s">
        <v>36</v>
      </c>
      <c r="B850" s="179">
        <v>500</v>
      </c>
      <c r="C850" s="180">
        <v>5</v>
      </c>
      <c r="D850" s="179">
        <v>6.7599999999999993E-2</v>
      </c>
      <c r="E850" s="179">
        <v>1.2E-2</v>
      </c>
      <c r="F850" s="179">
        <v>1127</v>
      </c>
      <c r="G850" s="179"/>
      <c r="H850" s="179">
        <v>25.5</v>
      </c>
      <c r="I850" s="179" t="s">
        <v>12</v>
      </c>
      <c r="J850" s="179"/>
      <c r="K850" s="180"/>
    </row>
    <row r="851" spans="1:11">
      <c r="A851" s="179" t="s">
        <v>36</v>
      </c>
      <c r="B851" s="179">
        <v>500</v>
      </c>
      <c r="C851" s="180">
        <v>5</v>
      </c>
      <c r="D851" s="179">
        <v>6.6299999999999998E-2</v>
      </c>
      <c r="E851" s="179">
        <v>3.15E-2</v>
      </c>
      <c r="F851" s="179">
        <v>1160</v>
      </c>
      <c r="G851" s="179"/>
      <c r="H851" s="179">
        <v>25.5</v>
      </c>
      <c r="I851" s="179" t="s">
        <v>12</v>
      </c>
      <c r="J851" s="179"/>
      <c r="K851" s="180"/>
    </row>
    <row r="852" spans="1:11">
      <c r="A852" s="179" t="s">
        <v>36</v>
      </c>
      <c r="B852" s="179">
        <v>500</v>
      </c>
      <c r="C852" s="180">
        <v>5</v>
      </c>
      <c r="D852" s="179">
        <v>6.4799999999999996E-2</v>
      </c>
      <c r="E852" s="179">
        <v>0.108</v>
      </c>
      <c r="F852" s="179">
        <v>1210</v>
      </c>
      <c r="G852" s="179"/>
      <c r="H852" s="179">
        <v>25.5</v>
      </c>
      <c r="I852" s="179" t="s">
        <v>12</v>
      </c>
      <c r="J852" s="179"/>
      <c r="K852" s="180"/>
    </row>
    <row r="853" spans="1:11">
      <c r="A853" s="179" t="s">
        <v>36</v>
      </c>
      <c r="B853" s="179">
        <v>500</v>
      </c>
      <c r="C853" s="180">
        <v>5</v>
      </c>
      <c r="D853" s="179">
        <v>6.3399999999999998E-2</v>
      </c>
      <c r="E853" s="179">
        <v>0.84899999999999998</v>
      </c>
      <c r="F853" s="179">
        <v>1235</v>
      </c>
      <c r="G853" s="179"/>
      <c r="H853" s="179">
        <v>25.5</v>
      </c>
      <c r="I853" s="179" t="s">
        <v>12</v>
      </c>
      <c r="J853" s="179"/>
      <c r="K853" s="180"/>
    </row>
    <row r="854" spans="1:11">
      <c r="A854" s="179" t="s">
        <v>36</v>
      </c>
      <c r="B854" s="179">
        <v>500</v>
      </c>
      <c r="C854" s="180">
        <v>5</v>
      </c>
      <c r="D854" s="179">
        <v>6.2399999999999997E-2</v>
      </c>
      <c r="E854" s="179">
        <v>0.378</v>
      </c>
      <c r="F854" s="179">
        <v>1254</v>
      </c>
      <c r="G854" s="179"/>
      <c r="H854" s="179">
        <v>25.5</v>
      </c>
      <c r="I854" s="179" t="s">
        <v>12</v>
      </c>
      <c r="J854" s="179"/>
      <c r="K854" s="180"/>
    </row>
    <row r="855" spans="1:11">
      <c r="A855" s="179" t="s">
        <v>36</v>
      </c>
      <c r="B855" s="179">
        <v>1000</v>
      </c>
      <c r="C855" s="180">
        <v>5</v>
      </c>
      <c r="D855" s="179">
        <v>7.2800000000000004E-2</v>
      </c>
      <c r="E855" s="179">
        <v>6.4999999999999997E-3</v>
      </c>
      <c r="F855" s="179">
        <v>1005</v>
      </c>
      <c r="G855" s="179"/>
      <c r="H855" s="179">
        <v>25.5</v>
      </c>
      <c r="I855" s="179" t="s">
        <v>12</v>
      </c>
      <c r="J855" s="179"/>
      <c r="K855" s="180"/>
    </row>
    <row r="856" spans="1:11">
      <c r="A856" s="179" t="s">
        <v>36</v>
      </c>
      <c r="B856" s="179">
        <v>1000</v>
      </c>
      <c r="C856" s="180">
        <v>5</v>
      </c>
      <c r="D856" s="179">
        <v>6.7599999999999993E-2</v>
      </c>
      <c r="E856" s="179">
        <v>1.2E-2</v>
      </c>
      <c r="F856" s="179">
        <v>1127</v>
      </c>
      <c r="G856" s="179"/>
      <c r="H856" s="179">
        <v>25.5</v>
      </c>
      <c r="I856" s="179" t="s">
        <v>12</v>
      </c>
      <c r="J856" s="179"/>
      <c r="K856" s="180"/>
    </row>
    <row r="857" spans="1:11">
      <c r="A857" s="179" t="s">
        <v>36</v>
      </c>
      <c r="B857" s="179">
        <v>1000</v>
      </c>
      <c r="C857" s="180">
        <v>5</v>
      </c>
      <c r="D857" s="179">
        <v>6.6299999999999998E-2</v>
      </c>
      <c r="E857" s="179">
        <v>3.15E-2</v>
      </c>
      <c r="F857" s="179">
        <v>1160</v>
      </c>
      <c r="G857" s="179"/>
      <c r="H857" s="179">
        <v>25.5</v>
      </c>
      <c r="I857" s="179" t="s">
        <v>12</v>
      </c>
      <c r="J857" s="179"/>
      <c r="K857" s="180"/>
    </row>
    <row r="858" spans="1:11">
      <c r="A858" s="179" t="s">
        <v>36</v>
      </c>
      <c r="B858" s="179">
        <v>1000</v>
      </c>
      <c r="C858" s="180">
        <v>5</v>
      </c>
      <c r="D858" s="179">
        <v>6.4799999999999996E-2</v>
      </c>
      <c r="E858" s="179">
        <v>0.108</v>
      </c>
      <c r="F858" s="179">
        <v>1210</v>
      </c>
      <c r="G858" s="179"/>
      <c r="H858" s="179">
        <v>25.5</v>
      </c>
      <c r="I858" s="179" t="s">
        <v>12</v>
      </c>
      <c r="J858" s="179"/>
      <c r="K858" s="180"/>
    </row>
    <row r="859" spans="1:11">
      <c r="A859" s="179" t="s">
        <v>36</v>
      </c>
      <c r="B859" s="179">
        <v>1000</v>
      </c>
      <c r="C859" s="180">
        <v>5</v>
      </c>
      <c r="D859" s="179">
        <v>6.3399999999999998E-2</v>
      </c>
      <c r="E859" s="179">
        <v>0.378</v>
      </c>
      <c r="F859" s="179">
        <v>1235</v>
      </c>
      <c r="G859" s="179"/>
      <c r="H859" s="179">
        <v>25.5</v>
      </c>
      <c r="I859" s="179" t="s">
        <v>12</v>
      </c>
      <c r="J859" s="179"/>
      <c r="K859" s="180"/>
    </row>
    <row r="860" spans="1:11">
      <c r="A860" s="179" t="s">
        <v>36</v>
      </c>
      <c r="B860" s="179">
        <v>1000</v>
      </c>
      <c r="C860" s="180">
        <v>5</v>
      </c>
      <c r="D860" s="179">
        <v>6.2399999999999997E-2</v>
      </c>
      <c r="E860" s="179">
        <v>0.84899999999999998</v>
      </c>
      <c r="F860" s="179">
        <v>1254</v>
      </c>
      <c r="G860" s="179"/>
      <c r="H860" s="179">
        <v>25.5</v>
      </c>
      <c r="I860" s="179" t="s">
        <v>12</v>
      </c>
      <c r="J860" s="179"/>
      <c r="K860" s="180"/>
    </row>
    <row r="861" spans="1:11">
      <c r="A861" s="179" t="s">
        <v>36</v>
      </c>
      <c r="B861" s="179">
        <v>1500</v>
      </c>
      <c r="C861" s="180">
        <v>5</v>
      </c>
      <c r="D861" s="179">
        <v>7.2800000000000004E-2</v>
      </c>
      <c r="E861" s="179">
        <v>6.4999999999999997E-3</v>
      </c>
      <c r="F861" s="179">
        <v>1005</v>
      </c>
      <c r="G861" s="179"/>
      <c r="H861" s="179">
        <v>25.5</v>
      </c>
      <c r="I861" s="179" t="s">
        <v>12</v>
      </c>
      <c r="J861" s="179"/>
      <c r="K861" s="180"/>
    </row>
    <row r="862" spans="1:11">
      <c r="A862" s="179" t="s">
        <v>36</v>
      </c>
      <c r="B862" s="179">
        <v>1500</v>
      </c>
      <c r="C862" s="180">
        <v>5</v>
      </c>
      <c r="D862" s="179">
        <v>6.7599999999999993E-2</v>
      </c>
      <c r="E862" s="179">
        <v>1.2E-2</v>
      </c>
      <c r="F862" s="179">
        <v>1127</v>
      </c>
      <c r="G862" s="179"/>
      <c r="H862" s="179">
        <v>25.5</v>
      </c>
      <c r="I862" s="179" t="s">
        <v>12</v>
      </c>
      <c r="J862" s="179"/>
      <c r="K862" s="180"/>
    </row>
    <row r="863" spans="1:11">
      <c r="A863" s="179" t="s">
        <v>36</v>
      </c>
      <c r="B863" s="179">
        <v>1500</v>
      </c>
      <c r="C863" s="180">
        <v>5</v>
      </c>
      <c r="D863" s="179">
        <v>6.6299999999999998E-2</v>
      </c>
      <c r="E863" s="179">
        <v>3.15E-2</v>
      </c>
      <c r="F863" s="179">
        <v>1160</v>
      </c>
      <c r="G863" s="179"/>
      <c r="H863" s="179">
        <v>25.5</v>
      </c>
      <c r="I863" s="179" t="s">
        <v>12</v>
      </c>
      <c r="J863" s="179"/>
      <c r="K863" s="180"/>
    </row>
    <row r="864" spans="1:11">
      <c r="A864" s="179" t="s">
        <v>36</v>
      </c>
      <c r="B864" s="179">
        <v>1500</v>
      </c>
      <c r="C864" s="180">
        <v>5</v>
      </c>
      <c r="D864" s="179">
        <v>6.4799999999999996E-2</v>
      </c>
      <c r="E864" s="179">
        <v>0.108</v>
      </c>
      <c r="F864" s="179">
        <v>1210</v>
      </c>
      <c r="G864" s="179"/>
      <c r="H864" s="179">
        <v>25.5</v>
      </c>
      <c r="I864" s="179" t="s">
        <v>12</v>
      </c>
      <c r="J864" s="179"/>
      <c r="K864" s="180"/>
    </row>
    <row r="865" spans="1:11">
      <c r="A865" s="179" t="s">
        <v>36</v>
      </c>
      <c r="B865" s="179">
        <v>1500</v>
      </c>
      <c r="C865" s="180">
        <v>5</v>
      </c>
      <c r="D865" s="179">
        <v>6.3399999999999998E-2</v>
      </c>
      <c r="E865" s="179">
        <v>0.378</v>
      </c>
      <c r="F865" s="179">
        <v>1235</v>
      </c>
      <c r="G865" s="179"/>
      <c r="H865" s="179">
        <v>25.5</v>
      </c>
      <c r="I865" s="179" t="s">
        <v>12</v>
      </c>
      <c r="J865" s="179"/>
      <c r="K865" s="180"/>
    </row>
    <row r="866" spans="1:11">
      <c r="A866" s="179" t="s">
        <v>36</v>
      </c>
      <c r="B866" s="179">
        <v>1500</v>
      </c>
      <c r="C866" s="180">
        <v>5</v>
      </c>
      <c r="D866" s="179">
        <v>6.2399999999999997E-2</v>
      </c>
      <c r="E866" s="179">
        <v>0.84899999999999998</v>
      </c>
      <c r="F866" s="179">
        <v>1254</v>
      </c>
      <c r="G866" s="179"/>
      <c r="H866" s="179">
        <v>25.5</v>
      </c>
      <c r="I866" s="179" t="s">
        <v>12</v>
      </c>
      <c r="J866" s="179"/>
      <c r="K866" s="180"/>
    </row>
    <row r="867" spans="1:11">
      <c r="A867" s="179" t="s">
        <v>36</v>
      </c>
      <c r="B867" s="179">
        <v>500</v>
      </c>
      <c r="C867" s="180">
        <v>10</v>
      </c>
      <c r="D867" s="179">
        <v>7.2800000000000004E-2</v>
      </c>
      <c r="E867" s="179">
        <v>6.4999999999999997E-3</v>
      </c>
      <c r="F867" s="179">
        <v>1005</v>
      </c>
      <c r="G867" s="179"/>
      <c r="H867" s="179">
        <v>25.5</v>
      </c>
      <c r="I867" s="179" t="s">
        <v>12</v>
      </c>
      <c r="J867" s="179"/>
      <c r="K867" s="180"/>
    </row>
    <row r="868" spans="1:11">
      <c r="A868" s="179" t="s">
        <v>36</v>
      </c>
      <c r="B868" s="179">
        <v>500</v>
      </c>
      <c r="C868" s="180">
        <v>10</v>
      </c>
      <c r="D868" s="179">
        <v>6.7599999999999993E-2</v>
      </c>
      <c r="E868" s="179">
        <v>1.2E-2</v>
      </c>
      <c r="F868" s="179">
        <v>1127</v>
      </c>
      <c r="G868" s="179"/>
      <c r="H868" s="179">
        <v>25.5</v>
      </c>
      <c r="I868" s="179" t="s">
        <v>12</v>
      </c>
      <c r="J868" s="179"/>
      <c r="K868" s="180"/>
    </row>
    <row r="869" spans="1:11">
      <c r="A869" s="179" t="s">
        <v>36</v>
      </c>
      <c r="B869" s="179">
        <v>500</v>
      </c>
      <c r="C869" s="180">
        <v>10</v>
      </c>
      <c r="D869" s="179">
        <v>6.6299999999999998E-2</v>
      </c>
      <c r="E869" s="179">
        <v>3.15E-2</v>
      </c>
      <c r="F869" s="179">
        <v>1160</v>
      </c>
      <c r="G869" s="179"/>
      <c r="H869" s="179">
        <v>25.5</v>
      </c>
      <c r="I869" s="179" t="s">
        <v>12</v>
      </c>
      <c r="J869" s="179"/>
      <c r="K869" s="180"/>
    </row>
    <row r="870" spans="1:11">
      <c r="A870" s="179" t="s">
        <v>36</v>
      </c>
      <c r="B870" s="179">
        <v>500</v>
      </c>
      <c r="C870" s="180">
        <v>10</v>
      </c>
      <c r="D870" s="179">
        <v>6.4799999999999996E-2</v>
      </c>
      <c r="E870" s="179">
        <v>0.108</v>
      </c>
      <c r="F870" s="179">
        <v>1210</v>
      </c>
      <c r="G870" s="179"/>
      <c r="H870" s="179">
        <v>25.5</v>
      </c>
      <c r="I870" s="179" t="s">
        <v>12</v>
      </c>
      <c r="J870" s="179"/>
      <c r="K870" s="180"/>
    </row>
    <row r="871" spans="1:11">
      <c r="A871" s="179" t="s">
        <v>36</v>
      </c>
      <c r="B871" s="179">
        <v>500</v>
      </c>
      <c r="C871" s="180">
        <v>10</v>
      </c>
      <c r="D871" s="179">
        <v>6.3399999999999998E-2</v>
      </c>
      <c r="E871" s="179">
        <v>0.84899999999999998</v>
      </c>
      <c r="F871" s="179">
        <v>1235</v>
      </c>
      <c r="G871" s="179"/>
      <c r="H871" s="179">
        <v>25.5</v>
      </c>
      <c r="I871" s="179" t="s">
        <v>12</v>
      </c>
      <c r="J871" s="179"/>
      <c r="K871" s="180"/>
    </row>
    <row r="872" spans="1:11">
      <c r="A872" s="179" t="s">
        <v>36</v>
      </c>
      <c r="B872" s="179">
        <v>500</v>
      </c>
      <c r="C872" s="180">
        <v>10</v>
      </c>
      <c r="D872" s="179">
        <v>6.2399999999999997E-2</v>
      </c>
      <c r="E872" s="179">
        <v>0.378</v>
      </c>
      <c r="F872" s="179">
        <v>1254</v>
      </c>
      <c r="G872" s="179"/>
      <c r="H872" s="179">
        <v>25.5</v>
      </c>
      <c r="I872" s="179" t="s">
        <v>12</v>
      </c>
      <c r="J872" s="179"/>
      <c r="K872" s="180"/>
    </row>
    <row r="873" spans="1:11">
      <c r="A873" s="179" t="s">
        <v>36</v>
      </c>
      <c r="B873" s="179">
        <v>1000</v>
      </c>
      <c r="C873" s="180">
        <v>10</v>
      </c>
      <c r="D873" s="179">
        <v>7.2800000000000004E-2</v>
      </c>
      <c r="E873" s="179">
        <v>6.4999999999999997E-3</v>
      </c>
      <c r="F873" s="179">
        <v>1005</v>
      </c>
      <c r="G873" s="179"/>
      <c r="H873" s="179">
        <v>25.5</v>
      </c>
      <c r="I873" s="179" t="s">
        <v>12</v>
      </c>
      <c r="J873" s="179"/>
      <c r="K873" s="180"/>
    </row>
    <row r="874" spans="1:11">
      <c r="A874" s="179" t="s">
        <v>36</v>
      </c>
      <c r="B874" s="179">
        <v>1000</v>
      </c>
      <c r="C874" s="180">
        <v>10</v>
      </c>
      <c r="D874" s="179">
        <v>6.7599999999999993E-2</v>
      </c>
      <c r="E874" s="179">
        <v>1.2E-2</v>
      </c>
      <c r="F874" s="179">
        <v>1127</v>
      </c>
      <c r="G874" s="179"/>
      <c r="H874" s="179">
        <v>25.5</v>
      </c>
      <c r="I874" s="179" t="s">
        <v>12</v>
      </c>
      <c r="J874" s="179"/>
      <c r="K874" s="180"/>
    </row>
    <row r="875" spans="1:11">
      <c r="A875" s="179" t="s">
        <v>36</v>
      </c>
      <c r="B875" s="179">
        <v>1000</v>
      </c>
      <c r="C875" s="180">
        <v>10</v>
      </c>
      <c r="D875" s="179">
        <v>6.6299999999999998E-2</v>
      </c>
      <c r="E875" s="179">
        <v>3.15E-2</v>
      </c>
      <c r="F875" s="179">
        <v>1160</v>
      </c>
      <c r="G875" s="179"/>
      <c r="H875" s="179">
        <v>25.5</v>
      </c>
      <c r="I875" s="179" t="s">
        <v>12</v>
      </c>
      <c r="J875" s="179"/>
      <c r="K875" s="180"/>
    </row>
    <row r="876" spans="1:11">
      <c r="A876" s="179" t="s">
        <v>36</v>
      </c>
      <c r="B876" s="179">
        <v>1000</v>
      </c>
      <c r="C876" s="180">
        <v>10</v>
      </c>
      <c r="D876" s="179">
        <v>6.4799999999999996E-2</v>
      </c>
      <c r="E876" s="179">
        <v>0.108</v>
      </c>
      <c r="F876" s="179">
        <v>1210</v>
      </c>
      <c r="G876" s="179"/>
      <c r="H876" s="179">
        <v>25.5</v>
      </c>
      <c r="I876" s="179" t="s">
        <v>12</v>
      </c>
      <c r="J876" s="179"/>
      <c r="K876" s="180"/>
    </row>
    <row r="877" spans="1:11">
      <c r="A877" s="179" t="s">
        <v>36</v>
      </c>
      <c r="B877" s="179">
        <v>1000</v>
      </c>
      <c r="C877" s="180">
        <v>10</v>
      </c>
      <c r="D877" s="179">
        <v>6.3399999999999998E-2</v>
      </c>
      <c r="E877" s="179">
        <v>0.378</v>
      </c>
      <c r="F877" s="179">
        <v>1235</v>
      </c>
      <c r="G877" s="179"/>
      <c r="H877" s="179">
        <v>25.5</v>
      </c>
      <c r="I877" s="179" t="s">
        <v>12</v>
      </c>
      <c r="J877" s="179"/>
      <c r="K877" s="180"/>
    </row>
    <row r="878" spans="1:11">
      <c r="A878" s="179" t="s">
        <v>36</v>
      </c>
      <c r="B878" s="179">
        <v>1000</v>
      </c>
      <c r="C878" s="180">
        <v>10</v>
      </c>
      <c r="D878" s="179">
        <v>6.2399999999999997E-2</v>
      </c>
      <c r="E878" s="179">
        <v>0.84899999999999998</v>
      </c>
      <c r="F878" s="179">
        <v>1254</v>
      </c>
      <c r="G878" s="179"/>
      <c r="H878" s="179">
        <v>25.5</v>
      </c>
      <c r="I878" s="179" t="s">
        <v>12</v>
      </c>
      <c r="J878" s="179"/>
      <c r="K878" s="180"/>
    </row>
    <row r="879" spans="1:11">
      <c r="A879" s="179" t="s">
        <v>36</v>
      </c>
      <c r="B879" s="179">
        <v>1500</v>
      </c>
      <c r="C879" s="180">
        <v>10</v>
      </c>
      <c r="D879" s="179">
        <v>7.2800000000000004E-2</v>
      </c>
      <c r="E879" s="179">
        <v>6.4999999999999997E-3</v>
      </c>
      <c r="F879" s="179">
        <v>1005</v>
      </c>
      <c r="G879" s="179"/>
      <c r="H879" s="179">
        <v>25.5</v>
      </c>
      <c r="I879" s="179" t="s">
        <v>12</v>
      </c>
      <c r="J879" s="179"/>
      <c r="K879" s="180"/>
    </row>
    <row r="880" spans="1:11">
      <c r="A880" s="179" t="s">
        <v>36</v>
      </c>
      <c r="B880" s="179">
        <v>1500</v>
      </c>
      <c r="C880" s="180">
        <v>10</v>
      </c>
      <c r="D880" s="179">
        <v>6.7599999999999993E-2</v>
      </c>
      <c r="E880" s="179">
        <v>1.2E-2</v>
      </c>
      <c r="F880" s="179">
        <v>1127</v>
      </c>
      <c r="G880" s="179"/>
      <c r="H880" s="179">
        <v>25.5</v>
      </c>
      <c r="I880" s="179" t="s">
        <v>12</v>
      </c>
      <c r="J880" s="179"/>
      <c r="K880" s="180"/>
    </row>
    <row r="881" spans="1:11">
      <c r="A881" s="179" t="s">
        <v>36</v>
      </c>
      <c r="B881" s="179">
        <v>1500</v>
      </c>
      <c r="C881" s="180">
        <v>10</v>
      </c>
      <c r="D881" s="179">
        <v>6.6299999999999998E-2</v>
      </c>
      <c r="E881" s="179">
        <v>3.15E-2</v>
      </c>
      <c r="F881" s="179">
        <v>1160</v>
      </c>
      <c r="G881" s="179"/>
      <c r="H881" s="179">
        <v>25.5</v>
      </c>
      <c r="I881" s="179" t="s">
        <v>12</v>
      </c>
      <c r="J881" s="179"/>
      <c r="K881" s="180"/>
    </row>
    <row r="882" spans="1:11">
      <c r="A882" s="179" t="s">
        <v>36</v>
      </c>
      <c r="B882" s="179">
        <v>1500</v>
      </c>
      <c r="C882" s="180">
        <v>10</v>
      </c>
      <c r="D882" s="179">
        <v>6.4799999999999996E-2</v>
      </c>
      <c r="E882" s="179">
        <v>0.108</v>
      </c>
      <c r="F882" s="179">
        <v>1210</v>
      </c>
      <c r="G882" s="179"/>
      <c r="H882" s="179">
        <v>25.5</v>
      </c>
      <c r="I882" s="179" t="s">
        <v>12</v>
      </c>
      <c r="J882" s="179"/>
      <c r="K882" s="180"/>
    </row>
    <row r="883" spans="1:11">
      <c r="A883" s="179" t="s">
        <v>36</v>
      </c>
      <c r="B883" s="179">
        <v>1500</v>
      </c>
      <c r="C883" s="180">
        <v>10</v>
      </c>
      <c r="D883" s="179">
        <v>6.3399999999999998E-2</v>
      </c>
      <c r="E883" s="179">
        <v>0.378</v>
      </c>
      <c r="F883" s="179">
        <v>1235</v>
      </c>
      <c r="G883" s="179"/>
      <c r="H883" s="179">
        <v>25.5</v>
      </c>
      <c r="I883" s="179" t="s">
        <v>12</v>
      </c>
      <c r="J883" s="179"/>
      <c r="K883" s="180"/>
    </row>
    <row r="884" spans="1:11">
      <c r="A884" s="179" t="s">
        <v>36</v>
      </c>
      <c r="B884" s="179">
        <v>1500</v>
      </c>
      <c r="C884" s="180">
        <v>10</v>
      </c>
      <c r="D884" s="179">
        <v>6.2399999999999997E-2</v>
      </c>
      <c r="E884" s="179">
        <v>0.84899999999999998</v>
      </c>
      <c r="F884" s="179">
        <v>1254</v>
      </c>
      <c r="G884" s="179"/>
      <c r="H884" s="179">
        <v>25.5</v>
      </c>
      <c r="I884" s="179" t="s">
        <v>12</v>
      </c>
      <c r="J884" s="179"/>
      <c r="K884" s="180"/>
    </row>
    <row r="885" spans="1:11">
      <c r="A885" s="179" t="s">
        <v>51</v>
      </c>
      <c r="B885" s="179">
        <v>48</v>
      </c>
      <c r="C885" s="180">
        <v>0.79</v>
      </c>
      <c r="D885" s="179">
        <v>7.1999999999999995E-2</v>
      </c>
      <c r="E885" s="179">
        <v>1E-3</v>
      </c>
      <c r="F885" s="179">
        <v>998</v>
      </c>
      <c r="G885" s="179">
        <v>0</v>
      </c>
      <c r="H885" s="179"/>
      <c r="I885" s="179" t="s">
        <v>12</v>
      </c>
      <c r="J885" s="185">
        <v>46054</v>
      </c>
      <c r="K885" s="180">
        <f>4.95</f>
        <v>4.95</v>
      </c>
    </row>
    <row r="886" spans="1:11">
      <c r="A886" s="179" t="s">
        <v>51</v>
      </c>
      <c r="B886" s="179">
        <v>54</v>
      </c>
      <c r="C886" s="180">
        <v>0.97</v>
      </c>
      <c r="D886" s="179">
        <v>6.7000000000000004E-2</v>
      </c>
      <c r="E886" s="179">
        <v>5.7999999999999996E-3</v>
      </c>
      <c r="F886" s="179">
        <v>1122</v>
      </c>
      <c r="G886" s="179">
        <v>29.4</v>
      </c>
      <c r="H886" s="179"/>
      <c r="I886" s="183" t="s">
        <v>12</v>
      </c>
      <c r="J886" s="179"/>
      <c r="K886" s="179">
        <v>5</v>
      </c>
    </row>
    <row r="887" spans="1:11">
      <c r="A887" s="179" t="s">
        <v>51</v>
      </c>
      <c r="B887" s="179">
        <v>60</v>
      </c>
      <c r="C887" s="180">
        <v>1.19</v>
      </c>
      <c r="D887" s="179">
        <v>7.0000000000000007E-2</v>
      </c>
      <c r="E887" s="179">
        <v>1.01E-2</v>
      </c>
      <c r="F887" s="179">
        <v>1153</v>
      </c>
      <c r="G887" s="179">
        <v>58.8</v>
      </c>
      <c r="H887" s="179"/>
      <c r="I887" s="183" t="s">
        <v>12</v>
      </c>
      <c r="J887" s="179"/>
      <c r="K887" s="179">
        <v>5.0999999999999996</v>
      </c>
    </row>
    <row r="888" spans="1:11">
      <c r="A888" s="179" t="s">
        <v>51</v>
      </c>
      <c r="B888" s="179">
        <v>66</v>
      </c>
      <c r="C888" s="180">
        <v>1.35</v>
      </c>
      <c r="D888" s="179"/>
      <c r="E888" s="179"/>
      <c r="F888" s="179"/>
      <c r="G888" s="179">
        <v>88.2</v>
      </c>
      <c r="H888" s="179"/>
      <c r="I888" s="183" t="s">
        <v>12</v>
      </c>
      <c r="J888" s="179"/>
      <c r="K888" s="179">
        <v>5.2</v>
      </c>
    </row>
    <row r="889" spans="1:11">
      <c r="A889" s="179" t="s">
        <v>51</v>
      </c>
      <c r="B889" s="179">
        <v>72</v>
      </c>
      <c r="C889" s="180">
        <v>1.55</v>
      </c>
      <c r="D889" s="179"/>
      <c r="E889" s="179"/>
      <c r="F889" s="179"/>
      <c r="G889" s="179">
        <v>111.72</v>
      </c>
      <c r="H889" s="179"/>
      <c r="I889" s="183" t="s">
        <v>12</v>
      </c>
      <c r="J889" s="179"/>
      <c r="K889" s="179">
        <v>5.25</v>
      </c>
    </row>
    <row r="890" spans="1:11">
      <c r="A890" s="179" t="s">
        <v>51</v>
      </c>
      <c r="B890" s="179">
        <v>78</v>
      </c>
      <c r="C890" s="180">
        <v>1.75</v>
      </c>
      <c r="D890" s="179"/>
      <c r="E890" s="179"/>
      <c r="F890" s="179"/>
      <c r="G890" s="179"/>
      <c r="H890" s="179"/>
      <c r="I890" s="183" t="s">
        <v>12</v>
      </c>
      <c r="J890" s="179"/>
      <c r="K890" s="179">
        <v>5.3</v>
      </c>
    </row>
    <row r="891" spans="1:11">
      <c r="A891" s="179" t="s">
        <v>51</v>
      </c>
      <c r="B891" s="179">
        <v>84</v>
      </c>
      <c r="C891" s="180">
        <v>2.06</v>
      </c>
      <c r="D891" s="179"/>
      <c r="E891" s="179"/>
      <c r="F891" s="179"/>
      <c r="G891" s="179"/>
      <c r="H891" s="179"/>
      <c r="I891" s="183" t="s">
        <v>12</v>
      </c>
      <c r="J891" s="179"/>
      <c r="K891" s="179">
        <v>5.35</v>
      </c>
    </row>
    <row r="892" spans="1:11">
      <c r="A892" s="179" t="s">
        <v>51</v>
      </c>
      <c r="B892" s="179">
        <v>90</v>
      </c>
      <c r="C892" s="180"/>
      <c r="D892" s="179"/>
      <c r="E892" s="179"/>
      <c r="F892" s="179"/>
      <c r="G892" s="179"/>
      <c r="H892" s="179"/>
      <c r="I892" s="183" t="s">
        <v>12</v>
      </c>
      <c r="J892" s="179"/>
      <c r="K892" s="179">
        <v>5.4</v>
      </c>
    </row>
    <row r="893" spans="1:11">
      <c r="A893" s="179" t="s">
        <v>51</v>
      </c>
      <c r="B893" s="179">
        <v>96</v>
      </c>
      <c r="C893" s="180"/>
      <c r="D893" s="179"/>
      <c r="E893" s="179"/>
      <c r="F893" s="179"/>
      <c r="G893" s="179"/>
      <c r="H893" s="179"/>
      <c r="I893" s="183" t="s">
        <v>12</v>
      </c>
      <c r="J893" s="179"/>
      <c r="K893" s="179">
        <v>5.5</v>
      </c>
    </row>
    <row r="894" spans="1:11">
      <c r="A894" s="179" t="s">
        <v>51</v>
      </c>
      <c r="B894" s="179">
        <v>102</v>
      </c>
      <c r="C894" s="180"/>
      <c r="D894" s="179"/>
      <c r="E894" s="179"/>
      <c r="F894" s="179"/>
      <c r="G894" s="179"/>
      <c r="H894" s="179"/>
      <c r="I894" s="183" t="s">
        <v>12</v>
      </c>
      <c r="J894" s="179"/>
      <c r="K894" s="179">
        <v>5.55</v>
      </c>
    </row>
    <row r="895" spans="1:11">
      <c r="A895" s="179" t="s">
        <v>51</v>
      </c>
      <c r="B895" s="179">
        <v>108</v>
      </c>
      <c r="C895" s="180"/>
      <c r="D895" s="179"/>
      <c r="E895" s="179"/>
      <c r="F895" s="179"/>
      <c r="G895" s="179"/>
      <c r="H895" s="179"/>
      <c r="I895" s="183" t="s">
        <v>12</v>
      </c>
      <c r="J895" s="179"/>
      <c r="K895" s="179">
        <v>5.6</v>
      </c>
    </row>
    <row r="896" spans="1:11">
      <c r="A896" s="179" t="s">
        <v>51</v>
      </c>
      <c r="B896" s="179">
        <v>114</v>
      </c>
      <c r="C896" s="180"/>
      <c r="D896" s="179"/>
      <c r="E896" s="179"/>
      <c r="F896" s="179"/>
      <c r="G896" s="179"/>
      <c r="H896" s="179"/>
      <c r="I896" s="183" t="s">
        <v>12</v>
      </c>
      <c r="J896" s="179"/>
      <c r="K896" s="179">
        <v>5.7</v>
      </c>
    </row>
    <row r="897" spans="1:11">
      <c r="A897" s="179" t="s">
        <v>51</v>
      </c>
      <c r="B897" s="179">
        <v>120</v>
      </c>
      <c r="C897" s="180"/>
      <c r="D897" s="179"/>
      <c r="E897" s="179"/>
      <c r="F897" s="179"/>
      <c r="G897" s="179"/>
      <c r="H897" s="179"/>
      <c r="I897" s="183" t="s">
        <v>12</v>
      </c>
      <c r="J897" s="179"/>
      <c r="K897" s="179">
        <v>5.75</v>
      </c>
    </row>
    <row r="898" spans="1:11">
      <c r="A898" s="179" t="s">
        <v>51</v>
      </c>
      <c r="B898" s="179">
        <v>126</v>
      </c>
      <c r="C898" s="180"/>
      <c r="D898" s="179"/>
      <c r="E898" s="179"/>
      <c r="F898" s="179"/>
      <c r="G898" s="179"/>
      <c r="H898" s="179"/>
      <c r="I898" s="183" t="s">
        <v>12</v>
      </c>
      <c r="J898" s="179"/>
      <c r="K898" s="179">
        <v>5.8</v>
      </c>
    </row>
    <row r="899" spans="1:11">
      <c r="A899" s="179" t="s">
        <v>51</v>
      </c>
      <c r="B899" s="179">
        <v>132</v>
      </c>
      <c r="C899" s="180"/>
      <c r="D899" s="179"/>
      <c r="E899" s="179"/>
      <c r="F899" s="179"/>
      <c r="G899" s="179"/>
      <c r="H899" s="179"/>
      <c r="I899" s="183" t="s">
        <v>12</v>
      </c>
      <c r="J899" s="179"/>
      <c r="K899" s="179">
        <v>5.85</v>
      </c>
    </row>
    <row r="900" spans="1:11">
      <c r="A900" s="179" t="s">
        <v>51</v>
      </c>
      <c r="B900" s="179">
        <v>138</v>
      </c>
      <c r="C900" s="180"/>
      <c r="D900" s="179"/>
      <c r="E900" s="179"/>
      <c r="F900" s="179"/>
      <c r="G900" s="179"/>
      <c r="H900" s="179"/>
      <c r="I900" s="183" t="s">
        <v>12</v>
      </c>
      <c r="J900" s="179"/>
      <c r="K900" s="179">
        <v>5.9</v>
      </c>
    </row>
    <row r="901" spans="1:11">
      <c r="A901" s="179" t="s">
        <v>51</v>
      </c>
      <c r="B901" s="179">
        <v>144</v>
      </c>
      <c r="C901" s="180"/>
      <c r="D901" s="179"/>
      <c r="E901" s="179"/>
      <c r="F901" s="179"/>
      <c r="G901" s="179"/>
      <c r="H901" s="179"/>
      <c r="I901" s="183" t="s">
        <v>12</v>
      </c>
      <c r="J901" s="179"/>
      <c r="K901" s="179">
        <v>5.95</v>
      </c>
    </row>
    <row r="902" spans="1:11">
      <c r="A902" s="179" t="s">
        <v>51</v>
      </c>
      <c r="B902" s="179">
        <v>150</v>
      </c>
      <c r="C902" s="180"/>
      <c r="D902" s="179"/>
      <c r="E902" s="179"/>
      <c r="F902" s="179"/>
      <c r="G902" s="179"/>
      <c r="H902" s="179"/>
      <c r="I902" s="183" t="s">
        <v>12</v>
      </c>
      <c r="J902" s="179"/>
      <c r="K902" s="179">
        <v>6</v>
      </c>
    </row>
    <row r="903" spans="1:11">
      <c r="A903" s="179" t="s">
        <v>51</v>
      </c>
      <c r="B903" s="179">
        <v>156</v>
      </c>
      <c r="C903" s="180"/>
      <c r="D903" s="179"/>
      <c r="E903" s="179"/>
      <c r="F903" s="179"/>
      <c r="G903" s="179"/>
      <c r="H903" s="179"/>
      <c r="I903" s="183" t="s">
        <v>12</v>
      </c>
      <c r="J903" s="179"/>
      <c r="K903" s="179">
        <v>6.5</v>
      </c>
    </row>
    <row r="904" spans="1:11">
      <c r="A904" s="179" t="s">
        <v>51</v>
      </c>
      <c r="B904" s="179">
        <v>162</v>
      </c>
      <c r="C904" s="180"/>
      <c r="D904" s="179"/>
      <c r="E904" s="179"/>
      <c r="F904" s="179"/>
      <c r="G904" s="179"/>
      <c r="H904" s="179"/>
      <c r="I904" s="183" t="s">
        <v>12</v>
      </c>
      <c r="J904" s="179"/>
      <c r="K904" s="179">
        <v>6.1</v>
      </c>
    </row>
    <row r="905" spans="1:11">
      <c r="A905" s="179" t="s">
        <v>51</v>
      </c>
      <c r="B905" s="179">
        <v>168</v>
      </c>
      <c r="C905" s="180"/>
      <c r="D905" s="179"/>
      <c r="E905" s="179"/>
      <c r="F905" s="179"/>
      <c r="G905" s="179"/>
      <c r="H905" s="179"/>
      <c r="I905" s="183" t="s">
        <v>12</v>
      </c>
      <c r="J905" s="179"/>
      <c r="K905" s="179">
        <v>6.15</v>
      </c>
    </row>
    <row r="906" spans="1:11">
      <c r="A906" s="179" t="s">
        <v>51</v>
      </c>
      <c r="B906" s="179">
        <v>174</v>
      </c>
      <c r="C906" s="180"/>
      <c r="D906" s="179"/>
      <c r="E906" s="179"/>
      <c r="F906" s="179"/>
      <c r="G906" s="179"/>
      <c r="H906" s="179"/>
      <c r="I906" s="183" t="s">
        <v>12</v>
      </c>
      <c r="J906" s="179"/>
      <c r="K906" s="179">
        <v>6.2</v>
      </c>
    </row>
    <row r="907" spans="1:11">
      <c r="A907" s="179" t="s">
        <v>51</v>
      </c>
      <c r="B907" s="179">
        <v>180</v>
      </c>
      <c r="C907" s="180"/>
      <c r="D907" s="179"/>
      <c r="E907" s="179"/>
      <c r="F907" s="179"/>
      <c r="G907" s="179"/>
      <c r="H907" s="179"/>
      <c r="I907" s="183" t="s">
        <v>12</v>
      </c>
      <c r="J907" s="179"/>
      <c r="K907" s="179">
        <v>6.25</v>
      </c>
    </row>
    <row r="908" spans="1:11">
      <c r="A908" s="179" t="s">
        <v>51</v>
      </c>
      <c r="B908" s="179">
        <v>186</v>
      </c>
      <c r="C908" s="180"/>
      <c r="D908" s="179"/>
      <c r="E908" s="179"/>
      <c r="F908" s="179"/>
      <c r="G908" s="179"/>
      <c r="H908" s="179"/>
      <c r="I908" s="183" t="s">
        <v>12</v>
      </c>
      <c r="J908" s="179"/>
      <c r="K908" s="179">
        <v>6.3</v>
      </c>
    </row>
    <row r="909" spans="1:11">
      <c r="A909" s="179" t="s">
        <v>51</v>
      </c>
      <c r="B909" s="179">
        <v>192</v>
      </c>
      <c r="C909" s="180"/>
      <c r="D909" s="179"/>
      <c r="E909" s="179"/>
      <c r="F909" s="179"/>
      <c r="G909" s="179"/>
      <c r="H909" s="179"/>
      <c r="I909" s="183" t="s">
        <v>12</v>
      </c>
      <c r="J909" s="179"/>
      <c r="K909" s="179">
        <v>6.35</v>
      </c>
    </row>
    <row r="910" spans="1:11">
      <c r="A910" s="179" t="s">
        <v>51</v>
      </c>
      <c r="B910" s="179">
        <v>198</v>
      </c>
      <c r="C910" s="180"/>
      <c r="D910" s="179"/>
      <c r="E910" s="179"/>
      <c r="F910" s="179"/>
      <c r="G910" s="179"/>
      <c r="H910" s="179"/>
      <c r="I910" s="183" t="s">
        <v>12</v>
      </c>
      <c r="J910" s="179"/>
      <c r="K910" s="179">
        <v>6.38</v>
      </c>
    </row>
    <row r="911" spans="1:11">
      <c r="A911" s="179" t="s">
        <v>51</v>
      </c>
      <c r="B911" s="179">
        <v>204</v>
      </c>
      <c r="C911" s="180"/>
      <c r="D911" s="179"/>
      <c r="E911" s="179"/>
      <c r="F911" s="179"/>
      <c r="G911" s="179"/>
      <c r="H911" s="179"/>
      <c r="I911" s="183" t="s">
        <v>12</v>
      </c>
      <c r="J911" s="179"/>
      <c r="K911" s="179">
        <v>6.4</v>
      </c>
    </row>
    <row r="912" spans="1:11">
      <c r="A912" s="179" t="s">
        <v>51</v>
      </c>
      <c r="B912" s="179">
        <v>210</v>
      </c>
      <c r="C912" s="180"/>
      <c r="D912" s="179"/>
      <c r="E912" s="179"/>
      <c r="F912" s="179"/>
      <c r="G912" s="179"/>
      <c r="H912" s="179"/>
      <c r="I912" s="183" t="s">
        <v>12</v>
      </c>
      <c r="J912" s="179"/>
      <c r="K912" s="179">
        <v>6.45</v>
      </c>
    </row>
    <row r="913" spans="1:11">
      <c r="A913" s="179" t="s">
        <v>51</v>
      </c>
      <c r="B913" s="179">
        <v>216</v>
      </c>
      <c r="C913" s="180"/>
      <c r="D913" s="179"/>
      <c r="E913" s="179"/>
      <c r="F913" s="179"/>
      <c r="G913" s="179"/>
      <c r="H913" s="179"/>
      <c r="I913" s="183" t="s">
        <v>12</v>
      </c>
      <c r="J913" s="179"/>
      <c r="K913" s="179">
        <v>6.48</v>
      </c>
    </row>
    <row r="914" spans="1:11">
      <c r="A914" s="179" t="s">
        <v>51</v>
      </c>
      <c r="B914" s="179">
        <v>222</v>
      </c>
      <c r="C914" s="180"/>
      <c r="D914" s="179"/>
      <c r="E914" s="179"/>
      <c r="F914" s="179"/>
      <c r="G914" s="179"/>
      <c r="H914" s="179"/>
      <c r="I914" s="183" t="s">
        <v>12</v>
      </c>
      <c r="J914" s="179"/>
      <c r="K914" s="179">
        <v>6.5</v>
      </c>
    </row>
    <row r="915" spans="1:11">
      <c r="A915" s="179" t="s">
        <v>51</v>
      </c>
      <c r="B915" s="179">
        <v>228</v>
      </c>
      <c r="C915" s="180"/>
      <c r="D915" s="179"/>
      <c r="E915" s="179"/>
      <c r="F915" s="179"/>
      <c r="G915" s="179"/>
      <c r="H915" s="179"/>
      <c r="I915" s="183" t="s">
        <v>12</v>
      </c>
      <c r="J915" s="179"/>
      <c r="K915" s="179">
        <v>6.52</v>
      </c>
    </row>
    <row r="916" spans="1:11">
      <c r="A916" s="179" t="s">
        <v>51</v>
      </c>
      <c r="B916" s="179">
        <v>234</v>
      </c>
      <c r="C916" s="180"/>
      <c r="D916" s="179"/>
      <c r="E916" s="179"/>
      <c r="F916" s="179"/>
      <c r="G916" s="179"/>
      <c r="H916" s="179"/>
      <c r="I916" s="183" t="s">
        <v>12</v>
      </c>
      <c r="J916" s="179"/>
      <c r="K916" s="179">
        <v>6.55</v>
      </c>
    </row>
    <row r="917" spans="1:11">
      <c r="A917" s="179" t="s">
        <v>51</v>
      </c>
      <c r="B917" s="179">
        <v>240</v>
      </c>
      <c r="C917" s="180"/>
      <c r="D917" s="179"/>
      <c r="E917" s="179"/>
      <c r="F917" s="179"/>
      <c r="G917" s="179"/>
      <c r="H917" s="179"/>
      <c r="I917" s="183" t="s">
        <v>12</v>
      </c>
      <c r="J917" s="179"/>
      <c r="K917" s="179">
        <v>6.58</v>
      </c>
    </row>
    <row r="918" spans="1:11">
      <c r="A918" s="179" t="s">
        <v>51</v>
      </c>
      <c r="B918" s="179">
        <v>246</v>
      </c>
      <c r="C918" s="180"/>
      <c r="D918" s="179"/>
      <c r="E918" s="179"/>
      <c r="F918" s="179"/>
      <c r="G918" s="179"/>
      <c r="H918" s="179"/>
      <c r="I918" s="183" t="s">
        <v>12</v>
      </c>
      <c r="J918" s="179"/>
      <c r="K918" s="179">
        <v>6.6</v>
      </c>
    </row>
    <row r="919" spans="1:11">
      <c r="A919" s="179" t="s">
        <v>51</v>
      </c>
      <c r="B919" s="179">
        <v>252</v>
      </c>
      <c r="C919" s="180"/>
      <c r="D919" s="179"/>
      <c r="E919" s="179"/>
      <c r="F919" s="179"/>
      <c r="G919" s="179"/>
      <c r="H919" s="179"/>
      <c r="I919" s="183" t="s">
        <v>12</v>
      </c>
      <c r="J919" s="179"/>
      <c r="K919" s="179">
        <v>6.62</v>
      </c>
    </row>
    <row r="920" spans="1:11">
      <c r="A920" s="186" t="s">
        <v>38</v>
      </c>
      <c r="B920" s="187">
        <v>0.61855670103092697</v>
      </c>
      <c r="C920" s="188">
        <v>1.1200000000000001</v>
      </c>
      <c r="D920" s="186">
        <v>2.0299999999999999E-2</v>
      </c>
      <c r="E920" s="186">
        <v>0.30030000000000001</v>
      </c>
      <c r="F920" s="186">
        <v>970</v>
      </c>
      <c r="G920" s="182"/>
      <c r="H920" s="186">
        <v>9.85</v>
      </c>
      <c r="I920" s="182" t="s">
        <v>14</v>
      </c>
      <c r="J920" s="177">
        <v>1.2250000000000001</v>
      </c>
      <c r="K920" s="187">
        <v>4.7934186471663596</v>
      </c>
    </row>
    <row r="921" spans="1:11">
      <c r="A921" s="186" t="s">
        <v>38</v>
      </c>
      <c r="B921" s="187">
        <v>0.98674521354933697</v>
      </c>
      <c r="C921" s="188">
        <v>1.1200000000000001</v>
      </c>
      <c r="D921" s="186">
        <v>2.0299999999999999E-2</v>
      </c>
      <c r="E921" s="186">
        <v>0.30030000000000001</v>
      </c>
      <c r="F921" s="186">
        <v>970</v>
      </c>
      <c r="G921" s="182"/>
      <c r="H921" s="186">
        <v>9.85</v>
      </c>
      <c r="I921" s="182" t="s">
        <v>14</v>
      </c>
      <c r="J921" s="177">
        <v>1.2250000000000001</v>
      </c>
      <c r="K921" s="187">
        <v>5.8171846435100498</v>
      </c>
    </row>
    <row r="922" spans="1:11">
      <c r="A922" s="186" t="s">
        <v>38</v>
      </c>
      <c r="B922" s="187">
        <v>1.4874815905743699</v>
      </c>
      <c r="C922" s="188">
        <v>1.1200000000000001</v>
      </c>
      <c r="D922" s="186">
        <v>2.0299999999999999E-2</v>
      </c>
      <c r="E922" s="186">
        <v>0.30030000000000001</v>
      </c>
      <c r="F922" s="186">
        <v>970</v>
      </c>
      <c r="G922" s="182"/>
      <c r="H922" s="186">
        <v>9.85</v>
      </c>
      <c r="I922" s="182" t="s">
        <v>14</v>
      </c>
      <c r="J922" s="177">
        <v>1.2250000000000001</v>
      </c>
      <c r="K922" s="187">
        <v>6.9177330895795199</v>
      </c>
    </row>
    <row r="923" spans="1:11">
      <c r="A923" s="186" t="s">
        <v>38</v>
      </c>
      <c r="B923" s="187">
        <v>1.97349042709867</v>
      </c>
      <c r="C923" s="188">
        <v>1.1200000000000001</v>
      </c>
      <c r="D923" s="186">
        <v>2.0299999999999999E-2</v>
      </c>
      <c r="E923" s="186">
        <v>0.30030000000000001</v>
      </c>
      <c r="F923" s="186">
        <v>970</v>
      </c>
      <c r="G923" s="182"/>
      <c r="H923" s="186">
        <v>9.85</v>
      </c>
      <c r="I923" s="182" t="s">
        <v>14</v>
      </c>
      <c r="J923" s="177">
        <v>1.2250000000000001</v>
      </c>
      <c r="K923" s="187">
        <v>7.6087751371115102</v>
      </c>
    </row>
    <row r="924" spans="1:11">
      <c r="A924" s="186" t="s">
        <v>38</v>
      </c>
      <c r="B924" s="187">
        <v>2.4447717231222299</v>
      </c>
      <c r="C924" s="188">
        <v>1.1200000000000001</v>
      </c>
      <c r="D924" s="186">
        <v>2.0299999999999999E-2</v>
      </c>
      <c r="E924" s="186">
        <v>0.30030000000000001</v>
      </c>
      <c r="F924" s="186">
        <v>970</v>
      </c>
      <c r="G924" s="182"/>
      <c r="H924" s="186">
        <v>9.85</v>
      </c>
      <c r="I924" s="182" t="s">
        <v>14</v>
      </c>
      <c r="J924" s="177">
        <v>1.2250000000000001</v>
      </c>
      <c r="K924" s="187">
        <v>8.1590493601462502</v>
      </c>
    </row>
    <row r="925" spans="1:11">
      <c r="A925" s="186" t="s">
        <v>38</v>
      </c>
      <c r="B925" s="187">
        <v>3.5346097201767299</v>
      </c>
      <c r="C925" s="188">
        <v>1.1200000000000001</v>
      </c>
      <c r="D925" s="186">
        <v>2.0299999999999999E-2</v>
      </c>
      <c r="E925" s="186">
        <v>0.30030000000000001</v>
      </c>
      <c r="F925" s="186">
        <v>970</v>
      </c>
      <c r="G925" s="182"/>
      <c r="H925" s="186">
        <v>9.85</v>
      </c>
      <c r="I925" s="182" t="s">
        <v>14</v>
      </c>
      <c r="J925" s="177">
        <v>1.2250000000000001</v>
      </c>
      <c r="K925" s="187">
        <v>8.9780621572211992</v>
      </c>
    </row>
    <row r="926" spans="1:11">
      <c r="A926" s="186" t="s">
        <v>38</v>
      </c>
      <c r="B926" s="187">
        <v>4.5066273932253296</v>
      </c>
      <c r="C926" s="188">
        <v>1.1200000000000001</v>
      </c>
      <c r="D926" s="186">
        <v>2.0299999999999999E-2</v>
      </c>
      <c r="E926" s="186">
        <v>0.30030000000000001</v>
      </c>
      <c r="F926" s="186">
        <v>970</v>
      </c>
      <c r="G926" s="182"/>
      <c r="H926" s="186">
        <v>9.85</v>
      </c>
      <c r="I926" s="182" t="s">
        <v>14</v>
      </c>
      <c r="J926" s="177">
        <v>1.2250000000000001</v>
      </c>
      <c r="K926" s="187">
        <v>9.6051188299817198</v>
      </c>
    </row>
    <row r="927" spans="1:11">
      <c r="A927" s="186" t="s">
        <v>38</v>
      </c>
      <c r="B927" s="187">
        <v>5.5081001472753996</v>
      </c>
      <c r="C927" s="188">
        <v>1.1200000000000001</v>
      </c>
      <c r="D927" s="186">
        <v>2.0299999999999999E-2</v>
      </c>
      <c r="E927" s="186">
        <v>0.30030000000000001</v>
      </c>
      <c r="F927" s="186">
        <v>970</v>
      </c>
      <c r="G927" s="182"/>
      <c r="H927" s="186">
        <v>9.85</v>
      </c>
      <c r="I927" s="182" t="s">
        <v>14</v>
      </c>
      <c r="J927" s="177">
        <v>1.2250000000000001</v>
      </c>
      <c r="K927" s="187">
        <v>10.2065813528336</v>
      </c>
    </row>
    <row r="928" spans="1:11">
      <c r="A928" s="186" t="s">
        <v>38</v>
      </c>
      <c r="B928" s="187">
        <v>6.9366715758468303</v>
      </c>
      <c r="C928" s="188">
        <v>1.1200000000000001</v>
      </c>
      <c r="D928" s="186">
        <v>2.0299999999999999E-2</v>
      </c>
      <c r="E928" s="186">
        <v>0.30030000000000001</v>
      </c>
      <c r="F928" s="186">
        <v>970</v>
      </c>
      <c r="G928" s="182"/>
      <c r="H928" s="186">
        <v>9.85</v>
      </c>
      <c r="I928" s="182" t="s">
        <v>14</v>
      </c>
      <c r="J928" s="177">
        <v>1.2250000000000001</v>
      </c>
      <c r="K928" s="187">
        <v>10.526508226691</v>
      </c>
    </row>
    <row r="929" spans="1:11">
      <c r="A929" s="186" t="s">
        <v>38</v>
      </c>
      <c r="B929" s="189">
        <v>0.95729013254786399</v>
      </c>
      <c r="C929" s="190">
        <v>2.5</v>
      </c>
      <c r="D929" s="186">
        <v>2.0299999999999999E-2</v>
      </c>
      <c r="E929" s="186">
        <v>0.30030000000000001</v>
      </c>
      <c r="F929" s="186">
        <v>970</v>
      </c>
      <c r="G929" s="182"/>
      <c r="H929" s="186">
        <v>9.85</v>
      </c>
      <c r="I929" s="182" t="s">
        <v>14</v>
      </c>
      <c r="J929" s="177">
        <v>1.2250000000000001</v>
      </c>
      <c r="K929" s="187">
        <v>5.7915904936014604</v>
      </c>
    </row>
    <row r="930" spans="1:11">
      <c r="A930" s="186" t="s">
        <v>38</v>
      </c>
      <c r="B930" s="189">
        <v>1.06038291605301</v>
      </c>
      <c r="C930" s="190">
        <v>2.5</v>
      </c>
      <c r="D930" s="186">
        <v>2.0299999999999999E-2</v>
      </c>
      <c r="E930" s="186">
        <v>0.30030000000000001</v>
      </c>
      <c r="F930" s="186">
        <v>970</v>
      </c>
      <c r="G930" s="182"/>
      <c r="H930" s="186">
        <v>9.85</v>
      </c>
      <c r="I930" s="182" t="s">
        <v>14</v>
      </c>
      <c r="J930" s="177">
        <v>1.2250000000000001</v>
      </c>
      <c r="K930" s="187">
        <v>6.58500914076782</v>
      </c>
    </row>
    <row r="931" spans="1:11">
      <c r="A931" s="186" t="s">
        <v>38</v>
      </c>
      <c r="B931" s="189">
        <v>1.4874815905743699</v>
      </c>
      <c r="C931" s="190">
        <v>2.5</v>
      </c>
      <c r="D931" s="186">
        <v>2.0299999999999999E-2</v>
      </c>
      <c r="E931" s="186">
        <v>0.30030000000000001</v>
      </c>
      <c r="F931" s="186">
        <v>970</v>
      </c>
      <c r="G931" s="182"/>
      <c r="H931" s="186">
        <v>9.85</v>
      </c>
      <c r="I931" s="182" t="s">
        <v>14</v>
      </c>
      <c r="J931" s="177">
        <v>1.2250000000000001</v>
      </c>
      <c r="K931" s="187">
        <v>7.39122486288848</v>
      </c>
    </row>
    <row r="932" spans="1:11">
      <c r="A932" s="186" t="s">
        <v>38</v>
      </c>
      <c r="B932" s="189">
        <v>2.07658321060382</v>
      </c>
      <c r="C932" s="190">
        <v>2.5</v>
      </c>
      <c r="D932" s="186">
        <v>2.0299999999999999E-2</v>
      </c>
      <c r="E932" s="186">
        <v>0.30030000000000001</v>
      </c>
      <c r="F932" s="186">
        <v>970</v>
      </c>
      <c r="G932" s="182"/>
      <c r="H932" s="186">
        <v>9.85</v>
      </c>
      <c r="I932" s="182" t="s">
        <v>14</v>
      </c>
      <c r="J932" s="177">
        <v>1.2250000000000001</v>
      </c>
      <c r="K932" s="187">
        <v>8.05667276051188</v>
      </c>
    </row>
    <row r="933" spans="1:11">
      <c r="A933" s="186" t="s">
        <v>38</v>
      </c>
      <c r="B933" s="189">
        <v>2.7245949926362298</v>
      </c>
      <c r="C933" s="190">
        <v>2.5</v>
      </c>
      <c r="D933" s="186">
        <v>2.0299999999999999E-2</v>
      </c>
      <c r="E933" s="186">
        <v>0.30030000000000001</v>
      </c>
      <c r="F933" s="186">
        <v>970</v>
      </c>
      <c r="G933" s="182"/>
      <c r="H933" s="186">
        <v>9.85</v>
      </c>
      <c r="I933" s="182" t="s">
        <v>14</v>
      </c>
      <c r="J933" s="177">
        <v>1.2250000000000001</v>
      </c>
      <c r="K933" s="187">
        <v>8.8756855575868308</v>
      </c>
    </row>
    <row r="934" spans="1:11">
      <c r="A934" s="186" t="s">
        <v>38</v>
      </c>
      <c r="B934" s="189">
        <v>3.8880706921943999</v>
      </c>
      <c r="C934" s="190">
        <v>2.5</v>
      </c>
      <c r="D934" s="186">
        <v>2.0299999999999999E-2</v>
      </c>
      <c r="E934" s="186">
        <v>0.30030000000000001</v>
      </c>
      <c r="F934" s="186">
        <v>970</v>
      </c>
      <c r="G934" s="182"/>
      <c r="H934" s="186">
        <v>9.85</v>
      </c>
      <c r="I934" s="182" t="s">
        <v>14</v>
      </c>
      <c r="J934" s="177">
        <v>1.2250000000000001</v>
      </c>
      <c r="K934" s="187">
        <v>9.7458866544789693</v>
      </c>
    </row>
    <row r="935" spans="1:11">
      <c r="A935" s="186" t="s">
        <v>38</v>
      </c>
      <c r="B935" s="189">
        <v>4.8600883652429996</v>
      </c>
      <c r="C935" s="190">
        <v>2.5</v>
      </c>
      <c r="D935" s="186">
        <v>2.0299999999999999E-2</v>
      </c>
      <c r="E935" s="186">
        <v>0.30030000000000001</v>
      </c>
      <c r="F935" s="186">
        <v>970</v>
      </c>
      <c r="G935" s="182"/>
      <c r="H935" s="186">
        <v>9.85</v>
      </c>
      <c r="I935" s="182" t="s">
        <v>14</v>
      </c>
      <c r="J935" s="177">
        <v>1.2250000000000001</v>
      </c>
      <c r="K935" s="187">
        <v>10.3217550274223</v>
      </c>
    </row>
    <row r="936" spans="1:11">
      <c r="A936" s="186" t="s">
        <v>38</v>
      </c>
      <c r="B936" s="189">
        <v>5.1104565537555198</v>
      </c>
      <c r="C936" s="190">
        <v>2.5</v>
      </c>
      <c r="D936" s="186">
        <v>1.2500000000000001E-2</v>
      </c>
      <c r="E936" s="186">
        <v>3.9800000000000002E-2</v>
      </c>
      <c r="F936" s="186">
        <v>859</v>
      </c>
      <c r="G936" s="182"/>
      <c r="H936" s="186">
        <v>199.85</v>
      </c>
      <c r="I936" s="182" t="s">
        <v>14</v>
      </c>
      <c r="J936" s="177">
        <v>1.2250000000000001</v>
      </c>
      <c r="K936" s="187">
        <v>10.449725776965201</v>
      </c>
    </row>
    <row r="937" spans="1:11">
      <c r="A937" s="186" t="s">
        <v>38</v>
      </c>
      <c r="B937" s="189">
        <v>0.41452344931921298</v>
      </c>
      <c r="C937" s="190">
        <v>1.1200000000000001</v>
      </c>
      <c r="D937" s="186">
        <v>1.2500000000000001E-2</v>
      </c>
      <c r="E937" s="186">
        <v>3.9800000000000002E-2</v>
      </c>
      <c r="F937" s="186">
        <v>859</v>
      </c>
      <c r="G937" s="182"/>
      <c r="H937" s="186">
        <v>199.85</v>
      </c>
      <c r="I937" s="182" t="s">
        <v>14</v>
      </c>
      <c r="J937" s="177">
        <v>1.2250000000000001</v>
      </c>
      <c r="K937" s="187">
        <v>3.9523809523809499</v>
      </c>
    </row>
    <row r="938" spans="1:11">
      <c r="A938" s="186" t="s">
        <v>38</v>
      </c>
      <c r="B938" s="189">
        <v>1.1301059001512801</v>
      </c>
      <c r="C938" s="190">
        <v>1.1200000000000001</v>
      </c>
      <c r="D938" s="186">
        <v>1.2500000000000001E-2</v>
      </c>
      <c r="E938" s="186">
        <v>3.9800000000000002E-2</v>
      </c>
      <c r="F938" s="186">
        <v>859</v>
      </c>
      <c r="G938" s="182"/>
      <c r="H938" s="186">
        <v>199.85</v>
      </c>
      <c r="I938" s="182" t="s">
        <v>14</v>
      </c>
      <c r="J938" s="177">
        <v>1.2250000000000001</v>
      </c>
      <c r="K938" s="187">
        <v>4.5178571428571397</v>
      </c>
    </row>
    <row r="939" spans="1:11">
      <c r="A939" s="186" t="s">
        <v>38</v>
      </c>
      <c r="B939" s="189">
        <v>2.3116490166414501</v>
      </c>
      <c r="C939" s="190">
        <v>1.1200000000000001</v>
      </c>
      <c r="D939" s="186">
        <v>1.2500000000000001E-2</v>
      </c>
      <c r="E939" s="186">
        <v>3.9800000000000002E-2</v>
      </c>
      <c r="F939" s="186">
        <v>859</v>
      </c>
      <c r="G939" s="182"/>
      <c r="H939" s="186">
        <v>199.85</v>
      </c>
      <c r="I939" s="182" t="s">
        <v>14</v>
      </c>
      <c r="J939" s="177">
        <v>1.2250000000000001</v>
      </c>
      <c r="K939" s="187">
        <v>5.5595238095238004</v>
      </c>
    </row>
    <row r="940" spans="1:11">
      <c r="A940" s="186" t="s">
        <v>38</v>
      </c>
      <c r="B940" s="189">
        <v>3.92586989409984</v>
      </c>
      <c r="C940" s="190">
        <v>1.1200000000000001</v>
      </c>
      <c r="D940" s="186">
        <v>1.2500000000000001E-2</v>
      </c>
      <c r="E940" s="186">
        <v>3.9800000000000002E-2</v>
      </c>
      <c r="F940" s="186">
        <v>859</v>
      </c>
      <c r="G940" s="182"/>
      <c r="H940" s="186">
        <v>199.85</v>
      </c>
      <c r="I940" s="182" t="s">
        <v>14</v>
      </c>
      <c r="J940" s="177">
        <v>1.2250000000000001</v>
      </c>
      <c r="K940" s="187">
        <v>6.3630952380952301</v>
      </c>
    </row>
    <row r="941" spans="1:11">
      <c r="A941" s="186" t="s">
        <v>38</v>
      </c>
      <c r="B941" s="189">
        <v>4.7579425113464398</v>
      </c>
      <c r="C941" s="190">
        <v>1.1200000000000001</v>
      </c>
      <c r="D941" s="186">
        <v>1.2500000000000001E-2</v>
      </c>
      <c r="E941" s="186">
        <v>3.9800000000000002E-2</v>
      </c>
      <c r="F941" s="186">
        <v>859</v>
      </c>
      <c r="G941" s="182"/>
      <c r="H941" s="186">
        <v>199.85</v>
      </c>
      <c r="I941" s="182" t="s">
        <v>14</v>
      </c>
      <c r="J941" s="177">
        <v>1.2250000000000001</v>
      </c>
      <c r="K941" s="187">
        <v>6.8839285714285703</v>
      </c>
    </row>
    <row r="942" spans="1:11">
      <c r="A942" s="186" t="s">
        <v>38</v>
      </c>
      <c r="B942" s="189">
        <v>7.6535552193645904</v>
      </c>
      <c r="C942" s="190">
        <v>1.1200000000000001</v>
      </c>
      <c r="D942" s="186">
        <v>1.2500000000000001E-2</v>
      </c>
      <c r="E942" s="186">
        <v>3.9800000000000002E-2</v>
      </c>
      <c r="F942" s="186">
        <v>859</v>
      </c>
      <c r="G942" s="182"/>
      <c r="H942" s="186">
        <v>199.85</v>
      </c>
      <c r="I942" s="182" t="s">
        <v>14</v>
      </c>
      <c r="J942" s="177">
        <v>1.2250000000000001</v>
      </c>
      <c r="K942" s="187">
        <v>7.9255952380952301</v>
      </c>
    </row>
    <row r="943" spans="1:11">
      <c r="A943" s="186" t="s">
        <v>38</v>
      </c>
      <c r="B943" s="189">
        <v>0.76399394856278302</v>
      </c>
      <c r="C943" s="190">
        <v>2.25</v>
      </c>
      <c r="D943" s="186">
        <v>1.2500000000000001E-2</v>
      </c>
      <c r="E943" s="186">
        <v>3.9800000000000002E-2</v>
      </c>
      <c r="F943" s="186">
        <v>859</v>
      </c>
      <c r="G943" s="182"/>
      <c r="H943" s="186">
        <v>199.85</v>
      </c>
      <c r="I943" s="182" t="s">
        <v>14</v>
      </c>
      <c r="J943" s="177">
        <v>1.2250000000000001</v>
      </c>
      <c r="K943" s="187">
        <v>3.5505952380952301</v>
      </c>
    </row>
    <row r="944" spans="1:11">
      <c r="A944" s="186" t="s">
        <v>38</v>
      </c>
      <c r="B944" s="189">
        <v>0.980332829046898</v>
      </c>
      <c r="C944" s="190">
        <v>2.25</v>
      </c>
      <c r="D944" s="186">
        <v>1.2500000000000001E-2</v>
      </c>
      <c r="E944" s="186">
        <v>3.9800000000000002E-2</v>
      </c>
      <c r="F944" s="186">
        <v>859</v>
      </c>
      <c r="G944" s="182"/>
      <c r="H944" s="186">
        <v>199.85</v>
      </c>
      <c r="I944" s="182" t="s">
        <v>14</v>
      </c>
      <c r="J944" s="177">
        <v>1.2250000000000001</v>
      </c>
      <c r="K944" s="187">
        <v>3.7886904761904701</v>
      </c>
    </row>
    <row r="945" spans="1:11">
      <c r="A945" s="186" t="s">
        <v>38</v>
      </c>
      <c r="B945" s="189">
        <v>1.4462934947049899</v>
      </c>
      <c r="C945" s="190">
        <v>2.25</v>
      </c>
      <c r="D945" s="186">
        <v>1.2500000000000001E-2</v>
      </c>
      <c r="E945" s="186">
        <v>3.9800000000000002E-2</v>
      </c>
      <c r="F945" s="186">
        <v>859</v>
      </c>
      <c r="G945" s="182"/>
      <c r="H945" s="186">
        <v>199.85</v>
      </c>
      <c r="I945" s="182" t="s">
        <v>14</v>
      </c>
      <c r="J945" s="177">
        <v>1.2250000000000001</v>
      </c>
      <c r="K945" s="187">
        <v>4.2053571428571397</v>
      </c>
    </row>
    <row r="946" spans="1:11">
      <c r="A946" s="186" t="s">
        <v>38</v>
      </c>
      <c r="B946" s="189">
        <v>3.31013615733736</v>
      </c>
      <c r="C946" s="190">
        <v>2.25</v>
      </c>
      <c r="D946" s="186">
        <v>1.2500000000000001E-2</v>
      </c>
      <c r="E946" s="186">
        <v>3.9800000000000002E-2</v>
      </c>
      <c r="F946" s="186">
        <v>859</v>
      </c>
      <c r="G946" s="182"/>
      <c r="H946" s="186">
        <v>199.85</v>
      </c>
      <c r="I946" s="182" t="s">
        <v>14</v>
      </c>
      <c r="J946" s="177">
        <v>1.2250000000000001</v>
      </c>
      <c r="K946" s="187">
        <v>5.5446428571428497</v>
      </c>
    </row>
    <row r="947" spans="1:11">
      <c r="A947" s="186" t="s">
        <v>38</v>
      </c>
      <c r="B947" s="189">
        <v>4.5748865355521904</v>
      </c>
      <c r="C947" s="190">
        <v>2.25</v>
      </c>
      <c r="D947" s="186">
        <v>1.2500000000000001E-2</v>
      </c>
      <c r="E947" s="186">
        <v>3.9800000000000002E-2</v>
      </c>
      <c r="F947" s="186">
        <v>859</v>
      </c>
      <c r="G947" s="182"/>
      <c r="H947" s="186">
        <v>199.85</v>
      </c>
      <c r="I947" s="182" t="s">
        <v>14</v>
      </c>
      <c r="J947" s="177">
        <v>1.2250000000000001</v>
      </c>
      <c r="K947" s="187">
        <v>6.1696428571428497</v>
      </c>
    </row>
    <row r="948" spans="1:11">
      <c r="A948" s="186" t="s">
        <v>38</v>
      </c>
      <c r="B948" s="189">
        <v>6.0226928895612701</v>
      </c>
      <c r="C948" s="190">
        <v>2.25</v>
      </c>
      <c r="D948" s="186">
        <v>1.2500000000000001E-2</v>
      </c>
      <c r="E948" s="186">
        <v>3.9800000000000002E-2</v>
      </c>
      <c r="F948" s="186">
        <v>859</v>
      </c>
      <c r="G948" s="182"/>
      <c r="H948" s="186">
        <v>199.85</v>
      </c>
      <c r="I948" s="182" t="s">
        <v>14</v>
      </c>
      <c r="J948" s="177">
        <v>1.2250000000000001</v>
      </c>
      <c r="K948" s="187">
        <v>6.5863095238095202</v>
      </c>
    </row>
    <row r="949" spans="1:11">
      <c r="A949" s="186" t="s">
        <v>38</v>
      </c>
      <c r="B949" s="189">
        <v>7.0877458396369102</v>
      </c>
      <c r="C949" s="190">
        <v>2.25</v>
      </c>
      <c r="D949" s="186">
        <v>1.2500000000000001E-2</v>
      </c>
      <c r="E949" s="186">
        <v>3.9800000000000002E-2</v>
      </c>
      <c r="F949" s="186">
        <v>859</v>
      </c>
      <c r="G949" s="182"/>
      <c r="H949" s="186">
        <v>199.85</v>
      </c>
      <c r="I949" s="182" t="s">
        <v>14</v>
      </c>
      <c r="J949" s="177">
        <v>1.2250000000000001</v>
      </c>
      <c r="K949" s="187">
        <v>7.0625</v>
      </c>
    </row>
    <row r="950" spans="1:11">
      <c r="A950" s="191" t="s">
        <v>52</v>
      </c>
      <c r="B950" s="192">
        <v>9.9241649693681193</v>
      </c>
      <c r="C950" s="193">
        <v>0.39900000000000002</v>
      </c>
      <c r="D950" s="191">
        <v>7.1999999999999995E-2</v>
      </c>
      <c r="E950" s="191">
        <v>1E-3</v>
      </c>
      <c r="F950" s="191">
        <v>1000</v>
      </c>
      <c r="G950" s="194"/>
      <c r="H950" s="191">
        <v>25</v>
      </c>
      <c r="I950" s="191" t="s">
        <v>12</v>
      </c>
      <c r="J950" s="195"/>
      <c r="K950" s="192">
        <v>3.51234855073929</v>
      </c>
    </row>
    <row r="951" spans="1:11">
      <c r="A951" s="191" t="s">
        <v>52</v>
      </c>
      <c r="B951" s="192">
        <v>20.695637473131601</v>
      </c>
      <c r="C951" s="193">
        <v>0.39900000000000002</v>
      </c>
      <c r="D951" s="191">
        <v>7.1999999999999995E-2</v>
      </c>
      <c r="E951" s="191">
        <v>1E-3</v>
      </c>
      <c r="F951" s="191">
        <v>1000</v>
      </c>
      <c r="G951" s="194"/>
      <c r="H951" s="191">
        <v>25</v>
      </c>
      <c r="I951" s="191" t="s">
        <v>12</v>
      </c>
      <c r="J951" s="195"/>
      <c r="K951" s="192">
        <v>3.6139282752482802</v>
      </c>
    </row>
    <row r="952" spans="1:11">
      <c r="A952" s="191" t="s">
        <v>52</v>
      </c>
      <c r="B952" s="192">
        <v>24.749027910833401</v>
      </c>
      <c r="C952" s="193">
        <v>0.39900000000000002</v>
      </c>
      <c r="D952" s="191">
        <v>7.1999999999999995E-2</v>
      </c>
      <c r="E952" s="191">
        <v>1E-3</v>
      </c>
      <c r="F952" s="191">
        <v>1000</v>
      </c>
      <c r="G952" s="194"/>
      <c r="H952" s="191">
        <v>25</v>
      </c>
      <c r="I952" s="191" t="s">
        <v>12</v>
      </c>
      <c r="J952" s="195"/>
      <c r="K952" s="192">
        <v>3.8856570723517798</v>
      </c>
    </row>
    <row r="953" spans="1:11">
      <c r="A953" s="191" t="s">
        <v>52</v>
      </c>
      <c r="B953" s="192">
        <v>29.492742539265901</v>
      </c>
      <c r="C953" s="193">
        <v>0.39900000000000002</v>
      </c>
      <c r="D953" s="191">
        <v>7.1999999999999995E-2</v>
      </c>
      <c r="E953" s="191">
        <v>1E-3</v>
      </c>
      <c r="F953" s="191">
        <v>1000</v>
      </c>
      <c r="G953" s="194"/>
      <c r="H953" s="191">
        <v>25</v>
      </c>
      <c r="I953" s="191" t="s">
        <v>12</v>
      </c>
      <c r="J953" s="195"/>
      <c r="K953" s="192">
        <v>3.9575638665830599</v>
      </c>
    </row>
    <row r="954" spans="1:11">
      <c r="A954" s="191" t="s">
        <v>52</v>
      </c>
      <c r="B954" s="192">
        <v>34.743634124153701</v>
      </c>
      <c r="C954" s="193">
        <v>0.39900000000000002</v>
      </c>
      <c r="D954" s="191">
        <v>7.1999999999999995E-2</v>
      </c>
      <c r="E954" s="191">
        <v>1E-3</v>
      </c>
      <c r="F954" s="191">
        <v>1000</v>
      </c>
      <c r="G954" s="194"/>
      <c r="H954" s="191">
        <v>25</v>
      </c>
      <c r="I954" s="191" t="s">
        <v>12</v>
      </c>
      <c r="J954" s="195"/>
      <c r="K954" s="192">
        <v>3.9966423269078999</v>
      </c>
    </row>
    <row r="955" spans="1:11">
      <c r="A955" s="191" t="s">
        <v>52</v>
      </c>
      <c r="B955" s="192">
        <v>40.572143909448698</v>
      </c>
      <c r="C955" s="193">
        <v>0.39900000000000002</v>
      </c>
      <c r="D955" s="191">
        <v>7.1999999999999995E-2</v>
      </c>
      <c r="E955" s="191">
        <v>1E-3</v>
      </c>
      <c r="F955" s="191">
        <v>1000</v>
      </c>
      <c r="G955" s="194"/>
      <c r="H955" s="191">
        <v>25</v>
      </c>
      <c r="I955" s="191" t="s">
        <v>12</v>
      </c>
      <c r="J955" s="195"/>
      <c r="K955" s="192">
        <v>4.0213394283864901</v>
      </c>
    </row>
    <row r="956" spans="1:11">
      <c r="A956" s="191" t="s">
        <v>52</v>
      </c>
      <c r="B956" s="192">
        <v>50.695556968852898</v>
      </c>
      <c r="C956" s="193">
        <v>0.39900000000000002</v>
      </c>
      <c r="D956" s="191">
        <v>7.1999999999999995E-2</v>
      </c>
      <c r="E956" s="191">
        <v>1E-3</v>
      </c>
      <c r="F956" s="191">
        <v>1000</v>
      </c>
      <c r="G956" s="194"/>
      <c r="H956" s="191">
        <v>25</v>
      </c>
      <c r="I956" s="191" t="s">
        <v>12</v>
      </c>
      <c r="J956" s="195"/>
      <c r="K956" s="192">
        <v>4.11339226117033</v>
      </c>
    </row>
    <row r="957" spans="1:11">
      <c r="A957" s="191" t="s">
        <v>52</v>
      </c>
      <c r="B957" s="192">
        <v>85.070884017485497</v>
      </c>
      <c r="C957" s="193">
        <v>0.39900000000000002</v>
      </c>
      <c r="D957" s="191">
        <v>7.1999999999999995E-2</v>
      </c>
      <c r="E957" s="191">
        <v>1E-3</v>
      </c>
      <c r="F957" s="191">
        <v>1000</v>
      </c>
      <c r="G957" s="194"/>
      <c r="H957" s="191">
        <v>25</v>
      </c>
      <c r="I957" s="191" t="s">
        <v>12</v>
      </c>
      <c r="J957" s="195"/>
      <c r="K957" s="192">
        <v>4.0974332005097196</v>
      </c>
    </row>
    <row r="958" spans="1:11">
      <c r="A958" s="191" t="s">
        <v>52</v>
      </c>
      <c r="B958" s="192">
        <v>130.734923561187</v>
      </c>
      <c r="C958" s="193">
        <v>0.39900000000000002</v>
      </c>
      <c r="D958" s="191">
        <v>7.1999999999999995E-2</v>
      </c>
      <c r="E958" s="191">
        <v>1E-3</v>
      </c>
      <c r="F958" s="191">
        <v>1000</v>
      </c>
      <c r="G958" s="194"/>
      <c r="H958" s="191">
        <v>25</v>
      </c>
      <c r="I958" s="191" t="s">
        <v>12</v>
      </c>
      <c r="J958" s="195"/>
      <c r="K958" s="192">
        <v>4.7545460061894396</v>
      </c>
    </row>
    <row r="959" spans="1:11">
      <c r="A959" s="191" t="s">
        <v>52</v>
      </c>
      <c r="B959" s="192">
        <v>175.57379424716399</v>
      </c>
      <c r="C959" s="193">
        <v>0.39900000000000002</v>
      </c>
      <c r="D959" s="191">
        <v>7.1999999999999995E-2</v>
      </c>
      <c r="E959" s="191">
        <v>1E-3</v>
      </c>
      <c r="F959" s="191">
        <v>1000</v>
      </c>
      <c r="G959" s="194"/>
      <c r="H959" s="191">
        <v>25</v>
      </c>
      <c r="I959" s="191" t="s">
        <v>12</v>
      </c>
      <c r="J959" s="195"/>
      <c r="K959" s="192">
        <v>5.4637836525819701</v>
      </c>
    </row>
    <row r="960" spans="1:11">
      <c r="A960" s="191" t="s">
        <v>52</v>
      </c>
      <c r="B960" s="192">
        <v>219.826996304853</v>
      </c>
      <c r="C960" s="193">
        <v>0.39900000000000002</v>
      </c>
      <c r="D960" s="191">
        <v>7.1999999999999995E-2</v>
      </c>
      <c r="E960" s="191">
        <v>1E-3</v>
      </c>
      <c r="F960" s="191">
        <v>1000</v>
      </c>
      <c r="G960" s="194"/>
      <c r="H960" s="191">
        <v>25</v>
      </c>
      <c r="I960" s="191" t="s">
        <v>12</v>
      </c>
      <c r="J960" s="195"/>
      <c r="K960" s="192">
        <v>5.6268330670118702</v>
      </c>
    </row>
    <row r="961" spans="1:11">
      <c r="A961" s="191" t="s">
        <v>52</v>
      </c>
      <c r="B961" s="195">
        <v>40.696523020198498</v>
      </c>
      <c r="C961" s="193">
        <v>0.82</v>
      </c>
      <c r="D961" s="191">
        <v>7.1999999999999995E-2</v>
      </c>
      <c r="E961" s="191">
        <v>1E-3</v>
      </c>
      <c r="F961" s="191">
        <v>1000</v>
      </c>
      <c r="G961" s="194"/>
      <c r="H961" s="191">
        <v>25</v>
      </c>
      <c r="I961" s="191" t="s">
        <v>12</v>
      </c>
      <c r="J961" s="195"/>
      <c r="K961" s="195">
        <v>3.8224349819981001</v>
      </c>
    </row>
    <row r="962" spans="1:11">
      <c r="A962" s="191" t="s">
        <v>52</v>
      </c>
      <c r="B962" s="195">
        <v>31.113293671558601</v>
      </c>
      <c r="C962" s="193">
        <v>0.82</v>
      </c>
      <c r="D962" s="191">
        <v>7.1999999999999995E-2</v>
      </c>
      <c r="E962" s="191">
        <v>1E-3</v>
      </c>
      <c r="F962" s="191">
        <v>1000</v>
      </c>
      <c r="G962" s="194"/>
      <c r="H962" s="191">
        <v>25</v>
      </c>
      <c r="I962" s="191" t="s">
        <v>12</v>
      </c>
      <c r="J962" s="195"/>
      <c r="K962" s="195">
        <v>4.0239153609429303</v>
      </c>
    </row>
    <row r="963" spans="1:11">
      <c r="A963" s="191" t="s">
        <v>52</v>
      </c>
      <c r="B963" s="195">
        <v>50.856163005063699</v>
      </c>
      <c r="C963" s="193">
        <v>0.82</v>
      </c>
      <c r="D963" s="191">
        <v>7.1999999999999995E-2</v>
      </c>
      <c r="E963" s="191">
        <v>1E-3</v>
      </c>
      <c r="F963" s="191">
        <v>1000</v>
      </c>
      <c r="G963" s="194"/>
      <c r="H963" s="191">
        <v>25</v>
      </c>
      <c r="I963" s="191" t="s">
        <v>12</v>
      </c>
      <c r="J963" s="195"/>
      <c r="K963" s="195">
        <v>3.8062634511334101</v>
      </c>
    </row>
    <row r="964" spans="1:11">
      <c r="A964" s="191" t="s">
        <v>52</v>
      </c>
      <c r="B964" s="195">
        <v>60.107714725037603</v>
      </c>
      <c r="C964" s="193">
        <v>0.82</v>
      </c>
      <c r="D964" s="191">
        <v>7.1999999999999995E-2</v>
      </c>
      <c r="E964" s="191">
        <v>1E-3</v>
      </c>
      <c r="F964" s="191">
        <v>1000</v>
      </c>
      <c r="G964" s="194"/>
      <c r="H964" s="191">
        <v>25</v>
      </c>
      <c r="I964" s="191" t="s">
        <v>12</v>
      </c>
      <c r="J964" s="195"/>
      <c r="K964" s="195">
        <v>3.91807631192549</v>
      </c>
    </row>
    <row r="965" spans="1:11">
      <c r="A965" s="191" t="s">
        <v>52</v>
      </c>
      <c r="B965" s="195">
        <v>67.014981846285096</v>
      </c>
      <c r="C965" s="193">
        <v>0.82</v>
      </c>
      <c r="D965" s="191">
        <v>7.1999999999999995E-2</v>
      </c>
      <c r="E965" s="191">
        <v>1E-3</v>
      </c>
      <c r="F965" s="191">
        <v>1000</v>
      </c>
      <c r="G965" s="194"/>
      <c r="H965" s="191">
        <v>25</v>
      </c>
      <c r="I965" s="191" t="s">
        <v>12</v>
      </c>
      <c r="J965" s="195"/>
      <c r="K965" s="195">
        <v>4.0398455256753198</v>
      </c>
    </row>
    <row r="966" spans="1:11">
      <c r="A966" s="191" t="s">
        <v>52</v>
      </c>
      <c r="B966" s="195">
        <v>70.753600553869404</v>
      </c>
      <c r="C966" s="193">
        <v>0.82</v>
      </c>
      <c r="D966" s="191">
        <v>7.1999999999999995E-2</v>
      </c>
      <c r="E966" s="191">
        <v>1E-3</v>
      </c>
      <c r="F966" s="191">
        <v>1000</v>
      </c>
      <c r="G966" s="194"/>
      <c r="H966" s="191">
        <v>25</v>
      </c>
      <c r="I966" s="191" t="s">
        <v>12</v>
      </c>
      <c r="J966" s="195"/>
      <c r="K966" s="195">
        <v>4.32441619566747</v>
      </c>
    </row>
    <row r="967" spans="1:11">
      <c r="A967" s="191" t="s">
        <v>52</v>
      </c>
      <c r="B967" s="195">
        <v>75.133033320720997</v>
      </c>
      <c r="C967" s="193">
        <v>0.82</v>
      </c>
      <c r="D967" s="191">
        <v>7.1999999999999995E-2</v>
      </c>
      <c r="E967" s="191">
        <v>1E-3</v>
      </c>
      <c r="F967" s="191">
        <v>1000</v>
      </c>
      <c r="G967" s="194"/>
      <c r="H967" s="191">
        <v>25</v>
      </c>
      <c r="I967" s="191" t="s">
        <v>12</v>
      </c>
      <c r="J967" s="195"/>
      <c r="K967" s="195">
        <v>4.1990868314660901</v>
      </c>
    </row>
    <row r="968" spans="1:11">
      <c r="A968" s="191" t="s">
        <v>52</v>
      </c>
      <c r="B968" s="195">
        <v>80.175821344904406</v>
      </c>
      <c r="C968" s="193">
        <v>0.82</v>
      </c>
      <c r="D968" s="191">
        <v>7.1999999999999995E-2</v>
      </c>
      <c r="E968" s="191">
        <v>1E-3</v>
      </c>
      <c r="F968" s="191">
        <v>1000</v>
      </c>
      <c r="G968" s="194"/>
      <c r="H968" s="191">
        <v>25</v>
      </c>
      <c r="I968" s="191" t="s">
        <v>12</v>
      </c>
      <c r="J968" s="195"/>
      <c r="K968" s="195">
        <v>4.1406158859142703</v>
      </c>
    </row>
    <row r="969" spans="1:11">
      <c r="A969" s="191" t="s">
        <v>52</v>
      </c>
      <c r="B969" s="195">
        <v>171.39038939919601</v>
      </c>
      <c r="C969" s="193">
        <v>0.82</v>
      </c>
      <c r="D969" s="191">
        <v>7.1999999999999995E-2</v>
      </c>
      <c r="E969" s="191">
        <v>1E-3</v>
      </c>
      <c r="F969" s="191">
        <v>1000</v>
      </c>
      <c r="G969" s="194"/>
      <c r="H969" s="191">
        <v>25</v>
      </c>
      <c r="I969" s="191" t="s">
        <v>12</v>
      </c>
      <c r="J969" s="195"/>
      <c r="K969" s="195">
        <v>5.0712030090311098</v>
      </c>
    </row>
    <row r="970" spans="1:11">
      <c r="A970" s="191" t="s">
        <v>52</v>
      </c>
      <c r="B970" s="195">
        <v>258.97904473622702</v>
      </c>
      <c r="C970" s="193">
        <v>0.82</v>
      </c>
      <c r="D970" s="191">
        <v>7.1999999999999995E-2</v>
      </c>
      <c r="E970" s="191">
        <v>1E-3</v>
      </c>
      <c r="F970" s="191">
        <v>1000</v>
      </c>
      <c r="G970" s="194"/>
      <c r="H970" s="191">
        <v>25</v>
      </c>
      <c r="I970" s="191" t="s">
        <v>12</v>
      </c>
      <c r="J970" s="195"/>
      <c r="K970" s="195">
        <v>7.1912424321660602</v>
      </c>
    </row>
    <row r="971" spans="1:11">
      <c r="A971" s="191" t="s">
        <v>52</v>
      </c>
      <c r="B971" s="195">
        <v>351.29491132453597</v>
      </c>
      <c r="C971" s="193">
        <v>0.82</v>
      </c>
      <c r="D971" s="191">
        <v>7.1999999999999995E-2</v>
      </c>
      <c r="E971" s="191">
        <v>1E-3</v>
      </c>
      <c r="F971" s="191">
        <v>1000</v>
      </c>
      <c r="G971" s="194"/>
      <c r="H971" s="191">
        <v>25</v>
      </c>
      <c r="I971" s="191" t="s">
        <v>12</v>
      </c>
      <c r="J971" s="195"/>
      <c r="K971" s="195">
        <v>7.4643482108735402</v>
      </c>
    </row>
    <row r="972" spans="1:11">
      <c r="A972" s="191" t="s">
        <v>52</v>
      </c>
      <c r="B972" s="192">
        <v>0.59130963719455998</v>
      </c>
      <c r="C972" s="193">
        <v>0.03</v>
      </c>
      <c r="D972" s="192">
        <v>7.1999999999999995E-2</v>
      </c>
      <c r="E972" s="191">
        <v>1E-3</v>
      </c>
      <c r="F972" s="192">
        <v>1000</v>
      </c>
      <c r="G972" s="194"/>
      <c r="H972" s="192">
        <v>25</v>
      </c>
      <c r="I972" s="191" t="s">
        <v>12</v>
      </c>
      <c r="J972" s="195"/>
      <c r="K972" s="192">
        <v>1.33101791742404</v>
      </c>
    </row>
    <row r="973" spans="1:11">
      <c r="A973" s="191" t="s">
        <v>52</v>
      </c>
      <c r="B973" s="192">
        <v>1.03903379941253</v>
      </c>
      <c r="C973" s="193">
        <v>0.03</v>
      </c>
      <c r="D973" s="192">
        <v>7.1999999999999995E-2</v>
      </c>
      <c r="E973" s="191">
        <v>1E-3</v>
      </c>
      <c r="F973" s="192">
        <v>1000</v>
      </c>
      <c r="G973" s="194"/>
      <c r="H973" s="192">
        <v>25</v>
      </c>
      <c r="I973" s="191" t="s">
        <v>12</v>
      </c>
      <c r="J973" s="195"/>
      <c r="K973" s="192">
        <v>1.36619359606895</v>
      </c>
    </row>
    <row r="974" spans="1:11">
      <c r="A974" s="191" t="s">
        <v>52</v>
      </c>
      <c r="B974" s="192">
        <v>1.55959117357515</v>
      </c>
      <c r="C974" s="193">
        <v>0.03</v>
      </c>
      <c r="D974" s="192">
        <v>7.1999999999999995E-2</v>
      </c>
      <c r="E974" s="191">
        <v>1E-3</v>
      </c>
      <c r="F974" s="192">
        <v>1000</v>
      </c>
      <c r="G974" s="194"/>
      <c r="H974" s="192">
        <v>25</v>
      </c>
      <c r="I974" s="191" t="s">
        <v>12</v>
      </c>
      <c r="J974" s="195"/>
      <c r="K974" s="192">
        <v>1.49952559774683</v>
      </c>
    </row>
    <row r="975" spans="1:11">
      <c r="A975" s="191" t="s">
        <v>52</v>
      </c>
      <c r="B975" s="192">
        <v>2.0135581825312299</v>
      </c>
      <c r="C975" s="193">
        <v>0.03</v>
      </c>
      <c r="D975" s="192">
        <v>7.1999999999999995E-2</v>
      </c>
      <c r="E975" s="191">
        <v>1E-3</v>
      </c>
      <c r="F975" s="192">
        <v>1000</v>
      </c>
      <c r="G975" s="194"/>
      <c r="H975" s="192">
        <v>25</v>
      </c>
      <c r="I975" s="191" t="s">
        <v>12</v>
      </c>
      <c r="J975" s="195"/>
      <c r="K975" s="192">
        <v>1.52804965743163</v>
      </c>
    </row>
    <row r="976" spans="1:11">
      <c r="A976" s="191" t="s">
        <v>52</v>
      </c>
      <c r="B976" s="192">
        <v>2.5650096443978398</v>
      </c>
      <c r="C976" s="193">
        <v>0.03</v>
      </c>
      <c r="D976" s="192">
        <v>7.1999999999999995E-2</v>
      </c>
      <c r="E976" s="191">
        <v>1E-3</v>
      </c>
      <c r="F976" s="192">
        <v>1000</v>
      </c>
      <c r="G976" s="194"/>
      <c r="H976" s="192">
        <v>25</v>
      </c>
      <c r="I976" s="191" t="s">
        <v>12</v>
      </c>
      <c r="J976" s="195"/>
      <c r="K976" s="192">
        <v>1.2755128538042</v>
      </c>
    </row>
    <row r="977" spans="1:11">
      <c r="A977" s="191" t="s">
        <v>52</v>
      </c>
      <c r="B977" s="192">
        <v>3.0064909598776999</v>
      </c>
      <c r="C977" s="193">
        <v>0.03</v>
      </c>
      <c r="D977" s="192">
        <v>7.1999999999999995E-2</v>
      </c>
      <c r="E977" s="191">
        <v>1E-3</v>
      </c>
      <c r="F977" s="192">
        <v>1000</v>
      </c>
      <c r="G977" s="194"/>
      <c r="H977" s="192">
        <v>25</v>
      </c>
      <c r="I977" s="191" t="s">
        <v>12</v>
      </c>
      <c r="J977" s="195"/>
      <c r="K977" s="192">
        <v>1.25912350438447</v>
      </c>
    </row>
    <row r="978" spans="1:11">
      <c r="A978" s="191" t="s">
        <v>52</v>
      </c>
      <c r="B978" s="192">
        <v>3.5169637354633698</v>
      </c>
      <c r="C978" s="193">
        <v>0.03</v>
      </c>
      <c r="D978" s="192">
        <v>7.1999999999999995E-2</v>
      </c>
      <c r="E978" s="191">
        <v>1E-3</v>
      </c>
      <c r="F978" s="192">
        <v>1000</v>
      </c>
      <c r="G978" s="194"/>
      <c r="H978" s="192">
        <v>25</v>
      </c>
      <c r="I978" s="191" t="s">
        <v>12</v>
      </c>
      <c r="J978" s="195"/>
      <c r="K978" s="192">
        <v>1.2489962647064601</v>
      </c>
    </row>
    <row r="979" spans="1:11">
      <c r="A979" s="191" t="s">
        <v>52</v>
      </c>
      <c r="B979" s="192">
        <v>4.0288771679886004</v>
      </c>
      <c r="C979" s="193">
        <v>0.03</v>
      </c>
      <c r="D979" s="192">
        <v>7.1999999999999995E-2</v>
      </c>
      <c r="E979" s="191">
        <v>1E-3</v>
      </c>
      <c r="F979" s="192">
        <v>1000</v>
      </c>
      <c r="G979" s="194"/>
      <c r="H979" s="192">
        <v>25</v>
      </c>
      <c r="I979" s="191" t="s">
        <v>12</v>
      </c>
      <c r="J979" s="195"/>
      <c r="K979" s="192">
        <v>1.2327866887721399</v>
      </c>
    </row>
    <row r="980" spans="1:11">
      <c r="A980" s="191" t="s">
        <v>52</v>
      </c>
      <c r="B980" s="192">
        <v>4.4916481915753499</v>
      </c>
      <c r="C980" s="193">
        <v>0.03</v>
      </c>
      <c r="D980" s="192">
        <v>7.1999999999999995E-2</v>
      </c>
      <c r="E980" s="191">
        <v>1E-3</v>
      </c>
      <c r="F980" s="192">
        <v>1000</v>
      </c>
      <c r="G980" s="194"/>
      <c r="H980" s="192">
        <v>25</v>
      </c>
      <c r="I980" s="191" t="s">
        <v>12</v>
      </c>
      <c r="J980" s="195"/>
      <c r="K980" s="192">
        <v>1.2638575395002201</v>
      </c>
    </row>
    <row r="981" spans="1:11">
      <c r="A981" s="191" t="s">
        <v>52</v>
      </c>
      <c r="B981" s="192">
        <v>5.59231009340259</v>
      </c>
      <c r="C981" s="193">
        <v>0.03</v>
      </c>
      <c r="D981" s="192">
        <v>7.1999999999999995E-2</v>
      </c>
      <c r="E981" s="191">
        <v>1E-3</v>
      </c>
      <c r="F981" s="192">
        <v>1000</v>
      </c>
      <c r="G981" s="194"/>
      <c r="H981" s="192">
        <v>25</v>
      </c>
      <c r="I981" s="191" t="s">
        <v>12</v>
      </c>
      <c r="J981" s="195"/>
      <c r="K981" s="192">
        <v>1.29392465493478</v>
      </c>
    </row>
    <row r="982" spans="1:11">
      <c r="A982" s="191" t="s">
        <v>52</v>
      </c>
      <c r="B982" s="192">
        <v>5.9422296567234598</v>
      </c>
      <c r="C982" s="193">
        <v>0.03</v>
      </c>
      <c r="D982" s="192">
        <v>7.1999999999999995E-2</v>
      </c>
      <c r="E982" s="191">
        <v>1E-3</v>
      </c>
      <c r="F982" s="192">
        <v>1000</v>
      </c>
      <c r="G982" s="194"/>
      <c r="H982" s="192">
        <v>25</v>
      </c>
      <c r="I982" s="191" t="s">
        <v>12</v>
      </c>
      <c r="J982" s="195"/>
      <c r="K982" s="192">
        <v>1.31410422867187</v>
      </c>
    </row>
    <row r="983" spans="1:11">
      <c r="A983" s="191" t="s">
        <v>52</v>
      </c>
      <c r="B983" s="192">
        <v>7.0118373978534203</v>
      </c>
      <c r="C983" s="193">
        <v>0.03</v>
      </c>
      <c r="D983" s="192">
        <v>7.1999999999999995E-2</v>
      </c>
      <c r="E983" s="191">
        <v>1E-3</v>
      </c>
      <c r="F983" s="192">
        <v>1000</v>
      </c>
      <c r="G983" s="194"/>
      <c r="H983" s="192">
        <v>25</v>
      </c>
      <c r="I983" s="191" t="s">
        <v>12</v>
      </c>
      <c r="J983" s="195"/>
      <c r="K983" s="192">
        <v>1.3225086391147101</v>
      </c>
    </row>
    <row r="984" spans="1:11">
      <c r="A984" s="191" t="s">
        <v>52</v>
      </c>
      <c r="B984" s="192">
        <v>8.0220580584746592</v>
      </c>
      <c r="C984" s="193">
        <v>0.03</v>
      </c>
      <c r="D984" s="192">
        <v>7.1999999999999995E-2</v>
      </c>
      <c r="E984" s="191">
        <v>1E-3</v>
      </c>
      <c r="F984" s="192">
        <v>1000</v>
      </c>
      <c r="G984" s="194"/>
      <c r="H984" s="192">
        <v>25</v>
      </c>
      <c r="I984" s="191" t="s">
        <v>12</v>
      </c>
      <c r="J984" s="195"/>
      <c r="K984" s="192">
        <v>1.2930108063839501</v>
      </c>
    </row>
    <row r="985" spans="1:11">
      <c r="A985" s="191" t="s">
        <v>52</v>
      </c>
      <c r="B985" s="192">
        <v>9.9823119342420092</v>
      </c>
      <c r="C985" s="193">
        <v>0.03</v>
      </c>
      <c r="D985" s="192">
        <v>7.1999999999999995E-2</v>
      </c>
      <c r="E985" s="191">
        <v>1E-3</v>
      </c>
      <c r="F985" s="192">
        <v>1000</v>
      </c>
      <c r="G985" s="194"/>
      <c r="H985" s="192">
        <v>25</v>
      </c>
      <c r="I985" s="191" t="s">
        <v>12</v>
      </c>
      <c r="J985" s="195"/>
      <c r="K985" s="192">
        <v>1.28610450831951</v>
      </c>
    </row>
    <row r="986" spans="1:11">
      <c r="A986" s="191" t="s">
        <v>52</v>
      </c>
      <c r="B986" s="192">
        <v>10.971883178729501</v>
      </c>
      <c r="C986" s="193">
        <v>0.03</v>
      </c>
      <c r="D986" s="192">
        <v>7.1999999999999995E-2</v>
      </c>
      <c r="E986" s="191">
        <v>1E-3</v>
      </c>
      <c r="F986" s="192">
        <v>1000</v>
      </c>
      <c r="G986" s="194"/>
      <c r="H986" s="192">
        <v>25</v>
      </c>
      <c r="I986" s="191" t="s">
        <v>12</v>
      </c>
      <c r="J986" s="195"/>
      <c r="K986" s="192">
        <v>1.2873928849649401</v>
      </c>
    </row>
    <row r="987" spans="1:11">
      <c r="A987" s="191" t="s">
        <v>52</v>
      </c>
      <c r="B987" s="192">
        <v>13.9750126057482</v>
      </c>
      <c r="C987" s="193">
        <v>0.03</v>
      </c>
      <c r="D987" s="192">
        <v>7.1999999999999995E-2</v>
      </c>
      <c r="E987" s="191">
        <v>1E-3</v>
      </c>
      <c r="F987" s="192">
        <v>1000</v>
      </c>
      <c r="G987" s="194"/>
      <c r="H987" s="192">
        <v>25</v>
      </c>
      <c r="I987" s="191" t="s">
        <v>12</v>
      </c>
      <c r="J987" s="195"/>
      <c r="K987" s="192">
        <v>1.2835427361524401</v>
      </c>
    </row>
    <row r="988" spans="1:11">
      <c r="A988" s="191" t="s">
        <v>52</v>
      </c>
      <c r="B988" s="192">
        <v>16.021225678909499</v>
      </c>
      <c r="C988" s="193">
        <v>0.03</v>
      </c>
      <c r="D988" s="192">
        <v>7.1999999999999995E-2</v>
      </c>
      <c r="E988" s="191">
        <v>1E-3</v>
      </c>
      <c r="F988" s="192">
        <v>1000</v>
      </c>
      <c r="G988" s="194"/>
      <c r="H988" s="192">
        <v>25</v>
      </c>
      <c r="I988" s="191" t="s">
        <v>12</v>
      </c>
      <c r="J988" s="195"/>
      <c r="K988" s="192">
        <v>1.2859696782054599</v>
      </c>
    </row>
    <row r="989" spans="1:11">
      <c r="A989" s="191" t="s">
        <v>52</v>
      </c>
      <c r="B989" s="192">
        <v>18.022778386944399</v>
      </c>
      <c r="C989" s="193">
        <v>0.03</v>
      </c>
      <c r="D989" s="192">
        <v>7.1999999999999995E-2</v>
      </c>
      <c r="E989" s="191">
        <v>1E-3</v>
      </c>
      <c r="F989" s="192">
        <v>1000</v>
      </c>
      <c r="G989" s="194"/>
      <c r="H989" s="192">
        <v>25</v>
      </c>
      <c r="I989" s="191" t="s">
        <v>12</v>
      </c>
      <c r="J989" s="195"/>
      <c r="K989" s="192">
        <v>1.3126810219123899</v>
      </c>
    </row>
    <row r="990" spans="1:11">
      <c r="A990" s="191" t="s">
        <v>52</v>
      </c>
      <c r="B990" s="192">
        <v>0.59299140095883096</v>
      </c>
      <c r="C990" s="193">
        <v>4.2999999999999997E-2</v>
      </c>
      <c r="D990" s="192">
        <v>7.1999999999999995E-2</v>
      </c>
      <c r="E990" s="192">
        <v>1E-3</v>
      </c>
      <c r="F990" s="192">
        <v>1000</v>
      </c>
      <c r="G990" s="194"/>
      <c r="H990" s="192">
        <v>25</v>
      </c>
      <c r="I990" s="191" t="s">
        <v>12</v>
      </c>
      <c r="J990" s="195"/>
      <c r="K990" s="192">
        <v>1.59186210725795</v>
      </c>
    </row>
    <row r="991" spans="1:11">
      <c r="A991" s="191" t="s">
        <v>52</v>
      </c>
      <c r="B991" s="192">
        <v>1.0250361464119899</v>
      </c>
      <c r="C991" s="193">
        <v>4.2999999999999997E-2</v>
      </c>
      <c r="D991" s="192">
        <v>7.1999999999999995E-2</v>
      </c>
      <c r="E991" s="192">
        <v>1E-3</v>
      </c>
      <c r="F991" s="192">
        <v>1000</v>
      </c>
      <c r="G991" s="194"/>
      <c r="H991" s="192">
        <v>25</v>
      </c>
      <c r="I991" s="191" t="s">
        <v>12</v>
      </c>
      <c r="J991" s="195"/>
      <c r="K991" s="192">
        <v>1.55501707967699</v>
      </c>
    </row>
    <row r="992" spans="1:11">
      <c r="A992" s="191" t="s">
        <v>52</v>
      </c>
      <c r="B992" s="192">
        <v>3.0605547523019498</v>
      </c>
      <c r="C992" s="193">
        <v>4.2999999999999997E-2</v>
      </c>
      <c r="D992" s="192">
        <v>7.1999999999999995E-2</v>
      </c>
      <c r="E992" s="192">
        <v>1E-3</v>
      </c>
      <c r="F992" s="192">
        <v>1000</v>
      </c>
      <c r="G992" s="194"/>
      <c r="H992" s="192">
        <v>25</v>
      </c>
      <c r="I992" s="191" t="s">
        <v>12</v>
      </c>
      <c r="J992" s="195"/>
      <c r="K992" s="192">
        <v>1.5417094161526601</v>
      </c>
    </row>
    <row r="993" spans="1:11">
      <c r="A993" s="191" t="s">
        <v>52</v>
      </c>
      <c r="B993" s="192">
        <v>4.91914618369987</v>
      </c>
      <c r="C993" s="193">
        <v>4.2999999999999997E-2</v>
      </c>
      <c r="D993" s="192">
        <v>7.1999999999999995E-2</v>
      </c>
      <c r="E993" s="192">
        <v>1E-3</v>
      </c>
      <c r="F993" s="192">
        <v>1000</v>
      </c>
      <c r="G993" s="194"/>
      <c r="H993" s="192">
        <v>25</v>
      </c>
      <c r="I993" s="191" t="s">
        <v>12</v>
      </c>
      <c r="J993" s="195"/>
      <c r="K993" s="192">
        <v>1.4503663379482601</v>
      </c>
    </row>
    <row r="994" spans="1:11">
      <c r="A994" s="191" t="s">
        <v>52</v>
      </c>
      <c r="B994" s="192">
        <v>7.1270261015143399</v>
      </c>
      <c r="C994" s="193">
        <v>4.2999999999999997E-2</v>
      </c>
      <c r="D994" s="192">
        <v>7.1999999999999995E-2</v>
      </c>
      <c r="E994" s="192">
        <v>1E-3</v>
      </c>
      <c r="F994" s="192">
        <v>1000</v>
      </c>
      <c r="G994" s="194"/>
      <c r="H994" s="192">
        <v>25</v>
      </c>
      <c r="I994" s="191" t="s">
        <v>12</v>
      </c>
      <c r="J994" s="195"/>
      <c r="K994" s="192">
        <v>1.5044117469552301</v>
      </c>
    </row>
    <row r="995" spans="1:11">
      <c r="A995" s="191" t="s">
        <v>52</v>
      </c>
      <c r="B995" s="192">
        <v>8.0718742865839701</v>
      </c>
      <c r="C995" s="193">
        <v>4.2999999999999997E-2</v>
      </c>
      <c r="D995" s="192">
        <v>7.1999999999999995E-2</v>
      </c>
      <c r="E995" s="192">
        <v>1E-3</v>
      </c>
      <c r="F995" s="192">
        <v>1000</v>
      </c>
      <c r="G995" s="194"/>
      <c r="H995" s="192">
        <v>25</v>
      </c>
      <c r="I995" s="191" t="s">
        <v>12</v>
      </c>
      <c r="J995" s="195"/>
      <c r="K995" s="192">
        <v>1.5481912441005701</v>
      </c>
    </row>
    <row r="996" spans="1:11">
      <c r="A996" s="191" t="s">
        <v>52</v>
      </c>
      <c r="B996" s="192">
        <v>9.8773875656342707</v>
      </c>
      <c r="C996" s="193">
        <v>4.2999999999999997E-2</v>
      </c>
      <c r="D996" s="192">
        <v>7.1999999999999995E-2</v>
      </c>
      <c r="E996" s="192">
        <v>1E-3</v>
      </c>
      <c r="F996" s="192">
        <v>1000</v>
      </c>
      <c r="G996" s="194"/>
      <c r="H996" s="192">
        <v>25</v>
      </c>
      <c r="I996" s="191" t="s">
        <v>12</v>
      </c>
      <c r="J996" s="195"/>
      <c r="K996" s="192">
        <v>1.53080980602797</v>
      </c>
    </row>
    <row r="997" spans="1:11">
      <c r="A997" s="191" t="s">
        <v>52</v>
      </c>
      <c r="B997" s="192">
        <v>11.904915912031001</v>
      </c>
      <c r="C997" s="193">
        <v>4.2999999999999997E-2</v>
      </c>
      <c r="D997" s="192">
        <v>7.1999999999999995E-2</v>
      </c>
      <c r="E997" s="192">
        <v>1E-3</v>
      </c>
      <c r="F997" s="192">
        <v>1000</v>
      </c>
      <c r="G997" s="194"/>
      <c r="H997" s="192">
        <v>25</v>
      </c>
      <c r="I997" s="191" t="s">
        <v>12</v>
      </c>
      <c r="J997" s="195"/>
      <c r="K997" s="192">
        <v>1.5527538715946201</v>
      </c>
    </row>
    <row r="998" spans="1:11">
      <c r="A998" s="191" t="s">
        <v>52</v>
      </c>
      <c r="B998" s="192">
        <v>13.897058823529401</v>
      </c>
      <c r="C998" s="193">
        <v>4.2999999999999997E-2</v>
      </c>
      <c r="D998" s="192">
        <v>7.1999999999999995E-2</v>
      </c>
      <c r="E998" s="192">
        <v>1E-3</v>
      </c>
      <c r="F998" s="192">
        <v>1000</v>
      </c>
      <c r="G998" s="194"/>
      <c r="H998" s="192">
        <v>25</v>
      </c>
      <c r="I998" s="191" t="s">
        <v>12</v>
      </c>
      <c r="J998" s="195"/>
      <c r="K998" s="192">
        <v>1.5913551486474999</v>
      </c>
    </row>
    <row r="999" spans="1:11">
      <c r="A999" s="191" t="s">
        <v>52</v>
      </c>
      <c r="B999" s="192">
        <v>16.008484894604599</v>
      </c>
      <c r="C999" s="193">
        <v>4.2999999999999997E-2</v>
      </c>
      <c r="D999" s="192">
        <v>7.1999999999999995E-2</v>
      </c>
      <c r="E999" s="192">
        <v>1E-3</v>
      </c>
      <c r="F999" s="192">
        <v>1000</v>
      </c>
      <c r="G999" s="194"/>
      <c r="H999" s="192">
        <v>25</v>
      </c>
      <c r="I999" s="191" t="s">
        <v>12</v>
      </c>
      <c r="J999" s="195"/>
      <c r="K999" s="192">
        <v>1.5521744903255399</v>
      </c>
    </row>
    <row r="1000" spans="1:11">
      <c r="A1000" s="191" t="s">
        <v>52</v>
      </c>
      <c r="B1000" s="192">
        <v>18.108781675671501</v>
      </c>
      <c r="C1000" s="193">
        <v>4.2999999999999997E-2</v>
      </c>
      <c r="D1000" s="192">
        <v>7.1999999999999995E-2</v>
      </c>
      <c r="E1000" s="192">
        <v>1E-3</v>
      </c>
      <c r="F1000" s="192">
        <v>1000</v>
      </c>
      <c r="G1000" s="194"/>
      <c r="H1000" s="192">
        <v>25</v>
      </c>
      <c r="I1000" s="191" t="s">
        <v>12</v>
      </c>
      <c r="J1000" s="195"/>
      <c r="K1000" s="192">
        <v>1.5411662462128899</v>
      </c>
    </row>
    <row r="1001" spans="1:11">
      <c r="A1001" s="191" t="s">
        <v>52</v>
      </c>
      <c r="B1001" s="192">
        <v>20.066109885092398</v>
      </c>
      <c r="C1001" s="193">
        <v>4.2999999999999997E-2</v>
      </c>
      <c r="D1001" s="192">
        <v>7.1999999999999995E-2</v>
      </c>
      <c r="E1001" s="192">
        <v>1E-3</v>
      </c>
      <c r="F1001" s="192">
        <v>1000</v>
      </c>
      <c r="G1001" s="194"/>
      <c r="H1001" s="192">
        <v>25</v>
      </c>
      <c r="I1001" s="191" t="s">
        <v>12</v>
      </c>
      <c r="J1001" s="195"/>
      <c r="K1001" s="192">
        <v>1.5393194684176801</v>
      </c>
    </row>
    <row r="1002" spans="1:11">
      <c r="A1002" s="191" t="s">
        <v>52</v>
      </c>
      <c r="B1002" s="192">
        <v>22.0670991553154</v>
      </c>
      <c r="C1002" s="193">
        <v>4.2999999999999997E-2</v>
      </c>
      <c r="D1002" s="192">
        <v>7.1999999999999995E-2</v>
      </c>
      <c r="E1002" s="192">
        <v>1E-3</v>
      </c>
      <c r="F1002" s="192">
        <v>1000</v>
      </c>
      <c r="G1002" s="194"/>
      <c r="H1002" s="192">
        <v>25</v>
      </c>
      <c r="I1002" s="191" t="s">
        <v>12</v>
      </c>
      <c r="J1002" s="195"/>
      <c r="K1002" s="192">
        <v>1.5889470952478599</v>
      </c>
    </row>
    <row r="1003" spans="1:11">
      <c r="A1003" s="191" t="s">
        <v>52</v>
      </c>
      <c r="B1003" s="192">
        <v>23.951088197245198</v>
      </c>
      <c r="C1003" s="193">
        <v>4.2999999999999997E-2</v>
      </c>
      <c r="D1003" s="192">
        <v>7.1999999999999995E-2</v>
      </c>
      <c r="E1003" s="192">
        <v>1E-3</v>
      </c>
      <c r="F1003" s="192">
        <v>1000</v>
      </c>
      <c r="G1003" s="194"/>
      <c r="H1003" s="192">
        <v>25</v>
      </c>
      <c r="I1003" s="191" t="s">
        <v>12</v>
      </c>
      <c r="J1003" s="195"/>
      <c r="K1003" s="192">
        <v>1.58105302545656</v>
      </c>
    </row>
    <row r="1004" spans="1:11">
      <c r="A1004" s="191" t="s">
        <v>52</v>
      </c>
      <c r="B1004" s="192">
        <v>27.954208203333</v>
      </c>
      <c r="C1004" s="193">
        <v>4.2999999999999997E-2</v>
      </c>
      <c r="D1004" s="192">
        <v>7.1999999999999995E-2</v>
      </c>
      <c r="E1004" s="192">
        <v>1E-3</v>
      </c>
      <c r="F1004" s="192">
        <v>1000</v>
      </c>
      <c r="G1004" s="194"/>
      <c r="H1004" s="192">
        <v>25</v>
      </c>
      <c r="I1004" s="191" t="s">
        <v>12</v>
      </c>
      <c r="J1004" s="195"/>
      <c r="K1004" s="192">
        <v>1.5811797651091699</v>
      </c>
    </row>
    <row r="1005" spans="1:11">
      <c r="A1005" s="196" t="s">
        <v>53</v>
      </c>
      <c r="B1005" s="197">
        <v>350.38579545454428</v>
      </c>
      <c r="C1005" s="198">
        <v>2</v>
      </c>
      <c r="D1005" s="199">
        <v>7.3999999999999996E-2</v>
      </c>
      <c r="E1005" s="199">
        <v>1.0999999999999999E-2</v>
      </c>
      <c r="F1005" s="182"/>
      <c r="G1005" s="182"/>
      <c r="H1005" s="182"/>
      <c r="I1005" s="199" t="s">
        <v>12</v>
      </c>
      <c r="J1005" s="200"/>
      <c r="K1005" s="201">
        <v>7.3717948717948696</v>
      </c>
    </row>
    <row r="1006" spans="1:11">
      <c r="A1006" s="196" t="s">
        <v>53</v>
      </c>
      <c r="B1006" s="197">
        <v>407.20511363636234</v>
      </c>
      <c r="C1006" s="198">
        <v>2</v>
      </c>
      <c r="D1006" s="199">
        <v>7.3999999999999996E-2</v>
      </c>
      <c r="E1006" s="199">
        <v>1.0999999999999999E-2</v>
      </c>
      <c r="F1006" s="182"/>
      <c r="G1006" s="182"/>
      <c r="H1006" s="182"/>
      <c r="I1006" s="199" t="s">
        <v>12</v>
      </c>
      <c r="J1006" s="200"/>
      <c r="K1006" s="201">
        <v>7.6631701631701601</v>
      </c>
    </row>
    <row r="1007" spans="1:11">
      <c r="A1007" s="196" t="s">
        <v>53</v>
      </c>
      <c r="B1007" s="197">
        <v>587.13295454545414</v>
      </c>
      <c r="C1007" s="198">
        <v>2</v>
      </c>
      <c r="D1007" s="199">
        <v>7.3999999999999996E-2</v>
      </c>
      <c r="E1007" s="199">
        <v>1.0999999999999999E-2</v>
      </c>
      <c r="F1007" s="182"/>
      <c r="G1007" s="182"/>
      <c r="H1007" s="182"/>
      <c r="I1007" s="199" t="s">
        <v>12</v>
      </c>
      <c r="J1007" s="200"/>
      <c r="K1007" s="201">
        <v>8.5081585081585001</v>
      </c>
    </row>
    <row r="1008" spans="1:11">
      <c r="A1008" s="196" t="s">
        <v>53</v>
      </c>
      <c r="B1008" s="197">
        <v>1003.8079545454542</v>
      </c>
      <c r="C1008" s="198">
        <v>2</v>
      </c>
      <c r="D1008" s="199">
        <v>7.3999999999999996E-2</v>
      </c>
      <c r="E1008" s="199">
        <v>1.0999999999999999E-2</v>
      </c>
      <c r="F1008" s="182"/>
      <c r="G1008" s="182"/>
      <c r="H1008" s="182"/>
      <c r="I1008" s="199" t="s">
        <v>12</v>
      </c>
      <c r="J1008" s="200"/>
      <c r="K1008" s="201">
        <v>9.81934731934731</v>
      </c>
    </row>
    <row r="1009" spans="1:11">
      <c r="A1009" s="196" t="s">
        <v>53</v>
      </c>
      <c r="B1009" s="197">
        <v>1330.5190340909082</v>
      </c>
      <c r="C1009" s="198">
        <v>2</v>
      </c>
      <c r="D1009" s="199">
        <v>7.3999999999999996E-2</v>
      </c>
      <c r="E1009" s="199">
        <v>1.0999999999999999E-2</v>
      </c>
      <c r="F1009" s="182"/>
      <c r="G1009" s="182"/>
      <c r="H1009" s="182"/>
      <c r="I1009" s="199" t="s">
        <v>12</v>
      </c>
      <c r="J1009" s="200"/>
      <c r="K1009" s="201">
        <v>10.6934731934731</v>
      </c>
    </row>
    <row r="1010" spans="1:11">
      <c r="A1010" s="196" t="s">
        <v>53</v>
      </c>
      <c r="B1010" s="197">
        <v>1477.3022727272721</v>
      </c>
      <c r="C1010" s="198">
        <v>2</v>
      </c>
      <c r="D1010" s="199">
        <v>7.3999999999999996E-2</v>
      </c>
      <c r="E1010" s="199">
        <v>1.0999999999999999E-2</v>
      </c>
      <c r="F1010" s="182"/>
      <c r="G1010" s="182"/>
      <c r="H1010" s="182"/>
      <c r="I1010" s="199" t="s">
        <v>12</v>
      </c>
      <c r="J1010" s="200"/>
      <c r="K1010" s="201">
        <v>11.334498834498801</v>
      </c>
    </row>
    <row r="1011" spans="1:11">
      <c r="A1011" s="196" t="s">
        <v>53</v>
      </c>
      <c r="B1011" s="197">
        <v>1666.7000000000003</v>
      </c>
      <c r="C1011" s="198">
        <v>2</v>
      </c>
      <c r="D1011" s="199">
        <v>7.3999999999999996E-2</v>
      </c>
      <c r="E1011" s="199">
        <v>1.0999999999999999E-2</v>
      </c>
      <c r="F1011" s="182"/>
      <c r="G1011" s="182"/>
      <c r="H1011" s="182"/>
      <c r="I1011" s="199" t="s">
        <v>12</v>
      </c>
      <c r="J1011" s="200"/>
      <c r="K1011" s="201">
        <v>11.7715617715617</v>
      </c>
    </row>
    <row r="1012" spans="1:11">
      <c r="A1012" s="196" t="s">
        <v>53</v>
      </c>
      <c r="B1012" s="197">
        <v>2334.3269886363605</v>
      </c>
      <c r="C1012" s="198">
        <v>2</v>
      </c>
      <c r="D1012" s="199">
        <v>7.3999999999999996E-2</v>
      </c>
      <c r="E1012" s="199">
        <v>1.0999999999999999E-2</v>
      </c>
      <c r="F1012" s="182"/>
      <c r="G1012" s="182"/>
      <c r="H1012" s="182"/>
      <c r="I1012" s="199" t="s">
        <v>12</v>
      </c>
      <c r="J1012" s="200"/>
      <c r="K1012" s="201">
        <v>13.082750582750499</v>
      </c>
    </row>
    <row r="1013" spans="1:11">
      <c r="A1013" s="196" t="s">
        <v>53</v>
      </c>
      <c r="B1013" s="197">
        <v>3025.6286931818031</v>
      </c>
      <c r="C1013" s="198">
        <v>2</v>
      </c>
      <c r="D1013" s="199">
        <v>7.3999999999999996E-2</v>
      </c>
      <c r="E1013" s="199">
        <v>1.0999999999999999E-2</v>
      </c>
      <c r="F1013" s="182"/>
      <c r="G1013" s="182"/>
      <c r="H1013" s="182"/>
      <c r="I1013" s="199" t="s">
        <v>12</v>
      </c>
      <c r="J1013" s="200"/>
      <c r="K1013" s="201">
        <v>13.5198135198135</v>
      </c>
    </row>
    <row r="1014" spans="1:11">
      <c r="A1014" s="196" t="s">
        <v>53</v>
      </c>
      <c r="B1014" s="197">
        <v>3328.6650568181808</v>
      </c>
      <c r="C1014" s="198">
        <v>2</v>
      </c>
      <c r="D1014" s="199">
        <v>7.3999999999999996E-2</v>
      </c>
      <c r="E1014" s="199">
        <v>1.0999999999999999E-2</v>
      </c>
      <c r="F1014" s="182"/>
      <c r="G1014" s="182"/>
      <c r="H1014" s="182"/>
      <c r="I1014" s="199" t="s">
        <v>12</v>
      </c>
      <c r="J1014" s="200"/>
      <c r="K1014" s="201">
        <v>14.131701631701601</v>
      </c>
    </row>
    <row r="1015" spans="1:11">
      <c r="A1015" s="196" t="s">
        <v>53</v>
      </c>
      <c r="B1015" s="197">
        <v>3503.8579545454431</v>
      </c>
      <c r="C1015" s="198">
        <v>2</v>
      </c>
      <c r="D1015" s="199">
        <v>7.3999999999999996E-2</v>
      </c>
      <c r="E1015" s="199">
        <v>1.0999999999999999E-2</v>
      </c>
      <c r="F1015" s="182"/>
      <c r="G1015" s="182"/>
      <c r="H1015" s="182"/>
      <c r="I1015" s="199" t="s">
        <v>12</v>
      </c>
      <c r="J1015" s="200"/>
      <c r="K1015" s="201">
        <v>14.510489510489499</v>
      </c>
    </row>
    <row r="1016" spans="1:11">
      <c r="A1016" s="196" t="s">
        <v>53</v>
      </c>
      <c r="B1016" s="197">
        <v>3570.1471590909023</v>
      </c>
      <c r="C1016" s="198">
        <v>2</v>
      </c>
      <c r="D1016" s="199">
        <v>7.3999999999999996E-2</v>
      </c>
      <c r="E1016" s="199">
        <v>1.0999999999999999E-2</v>
      </c>
      <c r="F1016" s="182"/>
      <c r="G1016" s="182"/>
      <c r="H1016" s="182"/>
      <c r="I1016" s="199" t="s">
        <v>12</v>
      </c>
      <c r="J1016" s="200"/>
      <c r="K1016" s="201">
        <v>14.4230769230769</v>
      </c>
    </row>
    <row r="1017" spans="1:11">
      <c r="A1017" s="196" t="s">
        <v>53</v>
      </c>
      <c r="B1017" s="197">
        <v>3849.5088068181808</v>
      </c>
      <c r="C1017" s="198">
        <v>2</v>
      </c>
      <c r="D1017" s="199">
        <v>7.3999999999999996E-2</v>
      </c>
      <c r="E1017" s="199">
        <v>1.0999999999999999E-2</v>
      </c>
      <c r="F1017" s="182"/>
      <c r="G1017" s="182"/>
      <c r="H1017" s="182"/>
      <c r="I1017" s="199" t="s">
        <v>12</v>
      </c>
      <c r="J1017" s="200"/>
      <c r="K1017" s="201">
        <v>14.539627039627</v>
      </c>
    </row>
    <row r="1018" spans="1:11">
      <c r="A1018" s="196" t="s">
        <v>53</v>
      </c>
      <c r="B1018" s="197">
        <v>4190.4247159090819</v>
      </c>
      <c r="C1018" s="198">
        <v>2</v>
      </c>
      <c r="D1018" s="199">
        <v>7.3999999999999996E-2</v>
      </c>
      <c r="E1018" s="199">
        <v>1.0999999999999999E-2</v>
      </c>
      <c r="F1018" s="182"/>
      <c r="G1018" s="182"/>
      <c r="H1018" s="182"/>
      <c r="I1018" s="199" t="s">
        <v>12</v>
      </c>
      <c r="J1018" s="200"/>
      <c r="K1018" s="201">
        <v>14.8892773892773</v>
      </c>
    </row>
    <row r="1019" spans="1:11">
      <c r="A1019" s="196" t="s">
        <v>53</v>
      </c>
      <c r="B1019" s="197">
        <v>4095.7258522727216</v>
      </c>
      <c r="C1019" s="198">
        <v>2</v>
      </c>
      <c r="D1019" s="199">
        <v>7.3999999999999996E-2</v>
      </c>
      <c r="E1019" s="199">
        <v>1.0999999999999999E-2</v>
      </c>
      <c r="F1019" s="182"/>
      <c r="G1019" s="182"/>
      <c r="H1019" s="182"/>
      <c r="I1019" s="199" t="s">
        <v>12</v>
      </c>
      <c r="J1019" s="200"/>
      <c r="K1019" s="201">
        <v>14.8892773892773</v>
      </c>
    </row>
    <row r="1020" spans="1:11">
      <c r="A1020" s="196" t="s">
        <v>53</v>
      </c>
      <c r="B1020" s="197">
        <v>4465.0514204545416</v>
      </c>
      <c r="C1020" s="198">
        <v>2</v>
      </c>
      <c r="D1020" s="199">
        <v>7.3999999999999996E-2</v>
      </c>
      <c r="E1020" s="199">
        <v>1.0999999999999999E-2</v>
      </c>
      <c r="F1020" s="182"/>
      <c r="G1020" s="182"/>
      <c r="H1020" s="182"/>
      <c r="I1020" s="199" t="s">
        <v>12</v>
      </c>
      <c r="J1020" s="200"/>
      <c r="K1020" s="201">
        <v>14.8601398601398</v>
      </c>
    </row>
    <row r="1021" spans="1:11">
      <c r="A1021" s="196" t="s">
        <v>53</v>
      </c>
      <c r="B1021" s="197">
        <v>4318.2681818181809</v>
      </c>
      <c r="C1021" s="198">
        <v>2</v>
      </c>
      <c r="D1021" s="199">
        <v>7.3999999999999996E-2</v>
      </c>
      <c r="E1021" s="199">
        <v>1.0999999999999999E-2</v>
      </c>
      <c r="F1021" s="182"/>
      <c r="G1021" s="182"/>
      <c r="H1021" s="182"/>
      <c r="I1021" s="199" t="s">
        <v>12</v>
      </c>
      <c r="J1021" s="200"/>
      <c r="K1021" s="201">
        <v>14.9184149184149</v>
      </c>
    </row>
    <row r="1022" spans="1:11">
      <c r="A1022" s="196" t="s">
        <v>53</v>
      </c>
      <c r="B1022" s="197">
        <v>4753.8829545454428</v>
      </c>
      <c r="C1022" s="198">
        <v>2</v>
      </c>
      <c r="D1022" s="199">
        <v>7.3999999999999996E-2</v>
      </c>
      <c r="E1022" s="199">
        <v>1.0999999999999999E-2</v>
      </c>
      <c r="F1022" s="182"/>
      <c r="G1022" s="182"/>
      <c r="H1022" s="182"/>
      <c r="I1022" s="199" t="s">
        <v>12</v>
      </c>
      <c r="J1022" s="200"/>
      <c r="K1022" s="201">
        <v>15.472027972027901</v>
      </c>
    </row>
    <row r="1023" spans="1:11">
      <c r="A1023" s="196" t="s">
        <v>53</v>
      </c>
      <c r="B1023" s="197">
        <v>4815.4372159090817</v>
      </c>
      <c r="C1023" s="198">
        <v>2</v>
      </c>
      <c r="D1023" s="199">
        <v>7.3999999999999996E-2</v>
      </c>
      <c r="E1023" s="199">
        <v>1.0999999999999999E-2</v>
      </c>
      <c r="F1023" s="182"/>
      <c r="G1023" s="182"/>
      <c r="H1023" s="182"/>
      <c r="I1023" s="199" t="s">
        <v>12</v>
      </c>
      <c r="J1023" s="200"/>
      <c r="K1023" s="201">
        <v>15.0641025641025</v>
      </c>
    </row>
    <row r="1024" spans="1:11">
      <c r="A1024" s="196" t="s">
        <v>53</v>
      </c>
      <c r="B1024" s="197">
        <v>5004.8349431818042</v>
      </c>
      <c r="C1024" s="198">
        <v>2</v>
      </c>
      <c r="D1024" s="199">
        <v>7.3999999999999996E-2</v>
      </c>
      <c r="E1024" s="199">
        <v>1.0999999999999999E-2</v>
      </c>
      <c r="F1024" s="182"/>
      <c r="G1024" s="182"/>
      <c r="H1024" s="182"/>
      <c r="I1024" s="199" t="s">
        <v>12</v>
      </c>
      <c r="J1024" s="200"/>
      <c r="K1024" s="201">
        <v>15.034965034964999</v>
      </c>
    </row>
    <row r="1025" spans="1:11">
      <c r="A1025" s="196" t="s">
        <v>53</v>
      </c>
      <c r="B1025" s="197">
        <v>179.92784090909018</v>
      </c>
      <c r="C1025" s="198">
        <v>2</v>
      </c>
      <c r="D1025" s="199">
        <v>7.3999999999999996E-2</v>
      </c>
      <c r="E1025" s="199">
        <v>1.4999999999999999E-2</v>
      </c>
      <c r="F1025" s="182"/>
      <c r="G1025" s="182"/>
      <c r="H1025" s="182"/>
      <c r="I1025" s="199" t="s">
        <v>12</v>
      </c>
      <c r="J1025" s="200"/>
      <c r="K1025" s="201">
        <v>6.7016317016317002</v>
      </c>
    </row>
    <row r="1026" spans="1:11">
      <c r="A1026" s="196" t="s">
        <v>53</v>
      </c>
      <c r="B1026" s="197">
        <v>47.349431818181806</v>
      </c>
      <c r="C1026" s="198">
        <v>2</v>
      </c>
      <c r="D1026" s="199">
        <v>7.3999999999999996E-2</v>
      </c>
      <c r="E1026" s="199">
        <v>1.4999999999999999E-2</v>
      </c>
      <c r="F1026" s="182"/>
      <c r="G1026" s="182"/>
      <c r="H1026" s="182"/>
      <c r="I1026" s="199" t="s">
        <v>12</v>
      </c>
      <c r="J1026" s="200"/>
      <c r="K1026" s="201">
        <v>6.26456876456876</v>
      </c>
    </row>
    <row r="1027" spans="1:11">
      <c r="A1027" s="196" t="s">
        <v>53</v>
      </c>
      <c r="B1027" s="197">
        <v>336.18096590909022</v>
      </c>
      <c r="C1027" s="198">
        <v>2</v>
      </c>
      <c r="D1027" s="199">
        <v>7.3999999999999996E-2</v>
      </c>
      <c r="E1027" s="199">
        <v>1.4999999999999999E-2</v>
      </c>
      <c r="F1027" s="182"/>
      <c r="G1027" s="182"/>
      <c r="H1027" s="182"/>
      <c r="I1027" s="199" t="s">
        <v>12</v>
      </c>
      <c r="J1027" s="200"/>
      <c r="K1027" s="201">
        <v>7.3426573426573398</v>
      </c>
    </row>
    <row r="1028" spans="1:11">
      <c r="A1028" s="196" t="s">
        <v>53</v>
      </c>
      <c r="B1028" s="197">
        <v>582.3980113636361</v>
      </c>
      <c r="C1028" s="198">
        <v>2</v>
      </c>
      <c r="D1028" s="199">
        <v>7.3999999999999996E-2</v>
      </c>
      <c r="E1028" s="199">
        <v>1.4999999999999999E-2</v>
      </c>
      <c r="F1028" s="182"/>
      <c r="G1028" s="182"/>
      <c r="H1028" s="182"/>
      <c r="I1028" s="199" t="s">
        <v>12</v>
      </c>
      <c r="J1028" s="200"/>
      <c r="K1028" s="201">
        <v>8.4498834498834494</v>
      </c>
    </row>
    <row r="1029" spans="1:11">
      <c r="A1029" s="196" t="s">
        <v>53</v>
      </c>
      <c r="B1029" s="197">
        <v>1387.3383522727263</v>
      </c>
      <c r="C1029" s="198">
        <v>2</v>
      </c>
      <c r="D1029" s="199">
        <v>7.3999999999999996E-2</v>
      </c>
      <c r="E1029" s="199">
        <v>1.4999999999999999E-2</v>
      </c>
      <c r="F1029" s="182"/>
      <c r="G1029" s="182"/>
      <c r="H1029" s="182"/>
      <c r="I1029" s="199" t="s">
        <v>12</v>
      </c>
      <c r="J1029" s="200"/>
      <c r="K1029" s="201">
        <v>11.072261072261</v>
      </c>
    </row>
    <row r="1030" spans="1:11">
      <c r="A1030" s="196" t="s">
        <v>53</v>
      </c>
      <c r="B1030" s="197">
        <v>1557.7963068181821</v>
      </c>
      <c r="C1030" s="198">
        <v>2</v>
      </c>
      <c r="D1030" s="199">
        <v>7.3999999999999996E-2</v>
      </c>
      <c r="E1030" s="199">
        <v>1.4999999999999999E-2</v>
      </c>
      <c r="F1030" s="182"/>
      <c r="G1030" s="182"/>
      <c r="H1030" s="182"/>
      <c r="I1030" s="199" t="s">
        <v>12</v>
      </c>
      <c r="J1030" s="200"/>
      <c r="K1030" s="201">
        <v>11.2762237762237</v>
      </c>
    </row>
    <row r="1031" spans="1:11">
      <c r="A1031" s="196" t="s">
        <v>53</v>
      </c>
      <c r="B1031" s="197">
        <v>2410.0860795454428</v>
      </c>
      <c r="C1031" s="198">
        <v>2</v>
      </c>
      <c r="D1031" s="199">
        <v>7.3999999999999996E-2</v>
      </c>
      <c r="E1031" s="199">
        <v>1.4999999999999999E-2</v>
      </c>
      <c r="F1031" s="182"/>
      <c r="G1031" s="182"/>
      <c r="H1031" s="182"/>
      <c r="I1031" s="199" t="s">
        <v>12</v>
      </c>
      <c r="J1031" s="200"/>
      <c r="K1031" s="201">
        <v>13.199300699300601</v>
      </c>
    </row>
    <row r="1032" spans="1:11">
      <c r="A1032" s="196" t="s">
        <v>53</v>
      </c>
      <c r="B1032" s="197">
        <v>3039.8335227272623</v>
      </c>
      <c r="C1032" s="198">
        <v>2</v>
      </c>
      <c r="D1032" s="199">
        <v>7.3999999999999996E-2</v>
      </c>
      <c r="E1032" s="199">
        <v>1.4999999999999999E-2</v>
      </c>
      <c r="F1032" s="182"/>
      <c r="G1032" s="182"/>
      <c r="H1032" s="182"/>
      <c r="I1032" s="199" t="s">
        <v>12</v>
      </c>
      <c r="J1032" s="200"/>
      <c r="K1032" s="201">
        <v>14.044289044289</v>
      </c>
    </row>
    <row r="1033" spans="1:11">
      <c r="A1033" s="196" t="s">
        <v>53</v>
      </c>
      <c r="B1033" s="197">
        <v>3309.7252840909018</v>
      </c>
      <c r="C1033" s="198">
        <v>2</v>
      </c>
      <c r="D1033" s="199">
        <v>7.3999999999999996E-2</v>
      </c>
      <c r="E1033" s="199">
        <v>1.4999999999999999E-2</v>
      </c>
      <c r="F1033" s="182"/>
      <c r="G1033" s="182"/>
      <c r="H1033" s="182"/>
      <c r="I1033" s="199" t="s">
        <v>12</v>
      </c>
      <c r="J1033" s="200"/>
      <c r="K1033" s="201">
        <v>14.131701631701601</v>
      </c>
    </row>
    <row r="1034" spans="1:11">
      <c r="A1034" s="196" t="s">
        <v>53</v>
      </c>
      <c r="B1034" s="197">
        <v>3508.5928977272624</v>
      </c>
      <c r="C1034" s="198">
        <v>2</v>
      </c>
      <c r="D1034" s="199">
        <v>7.3999999999999996E-2</v>
      </c>
      <c r="E1034" s="199">
        <v>1.4999999999999999E-2</v>
      </c>
      <c r="F1034" s="182"/>
      <c r="G1034" s="182"/>
      <c r="H1034" s="182"/>
      <c r="I1034" s="199" t="s">
        <v>12</v>
      </c>
      <c r="J1034" s="200"/>
      <c r="K1034" s="201">
        <v>14.510489510489499</v>
      </c>
    </row>
    <row r="1035" spans="1:11">
      <c r="A1035" s="196" t="s">
        <v>53</v>
      </c>
      <c r="B1035" s="197">
        <v>4465.0514204545416</v>
      </c>
      <c r="C1035" s="198">
        <v>2</v>
      </c>
      <c r="D1035" s="199">
        <v>7.3999999999999996E-2</v>
      </c>
      <c r="E1035" s="199">
        <v>1.4999999999999999E-2</v>
      </c>
      <c r="F1035" s="182"/>
      <c r="G1035" s="182"/>
      <c r="H1035" s="182"/>
      <c r="I1035" s="199" t="s">
        <v>12</v>
      </c>
      <c r="J1035" s="200"/>
      <c r="K1035" s="201">
        <v>14.831002331002299</v>
      </c>
    </row>
    <row r="1036" spans="1:11">
      <c r="A1036" s="196" t="s">
        <v>53</v>
      </c>
      <c r="B1036" s="197">
        <v>4820.1721590909019</v>
      </c>
      <c r="C1036" s="198">
        <v>2</v>
      </c>
      <c r="D1036" s="199">
        <v>7.3999999999999996E-2</v>
      </c>
      <c r="E1036" s="199">
        <v>1.4999999999999999E-2</v>
      </c>
      <c r="F1036" s="182"/>
      <c r="G1036" s="182"/>
      <c r="H1036" s="182"/>
      <c r="I1036" s="199" t="s">
        <v>12</v>
      </c>
      <c r="J1036" s="200"/>
      <c r="K1036" s="201">
        <v>15.034965034964999</v>
      </c>
    </row>
    <row r="1037" spans="1:11">
      <c r="A1037" s="196" t="s">
        <v>53</v>
      </c>
      <c r="B1037" s="197">
        <v>501.90397727272625</v>
      </c>
      <c r="C1037" s="198">
        <v>2</v>
      </c>
      <c r="D1037" s="199">
        <v>7.3999999999999996E-2</v>
      </c>
      <c r="E1037" s="199">
        <v>1.9E-2</v>
      </c>
      <c r="F1037" s="182"/>
      <c r="G1037" s="182"/>
      <c r="H1037" s="182"/>
      <c r="I1037" s="199" t="s">
        <v>12</v>
      </c>
      <c r="J1037" s="200"/>
      <c r="K1037" s="201">
        <v>8.6538461538461497</v>
      </c>
    </row>
    <row r="1038" spans="1:11">
      <c r="A1038" s="196" t="s">
        <v>53</v>
      </c>
      <c r="B1038" s="197">
        <v>260.421875</v>
      </c>
      <c r="C1038" s="198">
        <v>2</v>
      </c>
      <c r="D1038" s="199">
        <v>7.3999999999999996E-2</v>
      </c>
      <c r="E1038" s="199">
        <v>1.9E-2</v>
      </c>
      <c r="F1038" s="182"/>
      <c r="G1038" s="182"/>
      <c r="H1038" s="182"/>
      <c r="I1038" s="199" t="s">
        <v>12</v>
      </c>
      <c r="J1038" s="200"/>
      <c r="K1038" s="201">
        <v>7.4009324009324002</v>
      </c>
    </row>
    <row r="1039" spans="1:11">
      <c r="A1039" s="196" t="s">
        <v>53</v>
      </c>
      <c r="B1039" s="197">
        <v>71.02414772727262</v>
      </c>
      <c r="C1039" s="198">
        <v>2</v>
      </c>
      <c r="D1039" s="199">
        <v>7.3999999999999996E-2</v>
      </c>
      <c r="E1039" s="199">
        <v>1.9E-2</v>
      </c>
      <c r="F1039" s="182"/>
      <c r="G1039" s="182"/>
      <c r="H1039" s="182"/>
      <c r="I1039" s="199" t="s">
        <v>12</v>
      </c>
      <c r="J1039" s="200"/>
      <c r="K1039" s="201">
        <v>6.5850815850815803</v>
      </c>
    </row>
    <row r="1040" spans="1:11">
      <c r="A1040" s="196" t="s">
        <v>53</v>
      </c>
      <c r="B1040" s="197">
        <v>179.92784090909018</v>
      </c>
      <c r="C1040" s="198">
        <v>2</v>
      </c>
      <c r="D1040" s="199">
        <v>7.3999999999999996E-2</v>
      </c>
      <c r="E1040" s="199">
        <v>1.9E-2</v>
      </c>
      <c r="F1040" s="182"/>
      <c r="G1040" s="182"/>
      <c r="H1040" s="182"/>
      <c r="I1040" s="199" t="s">
        <v>12</v>
      </c>
      <c r="J1040" s="200"/>
      <c r="K1040" s="201">
        <v>7.0512820512820502</v>
      </c>
    </row>
    <row r="1041" spans="1:11">
      <c r="A1041" s="196" t="s">
        <v>53</v>
      </c>
      <c r="B1041" s="197">
        <v>1335.2539772727264</v>
      </c>
      <c r="C1041" s="198">
        <v>2</v>
      </c>
      <c r="D1041" s="199">
        <v>7.3999999999999996E-2</v>
      </c>
      <c r="E1041" s="199">
        <v>1.9E-2</v>
      </c>
      <c r="F1041" s="182"/>
      <c r="G1041" s="182"/>
      <c r="H1041" s="182"/>
      <c r="I1041" s="199" t="s">
        <v>12</v>
      </c>
      <c r="J1041" s="200"/>
      <c r="K1041" s="201">
        <v>11.2762237762237</v>
      </c>
    </row>
    <row r="1042" spans="1:11">
      <c r="A1042" s="196" t="s">
        <v>53</v>
      </c>
      <c r="B1042" s="197">
        <v>1695.1096590909017</v>
      </c>
      <c r="C1042" s="198">
        <v>2</v>
      </c>
      <c r="D1042" s="199">
        <v>7.3999999999999996E-2</v>
      </c>
      <c r="E1042" s="199">
        <v>1.9E-2</v>
      </c>
      <c r="F1042" s="182"/>
      <c r="G1042" s="182"/>
      <c r="H1042" s="182"/>
      <c r="I1042" s="199" t="s">
        <v>12</v>
      </c>
      <c r="J1042" s="200"/>
      <c r="K1042" s="201">
        <v>12.0920745920745</v>
      </c>
    </row>
    <row r="1043" spans="1:11">
      <c r="A1043" s="196" t="s">
        <v>53</v>
      </c>
      <c r="B1043" s="197">
        <v>2362.7366477272622</v>
      </c>
      <c r="C1043" s="198">
        <v>2</v>
      </c>
      <c r="D1043" s="199">
        <v>7.3999999999999996E-2</v>
      </c>
      <c r="E1043" s="199">
        <v>1.9E-2</v>
      </c>
      <c r="F1043" s="182"/>
      <c r="G1043" s="182"/>
      <c r="H1043" s="182"/>
      <c r="I1043" s="199" t="s">
        <v>12</v>
      </c>
      <c r="J1043" s="200"/>
      <c r="K1043" s="201">
        <v>13.4906759906759</v>
      </c>
    </row>
    <row r="1044" spans="1:11">
      <c r="A1044" s="196" t="s">
        <v>53</v>
      </c>
      <c r="B1044" s="197">
        <v>3035.098579545443</v>
      </c>
      <c r="C1044" s="198">
        <v>2</v>
      </c>
      <c r="D1044" s="199">
        <v>7.3999999999999996E-2</v>
      </c>
      <c r="E1044" s="199">
        <v>1.9E-2</v>
      </c>
      <c r="F1044" s="182"/>
      <c r="G1044" s="182"/>
      <c r="H1044" s="182"/>
      <c r="I1044" s="199" t="s">
        <v>12</v>
      </c>
      <c r="J1044" s="200"/>
      <c r="K1044" s="201">
        <v>14.481351981351899</v>
      </c>
    </row>
    <row r="1045" spans="1:11">
      <c r="A1045" s="196" t="s">
        <v>53</v>
      </c>
      <c r="B1045" s="197">
        <v>3304.9903409090821</v>
      </c>
      <c r="C1045" s="198">
        <v>2</v>
      </c>
      <c r="D1045" s="199">
        <v>7.3999999999999996E-2</v>
      </c>
      <c r="E1045" s="199">
        <v>1.9E-2</v>
      </c>
      <c r="F1045" s="182"/>
      <c r="G1045" s="182"/>
      <c r="H1045" s="182"/>
      <c r="I1045" s="199" t="s">
        <v>12</v>
      </c>
      <c r="J1045" s="200"/>
      <c r="K1045" s="201">
        <v>14.8018648018648</v>
      </c>
    </row>
    <row r="1046" spans="1:11">
      <c r="A1046" s="196" t="s">
        <v>53</v>
      </c>
      <c r="B1046" s="197">
        <v>3570.1471590909023</v>
      </c>
      <c r="C1046" s="198">
        <v>2</v>
      </c>
      <c r="D1046" s="199">
        <v>7.3999999999999996E-2</v>
      </c>
      <c r="E1046" s="199">
        <v>1.9E-2</v>
      </c>
      <c r="F1046" s="182"/>
      <c r="G1046" s="182"/>
      <c r="H1046" s="182"/>
      <c r="I1046" s="199" t="s">
        <v>12</v>
      </c>
      <c r="J1046" s="200"/>
      <c r="K1046" s="201">
        <v>15.472027972027901</v>
      </c>
    </row>
    <row r="1047" spans="1:11">
      <c r="A1047" s="196" t="s">
        <v>53</v>
      </c>
      <c r="B1047" s="197">
        <v>3849.5088068181808</v>
      </c>
      <c r="C1047" s="198">
        <v>2</v>
      </c>
      <c r="D1047" s="199">
        <v>7.3999999999999996E-2</v>
      </c>
      <c r="E1047" s="199">
        <v>1.9E-2</v>
      </c>
      <c r="F1047" s="182"/>
      <c r="G1047" s="182"/>
      <c r="H1047" s="182"/>
      <c r="I1047" s="199" t="s">
        <v>12</v>
      </c>
      <c r="J1047" s="200"/>
      <c r="K1047" s="201">
        <v>15.7342657342657</v>
      </c>
    </row>
    <row r="1048" spans="1:11">
      <c r="A1048" s="196" t="s">
        <v>53</v>
      </c>
      <c r="B1048" s="197">
        <v>4157.2801136363605</v>
      </c>
      <c r="C1048" s="198">
        <v>2</v>
      </c>
      <c r="D1048" s="199">
        <v>7.3999999999999996E-2</v>
      </c>
      <c r="E1048" s="199">
        <v>1.9E-2</v>
      </c>
      <c r="F1048" s="182"/>
      <c r="G1048" s="182"/>
      <c r="H1048" s="182"/>
      <c r="I1048" s="199" t="s">
        <v>12</v>
      </c>
      <c r="J1048" s="200"/>
      <c r="K1048" s="201">
        <v>15.909090909090899</v>
      </c>
    </row>
    <row r="1049" spans="1:11">
      <c r="A1049" s="196" t="s">
        <v>53</v>
      </c>
      <c r="B1049" s="197">
        <v>4474.5213068181811</v>
      </c>
      <c r="C1049" s="198">
        <v>2</v>
      </c>
      <c r="D1049" s="199">
        <v>7.3999999999999996E-2</v>
      </c>
      <c r="E1049" s="199">
        <v>1.9E-2</v>
      </c>
      <c r="F1049" s="182"/>
      <c r="G1049" s="182"/>
      <c r="H1049" s="182"/>
      <c r="I1049" s="199" t="s">
        <v>12</v>
      </c>
      <c r="J1049" s="200"/>
      <c r="K1049" s="201">
        <v>16.200466200466199</v>
      </c>
    </row>
    <row r="1050" spans="1:11">
      <c r="A1050" s="196" t="s">
        <v>53</v>
      </c>
      <c r="B1050" s="197">
        <v>4782.2926136363612</v>
      </c>
      <c r="C1050" s="198">
        <v>2</v>
      </c>
      <c r="D1050" s="199">
        <v>7.3999999999999996E-2</v>
      </c>
      <c r="E1050" s="199">
        <v>1.9E-2</v>
      </c>
      <c r="F1050" s="182"/>
      <c r="G1050" s="182"/>
      <c r="H1050" s="182"/>
      <c r="I1050" s="199" t="s">
        <v>12</v>
      </c>
      <c r="J1050" s="200"/>
      <c r="K1050" s="201">
        <v>16.404428904428901</v>
      </c>
    </row>
    <row r="1051" spans="1:11">
      <c r="A1051" s="196" t="s">
        <v>53</v>
      </c>
      <c r="B1051" s="197">
        <v>4990.6301136363618</v>
      </c>
      <c r="C1051" s="198">
        <v>2</v>
      </c>
      <c r="D1051" s="199">
        <v>7.3999999999999996E-2</v>
      </c>
      <c r="E1051" s="199">
        <v>1.9E-2</v>
      </c>
      <c r="F1051" s="182"/>
      <c r="G1051" s="182"/>
      <c r="H1051" s="182"/>
      <c r="I1051" s="199" t="s">
        <v>12</v>
      </c>
      <c r="J1051" s="200"/>
      <c r="K1051" s="201">
        <v>16.113053613053602</v>
      </c>
    </row>
    <row r="1052" spans="1:11">
      <c r="A1052" s="196" t="s">
        <v>53</v>
      </c>
      <c r="B1052" s="202">
        <v>1496.2420454545443</v>
      </c>
      <c r="C1052" s="198">
        <v>2</v>
      </c>
      <c r="D1052" s="199">
        <v>7.3999999999999996E-2</v>
      </c>
      <c r="E1052" s="199">
        <v>1.0999999999999999E-2</v>
      </c>
      <c r="F1052" s="182"/>
      <c r="G1052" s="182"/>
      <c r="H1052" s="182"/>
      <c r="I1052" s="199" t="s">
        <v>12</v>
      </c>
      <c r="J1052" s="200"/>
      <c r="K1052" s="200">
        <v>11.8881118881118</v>
      </c>
    </row>
    <row r="1053" spans="1:11">
      <c r="A1053" s="196" t="s">
        <v>53</v>
      </c>
      <c r="B1053" s="202">
        <v>2358.0017045454429</v>
      </c>
      <c r="C1053" s="198">
        <v>2</v>
      </c>
      <c r="D1053" s="199">
        <v>7.3999999999999996E-2</v>
      </c>
      <c r="E1053" s="199">
        <v>1.0999999999999999E-2</v>
      </c>
      <c r="F1053" s="182"/>
      <c r="G1053" s="182"/>
      <c r="H1053" s="182"/>
      <c r="I1053" s="199" t="s">
        <v>12</v>
      </c>
      <c r="J1053" s="200"/>
      <c r="K1053" s="200">
        <v>15.4428904428904</v>
      </c>
    </row>
    <row r="1054" spans="1:11">
      <c r="A1054" s="196" t="s">
        <v>53</v>
      </c>
      <c r="B1054" s="202">
        <v>511.37386363636233</v>
      </c>
      <c r="C1054" s="198">
        <v>2</v>
      </c>
      <c r="D1054" s="199">
        <v>7.3999999999999996E-2</v>
      </c>
      <c r="E1054" s="199">
        <v>1.0999999999999999E-2</v>
      </c>
      <c r="F1054" s="182"/>
      <c r="G1054" s="182"/>
      <c r="H1054" s="182"/>
      <c r="I1054" s="199" t="s">
        <v>12</v>
      </c>
      <c r="J1054" s="200"/>
      <c r="K1054" s="200">
        <v>7.6048951048950997</v>
      </c>
    </row>
    <row r="1055" spans="1:11">
      <c r="A1055" s="196" t="s">
        <v>53</v>
      </c>
      <c r="B1055" s="202">
        <v>3030.3636363636228</v>
      </c>
      <c r="C1055" s="198">
        <v>2</v>
      </c>
      <c r="D1055" s="199">
        <v>7.3999999999999996E-2</v>
      </c>
      <c r="E1055" s="199">
        <v>1.0999999999999999E-2</v>
      </c>
      <c r="F1055" s="182"/>
      <c r="G1055" s="182"/>
      <c r="H1055" s="182"/>
      <c r="I1055" s="199" t="s">
        <v>12</v>
      </c>
      <c r="J1055" s="200"/>
      <c r="K1055" s="200">
        <v>17.045454545454501</v>
      </c>
    </row>
    <row r="1056" spans="1:11">
      <c r="A1056" s="196" t="s">
        <v>53</v>
      </c>
      <c r="B1056" s="202">
        <v>3304.9903409090821</v>
      </c>
      <c r="C1056" s="198">
        <v>2</v>
      </c>
      <c r="D1056" s="199">
        <v>7.3999999999999996E-2</v>
      </c>
      <c r="E1056" s="199">
        <v>1.0999999999999999E-2</v>
      </c>
      <c r="F1056" s="182"/>
      <c r="G1056" s="182"/>
      <c r="H1056" s="182"/>
      <c r="I1056" s="199" t="s">
        <v>12</v>
      </c>
      <c r="J1056" s="200"/>
      <c r="K1056" s="200">
        <v>15.355477855477799</v>
      </c>
    </row>
    <row r="1057" spans="1:11">
      <c r="A1057" s="196" t="s">
        <v>53</v>
      </c>
      <c r="B1057" s="202">
        <v>3555.942329545443</v>
      </c>
      <c r="C1057" s="198">
        <v>2</v>
      </c>
      <c r="D1057" s="199">
        <v>7.3999999999999996E-2</v>
      </c>
      <c r="E1057" s="199">
        <v>1.0999999999999999E-2</v>
      </c>
      <c r="F1057" s="182"/>
      <c r="G1057" s="182"/>
      <c r="H1057" s="182"/>
      <c r="I1057" s="199" t="s">
        <v>12</v>
      </c>
      <c r="J1057" s="200"/>
      <c r="K1057" s="200">
        <v>16.520979020978999</v>
      </c>
    </row>
    <row r="1058" spans="1:11">
      <c r="A1058" s="196" t="s">
        <v>53</v>
      </c>
      <c r="B1058" s="202">
        <v>3849.5088068181808</v>
      </c>
      <c r="C1058" s="198">
        <v>2</v>
      </c>
      <c r="D1058" s="199">
        <v>7.3999999999999996E-2</v>
      </c>
      <c r="E1058" s="199">
        <v>1.0999999999999999E-2</v>
      </c>
      <c r="F1058" s="182"/>
      <c r="G1058" s="182"/>
      <c r="H1058" s="182"/>
      <c r="I1058" s="199" t="s">
        <v>12</v>
      </c>
      <c r="J1058" s="200"/>
      <c r="K1058" s="200">
        <v>16.550116550116499</v>
      </c>
    </row>
    <row r="1059" spans="1:11">
      <c r="A1059" s="196" t="s">
        <v>53</v>
      </c>
      <c r="B1059" s="202">
        <v>4162.0150568181807</v>
      </c>
      <c r="C1059" s="198">
        <v>2</v>
      </c>
      <c r="D1059" s="199">
        <v>7.3999999999999996E-2</v>
      </c>
      <c r="E1059" s="199">
        <v>1.0999999999999999E-2</v>
      </c>
      <c r="F1059" s="182"/>
      <c r="G1059" s="182"/>
      <c r="H1059" s="182"/>
      <c r="I1059" s="199" t="s">
        <v>12</v>
      </c>
      <c r="J1059" s="200"/>
      <c r="K1059" s="200">
        <v>16.2878787878787</v>
      </c>
    </row>
    <row r="1060" spans="1:11">
      <c r="A1060" s="196" t="s">
        <v>53</v>
      </c>
      <c r="B1060" s="202">
        <v>4483.9911931818042</v>
      </c>
      <c r="C1060" s="198">
        <v>2</v>
      </c>
      <c r="D1060" s="199">
        <v>7.3999999999999996E-2</v>
      </c>
      <c r="E1060" s="199">
        <v>1.0999999999999999E-2</v>
      </c>
      <c r="F1060" s="182"/>
      <c r="G1060" s="182"/>
      <c r="H1060" s="182"/>
      <c r="I1060" s="199" t="s">
        <v>12</v>
      </c>
      <c r="J1060" s="200"/>
      <c r="K1060" s="200">
        <v>17.482517482517402</v>
      </c>
    </row>
    <row r="1061" spans="1:11">
      <c r="A1061" s="196" t="s">
        <v>53</v>
      </c>
      <c r="B1061" s="202">
        <v>4796.4974431818036</v>
      </c>
      <c r="C1061" s="198">
        <v>2</v>
      </c>
      <c r="D1061" s="199">
        <v>7.3999999999999996E-2</v>
      </c>
      <c r="E1061" s="199">
        <v>1.0999999999999999E-2</v>
      </c>
      <c r="F1061" s="182"/>
      <c r="G1061" s="182"/>
      <c r="H1061" s="182"/>
      <c r="I1061" s="199" t="s">
        <v>12</v>
      </c>
      <c r="J1061" s="200"/>
      <c r="K1061" s="200">
        <v>16.870629370629299</v>
      </c>
    </row>
    <row r="1062" spans="1:11">
      <c r="A1062" s="196" t="s">
        <v>53</v>
      </c>
      <c r="B1062" s="202">
        <v>4976.4252840909021</v>
      </c>
      <c r="C1062" s="198">
        <v>2</v>
      </c>
      <c r="D1062" s="199">
        <v>7.3999999999999996E-2</v>
      </c>
      <c r="E1062" s="199">
        <v>1.0999999999999999E-2</v>
      </c>
      <c r="F1062" s="182"/>
      <c r="G1062" s="182"/>
      <c r="H1062" s="182"/>
      <c r="I1062" s="199" t="s">
        <v>12</v>
      </c>
      <c r="J1062" s="200"/>
      <c r="K1062" s="200">
        <v>16.462703962703898</v>
      </c>
    </row>
    <row r="1063" spans="1:11">
      <c r="A1063" s="196" t="s">
        <v>53</v>
      </c>
      <c r="B1063" s="202">
        <v>5014.3048295454428</v>
      </c>
      <c r="C1063" s="198">
        <v>2</v>
      </c>
      <c r="D1063" s="199">
        <v>7.3999999999999996E-2</v>
      </c>
      <c r="E1063" s="199">
        <v>1.0999999999999999E-2</v>
      </c>
      <c r="F1063" s="182"/>
      <c r="G1063" s="182"/>
      <c r="H1063" s="182"/>
      <c r="I1063" s="199" t="s">
        <v>12</v>
      </c>
      <c r="J1063" s="200"/>
      <c r="K1063" s="200">
        <v>17.569930069929999</v>
      </c>
    </row>
    <row r="1064" spans="1:11">
      <c r="A1064" s="196" t="s">
        <v>53</v>
      </c>
      <c r="B1064" s="197">
        <v>274.62670454545417</v>
      </c>
      <c r="C1064" s="198">
        <v>2</v>
      </c>
      <c r="D1064" s="199">
        <v>7.3999999999999996E-2</v>
      </c>
      <c r="E1064" s="199">
        <v>1.4999999999999999E-2</v>
      </c>
      <c r="F1064" s="182"/>
      <c r="G1064" s="182"/>
      <c r="H1064" s="182"/>
      <c r="I1064" s="199" t="s">
        <v>12</v>
      </c>
      <c r="J1064" s="200"/>
      <c r="K1064" s="200">
        <v>5.9731934731934704</v>
      </c>
    </row>
    <row r="1065" spans="1:11">
      <c r="A1065" s="196" t="s">
        <v>53</v>
      </c>
      <c r="B1065" s="197">
        <v>464.02443181818035</v>
      </c>
      <c r="C1065" s="198">
        <v>2</v>
      </c>
      <c r="D1065" s="199">
        <v>7.3999999999999996E-2</v>
      </c>
      <c r="E1065" s="199">
        <v>1.4999999999999999E-2</v>
      </c>
      <c r="F1065" s="182"/>
      <c r="G1065" s="182"/>
      <c r="H1065" s="182"/>
      <c r="I1065" s="199" t="s">
        <v>12</v>
      </c>
      <c r="J1065" s="200"/>
      <c r="K1065" s="200">
        <v>6.61421911421911</v>
      </c>
    </row>
    <row r="1066" spans="1:11">
      <c r="A1066" s="196" t="s">
        <v>53</v>
      </c>
      <c r="B1066" s="197">
        <v>563.45823863636235</v>
      </c>
      <c r="C1066" s="198">
        <v>2</v>
      </c>
      <c r="D1066" s="199">
        <v>7.3999999999999996E-2</v>
      </c>
      <c r="E1066" s="199">
        <v>1.4999999999999999E-2</v>
      </c>
      <c r="F1066" s="182"/>
      <c r="G1066" s="182"/>
      <c r="H1066" s="182"/>
      <c r="I1066" s="199" t="s">
        <v>12</v>
      </c>
      <c r="J1066" s="200"/>
      <c r="K1066" s="200">
        <v>7.8088578088578</v>
      </c>
    </row>
    <row r="1067" spans="1:11">
      <c r="A1067" s="196" t="s">
        <v>53</v>
      </c>
      <c r="B1067" s="197">
        <v>667.6269886363624</v>
      </c>
      <c r="C1067" s="198">
        <v>2</v>
      </c>
      <c r="D1067" s="199">
        <v>7.3999999999999996E-2</v>
      </c>
      <c r="E1067" s="199">
        <v>1.4999999999999999E-2</v>
      </c>
      <c r="F1067" s="182"/>
      <c r="G1067" s="182"/>
      <c r="H1067" s="182"/>
      <c r="I1067" s="199" t="s">
        <v>12</v>
      </c>
      <c r="J1067" s="200"/>
      <c r="K1067" s="200">
        <v>8.0128205128205092</v>
      </c>
    </row>
    <row r="1068" spans="1:11">
      <c r="A1068" s="196" t="s">
        <v>53</v>
      </c>
      <c r="B1068" s="197">
        <v>1008.5428977272721</v>
      </c>
      <c r="C1068" s="198">
        <v>2</v>
      </c>
      <c r="D1068" s="199">
        <v>7.3999999999999996E-2</v>
      </c>
      <c r="E1068" s="199">
        <v>1.4999999999999999E-2</v>
      </c>
      <c r="F1068" s="182"/>
      <c r="G1068" s="182"/>
      <c r="H1068" s="182"/>
      <c r="I1068" s="199" t="s">
        <v>12</v>
      </c>
      <c r="J1068" s="200"/>
      <c r="K1068" s="200">
        <v>11.3053613053613</v>
      </c>
    </row>
    <row r="1069" spans="1:11">
      <c r="A1069" s="196" t="s">
        <v>53</v>
      </c>
      <c r="B1069" s="197">
        <v>1354.1937500000001</v>
      </c>
      <c r="C1069" s="198">
        <v>2</v>
      </c>
      <c r="D1069" s="199">
        <v>7.3999999999999996E-2</v>
      </c>
      <c r="E1069" s="199">
        <v>1.4999999999999999E-2</v>
      </c>
      <c r="F1069" s="182"/>
      <c r="G1069" s="182"/>
      <c r="H1069" s="182"/>
      <c r="I1069" s="199" t="s">
        <v>12</v>
      </c>
      <c r="J1069" s="200"/>
      <c r="K1069" s="200">
        <v>12.6456876456876</v>
      </c>
    </row>
    <row r="1070" spans="1:11">
      <c r="A1070" s="196" t="s">
        <v>53</v>
      </c>
      <c r="B1070" s="197">
        <v>1510.4468750000001</v>
      </c>
      <c r="C1070" s="198">
        <v>2</v>
      </c>
      <c r="D1070" s="199">
        <v>7.3999999999999996E-2</v>
      </c>
      <c r="E1070" s="199">
        <v>1.4999999999999999E-2</v>
      </c>
      <c r="F1070" s="182"/>
      <c r="G1070" s="182"/>
      <c r="H1070" s="182"/>
      <c r="I1070" s="199" t="s">
        <v>12</v>
      </c>
      <c r="J1070" s="200"/>
      <c r="K1070" s="200">
        <v>13.927738927738901</v>
      </c>
    </row>
    <row r="1071" spans="1:11">
      <c r="A1071" s="196" t="s">
        <v>53</v>
      </c>
      <c r="B1071" s="197">
        <v>1737.7241477272623</v>
      </c>
      <c r="C1071" s="198">
        <v>2</v>
      </c>
      <c r="D1071" s="199">
        <v>7.3999999999999996E-2</v>
      </c>
      <c r="E1071" s="199">
        <v>1.4999999999999999E-2</v>
      </c>
      <c r="F1071" s="182"/>
      <c r="G1071" s="182"/>
      <c r="H1071" s="182"/>
      <c r="I1071" s="199" t="s">
        <v>12</v>
      </c>
      <c r="J1071" s="200"/>
      <c r="K1071" s="200">
        <v>12.8496503496503</v>
      </c>
    </row>
    <row r="1072" spans="1:11">
      <c r="A1072" s="196" t="s">
        <v>53</v>
      </c>
      <c r="B1072" s="197">
        <v>2353.2667613636227</v>
      </c>
      <c r="C1072" s="198">
        <v>2</v>
      </c>
      <c r="D1072" s="199">
        <v>7.3999999999999996E-2</v>
      </c>
      <c r="E1072" s="199">
        <v>1.4999999999999999E-2</v>
      </c>
      <c r="F1072" s="182"/>
      <c r="G1072" s="182"/>
      <c r="H1072" s="182"/>
      <c r="I1072" s="199" t="s">
        <v>12</v>
      </c>
      <c r="J1072" s="200"/>
      <c r="K1072" s="200">
        <v>14.335664335664299</v>
      </c>
    </row>
    <row r="1073" spans="1:12">
      <c r="A1073" s="196" t="s">
        <v>53</v>
      </c>
      <c r="B1073" s="197">
        <v>3039.8335227272623</v>
      </c>
      <c r="C1073" s="198">
        <v>2</v>
      </c>
      <c r="D1073" s="199">
        <v>7.3999999999999996E-2</v>
      </c>
      <c r="E1073" s="199">
        <v>1.4999999999999999E-2</v>
      </c>
      <c r="F1073" s="182"/>
      <c r="G1073" s="182"/>
      <c r="H1073" s="182"/>
      <c r="I1073" s="199" t="s">
        <v>12</v>
      </c>
      <c r="J1073" s="200"/>
      <c r="K1073" s="200">
        <v>15.909090909090899</v>
      </c>
    </row>
    <row r="1074" spans="1:12">
      <c r="A1074" s="196" t="s">
        <v>53</v>
      </c>
      <c r="B1074" s="197">
        <v>3584.3519886363606</v>
      </c>
      <c r="C1074" s="198">
        <v>2</v>
      </c>
      <c r="D1074" s="199">
        <v>7.3999999999999996E-2</v>
      </c>
      <c r="E1074" s="199">
        <v>1.4999999999999999E-2</v>
      </c>
      <c r="F1074" s="182"/>
      <c r="G1074" s="182"/>
      <c r="H1074" s="182"/>
      <c r="I1074" s="199" t="s">
        <v>12</v>
      </c>
      <c r="J1074" s="200"/>
      <c r="K1074" s="200">
        <v>16.9871794871794</v>
      </c>
    </row>
    <row r="1075" spans="1:12">
      <c r="A1075" s="196" t="s">
        <v>53</v>
      </c>
      <c r="B1075" s="197">
        <v>4318.2681818181809</v>
      </c>
      <c r="C1075" s="198">
        <v>2</v>
      </c>
      <c r="D1075" s="199">
        <v>7.3999999999999996E-2</v>
      </c>
      <c r="E1075" s="199">
        <v>1.4999999999999999E-2</v>
      </c>
      <c r="F1075" s="182"/>
      <c r="G1075" s="182"/>
      <c r="H1075" s="182"/>
      <c r="I1075" s="199" t="s">
        <v>12</v>
      </c>
      <c r="J1075" s="200"/>
      <c r="K1075" s="200">
        <v>17.6573426573426</v>
      </c>
    </row>
    <row r="1076" spans="1:12">
      <c r="A1076" s="196" t="s">
        <v>53</v>
      </c>
      <c r="B1076" s="197">
        <v>4791.7625000000007</v>
      </c>
      <c r="C1076" s="198">
        <v>2</v>
      </c>
      <c r="D1076" s="199">
        <v>7.3999999999999996E-2</v>
      </c>
      <c r="E1076" s="199">
        <v>1.4999999999999999E-2</v>
      </c>
      <c r="F1076" s="182"/>
      <c r="G1076" s="182"/>
      <c r="H1076" s="182"/>
      <c r="I1076" s="199" t="s">
        <v>12</v>
      </c>
      <c r="J1076" s="200"/>
      <c r="K1076" s="200">
        <v>17.016317016317</v>
      </c>
    </row>
    <row r="1077" spans="1:12">
      <c r="A1077" s="196" t="s">
        <v>53</v>
      </c>
      <c r="B1077" s="197">
        <v>3314.4602272727216</v>
      </c>
      <c r="C1077" s="198">
        <v>2</v>
      </c>
      <c r="D1077" s="199">
        <v>7.3999999999999996E-2</v>
      </c>
      <c r="E1077" s="199">
        <v>1.4999999999999999E-2</v>
      </c>
      <c r="F1077" s="182"/>
      <c r="G1077" s="182"/>
      <c r="H1077" s="182"/>
      <c r="I1077" s="199" t="s">
        <v>12</v>
      </c>
      <c r="J1077" s="200"/>
      <c r="K1077" s="200">
        <v>16.812354312354302</v>
      </c>
    </row>
    <row r="1078" spans="1:12">
      <c r="A1078" s="196" t="s">
        <v>53</v>
      </c>
      <c r="B1078" s="197">
        <v>563.45823863636235</v>
      </c>
      <c r="C1078" s="198">
        <v>2</v>
      </c>
      <c r="D1078" s="199">
        <v>7.3999999999999996E-2</v>
      </c>
      <c r="E1078" s="201">
        <v>1.9E-2</v>
      </c>
      <c r="F1078" s="182"/>
      <c r="G1078" s="182"/>
      <c r="H1078" s="182"/>
      <c r="I1078" s="199" t="s">
        <v>12</v>
      </c>
      <c r="J1078" s="200"/>
      <c r="K1078" s="201">
        <v>9.2948717948717903</v>
      </c>
    </row>
    <row r="1079" spans="1:12">
      <c r="A1079" s="196" t="s">
        <v>53</v>
      </c>
      <c r="B1079" s="197">
        <v>667.6269886363624</v>
      </c>
      <c r="C1079" s="198">
        <v>2</v>
      </c>
      <c r="D1079" s="199">
        <v>7.3999999999999996E-2</v>
      </c>
      <c r="E1079" s="201">
        <v>1.9E-2</v>
      </c>
      <c r="F1079" s="182"/>
      <c r="G1079" s="182"/>
      <c r="H1079" s="182"/>
      <c r="I1079" s="199" t="s">
        <v>12</v>
      </c>
      <c r="J1079" s="200"/>
      <c r="K1079" s="201">
        <v>9.5571095571095501</v>
      </c>
    </row>
    <row r="1080" spans="1:12">
      <c r="A1080" s="196" t="s">
        <v>53</v>
      </c>
      <c r="B1080" s="197">
        <v>1671.4349431818032</v>
      </c>
      <c r="C1080" s="198">
        <v>2</v>
      </c>
      <c r="D1080" s="199">
        <v>7.3999999999999996E-2</v>
      </c>
      <c r="E1080" s="201">
        <v>1.9E-2</v>
      </c>
      <c r="F1080" s="182"/>
      <c r="G1080" s="182"/>
      <c r="H1080" s="182"/>
      <c r="I1080" s="199" t="s">
        <v>12</v>
      </c>
      <c r="J1080" s="200"/>
      <c r="K1080" s="201">
        <v>14.4230769230769</v>
      </c>
    </row>
    <row r="1081" spans="1:12">
      <c r="A1081" s="196" t="s">
        <v>53</v>
      </c>
      <c r="B1081" s="197">
        <v>2348.5318181818034</v>
      </c>
      <c r="C1081" s="198">
        <v>2</v>
      </c>
      <c r="D1081" s="199">
        <v>7.3999999999999996E-2</v>
      </c>
      <c r="E1081" s="201">
        <v>1.9E-2</v>
      </c>
      <c r="F1081" s="182"/>
      <c r="G1081" s="182"/>
      <c r="H1081" s="182"/>
      <c r="I1081" s="199" t="s">
        <v>12</v>
      </c>
      <c r="J1081" s="200"/>
      <c r="K1081" s="201">
        <v>16.113053613053602</v>
      </c>
    </row>
    <row r="1082" spans="1:12">
      <c r="A1082" s="196" t="s">
        <v>53</v>
      </c>
      <c r="B1082" s="197">
        <v>3044.5684659090821</v>
      </c>
      <c r="C1082" s="198">
        <v>2</v>
      </c>
      <c r="D1082" s="199">
        <v>7.3999999999999996E-2</v>
      </c>
      <c r="E1082" s="201">
        <v>1.9E-2</v>
      </c>
      <c r="F1082" s="182"/>
      <c r="G1082" s="182"/>
      <c r="H1082" s="182"/>
      <c r="I1082" s="199" t="s">
        <v>12</v>
      </c>
      <c r="J1082" s="200"/>
      <c r="K1082" s="201">
        <v>18.648018648018599</v>
      </c>
    </row>
    <row r="1083" spans="1:12">
      <c r="A1083" s="196" t="s">
        <v>53</v>
      </c>
      <c r="B1083" s="197">
        <v>3314.4602272727216</v>
      </c>
      <c r="C1083" s="198">
        <v>2</v>
      </c>
      <c r="D1083" s="199">
        <v>7.3999999999999996E-2</v>
      </c>
      <c r="E1083" s="201">
        <v>1.9E-2</v>
      </c>
      <c r="F1083" s="182"/>
      <c r="G1083" s="182"/>
      <c r="H1083" s="182"/>
      <c r="I1083" s="199" t="s">
        <v>12</v>
      </c>
      <c r="J1083" s="200"/>
      <c r="K1083" s="201">
        <v>19.988344988344899</v>
      </c>
    </row>
    <row r="1084" spans="1:12">
      <c r="A1084" s="196" t="s">
        <v>53</v>
      </c>
      <c r="B1084" s="197">
        <v>3849.5088068181808</v>
      </c>
      <c r="C1084" s="198">
        <v>2</v>
      </c>
      <c r="D1084" s="199">
        <v>7.3999999999999996E-2</v>
      </c>
      <c r="E1084" s="201">
        <v>1.9E-2</v>
      </c>
      <c r="F1084" s="182"/>
      <c r="G1084" s="182"/>
      <c r="H1084" s="182"/>
      <c r="I1084" s="199" t="s">
        <v>12</v>
      </c>
      <c r="J1084" s="200"/>
      <c r="K1084" s="201">
        <v>21.1247086247086</v>
      </c>
    </row>
    <row r="1085" spans="1:12">
      <c r="A1085" s="196" t="s">
        <v>53</v>
      </c>
      <c r="B1085" s="197">
        <v>4176.2198863636231</v>
      </c>
      <c r="C1085" s="198">
        <v>2</v>
      </c>
      <c r="D1085" s="199">
        <v>7.3999999999999996E-2</v>
      </c>
      <c r="E1085" s="201">
        <v>1.9E-2</v>
      </c>
      <c r="F1085" s="182"/>
      <c r="G1085" s="182"/>
      <c r="H1085" s="182"/>
      <c r="I1085" s="199" t="s">
        <v>12</v>
      </c>
      <c r="J1085" s="200"/>
      <c r="K1085" s="201">
        <v>21.9114219114219</v>
      </c>
    </row>
    <row r="1086" spans="1:12">
      <c r="A1086" s="196" t="s">
        <v>53</v>
      </c>
      <c r="B1086" s="197">
        <v>4502.9309659090823</v>
      </c>
      <c r="C1086" s="198">
        <v>2</v>
      </c>
      <c r="D1086" s="199">
        <v>7.3999999999999996E-2</v>
      </c>
      <c r="E1086" s="201">
        <v>1.9E-2</v>
      </c>
      <c r="F1086" s="182"/>
      <c r="G1086" s="182"/>
      <c r="H1086" s="182"/>
      <c r="I1086" s="199" t="s">
        <v>12</v>
      </c>
      <c r="J1086" s="200"/>
      <c r="K1086" s="201">
        <v>22.960372960372901</v>
      </c>
    </row>
    <row r="1087" spans="1:12">
      <c r="A1087" s="196" t="s">
        <v>53</v>
      </c>
      <c r="B1087" s="197">
        <v>4805.9673295454431</v>
      </c>
      <c r="C1087" s="198">
        <v>2</v>
      </c>
      <c r="D1087" s="199">
        <v>7.3999999999999996E-2</v>
      </c>
      <c r="E1087" s="201">
        <v>1.9E-2</v>
      </c>
      <c r="F1087" s="182"/>
      <c r="G1087" s="182"/>
      <c r="H1087" s="182"/>
      <c r="I1087" s="199" t="s">
        <v>12</v>
      </c>
      <c r="J1087" s="200"/>
      <c r="K1087" s="201">
        <v>20.541958041958001</v>
      </c>
      <c r="L1087" s="84" t="s">
        <v>54</v>
      </c>
    </row>
    <row r="1088" spans="1:12">
      <c r="A1088" s="196" t="s">
        <v>53</v>
      </c>
      <c r="B1088" s="197">
        <v>5019.039772727263</v>
      </c>
      <c r="C1088" s="198">
        <v>2</v>
      </c>
      <c r="D1088" s="199">
        <v>7.3999999999999996E-2</v>
      </c>
      <c r="E1088" s="201">
        <v>1.9E-2</v>
      </c>
      <c r="F1088" s="182"/>
      <c r="G1088" s="182"/>
      <c r="H1088" s="182"/>
      <c r="I1088" s="199" t="s">
        <v>12</v>
      </c>
      <c r="J1088" s="200"/>
      <c r="K1088" s="201">
        <v>21.1538461538461</v>
      </c>
    </row>
    <row r="1090" spans="1:11">
      <c r="A1090" s="75" t="s">
        <v>30</v>
      </c>
      <c r="B1090" s="76">
        <v>1440</v>
      </c>
      <c r="C1090" s="76">
        <v>1.92</v>
      </c>
      <c r="D1090" s="76"/>
      <c r="E1090" s="76">
        <v>0.71099999999999997</v>
      </c>
      <c r="F1090" s="76">
        <v>1250</v>
      </c>
      <c r="G1090" s="76"/>
      <c r="H1090" s="76"/>
      <c r="I1090" s="77" t="s">
        <v>12</v>
      </c>
      <c r="J1090" s="14"/>
      <c r="K1090" s="76">
        <v>16.838903009606295</v>
      </c>
    </row>
    <row r="1091" spans="1:11">
      <c r="A1091" s="75" t="s">
        <v>30</v>
      </c>
      <c r="B1091" s="26">
        <v>18.907563025210081</v>
      </c>
      <c r="C1091" s="25">
        <v>0.66800000000000004</v>
      </c>
      <c r="D1091" s="26"/>
      <c r="E1091" s="26">
        <v>0.51500000000000001</v>
      </c>
      <c r="F1091" s="26"/>
      <c r="G1091" s="76"/>
      <c r="H1091" s="76"/>
      <c r="I1091" s="77" t="s">
        <v>12</v>
      </c>
      <c r="J1091" s="14"/>
      <c r="K1091" s="79">
        <v>4.4134338790100367</v>
      </c>
    </row>
    <row r="1092" spans="1:11">
      <c r="A1092" s="75" t="s">
        <v>30</v>
      </c>
      <c r="B1092" s="80">
        <v>24.2016806722689</v>
      </c>
      <c r="C1092" s="25">
        <v>0.66800000000000004</v>
      </c>
      <c r="D1092" s="76"/>
      <c r="E1092" s="80">
        <v>0.51500000000000001</v>
      </c>
      <c r="F1092" s="76"/>
      <c r="G1092" s="76"/>
      <c r="H1092" s="76"/>
      <c r="I1092" s="77" t="s">
        <v>12</v>
      </c>
      <c r="J1092" s="14"/>
      <c r="K1092" s="79">
        <v>4.6357776105626742</v>
      </c>
    </row>
    <row r="1093" spans="1:11">
      <c r="A1093" s="75" t="s">
        <v>30</v>
      </c>
      <c r="B1093" s="80">
        <v>31.51260504201678</v>
      </c>
      <c r="C1093" s="25">
        <v>0.66800000000000004</v>
      </c>
      <c r="D1093" s="76"/>
      <c r="E1093" s="80">
        <v>0.51500000000000001</v>
      </c>
      <c r="F1093" s="76"/>
      <c r="G1093" s="76"/>
      <c r="H1093" s="76"/>
      <c r="I1093" s="77" t="s">
        <v>12</v>
      </c>
      <c r="J1093" s="14"/>
      <c r="K1093" s="79">
        <v>4.9613122517439976</v>
      </c>
    </row>
    <row r="1094" spans="1:11">
      <c r="A1094" s="75" t="s">
        <v>30</v>
      </c>
      <c r="B1094" s="80">
        <v>39.327731092436942</v>
      </c>
      <c r="C1094" s="25">
        <v>0.66800000000000004</v>
      </c>
      <c r="D1094" s="80"/>
      <c r="E1094" s="80">
        <v>0.51500000000000001</v>
      </c>
      <c r="F1094" s="80"/>
      <c r="G1094" s="76"/>
      <c r="H1094" s="76"/>
      <c r="I1094" s="77" t="s">
        <v>12</v>
      </c>
      <c r="J1094" s="14"/>
      <c r="K1094" s="79">
        <v>5.2196308266952114</v>
      </c>
    </row>
    <row r="1095" spans="1:11">
      <c r="A1095" s="75" t="s">
        <v>30</v>
      </c>
      <c r="B1095" s="80">
        <v>47.394957983193244</v>
      </c>
      <c r="C1095" s="25">
        <v>0.66800000000000004</v>
      </c>
      <c r="D1095" s="76"/>
      <c r="E1095" s="80">
        <v>0.51500000000000001</v>
      </c>
      <c r="F1095" s="76"/>
      <c r="G1095" s="76"/>
      <c r="H1095" s="76"/>
      <c r="I1095" s="77" t="s">
        <v>12</v>
      </c>
      <c r="J1095" s="14"/>
      <c r="K1095" s="79">
        <v>5.4546365937994432</v>
      </c>
    </row>
    <row r="1096" spans="1:11">
      <c r="A1096" s="75" t="s">
        <v>30</v>
      </c>
      <c r="B1096" s="80">
        <v>55.96638655462182</v>
      </c>
      <c r="C1096" s="25">
        <v>0.66800000000000004</v>
      </c>
      <c r="D1096" s="76"/>
      <c r="E1096" s="80">
        <v>0.51500000000000001</v>
      </c>
      <c r="F1096" s="76"/>
      <c r="G1096" s="76"/>
      <c r="H1096" s="76"/>
      <c r="I1096" s="77" t="s">
        <v>12</v>
      </c>
      <c r="J1096" s="14"/>
      <c r="K1096" s="79">
        <v>5.6626299065744279</v>
      </c>
    </row>
    <row r="1097" spans="1:11">
      <c r="A1097" s="75" t="s">
        <v>30</v>
      </c>
      <c r="B1097" s="80">
        <v>64.537815126050404</v>
      </c>
      <c r="C1097" s="25">
        <v>0.66800000000000004</v>
      </c>
      <c r="D1097" s="76"/>
      <c r="E1097" s="80">
        <v>0.51500000000000001</v>
      </c>
      <c r="F1097" s="76"/>
      <c r="G1097" s="76"/>
      <c r="H1097" s="76"/>
      <c r="I1097" s="77" t="s">
        <v>12</v>
      </c>
      <c r="J1097" s="14"/>
      <c r="K1097" s="79">
        <v>5.8797050274711111</v>
      </c>
    </row>
    <row r="1098" spans="1:11">
      <c r="A1098" s="75" t="s">
        <v>30</v>
      </c>
      <c r="B1098" s="80">
        <v>74.369747899159194</v>
      </c>
      <c r="C1098" s="25">
        <v>0.66800000000000004</v>
      </c>
      <c r="D1098" s="76"/>
      <c r="E1098" s="80">
        <v>0.51500000000000001</v>
      </c>
      <c r="F1098" s="76"/>
      <c r="G1098" s="76"/>
      <c r="H1098" s="76"/>
      <c r="I1098" s="77" t="s">
        <v>12</v>
      </c>
      <c r="J1098" s="14"/>
      <c r="K1098" s="79">
        <v>6.1321014440927115</v>
      </c>
    </row>
    <row r="1099" spans="1:11">
      <c r="A1099" s="75" t="s">
        <v>30</v>
      </c>
      <c r="B1099" s="80">
        <v>82.436974789915794</v>
      </c>
      <c r="C1099" s="25">
        <v>0.66800000000000004</v>
      </c>
      <c r="D1099" s="76"/>
      <c r="E1099" s="80">
        <v>0.51500000000000001</v>
      </c>
      <c r="F1099" s="76"/>
      <c r="G1099" s="76"/>
      <c r="H1099" s="76"/>
      <c r="I1099" s="77" t="s">
        <v>12</v>
      </c>
      <c r="J1099" s="14"/>
      <c r="K1099" s="79">
        <v>6.4757130873437294</v>
      </c>
    </row>
    <row r="1100" spans="1:11">
      <c r="A1100" s="75" t="s">
        <v>30</v>
      </c>
      <c r="B1100" s="80">
        <v>92.52100840336081</v>
      </c>
      <c r="C1100" s="25">
        <v>0.66800000000000004</v>
      </c>
      <c r="D1100" s="76"/>
      <c r="E1100" s="80">
        <v>0.51500000000000001</v>
      </c>
      <c r="F1100" s="76"/>
      <c r="G1100" s="76"/>
      <c r="H1100" s="76"/>
      <c r="I1100" s="77" t="s">
        <v>12</v>
      </c>
      <c r="J1100" s="14"/>
      <c r="K1100" s="79">
        <v>6.613269159897591</v>
      </c>
    </row>
    <row r="1101" spans="1:11">
      <c r="A1101" s="75" t="s">
        <v>30</v>
      </c>
      <c r="B1101" s="80">
        <v>100.3361344537812</v>
      </c>
      <c r="C1101" s="25">
        <v>0.66800000000000004</v>
      </c>
      <c r="D1101" s="76"/>
      <c r="E1101" s="80">
        <v>0.51500000000000001</v>
      </c>
      <c r="F1101" s="76"/>
      <c r="G1101" s="76"/>
      <c r="H1101" s="76"/>
      <c r="I1101" s="77" t="s">
        <v>12</v>
      </c>
      <c r="J1101" s="14"/>
      <c r="K1101" s="79">
        <v>6.7687914501564839</v>
      </c>
    </row>
    <row r="1102" spans="1:11">
      <c r="A1102" s="75" t="s">
        <v>30</v>
      </c>
      <c r="B1102" s="80">
        <v>108.1512605042016</v>
      </c>
      <c r="C1102" s="25">
        <v>0.66800000000000004</v>
      </c>
      <c r="D1102" s="76"/>
      <c r="E1102" s="80">
        <v>0.51500000000000001</v>
      </c>
      <c r="F1102" s="76"/>
      <c r="G1102" s="76"/>
      <c r="H1102" s="76"/>
      <c r="I1102" s="77" t="s">
        <v>12</v>
      </c>
      <c r="J1102" s="14"/>
      <c r="K1102" s="79">
        <v>6.7978923731133838</v>
      </c>
    </row>
    <row r="1103" spans="1:11">
      <c r="A1103" s="75" t="s">
        <v>30</v>
      </c>
      <c r="B1103" s="80">
        <v>114.45378151260479</v>
      </c>
      <c r="C1103" s="25">
        <v>0.66800000000000004</v>
      </c>
      <c r="D1103" s="76"/>
      <c r="E1103" s="80">
        <v>0.51500000000000001</v>
      </c>
      <c r="F1103" s="76"/>
      <c r="G1103" s="76"/>
      <c r="H1103" s="76"/>
      <c r="I1103" s="77" t="s">
        <v>12</v>
      </c>
      <c r="J1103" s="14"/>
      <c r="K1103" s="79">
        <v>6.9006468323467178</v>
      </c>
    </row>
    <row r="1104" spans="1:11">
      <c r="A1104" s="75" t="s">
        <v>30</v>
      </c>
      <c r="B1104" s="80">
        <v>132.35294117647021</v>
      </c>
      <c r="C1104" s="25">
        <v>0.66800000000000004</v>
      </c>
      <c r="D1104" s="76"/>
      <c r="E1104" s="80">
        <v>0.51500000000000001</v>
      </c>
      <c r="F1104" s="76"/>
      <c r="G1104" s="76"/>
      <c r="H1104" s="76"/>
      <c r="I1104" s="77" t="s">
        <v>12</v>
      </c>
      <c r="J1104" s="14"/>
      <c r="K1104" s="79">
        <v>7.1763119528932702</v>
      </c>
    </row>
    <row r="1105" spans="1:11">
      <c r="A1105" s="75" t="s">
        <v>30</v>
      </c>
      <c r="B1105" s="80">
        <v>149.24369747899141</v>
      </c>
      <c r="C1105" s="25">
        <v>0.66800000000000004</v>
      </c>
      <c r="D1105" s="76"/>
      <c r="E1105" s="80">
        <v>0.51500000000000001</v>
      </c>
      <c r="F1105" s="76"/>
      <c r="G1105" s="76"/>
      <c r="H1105" s="76"/>
      <c r="I1105" s="77" t="s">
        <v>12</v>
      </c>
      <c r="J1105" s="14"/>
      <c r="K1105" s="79">
        <v>7.4128410017713646</v>
      </c>
    </row>
    <row r="1106" spans="1:11">
      <c r="A1106" s="75" t="s">
        <v>30</v>
      </c>
      <c r="B1106" s="76">
        <v>19.411764705882302</v>
      </c>
      <c r="C1106" s="25">
        <v>0.66800000000000004</v>
      </c>
      <c r="D1106" s="26"/>
      <c r="E1106" s="76">
        <v>0.626</v>
      </c>
      <c r="F1106" s="76"/>
      <c r="G1106" s="76"/>
      <c r="H1106" s="76"/>
      <c r="I1106" s="77" t="s">
        <v>12</v>
      </c>
      <c r="J1106" s="14"/>
      <c r="K1106" s="81">
        <v>4.6482060282419111</v>
      </c>
    </row>
    <row r="1107" spans="1:11">
      <c r="A1107" s="75" t="s">
        <v>30</v>
      </c>
      <c r="B1107" s="76">
        <v>25.462184873949539</v>
      </c>
      <c r="C1107" s="25">
        <v>0.66800000000000004</v>
      </c>
      <c r="D1107" s="26"/>
      <c r="E1107" s="76">
        <v>0.626</v>
      </c>
      <c r="F1107" s="76"/>
      <c r="G1107" s="76"/>
      <c r="H1107" s="76"/>
      <c r="I1107" s="77" t="s">
        <v>12</v>
      </c>
      <c r="J1107" s="14"/>
      <c r="K1107" s="81">
        <v>4.9504082336210358</v>
      </c>
    </row>
    <row r="1108" spans="1:11">
      <c r="A1108" s="75" t="s">
        <v>30</v>
      </c>
      <c r="B1108" s="76">
        <v>33.529411764705841</v>
      </c>
      <c r="C1108" s="25">
        <v>0.66800000000000004</v>
      </c>
      <c r="D1108" s="26"/>
      <c r="E1108" s="76">
        <v>0.626</v>
      </c>
      <c r="F1108" s="76"/>
      <c r="G1108" s="76"/>
      <c r="H1108" s="76"/>
      <c r="I1108" s="77" t="s">
        <v>12</v>
      </c>
      <c r="J1108" s="14"/>
      <c r="K1108" s="81">
        <v>5.2586575529323385</v>
      </c>
    </row>
    <row r="1109" spans="1:11">
      <c r="A1109" s="75" t="s">
        <v>30</v>
      </c>
      <c r="B1109" s="76">
        <v>37.05882352941174</v>
      </c>
      <c r="C1109" s="25">
        <v>0.66800000000000004</v>
      </c>
      <c r="D1109" s="26"/>
      <c r="E1109" s="76">
        <v>0.626</v>
      </c>
      <c r="F1109" s="76"/>
      <c r="G1109" s="76"/>
      <c r="H1109" s="76"/>
      <c r="I1109" s="77" t="s">
        <v>12</v>
      </c>
      <c r="J1109" s="14"/>
      <c r="K1109" s="81">
        <v>5.400086572703283</v>
      </c>
    </row>
    <row r="1110" spans="1:11">
      <c r="A1110" s="75" t="s">
        <v>30</v>
      </c>
      <c r="B1110" s="76">
        <v>46.386554621848681</v>
      </c>
      <c r="C1110" s="25">
        <v>0.66800000000000004</v>
      </c>
      <c r="D1110" s="26"/>
      <c r="E1110" s="76">
        <v>0.626</v>
      </c>
      <c r="F1110" s="76"/>
      <c r="G1110" s="76"/>
      <c r="H1110" s="76"/>
      <c r="I1110" s="77" t="s">
        <v>12</v>
      </c>
      <c r="J1110" s="14"/>
      <c r="K1110" s="81">
        <v>5.7040854812155706</v>
      </c>
    </row>
    <row r="1111" spans="1:11">
      <c r="A1111" s="75" t="s">
        <v>30</v>
      </c>
      <c r="B1111" s="76">
        <v>55.71428571428568</v>
      </c>
      <c r="C1111" s="25">
        <v>0.66800000000000004</v>
      </c>
      <c r="D1111" s="26"/>
      <c r="E1111" s="76">
        <v>0.626</v>
      </c>
      <c r="F1111" s="76"/>
      <c r="G1111" s="76"/>
      <c r="H1111" s="76"/>
      <c r="I1111" s="77" t="s">
        <v>12</v>
      </c>
      <c r="J1111" s="14"/>
      <c r="K1111" s="81">
        <v>5.9936810694801235</v>
      </c>
    </row>
    <row r="1112" spans="1:11">
      <c r="A1112" s="75" t="s">
        <v>30</v>
      </c>
      <c r="B1112" s="76">
        <v>62.773109243697</v>
      </c>
      <c r="C1112" s="25">
        <v>0.66800000000000004</v>
      </c>
      <c r="D1112" s="26"/>
      <c r="E1112" s="76">
        <v>0.626</v>
      </c>
      <c r="F1112" s="76"/>
      <c r="G1112" s="76"/>
      <c r="H1112" s="76"/>
      <c r="I1112" s="77" t="s">
        <v>12</v>
      </c>
      <c r="J1112" s="14"/>
      <c r="K1112" s="81">
        <v>6.2233245481514121</v>
      </c>
    </row>
    <row r="1113" spans="1:11">
      <c r="A1113" s="75" t="s">
        <v>30</v>
      </c>
      <c r="B1113" s="76">
        <v>71.092436974789791</v>
      </c>
      <c r="C1113" s="25">
        <v>0.66800000000000004</v>
      </c>
      <c r="D1113" s="26"/>
      <c r="E1113" s="76">
        <v>0.626</v>
      </c>
      <c r="F1113" s="76"/>
      <c r="G1113" s="76"/>
      <c r="H1113" s="76"/>
      <c r="I1113" s="77" t="s">
        <v>12</v>
      </c>
      <c r="J1113" s="14"/>
      <c r="K1113" s="81">
        <v>6.3916033971817976</v>
      </c>
    </row>
    <row r="1114" spans="1:11">
      <c r="A1114" s="75" t="s">
        <v>30</v>
      </c>
      <c r="B1114" s="76">
        <v>80.420168067226811</v>
      </c>
      <c r="C1114" s="25">
        <v>0.66800000000000004</v>
      </c>
      <c r="D1114" s="26"/>
      <c r="E1114" s="76">
        <v>0.626</v>
      </c>
      <c r="F1114" s="76"/>
      <c r="G1114" s="76"/>
      <c r="H1114" s="76"/>
      <c r="I1114" s="77" t="s">
        <v>12</v>
      </c>
      <c r="J1114" s="14"/>
      <c r="K1114" s="81">
        <v>6.6498073000651061</v>
      </c>
    </row>
    <row r="1115" spans="1:11">
      <c r="A1115" s="75" t="s">
        <v>30</v>
      </c>
      <c r="B1115" s="76">
        <v>88.739495798318998</v>
      </c>
      <c r="C1115" s="25">
        <v>0.66800000000000004</v>
      </c>
      <c r="D1115" s="26"/>
      <c r="E1115" s="76">
        <v>0.626</v>
      </c>
      <c r="F1115" s="76"/>
      <c r="G1115" s="76"/>
      <c r="H1115" s="76"/>
      <c r="I1115" s="77" t="s">
        <v>12</v>
      </c>
      <c r="J1115" s="14"/>
      <c r="K1115" s="81">
        <v>6.8152340104303066</v>
      </c>
    </row>
    <row r="1116" spans="1:11">
      <c r="A1116" s="75" t="s">
        <v>30</v>
      </c>
      <c r="B1116" s="76">
        <v>105.88235294117641</v>
      </c>
      <c r="C1116" s="25">
        <v>0.66800000000000004</v>
      </c>
      <c r="D1116" s="26"/>
      <c r="E1116" s="76">
        <v>0.626</v>
      </c>
      <c r="F1116" s="76"/>
      <c r="G1116" s="76"/>
      <c r="H1116" s="76"/>
      <c r="I1116" s="77" t="s">
        <v>12</v>
      </c>
      <c r="J1116" s="14"/>
      <c r="K1116" s="81">
        <v>7.1344666170573534</v>
      </c>
    </row>
    <row r="1117" spans="1:11">
      <c r="A1117" s="75" t="s">
        <v>30</v>
      </c>
      <c r="B1117" s="76">
        <v>114.20168067226859</v>
      </c>
      <c r="C1117" s="25">
        <v>0.66800000000000004</v>
      </c>
      <c r="D1117" s="26"/>
      <c r="E1117" s="76">
        <v>0.626</v>
      </c>
      <c r="F1117" s="76"/>
      <c r="G1117" s="76"/>
      <c r="H1117" s="76"/>
      <c r="I1117" s="77" t="s">
        <v>12</v>
      </c>
      <c r="J1117" s="14"/>
      <c r="K1117" s="81">
        <v>7.2990076550712537</v>
      </c>
    </row>
    <row r="1118" spans="1:11">
      <c r="A1118" s="75" t="s">
        <v>30</v>
      </c>
      <c r="B1118" s="76">
        <v>131.84873949579779</v>
      </c>
      <c r="C1118" s="25">
        <v>0.66800000000000004</v>
      </c>
      <c r="D1118" s="26"/>
      <c r="E1118" s="76">
        <v>0.626</v>
      </c>
      <c r="F1118" s="76"/>
      <c r="G1118" s="76"/>
      <c r="H1118" s="76"/>
      <c r="I1118" s="77" t="s">
        <v>12</v>
      </c>
      <c r="J1118" s="14"/>
      <c r="K1118" s="81">
        <v>7.5796379360954651</v>
      </c>
    </row>
    <row r="1119" spans="1:11">
      <c r="A1119" s="75" t="s">
        <v>30</v>
      </c>
      <c r="B1119" s="76">
        <v>20.420168067226861</v>
      </c>
      <c r="C1119" s="25">
        <v>0.66800000000000004</v>
      </c>
      <c r="D1119" s="26"/>
      <c r="E1119" s="76">
        <v>0.69500000000000006</v>
      </c>
      <c r="F1119" s="26"/>
      <c r="G1119" s="76"/>
      <c r="H1119" s="76"/>
      <c r="I1119" s="77" t="s">
        <v>12</v>
      </c>
      <c r="J1119" s="14"/>
      <c r="K1119" s="76">
        <v>4.8500343377885056</v>
      </c>
    </row>
    <row r="1120" spans="1:11">
      <c r="A1120" s="75" t="s">
        <v>30</v>
      </c>
      <c r="B1120" s="76">
        <v>24.2016806722689</v>
      </c>
      <c r="C1120" s="25">
        <v>0.66800000000000004</v>
      </c>
      <c r="D1120" s="26"/>
      <c r="E1120" s="76">
        <v>0.69500000000000006</v>
      </c>
      <c r="F1120" s="26"/>
      <c r="G1120" s="76"/>
      <c r="H1120" s="76"/>
      <c r="I1120" s="77" t="s">
        <v>12</v>
      </c>
      <c r="J1120" s="14"/>
      <c r="K1120" s="76">
        <v>5.0782167472073256</v>
      </c>
    </row>
    <row r="1121" spans="1:11">
      <c r="A1121" s="75" t="s">
        <v>30</v>
      </c>
      <c r="B1121" s="76">
        <v>31.260504201680639</v>
      </c>
      <c r="C1121" s="25">
        <v>0.66800000000000004</v>
      </c>
      <c r="D1121" s="26"/>
      <c r="E1121" s="76">
        <v>0.69500000000000006</v>
      </c>
      <c r="F1121" s="26"/>
      <c r="G1121" s="76"/>
      <c r="H1121" s="76"/>
      <c r="I1121" s="77" t="s">
        <v>12</v>
      </c>
      <c r="J1121" s="14"/>
      <c r="K1121" s="76">
        <v>5.3350189532247283</v>
      </c>
    </row>
    <row r="1122" spans="1:11">
      <c r="A1122" s="75" t="s">
        <v>30</v>
      </c>
      <c r="B1122" s="76">
        <v>37.31092436974788</v>
      </c>
      <c r="C1122" s="25">
        <v>0.66800000000000004</v>
      </c>
      <c r="D1122" s="26"/>
      <c r="E1122" s="76">
        <v>0.69500000000000006</v>
      </c>
      <c r="F1122" s="26"/>
      <c r="G1122" s="76"/>
      <c r="H1122" s="76"/>
      <c r="I1122" s="77" t="s">
        <v>12</v>
      </c>
      <c r="J1122" s="14"/>
      <c r="K1122" s="76">
        <v>5.5778472338902931</v>
      </c>
    </row>
    <row r="1123" spans="1:11">
      <c r="A1123" s="75" t="s">
        <v>30</v>
      </c>
      <c r="B1123" s="76">
        <v>43.109243697478981</v>
      </c>
      <c r="C1123" s="25">
        <v>0.66800000000000004</v>
      </c>
      <c r="D1123" s="26"/>
      <c r="E1123" s="76">
        <v>0.69500000000000006</v>
      </c>
      <c r="F1123" s="26"/>
      <c r="G1123" s="76"/>
      <c r="H1123" s="76"/>
      <c r="I1123" s="77" t="s">
        <v>12</v>
      </c>
      <c r="J1123" s="14"/>
      <c r="K1123" s="76">
        <v>5.801194899334992</v>
      </c>
    </row>
    <row r="1124" spans="1:11">
      <c r="A1124" s="75" t="s">
        <v>30</v>
      </c>
      <c r="B1124" s="76">
        <v>50.924369747899135</v>
      </c>
      <c r="C1124" s="25">
        <v>0.66800000000000004</v>
      </c>
      <c r="D1124" s="26"/>
      <c r="E1124" s="76">
        <v>0.69500000000000006</v>
      </c>
      <c r="F1124" s="26"/>
      <c r="G1124" s="76"/>
      <c r="H1124" s="76"/>
      <c r="I1124" s="77" t="s">
        <v>12</v>
      </c>
      <c r="J1124" s="14"/>
      <c r="K1124" s="76">
        <v>6.0673208796800466</v>
      </c>
    </row>
    <row r="1125" spans="1:11">
      <c r="A1125" s="75" t="s">
        <v>30</v>
      </c>
      <c r="B1125" s="76">
        <v>61.0084033613442</v>
      </c>
      <c r="C1125" s="25">
        <v>0.66800000000000004</v>
      </c>
      <c r="D1125" s="26"/>
      <c r="E1125" s="76">
        <v>0.69500000000000006</v>
      </c>
      <c r="F1125" s="26"/>
      <c r="G1125" s="76"/>
      <c r="H1125" s="76"/>
      <c r="I1125" s="77" t="s">
        <v>12</v>
      </c>
      <c r="J1125" s="14"/>
      <c r="K1125" s="76">
        <v>6.3520258907862219</v>
      </c>
    </row>
    <row r="1126" spans="1:11">
      <c r="A1126" s="75" t="s">
        <v>30</v>
      </c>
      <c r="B1126" s="76">
        <v>67.310924369747397</v>
      </c>
      <c r="C1126" s="25">
        <v>0.66800000000000004</v>
      </c>
      <c r="D1126" s="26"/>
      <c r="E1126" s="76">
        <v>0.69500000000000006</v>
      </c>
      <c r="F1126" s="26"/>
      <c r="G1126" s="76"/>
      <c r="H1126" s="76"/>
      <c r="I1126" s="77" t="s">
        <v>12</v>
      </c>
      <c r="J1126" s="14"/>
      <c r="K1126" s="76">
        <v>6.5011581938706202</v>
      </c>
    </row>
    <row r="1127" spans="1:11">
      <c r="A1127" s="75" t="s">
        <v>30</v>
      </c>
      <c r="B1127" s="76">
        <v>79.411764705882007</v>
      </c>
      <c r="C1127" s="25">
        <v>0.66800000000000004</v>
      </c>
      <c r="D1127" s="26"/>
      <c r="E1127" s="76">
        <v>0.69500000000000006</v>
      </c>
      <c r="F1127" s="26"/>
      <c r="G1127" s="76"/>
      <c r="H1127" s="76"/>
      <c r="I1127" s="77" t="s">
        <v>12</v>
      </c>
      <c r="J1127" s="14"/>
      <c r="K1127" s="76">
        <v>6.8267462519231215</v>
      </c>
    </row>
    <row r="1128" spans="1:11">
      <c r="A1128" s="75" t="s">
        <v>30</v>
      </c>
      <c r="B1128" s="76">
        <v>86.722689075630001</v>
      </c>
      <c r="C1128" s="25">
        <v>0.66800000000000004</v>
      </c>
      <c r="D1128" s="26"/>
      <c r="E1128" s="76">
        <v>0.69500000000000006</v>
      </c>
      <c r="F1128" s="26"/>
      <c r="G1128" s="76"/>
      <c r="H1128" s="76"/>
      <c r="I1128" s="77" t="s">
        <v>12</v>
      </c>
      <c r="J1128" s="14"/>
      <c r="K1128" s="76">
        <v>6.9619643550006876</v>
      </c>
    </row>
    <row r="1129" spans="1:11">
      <c r="A1129" s="75" t="s">
        <v>30</v>
      </c>
      <c r="B1129" s="76">
        <v>96.806722689075599</v>
      </c>
      <c r="C1129" s="25">
        <v>0.66800000000000004</v>
      </c>
      <c r="D1129" s="26"/>
      <c r="E1129" s="76">
        <v>0.69500000000000006</v>
      </c>
      <c r="F1129" s="26"/>
      <c r="G1129" s="76"/>
      <c r="H1129" s="76"/>
      <c r="I1129" s="77" t="s">
        <v>12</v>
      </c>
      <c r="J1129" s="14"/>
      <c r="K1129" s="76">
        <v>7.2022194409567177</v>
      </c>
    </row>
    <row r="1130" spans="1:11">
      <c r="A1130" s="75" t="s">
        <v>30</v>
      </c>
      <c r="B1130" s="76">
        <v>104.62184873949541</v>
      </c>
      <c r="C1130" s="25">
        <v>0.66800000000000004</v>
      </c>
      <c r="D1130" s="26"/>
      <c r="E1130" s="76">
        <v>0.69500000000000006</v>
      </c>
      <c r="F1130" s="26"/>
      <c r="G1130" s="76"/>
      <c r="H1130" s="76"/>
      <c r="I1130" s="77" t="s">
        <v>12</v>
      </c>
      <c r="J1130" s="14"/>
      <c r="K1130" s="76">
        <v>7.3588382556978154</v>
      </c>
    </row>
    <row r="1131" spans="1:11">
      <c r="A1131" s="75" t="s">
        <v>30</v>
      </c>
      <c r="B1131" s="76">
        <v>109.15966386554581</v>
      </c>
      <c r="C1131" s="25">
        <v>0.66800000000000004</v>
      </c>
      <c r="D1131" s="26"/>
      <c r="E1131" s="76">
        <v>0.69500000000000006</v>
      </c>
      <c r="F1131" s="26"/>
      <c r="G1131" s="76"/>
      <c r="H1131" s="76"/>
      <c r="I1131" s="77" t="s">
        <v>12</v>
      </c>
      <c r="J1131" s="14"/>
      <c r="K1131" s="76">
        <v>7.4322846082162899</v>
      </c>
    </row>
    <row r="1132" spans="1:11">
      <c r="A1132" s="75" t="s">
        <v>30</v>
      </c>
      <c r="B1132" s="76">
        <v>114.70588235294099</v>
      </c>
      <c r="C1132" s="25">
        <v>0.66800000000000004</v>
      </c>
      <c r="D1132" s="26"/>
      <c r="E1132" s="76">
        <v>0.69500000000000006</v>
      </c>
      <c r="F1132" s="26"/>
      <c r="G1132" s="76"/>
      <c r="H1132" s="76"/>
      <c r="I1132" s="77" t="s">
        <v>12</v>
      </c>
      <c r="J1132" s="14"/>
      <c r="K1132" s="76">
        <v>7.5374498382220949</v>
      </c>
    </row>
    <row r="1133" spans="1:11">
      <c r="A1133" s="75" t="s">
        <v>30</v>
      </c>
      <c r="B1133" s="76">
        <v>129.07563025210081</v>
      </c>
      <c r="C1133" s="25">
        <v>0.66800000000000004</v>
      </c>
      <c r="D1133" s="26"/>
      <c r="E1133" s="76">
        <v>0.69500000000000006</v>
      </c>
      <c r="F1133" s="26"/>
      <c r="G1133" s="76"/>
      <c r="H1133" s="76"/>
      <c r="I1133" s="77" t="s">
        <v>12</v>
      </c>
      <c r="J1133" s="14"/>
      <c r="K1133" s="76">
        <v>7.7750045874505602</v>
      </c>
    </row>
    <row r="1134" spans="1:11">
      <c r="A1134" s="75" t="s">
        <v>30</v>
      </c>
      <c r="B1134" s="76">
        <v>132.85714285714261</v>
      </c>
      <c r="C1134" s="25">
        <v>0.66800000000000004</v>
      </c>
      <c r="D1134" s="26"/>
      <c r="E1134" s="76">
        <v>0.69500000000000006</v>
      </c>
      <c r="F1134" s="26"/>
      <c r="G1134" s="76"/>
      <c r="H1134" s="76"/>
      <c r="I1134" s="77" t="s">
        <v>12</v>
      </c>
      <c r="J1134" s="14"/>
      <c r="K1134" s="76">
        <v>7.8582832377220635</v>
      </c>
    </row>
    <row r="1135" spans="1:11">
      <c r="A1135" s="75" t="s">
        <v>30</v>
      </c>
      <c r="B1135" s="76">
        <v>14.36974789915962</v>
      </c>
      <c r="C1135" s="25">
        <v>0.66800000000000004</v>
      </c>
      <c r="D1135" s="26"/>
      <c r="E1135" s="76">
        <v>0.76400000000000001</v>
      </c>
      <c r="F1135" s="26"/>
      <c r="G1135" s="76"/>
      <c r="H1135" s="76"/>
      <c r="I1135" s="77" t="s">
        <v>12</v>
      </c>
      <c r="J1135" s="14"/>
      <c r="K1135" s="76">
        <v>4.5853847323303505</v>
      </c>
    </row>
    <row r="1136" spans="1:11">
      <c r="A1136" s="75" t="s">
        <v>30</v>
      </c>
      <c r="B1136" s="76">
        <v>20.924369747899139</v>
      </c>
      <c r="C1136" s="25">
        <v>0.66800000000000004</v>
      </c>
      <c r="D1136" s="26"/>
      <c r="E1136" s="76">
        <v>0.76400000000000001</v>
      </c>
      <c r="F1136" s="26"/>
      <c r="G1136" s="76"/>
      <c r="H1136" s="76"/>
      <c r="I1136" s="77" t="s">
        <v>12</v>
      </c>
      <c r="J1136" s="14"/>
      <c r="K1136" s="76">
        <v>5.0044562629623979</v>
      </c>
    </row>
    <row r="1137" spans="1:11">
      <c r="A1137" s="75" t="s">
        <v>30</v>
      </c>
      <c r="B1137" s="76">
        <v>30</v>
      </c>
      <c r="C1137" s="25">
        <v>0.66800000000000004</v>
      </c>
      <c r="D1137" s="26"/>
      <c r="E1137" s="76">
        <v>0.76400000000000001</v>
      </c>
      <c r="F1137" s="26"/>
      <c r="G1137" s="76"/>
      <c r="H1137" s="76"/>
      <c r="I1137" s="77" t="s">
        <v>12</v>
      </c>
      <c r="J1137" s="14"/>
      <c r="K1137" s="76">
        <v>5.4725796065565033</v>
      </c>
    </row>
    <row r="1138" spans="1:11">
      <c r="A1138" s="75" t="s">
        <v>30</v>
      </c>
      <c r="B1138" s="76">
        <v>42.85714285714284</v>
      </c>
      <c r="C1138" s="25">
        <v>0.66800000000000004</v>
      </c>
      <c r="D1138" s="26"/>
      <c r="E1138" s="76">
        <v>0.76400000000000001</v>
      </c>
      <c r="F1138" s="26"/>
      <c r="G1138" s="76"/>
      <c r="H1138" s="76"/>
      <c r="I1138" s="77" t="s">
        <v>12</v>
      </c>
      <c r="J1138" s="14"/>
      <c r="K1138" s="76">
        <v>5.9410362327699495</v>
      </c>
    </row>
    <row r="1139" spans="1:11">
      <c r="A1139" s="75" t="s">
        <v>30</v>
      </c>
      <c r="B1139" s="76">
        <v>51.428571428571416</v>
      </c>
      <c r="C1139" s="25">
        <v>0.66800000000000004</v>
      </c>
      <c r="D1139" s="26"/>
      <c r="E1139" s="76">
        <v>0.76400000000000001</v>
      </c>
      <c r="F1139" s="26"/>
      <c r="G1139" s="76"/>
      <c r="H1139" s="76"/>
      <c r="I1139" s="77" t="s">
        <v>12</v>
      </c>
      <c r="J1139" s="14"/>
      <c r="K1139" s="76">
        <v>6.2371235391120363</v>
      </c>
    </row>
    <row r="1140" spans="1:11">
      <c r="A1140" s="75" t="s">
        <v>30</v>
      </c>
      <c r="B1140" s="76">
        <v>61.260504201680405</v>
      </c>
      <c r="C1140" s="25">
        <v>0.66800000000000004</v>
      </c>
      <c r="D1140" s="26"/>
      <c r="E1140" s="76">
        <v>0.76400000000000001</v>
      </c>
      <c r="F1140" s="26"/>
      <c r="G1140" s="76"/>
      <c r="H1140" s="76"/>
      <c r="I1140" s="77" t="s">
        <v>12</v>
      </c>
      <c r="J1140" s="14"/>
      <c r="K1140" s="76">
        <v>6.5201121150948902</v>
      </c>
    </row>
    <row r="1141" spans="1:11">
      <c r="A1141" s="75" t="s">
        <v>30</v>
      </c>
      <c r="B1141" s="76">
        <v>67.0588235294112</v>
      </c>
      <c r="C1141" s="25">
        <v>0.66800000000000004</v>
      </c>
      <c r="D1141" s="26"/>
      <c r="E1141" s="76">
        <v>0.76400000000000001</v>
      </c>
      <c r="F1141" s="26"/>
      <c r="G1141" s="76"/>
      <c r="H1141" s="76"/>
      <c r="I1141" s="77" t="s">
        <v>12</v>
      </c>
      <c r="J1141" s="14"/>
      <c r="K1141" s="76">
        <v>6.6979088438307182</v>
      </c>
    </row>
    <row r="1142" spans="1:11">
      <c r="A1142" s="75" t="s">
        <v>30</v>
      </c>
      <c r="B1142" s="76">
        <v>78.907563025209598</v>
      </c>
      <c r="C1142" s="25">
        <v>0.66800000000000004</v>
      </c>
      <c r="D1142" s="26"/>
      <c r="E1142" s="76">
        <v>0.76400000000000001</v>
      </c>
      <c r="F1142" s="26"/>
      <c r="G1142" s="76"/>
      <c r="H1142" s="76"/>
      <c r="I1142" s="77" t="s">
        <v>12</v>
      </c>
      <c r="J1142" s="14"/>
      <c r="K1142" s="76">
        <v>6.9729975974771898</v>
      </c>
    </row>
    <row r="1143" spans="1:11">
      <c r="A1143" s="75" t="s">
        <v>30</v>
      </c>
      <c r="B1143" s="76">
        <v>87.731092436974194</v>
      </c>
      <c r="C1143" s="25">
        <v>0.66800000000000004</v>
      </c>
      <c r="D1143" s="26"/>
      <c r="E1143" s="76">
        <v>0.76400000000000001</v>
      </c>
      <c r="F1143" s="26"/>
      <c r="G1143" s="76"/>
      <c r="H1143" s="76"/>
      <c r="I1143" s="77" t="s">
        <v>12</v>
      </c>
      <c r="J1143" s="14"/>
      <c r="K1143" s="76">
        <v>7.1970528542187608</v>
      </c>
    </row>
    <row r="1144" spans="1:11">
      <c r="A1144" s="75" t="s">
        <v>30</v>
      </c>
      <c r="B1144" s="76">
        <v>97.0588235294112</v>
      </c>
      <c r="C1144" s="25">
        <v>0.66800000000000004</v>
      </c>
      <c r="D1144" s="26"/>
      <c r="E1144" s="76">
        <v>0.76400000000000001</v>
      </c>
      <c r="F1144" s="26"/>
      <c r="G1144" s="76"/>
      <c r="H1144" s="76"/>
      <c r="I1144" s="77" t="s">
        <v>12</v>
      </c>
      <c r="J1144" s="14"/>
      <c r="K1144" s="76">
        <v>7.3834829080311737</v>
      </c>
    </row>
    <row r="1145" spans="1:11">
      <c r="A1145" s="75" t="s">
        <v>30</v>
      </c>
      <c r="B1145" s="76">
        <v>104.62184873949541</v>
      </c>
      <c r="C1145" s="25">
        <v>0.66800000000000004</v>
      </c>
      <c r="D1145" s="26"/>
      <c r="E1145" s="76">
        <v>0.76400000000000001</v>
      </c>
      <c r="F1145" s="26"/>
      <c r="G1145" s="76"/>
      <c r="H1145" s="76"/>
      <c r="I1145" s="77" t="s">
        <v>12</v>
      </c>
      <c r="J1145" s="14"/>
      <c r="K1145" s="76">
        <v>7.5232816660236601</v>
      </c>
    </row>
    <row r="1146" spans="1:11">
      <c r="A1146" s="75" t="s">
        <v>30</v>
      </c>
      <c r="B1146" s="76">
        <v>109.41176470588201</v>
      </c>
      <c r="C1146" s="25">
        <v>0.66800000000000004</v>
      </c>
      <c r="D1146" s="26"/>
      <c r="E1146" s="76">
        <v>0.76400000000000001</v>
      </c>
      <c r="F1146" s="26"/>
      <c r="G1146" s="76"/>
      <c r="H1146" s="76"/>
      <c r="I1146" s="77" t="s">
        <v>12</v>
      </c>
      <c r="J1146" s="14"/>
      <c r="K1146" s="76">
        <v>7.6213615542572093</v>
      </c>
    </row>
    <row r="1147" spans="1:11">
      <c r="A1147" s="75" t="s">
        <v>30</v>
      </c>
      <c r="B1147" s="76">
        <v>115.2100840336134</v>
      </c>
      <c r="C1147" s="25">
        <v>0.66800000000000004</v>
      </c>
      <c r="D1147" s="26"/>
      <c r="E1147" s="76">
        <v>0.76400000000000001</v>
      </c>
      <c r="F1147" s="26"/>
      <c r="G1147" s="76"/>
      <c r="H1147" s="76"/>
      <c r="I1147" s="77" t="s">
        <v>12</v>
      </c>
      <c r="J1147" s="14"/>
      <c r="K1147" s="76">
        <v>7.7349265324466705</v>
      </c>
    </row>
    <row r="1148" spans="1:11">
      <c r="A1148" s="75" t="s">
        <v>30</v>
      </c>
      <c r="B1148" s="76">
        <v>144.20168067226859</v>
      </c>
      <c r="C1148" s="25">
        <v>0.66800000000000004</v>
      </c>
      <c r="D1148" s="26"/>
      <c r="E1148" s="76">
        <v>0.76400000000000001</v>
      </c>
      <c r="F1148" s="26"/>
      <c r="G1148" s="76"/>
      <c r="H1148" s="76"/>
      <c r="I1148" s="77" t="s">
        <v>12</v>
      </c>
      <c r="J1148" s="14"/>
      <c r="K1148" s="76">
        <v>8.1669255495668498</v>
      </c>
    </row>
    <row r="1149" spans="1:11">
      <c r="A1149" s="75" t="s">
        <v>30</v>
      </c>
      <c r="B1149" s="76">
        <v>18.907563025210081</v>
      </c>
      <c r="C1149" s="25">
        <v>0.66800000000000004</v>
      </c>
      <c r="D1149" s="26"/>
      <c r="E1149" s="76">
        <v>0.91500000000000004</v>
      </c>
      <c r="F1149" s="26"/>
      <c r="G1149" s="76"/>
      <c r="H1149" s="76"/>
      <c r="I1149" s="77" t="s">
        <v>12</v>
      </c>
      <c r="J1149" s="14"/>
      <c r="K1149" s="76">
        <v>5.0989021761516042</v>
      </c>
    </row>
    <row r="1150" spans="1:11">
      <c r="A1150" s="75" t="s">
        <v>30</v>
      </c>
      <c r="B1150" s="76">
        <v>27.983193277310882</v>
      </c>
      <c r="C1150" s="25">
        <v>0.66800000000000004</v>
      </c>
      <c r="D1150" s="26"/>
      <c r="E1150" s="76">
        <v>0.91500000000000004</v>
      </c>
      <c r="F1150" s="26"/>
      <c r="G1150" s="76"/>
      <c r="H1150" s="76"/>
      <c r="I1150" s="77" t="s">
        <v>12</v>
      </c>
      <c r="J1150" s="14"/>
      <c r="K1150" s="76">
        <v>5.5778472338902931</v>
      </c>
    </row>
    <row r="1151" spans="1:11">
      <c r="A1151" s="75" t="s">
        <v>30</v>
      </c>
      <c r="B1151" s="76">
        <v>34.537815126050397</v>
      </c>
      <c r="C1151" s="25">
        <v>0.66800000000000004</v>
      </c>
      <c r="D1151" s="26"/>
      <c r="E1151" s="76">
        <v>0.91500000000000004</v>
      </c>
      <c r="F1151" s="26"/>
      <c r="G1151" s="76"/>
      <c r="H1151" s="76"/>
      <c r="I1151" s="77" t="s">
        <v>12</v>
      </c>
      <c r="J1151" s="14"/>
      <c r="K1151" s="76">
        <v>5.9258222449602371</v>
      </c>
    </row>
    <row r="1152" spans="1:11">
      <c r="A1152" s="75" t="s">
        <v>30</v>
      </c>
      <c r="B1152" s="76">
        <v>41.344537815125996</v>
      </c>
      <c r="C1152" s="25">
        <v>0.66800000000000004</v>
      </c>
      <c r="D1152" s="26"/>
      <c r="E1152" s="76">
        <v>0.91500000000000004</v>
      </c>
      <c r="F1152" s="26"/>
      <c r="G1152" s="76"/>
      <c r="H1152" s="76"/>
      <c r="I1152" s="77" t="s">
        <v>12</v>
      </c>
      <c r="J1152" s="14"/>
      <c r="K1152" s="76">
        <v>6.1955414793040449</v>
      </c>
    </row>
    <row r="1153" spans="1:11">
      <c r="A1153" s="75" t="s">
        <v>30</v>
      </c>
      <c r="B1153" s="76">
        <v>53.193277310924344</v>
      </c>
      <c r="C1153" s="25">
        <v>0.66800000000000004</v>
      </c>
      <c r="D1153" s="26"/>
      <c r="E1153" s="76">
        <v>0.91500000000000004</v>
      </c>
      <c r="F1153" s="26"/>
      <c r="G1153" s="76"/>
      <c r="H1153" s="76"/>
      <c r="I1153" s="77" t="s">
        <v>12</v>
      </c>
      <c r="J1153" s="14"/>
      <c r="K1153" s="76">
        <v>6.613269159897591</v>
      </c>
    </row>
    <row r="1154" spans="1:11">
      <c r="A1154" s="75" t="s">
        <v>30</v>
      </c>
      <c r="B1154" s="76">
        <v>60.756302521008003</v>
      </c>
      <c r="C1154" s="25">
        <v>0.66800000000000004</v>
      </c>
      <c r="D1154" s="26"/>
      <c r="E1154" s="76">
        <v>0.91500000000000004</v>
      </c>
      <c r="F1154" s="26"/>
      <c r="G1154" s="76"/>
      <c r="H1154" s="76"/>
      <c r="I1154" s="77" t="s">
        <v>12</v>
      </c>
      <c r="J1154" s="14"/>
      <c r="K1154" s="76">
        <v>6.8324878410483114</v>
      </c>
    </row>
    <row r="1155" spans="1:11">
      <c r="A1155" s="75" t="s">
        <v>30</v>
      </c>
      <c r="B1155" s="76">
        <v>69.075630252100794</v>
      </c>
      <c r="C1155" s="25">
        <v>0.66800000000000004</v>
      </c>
      <c r="D1155" s="26"/>
      <c r="E1155" s="76">
        <v>0.91500000000000004</v>
      </c>
      <c r="F1155" s="26"/>
      <c r="G1155" s="76"/>
      <c r="H1155" s="76"/>
      <c r="I1155" s="77" t="s">
        <v>12</v>
      </c>
      <c r="J1155" s="14"/>
      <c r="K1155" s="76">
        <v>7.0600330712399195</v>
      </c>
    </row>
    <row r="1156" spans="1:11">
      <c r="A1156" s="75" t="s">
        <v>30</v>
      </c>
      <c r="B1156" s="76">
        <v>80.420168067226811</v>
      </c>
      <c r="C1156" s="25">
        <v>0.66800000000000004</v>
      </c>
      <c r="D1156" s="26"/>
      <c r="E1156" s="76">
        <v>0.91500000000000004</v>
      </c>
      <c r="F1156" s="26"/>
      <c r="G1156" s="76"/>
      <c r="H1156" s="76"/>
      <c r="I1156" s="77" t="s">
        <v>12</v>
      </c>
      <c r="J1156" s="14"/>
      <c r="K1156" s="76">
        <v>7.3538894725941626</v>
      </c>
    </row>
    <row r="1157" spans="1:11">
      <c r="A1157" s="75" t="s">
        <v>30</v>
      </c>
      <c r="B1157" s="76">
        <v>91.008403361344207</v>
      </c>
      <c r="C1157" s="25">
        <v>0.66800000000000004</v>
      </c>
      <c r="D1157" s="26"/>
      <c r="E1157" s="76">
        <v>0.91500000000000004</v>
      </c>
      <c r="F1157" s="26"/>
      <c r="G1157" s="76"/>
      <c r="H1157" s="76"/>
      <c r="I1157" s="77" t="s">
        <v>12</v>
      </c>
      <c r="J1157" s="14"/>
      <c r="K1157" s="76">
        <v>7.6167481381454847</v>
      </c>
    </row>
    <row r="1158" spans="1:11">
      <c r="A1158" s="75" t="s">
        <v>30</v>
      </c>
      <c r="B1158" s="76">
        <v>98.571428571428399</v>
      </c>
      <c r="C1158" s="25">
        <v>0.66800000000000004</v>
      </c>
      <c r="D1158" s="26"/>
      <c r="E1158" s="76">
        <v>0.91500000000000004</v>
      </c>
      <c r="F1158" s="26"/>
      <c r="G1158" s="76"/>
      <c r="H1158" s="76"/>
      <c r="I1158" s="77" t="s">
        <v>12</v>
      </c>
      <c r="J1158" s="14"/>
      <c r="K1158" s="76">
        <v>7.770571858674769</v>
      </c>
    </row>
    <row r="1159" spans="1:11">
      <c r="A1159" s="75" t="s">
        <v>30</v>
      </c>
      <c r="B1159" s="76">
        <v>104.117647058823</v>
      </c>
      <c r="C1159" s="25">
        <v>0.66800000000000004</v>
      </c>
      <c r="D1159" s="26"/>
      <c r="E1159" s="76">
        <v>0.91500000000000004</v>
      </c>
      <c r="F1159" s="26"/>
      <c r="G1159" s="76"/>
      <c r="H1159" s="76"/>
      <c r="I1159" s="77" t="s">
        <v>12</v>
      </c>
      <c r="J1159" s="14"/>
      <c r="K1159" s="76">
        <v>7.8928255860292058</v>
      </c>
    </row>
    <row r="1160" spans="1:11">
      <c r="A1160" s="75" t="s">
        <v>30</v>
      </c>
      <c r="B1160" s="76">
        <v>112.94117647058819</v>
      </c>
      <c r="C1160" s="25">
        <v>0.66800000000000004</v>
      </c>
      <c r="D1160" s="26"/>
      <c r="E1160" s="76">
        <v>0.91500000000000004</v>
      </c>
      <c r="F1160" s="26"/>
      <c r="G1160" s="76"/>
      <c r="H1160" s="76"/>
      <c r="I1160" s="77" t="s">
        <v>12</v>
      </c>
      <c r="J1160" s="14"/>
      <c r="K1160" s="76">
        <v>8.0239033630019776</v>
      </c>
    </row>
    <row r="1161" spans="1:11">
      <c r="A1161" s="75" t="s">
        <v>30</v>
      </c>
      <c r="B1161" s="76">
        <v>124.789915966386</v>
      </c>
      <c r="C1161" s="25">
        <v>0.66800000000000004</v>
      </c>
      <c r="D1161" s="26"/>
      <c r="E1161" s="76">
        <v>0.91500000000000004</v>
      </c>
      <c r="F1161" s="26"/>
      <c r="G1161" s="76"/>
      <c r="H1161" s="76"/>
      <c r="I1161" s="77" t="s">
        <v>12</v>
      </c>
      <c r="J1161" s="14"/>
      <c r="K1161" s="76">
        <v>8.2464527094407636</v>
      </c>
    </row>
    <row r="1162" spans="1:11">
      <c r="A1162" s="75" t="s">
        <v>30</v>
      </c>
      <c r="B1162" s="76">
        <v>142.9411764705882</v>
      </c>
      <c r="C1162" s="25">
        <v>0.66800000000000004</v>
      </c>
      <c r="D1162" s="26"/>
      <c r="E1162" s="76">
        <v>0.91500000000000004</v>
      </c>
      <c r="F1162" s="26"/>
      <c r="G1162" s="76"/>
      <c r="H1162" s="76"/>
      <c r="I1162" s="77" t="s">
        <v>12</v>
      </c>
      <c r="J1162" s="14"/>
      <c r="K1162" s="76">
        <v>8.524458966948556</v>
      </c>
    </row>
    <row r="1163" spans="1:11">
      <c r="A1163" s="75" t="s">
        <v>30</v>
      </c>
      <c r="B1163" s="76">
        <v>22.184873949579782</v>
      </c>
      <c r="C1163" s="25">
        <v>0.66800000000000004</v>
      </c>
      <c r="D1163" s="26"/>
      <c r="E1163" s="76">
        <v>1.04</v>
      </c>
      <c r="F1163" s="26"/>
      <c r="G1163" s="76"/>
      <c r="H1163" s="76"/>
      <c r="I1163" s="77" t="s">
        <v>12</v>
      </c>
      <c r="J1163" s="14"/>
      <c r="K1163" s="76">
        <v>5.4636228317817439</v>
      </c>
    </row>
    <row r="1164" spans="1:11">
      <c r="A1164" s="75" t="s">
        <v>30</v>
      </c>
      <c r="B1164" s="76">
        <v>26.722689075630239</v>
      </c>
      <c r="C1164" s="25">
        <v>0.66800000000000004</v>
      </c>
      <c r="D1164" s="26"/>
      <c r="E1164" s="76">
        <v>1.04</v>
      </c>
      <c r="F1164" s="26"/>
      <c r="G1164" s="76"/>
      <c r="H1164" s="76"/>
      <c r="I1164" s="77" t="s">
        <v>12</v>
      </c>
      <c r="J1164" s="14"/>
      <c r="K1164" s="76">
        <v>5.7932262149920151</v>
      </c>
    </row>
    <row r="1165" spans="1:11">
      <c r="A1165" s="75" t="s">
        <v>30</v>
      </c>
      <c r="B1165" s="76">
        <v>33.529411764705841</v>
      </c>
      <c r="C1165" s="25">
        <v>0.66800000000000004</v>
      </c>
      <c r="D1165" s="26"/>
      <c r="E1165" s="76">
        <v>1.04</v>
      </c>
      <c r="F1165" s="26"/>
      <c r="G1165" s="76"/>
      <c r="H1165" s="76"/>
      <c r="I1165" s="77" t="s">
        <v>12</v>
      </c>
      <c r="J1165" s="14"/>
      <c r="K1165" s="76">
        <v>6.0600371741428551</v>
      </c>
    </row>
    <row r="1166" spans="1:11">
      <c r="A1166" s="75" t="s">
        <v>30</v>
      </c>
      <c r="B1166" s="76">
        <v>42.605042016806699</v>
      </c>
      <c r="C1166" s="25">
        <v>0.66800000000000004</v>
      </c>
      <c r="D1166" s="26"/>
      <c r="E1166" s="76">
        <v>1.04</v>
      </c>
      <c r="F1166" s="26"/>
      <c r="G1166" s="76"/>
      <c r="H1166" s="76"/>
      <c r="I1166" s="77" t="s">
        <v>12</v>
      </c>
      <c r="J1166" s="14"/>
      <c r="K1166" s="76">
        <v>6.4306967446843917</v>
      </c>
    </row>
    <row r="1167" spans="1:11">
      <c r="A1167" s="75" t="s">
        <v>30</v>
      </c>
      <c r="B1167" s="76">
        <v>53.949579831932759</v>
      </c>
      <c r="C1167" s="25">
        <v>0.66800000000000004</v>
      </c>
      <c r="D1167" s="26"/>
      <c r="E1167" s="76">
        <v>1.04</v>
      </c>
      <c r="F1167" s="26"/>
      <c r="G1167" s="76"/>
      <c r="H1167" s="76"/>
      <c r="I1167" s="77" t="s">
        <v>12</v>
      </c>
      <c r="J1167" s="14"/>
      <c r="K1167" s="76">
        <v>6.8094632760786125</v>
      </c>
    </row>
    <row r="1168" spans="1:11">
      <c r="A1168" s="75" t="s">
        <v>30</v>
      </c>
      <c r="B1168" s="76">
        <v>65.798319327730809</v>
      </c>
      <c r="C1168" s="25">
        <v>0.66800000000000004</v>
      </c>
      <c r="D1168" s="26"/>
      <c r="E1168" s="76">
        <v>1.04</v>
      </c>
      <c r="F1168" s="26"/>
      <c r="G1168" s="76"/>
      <c r="H1168" s="76"/>
      <c r="I1168" s="77" t="s">
        <v>12</v>
      </c>
      <c r="J1168" s="14"/>
      <c r="K1168" s="76">
        <v>7.1970528542187608</v>
      </c>
    </row>
    <row r="1169" spans="1:11">
      <c r="A1169" s="75" t="s">
        <v>30</v>
      </c>
      <c r="B1169" s="76">
        <v>74.873949579831603</v>
      </c>
      <c r="C1169" s="25">
        <v>0.66800000000000004</v>
      </c>
      <c r="D1169" s="26"/>
      <c r="E1169" s="76">
        <v>1.04</v>
      </c>
      <c r="F1169" s="26"/>
      <c r="G1169" s="76"/>
      <c r="H1169" s="76"/>
      <c r="I1169" s="77" t="s">
        <v>12</v>
      </c>
      <c r="J1169" s="14"/>
      <c r="K1169" s="76">
        <v>7.4371296451870537</v>
      </c>
    </row>
    <row r="1170" spans="1:11">
      <c r="A1170" s="75" t="s">
        <v>30</v>
      </c>
      <c r="B1170" s="76">
        <v>95.798319327730809</v>
      </c>
      <c r="C1170" s="25">
        <v>0.66800000000000004</v>
      </c>
      <c r="D1170" s="26"/>
      <c r="E1170" s="76">
        <v>1.04</v>
      </c>
      <c r="F1170" s="26"/>
      <c r="G1170" s="76"/>
      <c r="H1170" s="76"/>
      <c r="I1170" s="77" t="s">
        <v>12</v>
      </c>
      <c r="J1170" s="14"/>
      <c r="K1170" s="76">
        <v>7.9694597533179072</v>
      </c>
    </row>
    <row r="1171" spans="1:11">
      <c r="A1171" s="75" t="s">
        <v>30</v>
      </c>
      <c r="B1171" s="76">
        <v>113.19327731092379</v>
      </c>
      <c r="C1171" s="25">
        <v>0.66800000000000004</v>
      </c>
      <c r="D1171" s="26"/>
      <c r="E1171" s="76">
        <v>1.04</v>
      </c>
      <c r="F1171" s="26"/>
      <c r="G1171" s="76"/>
      <c r="H1171" s="76"/>
      <c r="I1171" s="77" t="s">
        <v>12</v>
      </c>
      <c r="J1171" s="14"/>
      <c r="K1171" s="76">
        <v>8.2700141309394262</v>
      </c>
    </row>
    <row r="1172" spans="1:11">
      <c r="A1172" s="75" t="s">
        <v>30</v>
      </c>
      <c r="B1172" s="76">
        <v>138.90756302520958</v>
      </c>
      <c r="C1172" s="25">
        <v>0.66800000000000004</v>
      </c>
      <c r="D1172" s="26"/>
      <c r="E1172" s="76">
        <v>1.04</v>
      </c>
      <c r="F1172" s="26"/>
      <c r="G1172" s="76"/>
      <c r="H1172" s="76"/>
      <c r="I1172" s="77" t="s">
        <v>12</v>
      </c>
      <c r="J1172" s="14"/>
      <c r="K1172" s="76">
        <v>8.7084187545094522</v>
      </c>
    </row>
    <row r="1173" spans="1:11">
      <c r="A1173" s="75" t="s">
        <v>30</v>
      </c>
      <c r="B1173" s="26"/>
      <c r="C1173" s="76"/>
      <c r="D1173" s="76"/>
      <c r="E1173" s="76"/>
      <c r="F1173" s="76"/>
      <c r="G1173" s="76"/>
      <c r="H1173" s="76"/>
      <c r="I1173" s="77" t="s">
        <v>12</v>
      </c>
      <c r="J1173" s="14"/>
      <c r="K1173" s="14"/>
    </row>
    <row r="1174" spans="1:11">
      <c r="A1174" s="75" t="s">
        <v>30</v>
      </c>
      <c r="B1174" s="77">
        <v>1080</v>
      </c>
      <c r="C1174" s="80">
        <v>1.92</v>
      </c>
      <c r="D1174" s="76"/>
      <c r="E1174" s="76"/>
      <c r="F1174" s="76"/>
      <c r="G1174" s="76"/>
      <c r="H1174" s="76"/>
      <c r="I1174" s="77" t="s">
        <v>12</v>
      </c>
      <c r="J1174" s="14"/>
      <c r="K1174" s="79">
        <v>15.888158272710715</v>
      </c>
    </row>
    <row r="1175" spans="1:11">
      <c r="A1175" s="75" t="s">
        <v>30</v>
      </c>
      <c r="B1175" s="77">
        <v>1440</v>
      </c>
      <c r="C1175" s="80">
        <v>1.92</v>
      </c>
      <c r="D1175" s="76"/>
      <c r="E1175" s="76"/>
      <c r="F1175" s="76"/>
      <c r="G1175" s="76"/>
      <c r="H1175" s="76"/>
      <c r="I1175" s="77" t="s">
        <v>12</v>
      </c>
      <c r="J1175" s="14"/>
      <c r="K1175" s="79">
        <v>17.060492934198503</v>
      </c>
    </row>
    <row r="1176" spans="1:11">
      <c r="A1176" s="75" t="s">
        <v>30</v>
      </c>
      <c r="B1176" s="77">
        <v>1980</v>
      </c>
      <c r="C1176" s="80">
        <v>1.92</v>
      </c>
      <c r="D1176" s="76"/>
      <c r="E1176" s="76"/>
      <c r="F1176" s="76"/>
      <c r="G1176" s="76"/>
      <c r="H1176" s="76"/>
      <c r="I1176" s="77" t="s">
        <v>12</v>
      </c>
      <c r="J1176" s="14"/>
      <c r="K1176" s="79">
        <v>18.283125989363327</v>
      </c>
    </row>
    <row r="1177" spans="1:11">
      <c r="A1177" s="75" t="s">
        <v>30</v>
      </c>
      <c r="B1177" s="77">
        <v>900</v>
      </c>
      <c r="C1177" s="80">
        <v>1.92</v>
      </c>
      <c r="D1177" s="76"/>
      <c r="E1177" s="76"/>
      <c r="F1177" s="76"/>
      <c r="G1177" s="76"/>
      <c r="H1177" s="76"/>
      <c r="I1177" s="77" t="s">
        <v>12</v>
      </c>
      <c r="J1177" s="14"/>
      <c r="K1177" s="79">
        <v>14.511326714391238</v>
      </c>
    </row>
    <row r="1178" spans="1:11">
      <c r="A1178" s="75" t="s">
        <v>30</v>
      </c>
      <c r="B1178" s="77">
        <v>1560</v>
      </c>
      <c r="C1178" s="80">
        <v>1.92</v>
      </c>
      <c r="D1178" s="76"/>
      <c r="E1178" s="76"/>
      <c r="F1178" s="76"/>
      <c r="G1178" s="76"/>
      <c r="H1178" s="76"/>
      <c r="I1178" s="77" t="s">
        <v>12</v>
      </c>
      <c r="J1178" s="14"/>
      <c r="K1178" s="79">
        <v>16.611322368308294</v>
      </c>
    </row>
    <row r="1179" spans="1:11">
      <c r="A1179" s="75" t="s">
        <v>30</v>
      </c>
      <c r="B1179" s="77">
        <v>2100</v>
      </c>
      <c r="C1179" s="80">
        <v>1.92</v>
      </c>
      <c r="D1179" s="76"/>
      <c r="E1179" s="76"/>
      <c r="F1179" s="76"/>
      <c r="G1179" s="76"/>
      <c r="H1179" s="76"/>
      <c r="I1179" s="77" t="s">
        <v>12</v>
      </c>
      <c r="J1179" s="14"/>
      <c r="K1179" s="79">
        <v>17.894004578792988</v>
      </c>
    </row>
    <row r="1180" spans="1:11">
      <c r="A1180" s="75" t="s">
        <v>30</v>
      </c>
      <c r="B1180" s="77">
        <v>840</v>
      </c>
      <c r="C1180" s="80">
        <v>1.92</v>
      </c>
      <c r="D1180" s="76"/>
      <c r="E1180" s="76"/>
      <c r="F1180" s="76"/>
      <c r="G1180" s="76"/>
      <c r="H1180" s="76"/>
      <c r="I1180" s="77" t="s">
        <v>12</v>
      </c>
      <c r="J1180" s="14"/>
      <c r="K1180" s="79">
        <v>13.540922215421368</v>
      </c>
    </row>
    <row r="1181" spans="1:11">
      <c r="A1181" s="75" t="s">
        <v>30</v>
      </c>
      <c r="B1181" s="77">
        <v>1200</v>
      </c>
      <c r="C1181" s="80">
        <v>1.92</v>
      </c>
      <c r="D1181" s="76"/>
      <c r="E1181" s="76"/>
      <c r="F1181" s="76"/>
      <c r="G1181" s="76"/>
      <c r="H1181" s="76"/>
      <c r="I1181" s="77" t="s">
        <v>12</v>
      </c>
      <c r="J1181" s="14"/>
      <c r="K1181" s="79">
        <v>15.092387974813075</v>
      </c>
    </row>
    <row r="1182" spans="1:11">
      <c r="A1182" s="75" t="s">
        <v>30</v>
      </c>
      <c r="B1182" s="77">
        <v>1560</v>
      </c>
      <c r="C1182" s="80">
        <v>1.92</v>
      </c>
      <c r="D1182" s="76"/>
      <c r="E1182" s="76"/>
      <c r="F1182" s="76"/>
      <c r="G1182" s="76"/>
      <c r="H1182" s="76"/>
      <c r="I1182" s="77" t="s">
        <v>12</v>
      </c>
      <c r="J1182" s="14"/>
      <c r="K1182" s="79">
        <v>16.136450850276375</v>
      </c>
    </row>
    <row r="1183" spans="1:11">
      <c r="A1183" s="75" t="s">
        <v>30</v>
      </c>
      <c r="B1183" s="76"/>
      <c r="C1183" s="76"/>
      <c r="D1183" s="76"/>
      <c r="E1183" s="76"/>
      <c r="F1183" s="76"/>
      <c r="G1183" s="76"/>
      <c r="H1183" s="76"/>
      <c r="I1183" s="77" t="s">
        <v>12</v>
      </c>
      <c r="J1183" s="14"/>
      <c r="K1183" s="14"/>
    </row>
    <row r="1184" spans="1:11">
      <c r="A1184" s="75" t="s">
        <v>30</v>
      </c>
      <c r="B1184" s="80">
        <v>102</v>
      </c>
      <c r="C1184" s="80">
        <v>0.52</v>
      </c>
      <c r="D1184" s="80">
        <v>6.3899999999999998E-2</v>
      </c>
      <c r="E1184" s="76"/>
      <c r="F1184" s="76"/>
      <c r="G1184" s="76"/>
      <c r="H1184" s="76"/>
      <c r="I1184" s="77" t="s">
        <v>12</v>
      </c>
      <c r="J1184" s="14"/>
      <c r="K1184" s="79">
        <v>9.5775200491884984</v>
      </c>
    </row>
    <row r="1185" spans="1:11">
      <c r="A1185" s="75" t="s">
        <v>30</v>
      </c>
      <c r="B1185" s="80">
        <v>186</v>
      </c>
      <c r="C1185" s="80">
        <v>0.52</v>
      </c>
      <c r="D1185" s="80">
        <v>6.3899999999999998E-2</v>
      </c>
      <c r="E1185" s="76"/>
      <c r="F1185" s="76"/>
      <c r="G1185" s="76"/>
      <c r="H1185" s="76"/>
      <c r="I1185" s="77" t="s">
        <v>12</v>
      </c>
      <c r="J1185" s="14"/>
      <c r="K1185" s="79">
        <v>9.9126670211312771</v>
      </c>
    </row>
    <row r="1186" spans="1:11">
      <c r="A1186" s="75" t="s">
        <v>30</v>
      </c>
      <c r="B1186" s="80">
        <v>216</v>
      </c>
      <c r="C1186" s="80">
        <v>0.52</v>
      </c>
      <c r="D1186" s="80">
        <v>6.3899999999999998E-2</v>
      </c>
      <c r="E1186" s="76"/>
      <c r="F1186" s="76"/>
      <c r="G1186" s="76"/>
      <c r="H1186" s="76"/>
      <c r="I1186" s="77" t="s">
        <v>12</v>
      </c>
      <c r="J1186" s="14"/>
      <c r="K1186" s="79">
        <v>10.165327048428615</v>
      </c>
    </row>
    <row r="1187" spans="1:11">
      <c r="A1187" s="75" t="s">
        <v>30</v>
      </c>
      <c r="B1187" s="80">
        <v>162</v>
      </c>
      <c r="C1187" s="80">
        <v>0.52</v>
      </c>
      <c r="D1187" s="80">
        <v>6.4700000000000008E-2</v>
      </c>
      <c r="E1187" s="76"/>
      <c r="F1187" s="76"/>
      <c r="G1187" s="76"/>
      <c r="H1187" s="76"/>
      <c r="I1187" s="77" t="s">
        <v>12</v>
      </c>
      <c r="J1187" s="14"/>
      <c r="K1187" s="79">
        <v>7.9187793499305483</v>
      </c>
    </row>
    <row r="1188" spans="1:11">
      <c r="A1188" s="75" t="s">
        <v>30</v>
      </c>
      <c r="B1188" s="80">
        <v>204</v>
      </c>
      <c r="C1188" s="80">
        <v>0.52</v>
      </c>
      <c r="D1188" s="80">
        <v>6.4700000000000008E-2</v>
      </c>
      <c r="E1188" s="76"/>
      <c r="F1188" s="76"/>
      <c r="G1188" s="76"/>
      <c r="H1188" s="76"/>
      <c r="I1188" s="77" t="s">
        <v>12</v>
      </c>
      <c r="J1188" s="14"/>
      <c r="K1188" s="79">
        <v>8.3056611841541468</v>
      </c>
    </row>
    <row r="1189" spans="1:11">
      <c r="A1189" s="75" t="s">
        <v>30</v>
      </c>
      <c r="B1189" s="80">
        <v>306</v>
      </c>
      <c r="C1189" s="80">
        <v>0.64600000000000002</v>
      </c>
      <c r="D1189" s="80">
        <v>6.4500000000000002E-2</v>
      </c>
      <c r="E1189" s="76"/>
      <c r="F1189" s="76"/>
      <c r="G1189" s="76"/>
      <c r="H1189" s="76"/>
      <c r="I1189" s="77" t="s">
        <v>12</v>
      </c>
      <c r="J1189" s="14"/>
      <c r="K1189" s="79">
        <v>10.226565435490876</v>
      </c>
    </row>
    <row r="1190" spans="1:11">
      <c r="A1190" s="75" t="s">
        <v>30</v>
      </c>
      <c r="B1190" s="80">
        <v>426</v>
      </c>
      <c r="C1190" s="80">
        <v>0.64600000000000002</v>
      </c>
      <c r="D1190" s="80">
        <v>6.4500000000000002E-2</v>
      </c>
      <c r="E1190" s="76"/>
      <c r="F1190" s="76"/>
      <c r="G1190" s="76"/>
      <c r="H1190" s="76"/>
      <c r="I1190" s="77" t="s">
        <v>12</v>
      </c>
      <c r="J1190" s="14"/>
      <c r="K1190" s="79">
        <v>10.856555581472675</v>
      </c>
    </row>
    <row r="1191" spans="1:11">
      <c r="A1191" s="75" t="s">
        <v>30</v>
      </c>
      <c r="B1191" s="76"/>
      <c r="C1191" s="76"/>
      <c r="D1191" s="76"/>
      <c r="E1191" s="76"/>
      <c r="F1191" s="76"/>
      <c r="G1191" s="76"/>
      <c r="H1191" s="76"/>
      <c r="I1191" s="77" t="s">
        <v>12</v>
      </c>
      <c r="J1191" s="14"/>
      <c r="K1191" s="14"/>
    </row>
    <row r="1192" spans="1:11">
      <c r="A1192" s="75" t="s">
        <v>30</v>
      </c>
      <c r="B1192" s="80">
        <v>1920</v>
      </c>
      <c r="C1192" s="80">
        <v>1.9500000000000002</v>
      </c>
      <c r="D1192" s="80">
        <v>6.3899999999999998E-2</v>
      </c>
      <c r="E1192" s="76"/>
      <c r="F1192" s="76"/>
      <c r="G1192" s="76"/>
      <c r="H1192" s="76"/>
      <c r="I1192" s="77" t="s">
        <v>12</v>
      </c>
      <c r="J1192" s="14"/>
      <c r="K1192" s="79">
        <v>20.483521897658868</v>
      </c>
    </row>
    <row r="1193" spans="1:11">
      <c r="A1193" s="75" t="s">
        <v>30</v>
      </c>
      <c r="B1193" s="80">
        <v>2520</v>
      </c>
      <c r="C1193" s="80">
        <v>1.9500000000000002</v>
      </c>
      <c r="D1193" s="80">
        <v>6.3899999999999998E-2</v>
      </c>
      <c r="E1193" s="76"/>
      <c r="F1193" s="76"/>
      <c r="G1193" s="76"/>
      <c r="H1193" s="76"/>
      <c r="I1193" s="77" t="s">
        <v>12</v>
      </c>
      <c r="J1193" s="14"/>
      <c r="K1193" s="79">
        <v>21.215688358941101</v>
      </c>
    </row>
    <row r="1194" spans="1:11">
      <c r="A1194" s="75" t="s">
        <v>30</v>
      </c>
      <c r="B1194" s="80">
        <v>3420</v>
      </c>
      <c r="C1194" s="80">
        <v>1.9500000000000002</v>
      </c>
      <c r="D1194" s="80">
        <v>6.3899999999999998E-2</v>
      </c>
      <c r="E1194" s="76"/>
      <c r="F1194" s="76"/>
      <c r="G1194" s="76"/>
      <c r="H1194" s="76"/>
      <c r="I1194" s="77" t="s">
        <v>12</v>
      </c>
      <c r="J1194" s="14"/>
      <c r="K1194" s="79">
        <v>22.29169661382436</v>
      </c>
    </row>
    <row r="1195" spans="1:11">
      <c r="A1195" s="75" t="s">
        <v>30</v>
      </c>
      <c r="B1195" s="80">
        <v>1740</v>
      </c>
      <c r="C1195" s="80">
        <v>1.9500000000000002</v>
      </c>
      <c r="D1195" s="77">
        <v>6.4000000000000001E-2</v>
      </c>
      <c r="E1195" s="76"/>
      <c r="F1195" s="76"/>
      <c r="G1195" s="76"/>
      <c r="H1195" s="76"/>
      <c r="I1195" s="77" t="s">
        <v>12</v>
      </c>
      <c r="J1195" s="14"/>
      <c r="K1195" s="79">
        <v>19.529389246757511</v>
      </c>
    </row>
    <row r="1196" spans="1:11">
      <c r="A1196" s="75" t="s">
        <v>30</v>
      </c>
      <c r="B1196" s="80">
        <v>2100</v>
      </c>
      <c r="C1196" s="80">
        <v>1.9500000000000002</v>
      </c>
      <c r="D1196" s="77">
        <v>6.4000000000000001E-2</v>
      </c>
      <c r="E1196" s="76"/>
      <c r="F1196" s="76"/>
      <c r="G1196" s="76"/>
      <c r="H1196" s="76"/>
      <c r="I1196" s="77" t="s">
        <v>12</v>
      </c>
      <c r="J1196" s="14"/>
      <c r="K1196" s="79">
        <v>19.857675590690977</v>
      </c>
    </row>
    <row r="1197" spans="1:11">
      <c r="A1197" s="75" t="s">
        <v>30</v>
      </c>
      <c r="B1197" s="80">
        <v>2760</v>
      </c>
      <c r="C1197" s="80">
        <v>1.9500000000000002</v>
      </c>
      <c r="D1197" s="77">
        <v>6.4000000000000001E-2</v>
      </c>
      <c r="E1197" s="76"/>
      <c r="F1197" s="76"/>
      <c r="G1197" s="76"/>
      <c r="H1197" s="76"/>
      <c r="I1197" s="77" t="s">
        <v>12</v>
      </c>
      <c r="J1197" s="14"/>
      <c r="K1197" s="79">
        <v>20.634141438447575</v>
      </c>
    </row>
    <row r="1198" spans="1:11">
      <c r="A1198" s="75" t="s">
        <v>30</v>
      </c>
      <c r="B1198" s="80">
        <v>2280</v>
      </c>
      <c r="C1198" s="80">
        <v>1.9500000000000002</v>
      </c>
      <c r="D1198" s="77">
        <v>6.4100000000000004E-2</v>
      </c>
      <c r="E1198" s="76"/>
      <c r="F1198" s="76"/>
      <c r="G1198" s="76"/>
      <c r="H1198" s="76"/>
      <c r="I1198" s="77" t="s">
        <v>12</v>
      </c>
      <c r="J1198" s="14"/>
      <c r="K1198" s="79">
        <v>19.529389246757511</v>
      </c>
    </row>
    <row r="1199" spans="1:11">
      <c r="A1199" s="75" t="s">
        <v>30</v>
      </c>
      <c r="B1199" s="80">
        <v>2820</v>
      </c>
      <c r="C1199" s="80">
        <v>1.9500000000000002</v>
      </c>
      <c r="D1199" s="77">
        <v>6.4100000000000004E-2</v>
      </c>
      <c r="E1199" s="76"/>
      <c r="F1199" s="76"/>
      <c r="G1199" s="76"/>
      <c r="H1199" s="76"/>
      <c r="I1199" s="77" t="s">
        <v>12</v>
      </c>
      <c r="J1199" s="14"/>
      <c r="K1199" s="79">
        <v>20.175452211500982</v>
      </c>
    </row>
    <row r="1200" spans="1:11">
      <c r="A1200" s="75" t="s">
        <v>30</v>
      </c>
      <c r="B1200" s="80">
        <v>3360</v>
      </c>
      <c r="C1200" s="80">
        <v>1.9500000000000002</v>
      </c>
      <c r="D1200" s="77">
        <v>6.4100000000000004E-2</v>
      </c>
      <c r="E1200" s="76"/>
      <c r="F1200" s="76"/>
      <c r="G1200" s="76"/>
      <c r="H1200" s="76"/>
      <c r="I1200" s="77" t="s">
        <v>12</v>
      </c>
      <c r="J1200" s="14"/>
      <c r="K1200" s="79">
        <v>20.782593603257151</v>
      </c>
    </row>
    <row r="1201" spans="1:11">
      <c r="A1201" s="75" t="s">
        <v>30</v>
      </c>
      <c r="B1201" s="76"/>
      <c r="C1201" s="76"/>
      <c r="D1201" s="76"/>
      <c r="E1201" s="76"/>
      <c r="F1201" s="76"/>
      <c r="G1201" s="76"/>
      <c r="H1201" s="76"/>
      <c r="I1201" s="77"/>
      <c r="J1201" s="14"/>
      <c r="K1201" s="14"/>
    </row>
    <row r="1202" spans="1:11">
      <c r="A1202" s="75" t="s">
        <v>30</v>
      </c>
      <c r="B1202" s="77">
        <v>750</v>
      </c>
      <c r="C1202" s="77">
        <v>1.95</v>
      </c>
      <c r="D1202" s="76"/>
      <c r="E1202" s="77">
        <v>0.48</v>
      </c>
      <c r="F1202" s="76"/>
      <c r="G1202" s="76"/>
      <c r="H1202" s="76"/>
      <c r="I1202" s="77" t="s">
        <v>12</v>
      </c>
      <c r="J1202" s="14"/>
      <c r="K1202" s="14">
        <v>12.5</v>
      </c>
    </row>
    <row r="1203" spans="1:11">
      <c r="A1203" s="75" t="s">
        <v>30</v>
      </c>
      <c r="B1203" s="76"/>
      <c r="C1203" s="76"/>
      <c r="D1203" s="76"/>
      <c r="E1203" s="76"/>
      <c r="F1203" s="76"/>
      <c r="G1203" s="76"/>
      <c r="H1203" s="76"/>
      <c r="I1203" s="77"/>
      <c r="J1203" s="14"/>
      <c r="K1203" s="14"/>
    </row>
    <row r="1204" spans="1:11">
      <c r="A1204" s="75" t="s">
        <v>30</v>
      </c>
      <c r="B1204" s="80">
        <v>607.800650054166</v>
      </c>
      <c r="C1204" s="77">
        <v>1.49</v>
      </c>
      <c r="D1204" s="26"/>
      <c r="E1204" s="77">
        <v>0.73499999999999999</v>
      </c>
      <c r="F1204" s="76"/>
      <c r="G1204" s="76"/>
      <c r="H1204" s="76"/>
      <c r="I1204" s="77" t="s">
        <v>31</v>
      </c>
      <c r="J1204" s="14"/>
      <c r="K1204" s="79">
        <v>12.78682771026039</v>
      </c>
    </row>
    <row r="1205" spans="1:11">
      <c r="A1205" s="75" t="s">
        <v>30</v>
      </c>
      <c r="B1205" s="80">
        <v>731.31094257854409</v>
      </c>
      <c r="C1205" s="77">
        <v>1.49</v>
      </c>
      <c r="D1205" s="76"/>
      <c r="E1205" s="77">
        <v>0.73499999999999999</v>
      </c>
      <c r="F1205" s="76"/>
      <c r="G1205" s="76"/>
      <c r="H1205" s="76"/>
      <c r="I1205" s="77" t="s">
        <v>31</v>
      </c>
      <c r="J1205" s="14"/>
      <c r="K1205" s="79">
        <v>13.362530384048663</v>
      </c>
    </row>
    <row r="1206" spans="1:11">
      <c r="A1206" s="75" t="s">
        <v>30</v>
      </c>
      <c r="B1206" s="80">
        <v>782.66522210183996</v>
      </c>
      <c r="C1206" s="77">
        <v>1.49</v>
      </c>
      <c r="D1206" s="76"/>
      <c r="E1206" s="77">
        <v>0.73499999999999999</v>
      </c>
      <c r="F1206" s="76"/>
      <c r="G1206" s="76"/>
      <c r="H1206" s="76"/>
      <c r="I1206" s="77" t="s">
        <v>31</v>
      </c>
      <c r="J1206" s="14"/>
      <c r="K1206" s="79">
        <v>13.58488655705343</v>
      </c>
    </row>
    <row r="1207" spans="1:11">
      <c r="A1207" s="75" t="s">
        <v>30</v>
      </c>
      <c r="B1207" s="80">
        <v>847.67063921993406</v>
      </c>
      <c r="C1207" s="77">
        <v>1.49</v>
      </c>
      <c r="D1207" s="76"/>
      <c r="E1207" s="77">
        <v>0.73499999999999999</v>
      </c>
      <c r="F1207" s="76"/>
      <c r="G1207" s="76"/>
      <c r="H1207" s="76"/>
      <c r="I1207" s="77" t="s">
        <v>31</v>
      </c>
      <c r="J1207" s="14"/>
      <c r="K1207" s="79">
        <v>13.823382670152309</v>
      </c>
    </row>
    <row r="1208" spans="1:11">
      <c r="A1208" s="75" t="s">
        <v>30</v>
      </c>
      <c r="B1208" s="80">
        <v>881.47345612133995</v>
      </c>
      <c r="C1208" s="77">
        <v>1.49</v>
      </c>
      <c r="D1208" s="76"/>
      <c r="E1208" s="77">
        <v>0.73499999999999999</v>
      </c>
      <c r="F1208" s="76"/>
      <c r="G1208" s="76"/>
      <c r="H1208" s="76"/>
      <c r="I1208" s="77" t="s">
        <v>31</v>
      </c>
      <c r="J1208" s="14"/>
      <c r="K1208" s="79">
        <v>13.952399764893507</v>
      </c>
    </row>
    <row r="1209" spans="1:11">
      <c r="A1209" s="75" t="s">
        <v>30</v>
      </c>
      <c r="B1209" s="80">
        <v>926.97724810400393</v>
      </c>
      <c r="C1209" s="77">
        <v>1.49</v>
      </c>
      <c r="D1209" s="76"/>
      <c r="E1209" s="77">
        <v>0.73499999999999999</v>
      </c>
      <c r="F1209" s="76"/>
      <c r="G1209" s="76"/>
      <c r="H1209" s="76"/>
      <c r="I1209" s="77" t="s">
        <v>31</v>
      </c>
      <c r="J1209" s="14"/>
      <c r="K1209" s="79">
        <v>14.112471447525515</v>
      </c>
    </row>
    <row r="1210" spans="1:11">
      <c r="A1210" s="75" t="s">
        <v>30</v>
      </c>
      <c r="B1210" s="80">
        <v>980.93174431202397</v>
      </c>
      <c r="C1210" s="77">
        <v>1.49</v>
      </c>
      <c r="D1210" s="76"/>
      <c r="E1210" s="77">
        <v>0.73499999999999999</v>
      </c>
      <c r="F1210" s="76"/>
      <c r="G1210" s="76"/>
      <c r="H1210" s="76"/>
      <c r="I1210" s="77" t="s">
        <v>31</v>
      </c>
      <c r="J1210" s="14"/>
      <c r="K1210" s="79">
        <v>14.285269197643052</v>
      </c>
    </row>
    <row r="1211" spans="1:11">
      <c r="A1211" s="75" t="s">
        <v>30</v>
      </c>
      <c r="B1211" s="80">
        <v>1053.0877573131061</v>
      </c>
      <c r="C1211" s="77">
        <v>1.49</v>
      </c>
      <c r="D1211" s="76"/>
      <c r="E1211" s="77">
        <v>0.73499999999999999</v>
      </c>
      <c r="F1211" s="76"/>
      <c r="G1211" s="76"/>
      <c r="H1211" s="76"/>
      <c r="I1211" s="77" t="s">
        <v>31</v>
      </c>
      <c r="J1211" s="14"/>
      <c r="K1211" s="79">
        <v>14.527720743781119</v>
      </c>
    </row>
    <row r="1212" spans="1:11">
      <c r="A1212" s="75" t="s">
        <v>30</v>
      </c>
      <c r="B1212" s="76"/>
      <c r="C1212" s="77"/>
      <c r="D1212" s="76"/>
      <c r="E1212" s="77"/>
      <c r="F1212" s="76"/>
      <c r="G1212" s="76"/>
      <c r="H1212" s="76"/>
      <c r="I1212" s="77"/>
      <c r="J1212" s="14"/>
      <c r="K1212" s="14"/>
    </row>
    <row r="1213" spans="1:11">
      <c r="A1213" s="75" t="s">
        <v>30</v>
      </c>
      <c r="B1213" s="80">
        <v>631.20260021668207</v>
      </c>
      <c r="C1213" s="77">
        <v>1.49</v>
      </c>
      <c r="D1213" s="76"/>
      <c r="E1213" s="77">
        <v>0.73499999999999999</v>
      </c>
      <c r="F1213" s="76"/>
      <c r="G1213" s="76"/>
      <c r="H1213" s="76"/>
      <c r="I1213" s="77" t="s">
        <v>12</v>
      </c>
      <c r="J1213" s="14"/>
      <c r="K1213" s="79">
        <v>12.993169481951371</v>
      </c>
    </row>
    <row r="1214" spans="1:11">
      <c r="A1214" s="75" t="s">
        <v>30</v>
      </c>
      <c r="B1214" s="80">
        <v>866.52221018418004</v>
      </c>
      <c r="C1214" s="77">
        <v>1.49</v>
      </c>
      <c r="D1214" s="76"/>
      <c r="E1214" s="77">
        <v>0.73499999999999999</v>
      </c>
      <c r="F1214" s="76"/>
      <c r="G1214" s="76"/>
      <c r="H1214" s="76"/>
      <c r="I1214" s="77" t="s">
        <v>12</v>
      </c>
      <c r="J1214" s="14"/>
      <c r="K1214" s="79">
        <v>13.989230474764293</v>
      </c>
    </row>
    <row r="1215" spans="1:11">
      <c r="A1215" s="75" t="s">
        <v>30</v>
      </c>
      <c r="B1215" s="80">
        <v>911.37594799566591</v>
      </c>
      <c r="C1215" s="77">
        <v>1.49</v>
      </c>
      <c r="D1215" s="76"/>
      <c r="E1215" s="77">
        <v>0.73499999999999999</v>
      </c>
      <c r="F1215" s="76"/>
      <c r="G1215" s="76"/>
      <c r="H1215" s="76"/>
      <c r="I1215" s="77" t="s">
        <v>12</v>
      </c>
      <c r="J1215" s="14"/>
      <c r="K1215" s="79">
        <v>14.153997275942151</v>
      </c>
    </row>
    <row r="1216" spans="1:11">
      <c r="A1216" s="75" t="s">
        <v>30</v>
      </c>
      <c r="B1216" s="80">
        <v>952.32936078006003</v>
      </c>
      <c r="C1216" s="77">
        <v>1.49</v>
      </c>
      <c r="D1216" s="76"/>
      <c r="E1216" s="77">
        <v>0.73499999999999999</v>
      </c>
      <c r="F1216" s="76"/>
      <c r="G1216" s="76"/>
      <c r="H1216" s="76"/>
      <c r="I1216" s="77" t="s">
        <v>12</v>
      </c>
      <c r="J1216" s="14"/>
      <c r="K1216" s="79">
        <v>14.293393908166221</v>
      </c>
    </row>
    <row r="1217" spans="1:11">
      <c r="A1217" s="75" t="s">
        <v>30</v>
      </c>
      <c r="B1217" s="80">
        <v>1004.983748645718</v>
      </c>
      <c r="C1217" s="77">
        <v>1.49</v>
      </c>
      <c r="D1217" s="76"/>
      <c r="E1217" s="77">
        <v>0.73499999999999999</v>
      </c>
      <c r="F1217" s="76"/>
      <c r="G1217" s="76"/>
      <c r="H1217" s="76"/>
      <c r="I1217" s="77" t="s">
        <v>12</v>
      </c>
      <c r="J1217" s="14"/>
      <c r="K1217" s="79">
        <v>14.461921025149065</v>
      </c>
    </row>
    <row r="1218" spans="1:11">
      <c r="A1218" s="75" t="s">
        <v>30</v>
      </c>
      <c r="B1218" s="80">
        <v>1077.7898158179839</v>
      </c>
      <c r="C1218" s="77">
        <v>1.49</v>
      </c>
      <c r="D1218" s="76"/>
      <c r="E1218" s="77">
        <v>0.73499999999999999</v>
      </c>
      <c r="F1218" s="76"/>
      <c r="G1218" s="76"/>
      <c r="H1218" s="76"/>
      <c r="I1218" s="77" t="s">
        <v>12</v>
      </c>
      <c r="J1218" s="14"/>
      <c r="K1218" s="79">
        <v>14.693507129378458</v>
      </c>
    </row>
    <row r="1219" spans="1:11">
      <c r="A1219" s="75" t="s">
        <v>30</v>
      </c>
      <c r="B1219" s="80">
        <v>1175.9479956662999</v>
      </c>
      <c r="C1219" s="77">
        <v>1.49</v>
      </c>
      <c r="D1219" s="76"/>
      <c r="E1219" s="77">
        <v>0.73499999999999999</v>
      </c>
      <c r="F1219" s="76"/>
      <c r="G1219" s="76"/>
      <c r="H1219" s="76"/>
      <c r="I1219" s="77" t="s">
        <v>12</v>
      </c>
      <c r="J1219" s="14"/>
      <c r="K1219" s="79">
        <v>14.974947005330623</v>
      </c>
    </row>
    <row r="1220" spans="1:11">
      <c r="A1220" s="12"/>
      <c r="B1220" s="87"/>
      <c r="C1220" s="87"/>
      <c r="D1220" s="87"/>
      <c r="E1220" s="87"/>
      <c r="F1220" s="87"/>
      <c r="G1220" s="87"/>
      <c r="H1220" s="87"/>
      <c r="I1220" s="12"/>
      <c r="J1220" s="92"/>
    </row>
    <row r="1221" spans="1:11">
      <c r="A1221" s="77" t="s">
        <v>32</v>
      </c>
      <c r="B1221" s="78">
        <v>328.74728457639299</v>
      </c>
      <c r="C1221" s="77">
        <v>2</v>
      </c>
      <c r="D1221" s="77">
        <v>7.1999999999999995E-2</v>
      </c>
      <c r="E1221" s="76"/>
      <c r="F1221" s="76"/>
      <c r="G1221" s="76"/>
      <c r="H1221" s="76"/>
      <c r="I1221" s="77" t="s">
        <v>12</v>
      </c>
      <c r="J1221" s="14"/>
      <c r="K1221" s="26">
        <v>6.5618357489800374</v>
      </c>
    </row>
    <row r="1222" spans="1:11">
      <c r="A1222" s="77" t="s">
        <v>32</v>
      </c>
      <c r="B1222" s="78">
        <v>330.19551049963701</v>
      </c>
      <c r="C1222" s="77">
        <v>2</v>
      </c>
      <c r="D1222" s="77">
        <v>7.1999999999999995E-2</v>
      </c>
      <c r="E1222" s="76"/>
      <c r="F1222" s="76"/>
      <c r="G1222" s="76"/>
      <c r="H1222" s="76"/>
      <c r="I1222" s="77" t="s">
        <v>12</v>
      </c>
      <c r="J1222" s="14"/>
      <c r="K1222" s="26">
        <v>6.6516048439720805</v>
      </c>
    </row>
    <row r="1223" spans="1:11">
      <c r="A1223" s="77" t="s">
        <v>32</v>
      </c>
      <c r="B1223" s="78">
        <v>330.19551049963701</v>
      </c>
      <c r="C1223" s="77">
        <v>2</v>
      </c>
      <c r="D1223" s="77">
        <v>7.1999999999999995E-2</v>
      </c>
      <c r="E1223" s="76"/>
      <c r="F1223" s="76"/>
      <c r="G1223" s="76"/>
      <c r="H1223" s="76"/>
      <c r="I1223" s="77" t="s">
        <v>12</v>
      </c>
      <c r="J1223" s="14"/>
      <c r="K1223" s="26">
        <v>6.7298661982974775</v>
      </c>
    </row>
    <row r="1224" spans="1:11">
      <c r="A1224" s="77" t="s">
        <v>32</v>
      </c>
      <c r="B1224" s="78">
        <v>283.85228095582897</v>
      </c>
      <c r="C1224" s="77">
        <v>2</v>
      </c>
      <c r="D1224" s="77">
        <v>7.1999999999999995E-2</v>
      </c>
      <c r="E1224" s="76"/>
      <c r="F1224" s="76"/>
      <c r="G1224" s="76"/>
      <c r="H1224" s="76"/>
      <c r="I1224" s="77" t="s">
        <v>12</v>
      </c>
      <c r="J1224" s="14"/>
      <c r="K1224" s="26">
        <v>6.3246065821704001</v>
      </c>
    </row>
    <row r="1225" spans="1:11">
      <c r="A1225" s="77" t="s">
        <v>32</v>
      </c>
      <c r="B1225" s="78">
        <v>283.85228095582897</v>
      </c>
      <c r="C1225" s="77">
        <v>2</v>
      </c>
      <c r="D1225" s="77">
        <v>7.1999999999999995E-2</v>
      </c>
      <c r="E1225" s="76"/>
      <c r="F1225" s="76"/>
      <c r="G1225" s="76"/>
      <c r="H1225" s="76"/>
      <c r="I1225" s="77" t="s">
        <v>12</v>
      </c>
      <c r="J1225" s="14"/>
      <c r="K1225" s="26">
        <v>6.3990205451622835</v>
      </c>
    </row>
    <row r="1226" spans="1:11">
      <c r="A1226" s="77" t="s">
        <v>32</v>
      </c>
      <c r="B1226" s="78">
        <v>282.40405503258501</v>
      </c>
      <c r="C1226" s="77">
        <v>2</v>
      </c>
      <c r="D1226" s="77">
        <v>7.1999999999999995E-2</v>
      </c>
      <c r="E1226" s="76"/>
      <c r="F1226" s="76"/>
      <c r="G1226" s="76"/>
      <c r="H1226" s="76"/>
      <c r="I1226" s="77" t="s">
        <v>12</v>
      </c>
      <c r="J1226" s="14"/>
      <c r="K1226" s="26">
        <v>6.460717776303718</v>
      </c>
    </row>
    <row r="1227" spans="1:11">
      <c r="A1227" s="77" t="s">
        <v>32</v>
      </c>
      <c r="B1227" s="78">
        <v>236.060825488776</v>
      </c>
      <c r="C1227" s="77">
        <v>2</v>
      </c>
      <c r="D1227" s="77">
        <v>7.1999999999999995E-2</v>
      </c>
      <c r="E1227" s="76"/>
      <c r="F1227" s="76"/>
      <c r="G1227" s="76"/>
      <c r="H1227" s="76"/>
      <c r="I1227" s="77" t="s">
        <v>12</v>
      </c>
      <c r="J1227" s="14"/>
      <c r="K1227" s="26">
        <v>6.1528819236399599</v>
      </c>
    </row>
    <row r="1228" spans="1:11">
      <c r="A1228" s="77" t="s">
        <v>32</v>
      </c>
      <c r="B1228" s="78">
        <v>237.50905141202</v>
      </c>
      <c r="C1228" s="77">
        <v>2</v>
      </c>
      <c r="D1228" s="77">
        <v>7.1999999999999995E-2</v>
      </c>
      <c r="E1228" s="76"/>
      <c r="F1228" s="76"/>
      <c r="G1228" s="76"/>
      <c r="H1228" s="76"/>
      <c r="I1228" s="77" t="s">
        <v>12</v>
      </c>
      <c r="J1228" s="14"/>
      <c r="K1228" s="26">
        <v>6.2310335586508749</v>
      </c>
    </row>
    <row r="1229" spans="1:11">
      <c r="A1229" s="77" t="s">
        <v>32</v>
      </c>
      <c r="B1229" s="78">
        <v>238.957277335264</v>
      </c>
      <c r="C1229" s="77">
        <v>2</v>
      </c>
      <c r="D1229" s="77">
        <v>7.1999999999999995E-2</v>
      </c>
      <c r="E1229" s="76"/>
      <c r="F1229" s="76"/>
      <c r="G1229" s="76"/>
      <c r="H1229" s="76"/>
      <c r="I1229" s="77" t="s">
        <v>12</v>
      </c>
      <c r="J1229" s="14"/>
      <c r="K1229" s="26">
        <v>6.3080449033508907</v>
      </c>
    </row>
    <row r="1230" spans="1:11">
      <c r="A1230" s="77" t="s">
        <v>32</v>
      </c>
      <c r="B1230" s="78">
        <v>188.26937002172301</v>
      </c>
      <c r="C1230" s="77">
        <v>2</v>
      </c>
      <c r="D1230" s="77">
        <v>7.1999999999999995E-2</v>
      </c>
      <c r="E1230" s="76"/>
      <c r="F1230" s="76"/>
      <c r="G1230" s="76"/>
      <c r="H1230" s="76"/>
      <c r="I1230" s="77" t="s">
        <v>12</v>
      </c>
      <c r="J1230" s="14"/>
      <c r="K1230" s="26">
        <v>5.8844097253115137</v>
      </c>
    </row>
    <row r="1231" spans="1:11">
      <c r="A1231" s="77" t="s">
        <v>32</v>
      </c>
      <c r="B1231" s="78">
        <v>186.82114409847901</v>
      </c>
      <c r="C1231" s="77">
        <v>2</v>
      </c>
      <c r="D1231" s="77">
        <v>7.1999999999999995E-2</v>
      </c>
      <c r="E1231" s="76"/>
      <c r="F1231" s="76"/>
      <c r="G1231" s="76"/>
      <c r="H1231" s="76"/>
      <c r="I1231" s="77" t="s">
        <v>12</v>
      </c>
      <c r="J1231" s="14"/>
      <c r="K1231" s="26">
        <v>5.8111671148282751</v>
      </c>
    </row>
    <row r="1232" spans="1:11">
      <c r="A1232" s="77" t="s">
        <v>32</v>
      </c>
      <c r="B1232" s="78">
        <v>141.926140477914</v>
      </c>
      <c r="C1232" s="77">
        <v>2</v>
      </c>
      <c r="D1232" s="77">
        <v>7.1999999999999995E-2</v>
      </c>
      <c r="E1232" s="76"/>
      <c r="F1232" s="76"/>
      <c r="G1232" s="76"/>
      <c r="H1232" s="76"/>
      <c r="I1232" s="77" t="s">
        <v>12</v>
      </c>
      <c r="J1232" s="14"/>
      <c r="K1232" s="26">
        <v>5.4074625638522429</v>
      </c>
    </row>
    <row r="1233" spans="1:11">
      <c r="A1233" s="77" t="s">
        <v>32</v>
      </c>
      <c r="B1233" s="78">
        <v>143.374366401158</v>
      </c>
      <c r="C1233" s="77">
        <v>2</v>
      </c>
      <c r="D1233" s="77">
        <v>7.1999999999999995E-2</v>
      </c>
      <c r="E1233" s="76"/>
      <c r="F1233" s="76"/>
      <c r="G1233" s="76"/>
      <c r="H1233" s="76"/>
      <c r="I1233" s="77" t="s">
        <v>12</v>
      </c>
      <c r="J1233" s="14"/>
      <c r="K1233" s="26">
        <v>5.4769828359766102</v>
      </c>
    </row>
    <row r="1234" spans="1:11">
      <c r="A1234" s="77" t="s">
        <v>32</v>
      </c>
      <c r="B1234" s="78">
        <v>94.5</v>
      </c>
      <c r="C1234" s="77">
        <v>2</v>
      </c>
      <c r="D1234" s="77">
        <v>7.1999999999999995E-2</v>
      </c>
      <c r="E1234" s="76"/>
      <c r="F1234" s="76"/>
      <c r="G1234" s="76"/>
      <c r="H1234" s="76"/>
      <c r="I1234" s="77" t="s">
        <v>12</v>
      </c>
      <c r="J1234" s="14"/>
      <c r="K1234" s="26">
        <v>4.8953323390944492</v>
      </c>
    </row>
    <row r="1235" spans="1:11">
      <c r="A1235" s="77" t="s">
        <v>32</v>
      </c>
      <c r="B1235" s="78">
        <v>94.5</v>
      </c>
      <c r="C1235" s="77">
        <v>2</v>
      </c>
      <c r="D1235" s="77">
        <v>7.1999999999999995E-2</v>
      </c>
      <c r="E1235" s="76"/>
      <c r="F1235" s="76"/>
      <c r="G1235" s="76"/>
      <c r="H1235" s="76"/>
      <c r="I1235" s="77" t="s">
        <v>12</v>
      </c>
      <c r="J1235" s="14"/>
      <c r="K1235" s="26">
        <v>4.936820184470645</v>
      </c>
    </row>
    <row r="1236" spans="1:11">
      <c r="A1236" s="77" t="s">
        <v>32</v>
      </c>
      <c r="B1236" s="78">
        <v>94.5</v>
      </c>
      <c r="C1236" s="77">
        <v>2</v>
      </c>
      <c r="D1236" s="77">
        <v>7.1999999999999995E-2</v>
      </c>
      <c r="E1236" s="76"/>
      <c r="F1236" s="76"/>
      <c r="G1236" s="76"/>
      <c r="H1236" s="76"/>
      <c r="I1236" s="77" t="s">
        <v>12</v>
      </c>
      <c r="J1236" s="14"/>
      <c r="K1236" s="26">
        <v>4.9776222016003864</v>
      </c>
    </row>
    <row r="1237" spans="1:11">
      <c r="A1237" s="77" t="s">
        <v>32</v>
      </c>
      <c r="B1237" s="77">
        <v>94.5</v>
      </c>
      <c r="C1237" s="77">
        <v>2</v>
      </c>
      <c r="D1237" s="77">
        <v>7.1999999999999995E-2</v>
      </c>
      <c r="E1237" s="76"/>
      <c r="F1237" s="76"/>
      <c r="G1237" s="76"/>
      <c r="H1237" s="76"/>
      <c r="I1237" s="77" t="s">
        <v>12</v>
      </c>
      <c r="J1237" s="14"/>
      <c r="K1237" s="26">
        <v>5.0177660497459966</v>
      </c>
    </row>
    <row r="1238" spans="1:11">
      <c r="A1238" s="77" t="s">
        <v>32</v>
      </c>
      <c r="B1238" s="78">
        <v>140.47791455467001</v>
      </c>
      <c r="C1238" s="77">
        <v>2</v>
      </c>
      <c r="D1238" s="77">
        <v>7.1999999999999995E-2</v>
      </c>
      <c r="E1238" s="76"/>
      <c r="F1238" s="76"/>
      <c r="G1238" s="76"/>
      <c r="H1238" s="76"/>
      <c r="I1238" s="77" t="s">
        <v>12</v>
      </c>
      <c r="J1238" s="14"/>
      <c r="K1238" s="26">
        <v>5.5387775736728502</v>
      </c>
    </row>
    <row r="1239" spans="1:11">
      <c r="A1239" s="77" t="s">
        <v>32</v>
      </c>
      <c r="B1239" s="78">
        <v>140.47791455467001</v>
      </c>
      <c r="C1239" s="77">
        <v>2</v>
      </c>
      <c r="D1239" s="77">
        <v>7.1999999999999995E-2</v>
      </c>
      <c r="E1239" s="76"/>
      <c r="F1239" s="76"/>
      <c r="G1239" s="76"/>
      <c r="H1239" s="76"/>
      <c r="I1239" s="77" t="s">
        <v>12</v>
      </c>
      <c r="J1239" s="14"/>
      <c r="K1239" s="26">
        <v>5.4897592722048332</v>
      </c>
    </row>
    <row r="1240" spans="1:11">
      <c r="A1240" s="77" t="s">
        <v>32</v>
      </c>
      <c r="B1240" s="78">
        <v>189.717595944967</v>
      </c>
      <c r="C1240" s="77">
        <v>2</v>
      </c>
      <c r="D1240" s="77">
        <v>7.1999999999999995E-2</v>
      </c>
      <c r="E1240" s="76"/>
      <c r="F1240" s="76"/>
      <c r="G1240" s="76"/>
      <c r="H1240" s="76"/>
      <c r="I1240" s="77" t="s">
        <v>12</v>
      </c>
      <c r="J1240" s="14"/>
      <c r="K1240" s="26">
        <v>6.1222883298223225</v>
      </c>
    </row>
    <row r="1241" spans="1:11">
      <c r="A1241" s="77" t="s">
        <v>32</v>
      </c>
      <c r="B1241" s="78">
        <v>188.26937002172301</v>
      </c>
      <c r="C1241" s="77">
        <v>2</v>
      </c>
      <c r="D1241" s="77">
        <v>7.1999999999999995E-2</v>
      </c>
      <c r="E1241" s="76"/>
      <c r="F1241" s="76"/>
      <c r="G1241" s="76"/>
      <c r="H1241" s="76"/>
      <c r="I1241" s="77" t="s">
        <v>12</v>
      </c>
      <c r="J1241" s="14"/>
      <c r="K1241" s="26">
        <v>6.0526260161754131</v>
      </c>
    </row>
    <row r="1242" spans="1:11">
      <c r="A1242" s="77" t="s">
        <v>32</v>
      </c>
      <c r="B1242" s="78">
        <v>94.5</v>
      </c>
      <c r="C1242" s="77">
        <v>2</v>
      </c>
      <c r="D1242" s="77">
        <v>7.1999999999999995E-2</v>
      </c>
      <c r="E1242" s="76"/>
      <c r="F1242" s="76"/>
      <c r="G1242" s="76"/>
      <c r="H1242" s="76"/>
      <c r="I1242" s="77" t="s">
        <v>12</v>
      </c>
      <c r="J1242" s="14"/>
      <c r="K1242" s="26">
        <v>5.1344999015167527</v>
      </c>
    </row>
    <row r="1243" spans="1:11">
      <c r="A1243" s="77" t="s">
        <v>32</v>
      </c>
      <c r="B1243" s="78">
        <v>94.5</v>
      </c>
      <c r="C1243" s="77">
        <v>2</v>
      </c>
      <c r="D1243" s="77">
        <v>7.1999999999999995E-2</v>
      </c>
      <c r="E1243" s="76"/>
      <c r="F1243" s="76"/>
      <c r="G1243" s="76"/>
      <c r="H1243" s="76"/>
      <c r="I1243" s="77" t="s">
        <v>12</v>
      </c>
      <c r="J1243" s="14"/>
      <c r="K1243" s="26">
        <v>5.0961813100126818</v>
      </c>
    </row>
    <row r="1244" spans="1:11">
      <c r="A1244" s="77" t="s">
        <v>32</v>
      </c>
      <c r="B1244" s="78">
        <v>140.47791455467001</v>
      </c>
      <c r="C1244" s="77">
        <v>2</v>
      </c>
      <c r="D1244" s="77">
        <v>7.1999999999999995E-2</v>
      </c>
      <c r="E1244" s="76"/>
      <c r="F1244" s="76"/>
      <c r="G1244" s="76"/>
      <c r="H1244" s="76"/>
      <c r="I1244" s="77" t="s">
        <v>12</v>
      </c>
      <c r="J1244" s="14"/>
      <c r="K1244" s="26">
        <v>5.7266743793696104</v>
      </c>
    </row>
    <row r="1245" spans="1:11">
      <c r="A1245" s="77" t="s">
        <v>32</v>
      </c>
      <c r="B1245" s="78">
        <v>140.47791455467001</v>
      </c>
      <c r="C1245" s="77">
        <v>2</v>
      </c>
      <c r="D1245" s="77">
        <v>7.1999999999999995E-2</v>
      </c>
      <c r="E1245" s="76"/>
      <c r="F1245" s="76"/>
      <c r="G1245" s="76"/>
      <c r="H1245" s="76"/>
      <c r="I1245" s="77" t="s">
        <v>12</v>
      </c>
      <c r="J1245" s="14"/>
      <c r="K1245" s="26">
        <v>5.6808590216216333</v>
      </c>
    </row>
    <row r="1246" spans="1:11">
      <c r="A1246" s="77" t="s">
        <v>32</v>
      </c>
      <c r="B1246" s="78">
        <v>188.26937002172301</v>
      </c>
      <c r="C1246" s="77">
        <v>2</v>
      </c>
      <c r="D1246" s="77">
        <v>7.1999999999999995E-2</v>
      </c>
      <c r="E1246" s="76"/>
      <c r="F1246" s="76"/>
      <c r="G1246" s="76"/>
      <c r="H1246" s="76"/>
      <c r="I1246" s="77" t="s">
        <v>12</v>
      </c>
      <c r="J1246" s="14"/>
      <c r="K1246" s="26">
        <v>6.313832103755753</v>
      </c>
    </row>
    <row r="1247" spans="1:11">
      <c r="A1247" s="77" t="s">
        <v>32</v>
      </c>
      <c r="B1247" s="78">
        <v>188.26937002172301</v>
      </c>
      <c r="C1247" s="77">
        <v>2</v>
      </c>
      <c r="D1247" s="77">
        <v>7.1999999999999995E-2</v>
      </c>
      <c r="E1247" s="76"/>
      <c r="F1247" s="76"/>
      <c r="G1247" s="76"/>
      <c r="H1247" s="76"/>
      <c r="I1247" s="77" t="s">
        <v>12</v>
      </c>
      <c r="J1247" s="14"/>
      <c r="K1247" s="26">
        <v>6.263319282975103</v>
      </c>
    </row>
    <row r="1248" spans="1:11">
      <c r="A1248" s="77" t="s">
        <v>32</v>
      </c>
      <c r="B1248" s="78">
        <v>234.61259956553201</v>
      </c>
      <c r="C1248" s="77">
        <v>2</v>
      </c>
      <c r="D1248" s="77">
        <v>7.1999999999999995E-2</v>
      </c>
      <c r="E1248" s="76"/>
      <c r="F1248" s="76"/>
      <c r="G1248" s="76"/>
      <c r="H1248" s="76"/>
      <c r="I1248" s="77" t="s">
        <v>12</v>
      </c>
      <c r="J1248" s="14"/>
      <c r="K1248" s="26">
        <v>6.6847804792879737</v>
      </c>
    </row>
    <row r="1249" spans="1:11">
      <c r="A1249" s="77" t="s">
        <v>32</v>
      </c>
      <c r="B1249" s="78">
        <v>236.060825488776</v>
      </c>
      <c r="C1249" s="77">
        <v>2</v>
      </c>
      <c r="D1249" s="77">
        <v>7.1999999999999995E-2</v>
      </c>
      <c r="E1249" s="76"/>
      <c r="F1249" s="76"/>
      <c r="G1249" s="76"/>
      <c r="H1249" s="76"/>
      <c r="I1249" s="77" t="s">
        <v>12</v>
      </c>
      <c r="J1249" s="14"/>
      <c r="K1249" s="26">
        <v>6.6422143305297006</v>
      </c>
    </row>
    <row r="1250" spans="1:11">
      <c r="A1250" s="77" t="s">
        <v>32</v>
      </c>
      <c r="B1250" s="78">
        <v>282.40405503258501</v>
      </c>
      <c r="C1250" s="77">
        <v>2</v>
      </c>
      <c r="D1250" s="77">
        <v>7.1999999999999995E-2</v>
      </c>
      <c r="E1250" s="76"/>
      <c r="F1250" s="76"/>
      <c r="G1250" s="76"/>
      <c r="H1250" s="76"/>
      <c r="I1250" s="77" t="s">
        <v>12</v>
      </c>
      <c r="J1250" s="14"/>
      <c r="K1250" s="26">
        <v>7.1697107888805265</v>
      </c>
    </row>
    <row r="1251" spans="1:11">
      <c r="A1251" s="77" t="s">
        <v>32</v>
      </c>
      <c r="B1251" s="78">
        <v>282.40405503258501</v>
      </c>
      <c r="C1251" s="77">
        <v>2</v>
      </c>
      <c r="D1251" s="77">
        <v>7.1999999999999995E-2</v>
      </c>
      <c r="E1251" s="76"/>
      <c r="F1251" s="76"/>
      <c r="G1251" s="76"/>
      <c r="H1251" s="76"/>
      <c r="I1251" s="77" t="s">
        <v>12</v>
      </c>
      <c r="J1251" s="14"/>
      <c r="K1251" s="26">
        <v>7.1109400243317156</v>
      </c>
    </row>
    <row r="1252" spans="1:11">
      <c r="A1252" s="77" t="s">
        <v>32</v>
      </c>
      <c r="B1252" s="78">
        <v>283.85228095582897</v>
      </c>
      <c r="C1252" s="77">
        <v>2</v>
      </c>
      <c r="D1252" s="77">
        <v>7.1999999999999995E-2</v>
      </c>
      <c r="E1252" s="76"/>
      <c r="F1252" s="76"/>
      <c r="G1252" s="76"/>
      <c r="H1252" s="76"/>
      <c r="I1252" s="77" t="s">
        <v>12</v>
      </c>
      <c r="J1252" s="14"/>
      <c r="K1252" s="26">
        <v>7.0632141566300861</v>
      </c>
    </row>
    <row r="1253" spans="1:11">
      <c r="A1253" s="77" t="s">
        <v>32</v>
      </c>
      <c r="B1253" s="76">
        <v>74.243201177252502</v>
      </c>
      <c r="C1253" s="25">
        <v>4</v>
      </c>
      <c r="D1253" s="77">
        <v>7.1999999999999995E-2</v>
      </c>
      <c r="E1253" s="76"/>
      <c r="F1253" s="76"/>
      <c r="G1253" s="76"/>
      <c r="H1253" s="76"/>
      <c r="I1253" s="77" t="s">
        <v>12</v>
      </c>
      <c r="J1253" s="14"/>
      <c r="K1253" s="26">
        <v>5.515544443655152</v>
      </c>
    </row>
    <row r="1254" spans="1:11">
      <c r="A1254" s="77" t="s">
        <v>32</v>
      </c>
      <c r="B1254" s="76">
        <v>74.243201177252502</v>
      </c>
      <c r="C1254" s="25">
        <v>4</v>
      </c>
      <c r="D1254" s="77">
        <v>7.1999999999999995E-2</v>
      </c>
      <c r="E1254" s="76"/>
      <c r="F1254" s="76"/>
      <c r="G1254" s="76"/>
      <c r="H1254" s="76"/>
      <c r="I1254" s="77" t="s">
        <v>12</v>
      </c>
      <c r="J1254" s="14"/>
      <c r="K1254" s="26">
        <v>5.4895273377450637</v>
      </c>
    </row>
    <row r="1255" spans="1:11">
      <c r="A1255" s="77" t="s">
        <v>32</v>
      </c>
      <c r="B1255" s="76">
        <v>74.243201177252502</v>
      </c>
      <c r="C1255" s="25">
        <v>4</v>
      </c>
      <c r="D1255" s="77">
        <v>7.1999999999999995E-2</v>
      </c>
      <c r="E1255" s="76"/>
      <c r="F1255" s="76"/>
      <c r="G1255" s="76"/>
      <c r="H1255" s="76"/>
      <c r="I1255" s="77" t="s">
        <v>12</v>
      </c>
      <c r="J1255" s="14"/>
      <c r="K1255" s="26">
        <v>5.4099577459485255</v>
      </c>
    </row>
    <row r="1256" spans="1:11">
      <c r="A1256" s="77" t="s">
        <v>32</v>
      </c>
      <c r="B1256" s="76">
        <v>74.243201177252502</v>
      </c>
      <c r="C1256" s="25">
        <v>4</v>
      </c>
      <c r="D1256" s="77">
        <v>7.1999999999999995E-2</v>
      </c>
      <c r="E1256" s="76"/>
      <c r="F1256" s="76"/>
      <c r="G1256" s="76"/>
      <c r="H1256" s="76"/>
      <c r="I1256" s="77" t="s">
        <v>12</v>
      </c>
      <c r="J1256" s="14"/>
      <c r="K1256" s="26">
        <v>5.3555826310728074</v>
      </c>
    </row>
    <row r="1257" spans="1:11">
      <c r="A1257" s="77" t="s">
        <v>32</v>
      </c>
      <c r="B1257" s="76">
        <v>74.243201177252502</v>
      </c>
      <c r="C1257" s="25">
        <v>4</v>
      </c>
      <c r="D1257" s="77">
        <v>7.1999999999999995E-2</v>
      </c>
      <c r="E1257" s="76"/>
      <c r="F1257" s="76"/>
      <c r="G1257" s="76"/>
      <c r="H1257" s="76"/>
      <c r="I1257" s="77" t="s">
        <v>12</v>
      </c>
      <c r="J1257" s="14"/>
      <c r="K1257" s="26">
        <v>5.3279760447548394</v>
      </c>
    </row>
    <row r="1258" spans="1:11">
      <c r="A1258" s="77" t="s">
        <v>32</v>
      </c>
      <c r="B1258" s="76">
        <v>110.19350659603801</v>
      </c>
      <c r="C1258" s="25">
        <v>4</v>
      </c>
      <c r="D1258" s="77">
        <v>7.1999999999999995E-2</v>
      </c>
      <c r="E1258" s="76"/>
      <c r="F1258" s="76"/>
      <c r="G1258" s="76"/>
      <c r="H1258" s="76"/>
      <c r="I1258" s="77" t="s">
        <v>12</v>
      </c>
      <c r="J1258" s="14"/>
      <c r="K1258" s="26">
        <v>5.8473666819003185</v>
      </c>
    </row>
    <row r="1259" spans="1:11">
      <c r="A1259" s="77" t="s">
        <v>32</v>
      </c>
      <c r="B1259" s="76">
        <v>110.19350659603801</v>
      </c>
      <c r="C1259" s="25">
        <v>4</v>
      </c>
      <c r="D1259" s="77">
        <v>7.1999999999999995E-2</v>
      </c>
      <c r="E1259" s="76"/>
      <c r="F1259" s="76"/>
      <c r="G1259" s="76"/>
      <c r="H1259" s="76"/>
      <c r="I1259" s="77" t="s">
        <v>12</v>
      </c>
      <c r="J1259" s="14"/>
      <c r="K1259" s="26">
        <v>5.8473666819003185</v>
      </c>
    </row>
    <row r="1260" spans="1:11">
      <c r="A1260" s="77" t="s">
        <v>32</v>
      </c>
      <c r="B1260" s="76">
        <v>108.95384089194199</v>
      </c>
      <c r="C1260" s="25">
        <v>4</v>
      </c>
      <c r="D1260" s="77">
        <v>7.1999999999999995E-2</v>
      </c>
      <c r="E1260" s="76"/>
      <c r="F1260" s="76"/>
      <c r="G1260" s="76"/>
      <c r="H1260" s="76"/>
      <c r="I1260" s="77" t="s">
        <v>12</v>
      </c>
      <c r="J1260" s="14"/>
      <c r="K1260" s="26">
        <v>5.7910889150058358</v>
      </c>
    </row>
    <row r="1261" spans="1:11">
      <c r="A1261" s="77" t="s">
        <v>32</v>
      </c>
      <c r="B1261" s="76">
        <v>108.95384089194199</v>
      </c>
      <c r="C1261" s="25">
        <v>4</v>
      </c>
      <c r="D1261" s="77">
        <v>7.1999999999999995E-2</v>
      </c>
      <c r="E1261" s="76"/>
      <c r="F1261" s="76"/>
      <c r="G1261" s="76"/>
      <c r="H1261" s="76"/>
      <c r="I1261" s="77" t="s">
        <v>12</v>
      </c>
      <c r="J1261" s="14"/>
      <c r="K1261" s="26">
        <v>5.7910889150058358</v>
      </c>
    </row>
    <row r="1262" spans="1:11">
      <c r="A1262" s="77" t="s">
        <v>32</v>
      </c>
      <c r="B1262" s="76">
        <v>148.62314342301701</v>
      </c>
      <c r="C1262" s="25">
        <v>4</v>
      </c>
      <c r="D1262" s="77">
        <v>7.1999999999999995E-2</v>
      </c>
      <c r="E1262" s="76"/>
      <c r="F1262" s="76"/>
      <c r="G1262" s="76"/>
      <c r="H1262" s="76"/>
      <c r="I1262" s="77" t="s">
        <v>12</v>
      </c>
      <c r="J1262" s="14"/>
      <c r="K1262" s="26">
        <v>6.3451726444428918</v>
      </c>
    </row>
    <row r="1263" spans="1:11">
      <c r="A1263" s="77" t="s">
        <v>32</v>
      </c>
      <c r="B1263" s="76">
        <v>149.862809127113</v>
      </c>
      <c r="C1263" s="25">
        <v>4</v>
      </c>
      <c r="D1263" s="77">
        <v>7.1999999999999995E-2</v>
      </c>
      <c r="E1263" s="76"/>
      <c r="F1263" s="76"/>
      <c r="G1263" s="76"/>
      <c r="H1263" s="76"/>
      <c r="I1263" s="77" t="s">
        <v>12</v>
      </c>
      <c r="J1263" s="14"/>
      <c r="K1263" s="26">
        <v>6.3232442142548448</v>
      </c>
    </row>
    <row r="1264" spans="1:11">
      <c r="A1264" s="77" t="s">
        <v>32</v>
      </c>
      <c r="B1264" s="76">
        <v>156.061137647593</v>
      </c>
      <c r="C1264" s="25">
        <v>4</v>
      </c>
      <c r="D1264" s="77">
        <v>7.1999999999999995E-2</v>
      </c>
      <c r="E1264" s="76"/>
      <c r="F1264" s="76"/>
      <c r="G1264" s="76"/>
      <c r="H1264" s="76"/>
      <c r="I1264" s="77" t="s">
        <v>12</v>
      </c>
      <c r="J1264" s="14"/>
      <c r="K1264" s="26">
        <v>6.3686797833098705</v>
      </c>
    </row>
    <row r="1265" spans="1:11">
      <c r="A1265" s="77" t="s">
        <v>32</v>
      </c>
      <c r="B1265" s="76">
        <v>157.30080335168901</v>
      </c>
      <c r="C1265" s="25">
        <v>4</v>
      </c>
      <c r="D1265" s="77">
        <v>7.1999999999999995E-2</v>
      </c>
      <c r="E1265" s="76"/>
      <c r="F1265" s="76"/>
      <c r="G1265" s="76"/>
      <c r="H1265" s="76"/>
      <c r="I1265" s="77" t="s">
        <v>12</v>
      </c>
      <c r="J1265" s="14"/>
      <c r="K1265" s="26">
        <v>6.3443005394540881</v>
      </c>
    </row>
    <row r="1266" spans="1:11">
      <c r="A1266" s="77" t="s">
        <v>32</v>
      </c>
      <c r="B1266" s="76">
        <v>143.664480606632</v>
      </c>
      <c r="C1266" s="25">
        <v>4</v>
      </c>
      <c r="D1266" s="77">
        <v>7.1999999999999995E-2</v>
      </c>
      <c r="E1266" s="76"/>
      <c r="F1266" s="76"/>
      <c r="G1266" s="76"/>
      <c r="H1266" s="76"/>
      <c r="I1266" s="77" t="s">
        <v>12</v>
      </c>
      <c r="J1266" s="14"/>
      <c r="K1266" s="26">
        <v>6.1149068576246171</v>
      </c>
    </row>
    <row r="1267" spans="1:11">
      <c r="A1267" s="77" t="s">
        <v>32</v>
      </c>
      <c r="B1267" s="76">
        <v>139.94548349434399</v>
      </c>
      <c r="C1267" s="25">
        <v>4</v>
      </c>
      <c r="D1267" s="77">
        <v>7.1999999999999995E-2</v>
      </c>
      <c r="E1267" s="76"/>
      <c r="F1267" s="76"/>
      <c r="G1267" s="76"/>
      <c r="H1267" s="76"/>
      <c r="I1267" s="77" t="s">
        <v>12</v>
      </c>
      <c r="J1267" s="14"/>
      <c r="K1267" s="26">
        <v>6.0209963612708615</v>
      </c>
    </row>
    <row r="1268" spans="1:11">
      <c r="A1268" s="77" t="s">
        <v>32</v>
      </c>
      <c r="B1268" s="76">
        <v>226.72208278106999</v>
      </c>
      <c r="C1268" s="25">
        <v>4</v>
      </c>
      <c r="D1268" s="77">
        <v>7.1999999999999995E-2</v>
      </c>
      <c r="E1268" s="76"/>
      <c r="F1268" s="76"/>
      <c r="G1268" s="76"/>
      <c r="H1268" s="76"/>
      <c r="I1268" s="77" t="s">
        <v>12</v>
      </c>
      <c r="J1268" s="14"/>
      <c r="K1268" s="26">
        <v>6.8736195074158726</v>
      </c>
    </row>
    <row r="1269" spans="1:11">
      <c r="A1269" s="77" t="s">
        <v>32</v>
      </c>
      <c r="B1269" s="76">
        <v>226.72208278106999</v>
      </c>
      <c r="C1269" s="25">
        <v>4</v>
      </c>
      <c r="D1269" s="77">
        <v>7.1999999999999995E-2</v>
      </c>
      <c r="E1269" s="76"/>
      <c r="F1269" s="76"/>
      <c r="G1269" s="76"/>
      <c r="H1269" s="76"/>
      <c r="I1269" s="77" t="s">
        <v>12</v>
      </c>
      <c r="J1269" s="14"/>
      <c r="K1269" s="26">
        <v>6.8223219276883356</v>
      </c>
    </row>
    <row r="1270" spans="1:11">
      <c r="A1270" s="77" t="s">
        <v>32</v>
      </c>
      <c r="B1270" s="76">
        <v>214.32542574010901</v>
      </c>
      <c r="C1270" s="25">
        <v>4</v>
      </c>
      <c r="D1270" s="77">
        <v>7.1999999999999995E-2</v>
      </c>
      <c r="E1270" s="76"/>
      <c r="F1270" s="76"/>
      <c r="G1270" s="76"/>
      <c r="H1270" s="76"/>
      <c r="I1270" s="77" t="s">
        <v>12</v>
      </c>
      <c r="J1270" s="14"/>
      <c r="K1270" s="26">
        <v>6.6956410962049917</v>
      </c>
    </row>
    <row r="1271" spans="1:11">
      <c r="A1271" s="77" t="s">
        <v>32</v>
      </c>
      <c r="B1271" s="76">
        <v>219.284088556493</v>
      </c>
      <c r="C1271" s="25">
        <v>4</v>
      </c>
      <c r="D1271" s="77">
        <v>7.1999999999999995E-2</v>
      </c>
      <c r="E1271" s="76"/>
      <c r="F1271" s="76"/>
      <c r="G1271" s="76"/>
      <c r="H1271" s="76"/>
      <c r="I1271" s="77" t="s">
        <v>12</v>
      </c>
      <c r="J1271" s="14"/>
      <c r="K1271" s="26">
        <v>6.6953800560556367</v>
      </c>
    </row>
    <row r="1272" spans="1:11">
      <c r="A1272" s="77" t="s">
        <v>32</v>
      </c>
      <c r="B1272" s="76">
        <v>219.284088556493</v>
      </c>
      <c r="C1272" s="25">
        <v>4</v>
      </c>
      <c r="D1272" s="77">
        <v>7.1999999999999995E-2</v>
      </c>
      <c r="E1272" s="76"/>
      <c r="F1272" s="76"/>
      <c r="G1272" s="76"/>
      <c r="H1272" s="76"/>
      <c r="I1272" s="77" t="s">
        <v>12</v>
      </c>
      <c r="J1272" s="14"/>
      <c r="K1272" s="26">
        <v>6.6953800560556367</v>
      </c>
    </row>
    <row r="1273" spans="1:11">
      <c r="A1273" s="77" t="s">
        <v>32</v>
      </c>
      <c r="B1273" s="76">
        <v>221.76341996468599</v>
      </c>
      <c r="C1273" s="25">
        <v>4</v>
      </c>
      <c r="D1273" s="77">
        <v>7.1999999999999995E-2</v>
      </c>
      <c r="E1273" s="76"/>
      <c r="F1273" s="76"/>
      <c r="G1273" s="76"/>
      <c r="H1273" s="76"/>
      <c r="I1273" s="77" t="s">
        <v>12</v>
      </c>
      <c r="J1273" s="14"/>
      <c r="K1273" s="26">
        <v>6.6680130750174733</v>
      </c>
    </row>
    <row r="1274" spans="1:11">
      <c r="A1274" s="77" t="s">
        <v>32</v>
      </c>
      <c r="B1274" s="76">
        <v>221.76341996468599</v>
      </c>
      <c r="C1274" s="25">
        <v>4</v>
      </c>
      <c r="D1274" s="77">
        <v>7.1999999999999995E-2</v>
      </c>
      <c r="E1274" s="76"/>
      <c r="F1274" s="76"/>
      <c r="G1274" s="76"/>
      <c r="H1274" s="76"/>
      <c r="I1274" s="77" t="s">
        <v>12</v>
      </c>
      <c r="J1274" s="14"/>
      <c r="K1274" s="26">
        <v>6.6680130750174733</v>
      </c>
    </row>
    <row r="1275" spans="1:11">
      <c r="A1275" s="77" t="s">
        <v>32</v>
      </c>
      <c r="B1275" s="76">
        <v>223.00308566878201</v>
      </c>
      <c r="C1275" s="25">
        <v>4</v>
      </c>
      <c r="D1275" s="77">
        <v>7.1999999999999995E-2</v>
      </c>
      <c r="E1275" s="76"/>
      <c r="F1275" s="76"/>
      <c r="G1275" s="76"/>
      <c r="H1275" s="76"/>
      <c r="I1275" s="77" t="s">
        <v>12</v>
      </c>
      <c r="J1275" s="14"/>
      <c r="K1275" s="26">
        <v>6.626969199955238</v>
      </c>
    </row>
    <row r="1276" spans="1:11">
      <c r="A1276" s="77" t="s">
        <v>32</v>
      </c>
      <c r="B1276" s="76">
        <v>223.00308566878201</v>
      </c>
      <c r="C1276" s="25">
        <v>4</v>
      </c>
      <c r="D1276" s="77">
        <v>7.1999999999999995E-2</v>
      </c>
      <c r="E1276" s="76"/>
      <c r="F1276" s="76"/>
      <c r="G1276" s="76"/>
      <c r="H1276" s="76"/>
      <c r="I1276" s="77" t="s">
        <v>12</v>
      </c>
      <c r="J1276" s="14"/>
      <c r="K1276" s="26">
        <v>6.626969199955238</v>
      </c>
    </row>
    <row r="1277" spans="1:11">
      <c r="A1277" s="77" t="s">
        <v>32</v>
      </c>
      <c r="B1277" s="76">
        <v>262.67238819985698</v>
      </c>
      <c r="C1277" s="25">
        <v>4</v>
      </c>
      <c r="D1277" s="77">
        <v>7.1999999999999995E-2</v>
      </c>
      <c r="E1277" s="76"/>
      <c r="F1277" s="76"/>
      <c r="G1277" s="76"/>
      <c r="H1277" s="76"/>
      <c r="I1277" s="77" t="s">
        <v>12</v>
      </c>
      <c r="J1277" s="14"/>
      <c r="K1277" s="26">
        <v>7.1653774971898203</v>
      </c>
    </row>
    <row r="1278" spans="1:11">
      <c r="A1278" s="77" t="s">
        <v>32</v>
      </c>
      <c r="B1278" s="76">
        <v>262.67238819985698</v>
      </c>
      <c r="C1278" s="25">
        <v>4</v>
      </c>
      <c r="D1278" s="77">
        <v>7.1999999999999995E-2</v>
      </c>
      <c r="E1278" s="76"/>
      <c r="F1278" s="76"/>
      <c r="G1278" s="76"/>
      <c r="H1278" s="76"/>
      <c r="I1278" s="77" t="s">
        <v>12</v>
      </c>
      <c r="J1278" s="14"/>
      <c r="K1278" s="26">
        <v>7.1653774971898203</v>
      </c>
    </row>
    <row r="1279" spans="1:11">
      <c r="A1279" s="77" t="s">
        <v>32</v>
      </c>
      <c r="B1279" s="76">
        <v>251.515396862991</v>
      </c>
      <c r="C1279" s="25">
        <v>4</v>
      </c>
      <c r="D1279" s="77">
        <v>7.1999999999999995E-2</v>
      </c>
      <c r="E1279" s="76"/>
      <c r="F1279" s="76"/>
      <c r="G1279" s="76"/>
      <c r="H1279" s="76"/>
      <c r="I1279" s="77" t="s">
        <v>12</v>
      </c>
      <c r="J1279" s="14"/>
      <c r="K1279" s="26">
        <v>7.0085426358354912</v>
      </c>
    </row>
    <row r="1280" spans="1:11">
      <c r="A1280" s="77" t="s">
        <v>32</v>
      </c>
      <c r="B1280" s="76">
        <v>261.43272249576103</v>
      </c>
      <c r="C1280" s="25">
        <v>4</v>
      </c>
      <c r="D1280" s="77">
        <v>7.1999999999999995E-2</v>
      </c>
      <c r="E1280" s="76"/>
      <c r="F1280" s="76"/>
      <c r="G1280" s="76"/>
      <c r="H1280" s="76"/>
      <c r="I1280" s="77" t="s">
        <v>12</v>
      </c>
      <c r="J1280" s="14"/>
      <c r="K1280" s="26">
        <v>7.0440071440078125</v>
      </c>
    </row>
    <row r="1281" spans="1:11">
      <c r="A1281" s="77" t="s">
        <v>32</v>
      </c>
      <c r="B1281" s="76">
        <v>261.43272249576103</v>
      </c>
      <c r="C1281" s="25">
        <v>4</v>
      </c>
      <c r="D1281" s="77">
        <v>7.1999999999999995E-2</v>
      </c>
      <c r="E1281" s="76"/>
      <c r="F1281" s="76"/>
      <c r="G1281" s="76"/>
      <c r="H1281" s="76"/>
      <c r="I1281" s="77" t="s">
        <v>12</v>
      </c>
      <c r="J1281" s="14"/>
      <c r="K1281" s="26">
        <v>6.9303742548645779</v>
      </c>
    </row>
    <row r="1282" spans="1:11">
      <c r="A1282" s="77" t="s">
        <v>32</v>
      </c>
      <c r="B1282" s="76">
        <v>84.779483350347803</v>
      </c>
      <c r="C1282" s="25">
        <v>6</v>
      </c>
      <c r="D1282" s="77">
        <v>7.1999999999999995E-2</v>
      </c>
      <c r="E1282" s="76"/>
      <c r="F1282" s="76"/>
      <c r="G1282" s="76"/>
      <c r="H1282" s="76"/>
      <c r="I1282" s="77" t="s">
        <v>12</v>
      </c>
      <c r="J1282" s="14"/>
      <c r="K1282" s="26">
        <v>6.1690749764882868</v>
      </c>
    </row>
    <row r="1283" spans="1:11">
      <c r="A1283" s="77" t="s">
        <v>32</v>
      </c>
      <c r="B1283" s="76">
        <v>84.779483350347803</v>
      </c>
      <c r="C1283" s="25">
        <v>6</v>
      </c>
      <c r="D1283" s="77">
        <v>7.1999999999999995E-2</v>
      </c>
      <c r="E1283" s="76"/>
      <c r="F1283" s="76"/>
      <c r="G1283" s="76"/>
      <c r="H1283" s="76"/>
      <c r="I1283" s="77" t="s">
        <v>12</v>
      </c>
      <c r="J1283" s="14"/>
      <c r="K1283" s="26">
        <v>6.1453475305888787</v>
      </c>
    </row>
    <row r="1284" spans="1:11">
      <c r="A1284" s="77" t="s">
        <v>32</v>
      </c>
      <c r="B1284" s="76">
        <v>84.779483350347803</v>
      </c>
      <c r="C1284" s="25">
        <v>6</v>
      </c>
      <c r="D1284" s="77">
        <v>7.1999999999999995E-2</v>
      </c>
      <c r="E1284" s="76"/>
      <c r="F1284" s="76"/>
      <c r="G1284" s="76"/>
      <c r="H1284" s="76"/>
      <c r="I1284" s="77" t="s">
        <v>12</v>
      </c>
      <c r="J1284" s="14"/>
      <c r="K1284" s="26">
        <v>6.097335041641287</v>
      </c>
    </row>
    <row r="1285" spans="1:11">
      <c r="A1285" s="77" t="s">
        <v>32</v>
      </c>
      <c r="B1285" s="76">
        <v>82.533649430700095</v>
      </c>
      <c r="C1285" s="25">
        <v>6</v>
      </c>
      <c r="D1285" s="77">
        <v>7.1999999999999995E-2</v>
      </c>
      <c r="E1285" s="76"/>
      <c r="F1285" s="76"/>
      <c r="G1285" s="76"/>
      <c r="H1285" s="76"/>
      <c r="I1285" s="77" t="s">
        <v>12</v>
      </c>
      <c r="J1285" s="14"/>
      <c r="K1285" s="26">
        <v>6.0189364263075431</v>
      </c>
    </row>
    <row r="1286" spans="1:11">
      <c r="A1286" s="77" t="s">
        <v>32</v>
      </c>
      <c r="B1286" s="76">
        <v>170.11913335563</v>
      </c>
      <c r="C1286" s="25">
        <v>6</v>
      </c>
      <c r="D1286" s="77">
        <v>7.1999999999999995E-2</v>
      </c>
      <c r="E1286" s="76"/>
      <c r="F1286" s="76"/>
      <c r="G1286" s="76"/>
      <c r="H1286" s="76"/>
      <c r="I1286" s="77" t="s">
        <v>12</v>
      </c>
      <c r="J1286" s="14"/>
      <c r="K1286" s="26">
        <v>7.0965795403166343</v>
      </c>
    </row>
    <row r="1287" spans="1:11">
      <c r="A1287" s="77" t="s">
        <v>32</v>
      </c>
      <c r="B1287" s="76">
        <v>170.11913335563</v>
      </c>
      <c r="C1287" s="25">
        <v>6</v>
      </c>
      <c r="D1287" s="77">
        <v>7.1999999999999995E-2</v>
      </c>
      <c r="E1287" s="76"/>
      <c r="F1287" s="76"/>
      <c r="G1287" s="76"/>
      <c r="H1287" s="76"/>
      <c r="I1287" s="77" t="s">
        <v>12</v>
      </c>
      <c r="J1287" s="14"/>
      <c r="K1287" s="26">
        <v>7.0965795403166343</v>
      </c>
    </row>
    <row r="1288" spans="1:11">
      <c r="A1288" s="77" t="s">
        <v>32</v>
      </c>
      <c r="B1288" s="76">
        <v>168.99627636466801</v>
      </c>
      <c r="C1288" s="25">
        <v>6</v>
      </c>
      <c r="D1288" s="77">
        <v>7.1999999999999995E-2</v>
      </c>
      <c r="E1288" s="76"/>
      <c r="F1288" s="76"/>
      <c r="G1288" s="76"/>
      <c r="H1288" s="76"/>
      <c r="I1288" s="77" t="s">
        <v>12</v>
      </c>
      <c r="J1288" s="14"/>
      <c r="K1288" s="26">
        <v>7.0449871695060668</v>
      </c>
    </row>
    <row r="1289" spans="1:11">
      <c r="A1289" s="77" t="s">
        <v>32</v>
      </c>
      <c r="B1289" s="76">
        <v>168.99627636466801</v>
      </c>
      <c r="C1289" s="25">
        <v>6</v>
      </c>
      <c r="D1289" s="77">
        <v>7.1999999999999995E-2</v>
      </c>
      <c r="E1289" s="76"/>
      <c r="F1289" s="76"/>
      <c r="G1289" s="76"/>
      <c r="H1289" s="76"/>
      <c r="I1289" s="77" t="s">
        <v>12</v>
      </c>
      <c r="J1289" s="14"/>
      <c r="K1289" s="26">
        <v>6.8595059594483487</v>
      </c>
    </row>
    <row r="1290" spans="1:11">
      <c r="A1290" s="77" t="s">
        <v>32</v>
      </c>
      <c r="B1290" s="76">
        <v>254.33604630767601</v>
      </c>
      <c r="C1290" s="25">
        <v>6</v>
      </c>
      <c r="D1290" s="77">
        <v>7.1999999999999995E-2</v>
      </c>
      <c r="E1290" s="76"/>
      <c r="F1290" s="76"/>
      <c r="G1290" s="76"/>
      <c r="H1290" s="76"/>
      <c r="I1290" s="77" t="s">
        <v>12</v>
      </c>
      <c r="J1290" s="14"/>
      <c r="K1290" s="26">
        <v>7.7725229351599268</v>
      </c>
    </row>
    <row r="1291" spans="1:11">
      <c r="A1291" s="77" t="s">
        <v>32</v>
      </c>
      <c r="B1291" s="76">
        <v>254.33604630767601</v>
      </c>
      <c r="C1291" s="25">
        <v>6</v>
      </c>
      <c r="D1291" s="77">
        <v>7.1999999999999995E-2</v>
      </c>
      <c r="E1291" s="76"/>
      <c r="F1291" s="76"/>
      <c r="G1291" s="76"/>
      <c r="H1291" s="76"/>
      <c r="I1291" s="77" t="s">
        <v>12</v>
      </c>
      <c r="J1291" s="14"/>
      <c r="K1291" s="26">
        <v>7.7275940532133651</v>
      </c>
    </row>
    <row r="1292" spans="1:11">
      <c r="A1292" s="77" t="s">
        <v>32</v>
      </c>
      <c r="B1292" s="76">
        <v>254.33604630767601</v>
      </c>
      <c r="C1292" s="25">
        <v>6</v>
      </c>
      <c r="D1292" s="77">
        <v>7.1999999999999995E-2</v>
      </c>
      <c r="E1292" s="76"/>
      <c r="F1292" s="76"/>
      <c r="G1292" s="76"/>
      <c r="H1292" s="76"/>
      <c r="I1292" s="77" t="s">
        <v>12</v>
      </c>
      <c r="J1292" s="14"/>
      <c r="K1292" s="26">
        <v>7.4946920983245873</v>
      </c>
    </row>
    <row r="1293" spans="1:11">
      <c r="A1293" s="77" t="s">
        <v>32</v>
      </c>
      <c r="B1293" s="76">
        <v>254.33604630767601</v>
      </c>
      <c r="C1293" s="25">
        <v>6</v>
      </c>
      <c r="D1293" s="77">
        <v>7.1999999999999995E-2</v>
      </c>
      <c r="E1293" s="76"/>
      <c r="F1293" s="76"/>
      <c r="G1293" s="76"/>
      <c r="H1293" s="76"/>
      <c r="I1293" s="77" t="s">
        <v>12</v>
      </c>
      <c r="J1293" s="14"/>
      <c r="K1293" s="26">
        <v>7.4463378999276255</v>
      </c>
    </row>
    <row r="1294" spans="1:11">
      <c r="A1294" s="77" t="s">
        <v>32</v>
      </c>
      <c r="B1294" s="76">
        <v>254.33604630767601</v>
      </c>
      <c r="C1294" s="25">
        <v>6</v>
      </c>
      <c r="D1294" s="77">
        <v>7.1999999999999995E-2</v>
      </c>
      <c r="E1294" s="76"/>
      <c r="F1294" s="76"/>
      <c r="G1294" s="76"/>
      <c r="H1294" s="76"/>
      <c r="I1294" s="77" t="s">
        <v>12</v>
      </c>
      <c r="J1294" s="14"/>
      <c r="K1294" s="26">
        <v>7.4463378999276255</v>
      </c>
    </row>
    <row r="1295" spans="1:11">
      <c r="A1295" s="77" t="s">
        <v>32</v>
      </c>
      <c r="B1295" s="76">
        <v>254.33604630767601</v>
      </c>
      <c r="C1295" s="25">
        <v>6</v>
      </c>
      <c r="D1295" s="77">
        <v>7.1999999999999995E-2</v>
      </c>
      <c r="E1295" s="76"/>
      <c r="F1295" s="76"/>
      <c r="G1295" s="76"/>
      <c r="H1295" s="76"/>
      <c r="I1295" s="77" t="s">
        <v>12</v>
      </c>
      <c r="J1295" s="14"/>
      <c r="K1295" s="26">
        <v>7.3973474164730728</v>
      </c>
    </row>
    <row r="1296" spans="1:11">
      <c r="A1296" s="77" t="s">
        <v>32</v>
      </c>
      <c r="B1296" s="76">
        <v>339.67581625068402</v>
      </c>
      <c r="C1296" s="25">
        <v>6</v>
      </c>
      <c r="D1296" s="77">
        <v>7.1999999999999995E-2</v>
      </c>
      <c r="E1296" s="76"/>
      <c r="F1296" s="76"/>
      <c r="G1296" s="76"/>
      <c r="H1296" s="76"/>
      <c r="I1296" s="77" t="s">
        <v>12</v>
      </c>
      <c r="J1296" s="14"/>
      <c r="K1296" s="26">
        <v>8.2535230065627037</v>
      </c>
    </row>
    <row r="1297" spans="1:11">
      <c r="A1297" s="77" t="s">
        <v>32</v>
      </c>
      <c r="B1297" s="76">
        <v>338.552839321997</v>
      </c>
      <c r="C1297" s="25">
        <v>6</v>
      </c>
      <c r="D1297" s="77">
        <v>7.1999999999999995E-2</v>
      </c>
      <c r="E1297" s="76"/>
      <c r="F1297" s="76"/>
      <c r="G1297" s="76"/>
      <c r="H1297" s="76"/>
      <c r="I1297" s="77" t="s">
        <v>12</v>
      </c>
      <c r="J1297" s="14"/>
      <c r="K1297" s="26">
        <v>8.1912262409768317</v>
      </c>
    </row>
    <row r="1298" spans="1:11">
      <c r="A1298" s="77" t="s">
        <v>32</v>
      </c>
      <c r="B1298" s="76">
        <v>337.429982331036</v>
      </c>
      <c r="C1298" s="25">
        <v>6</v>
      </c>
      <c r="D1298" s="77">
        <v>7.1999999999999995E-2</v>
      </c>
      <c r="E1298" s="76"/>
      <c r="F1298" s="76"/>
      <c r="G1298" s="76"/>
      <c r="H1298" s="76"/>
      <c r="I1298" s="77" t="s">
        <v>12</v>
      </c>
      <c r="J1298" s="14"/>
      <c r="K1298" s="26">
        <v>8.0737746874216167</v>
      </c>
    </row>
    <row r="1299" spans="1:11">
      <c r="A1299" s="77" t="s">
        <v>32</v>
      </c>
      <c r="B1299" s="76">
        <v>337.429982331036</v>
      </c>
      <c r="C1299" s="25">
        <v>6</v>
      </c>
      <c r="D1299" s="77">
        <v>7.1999999999999995E-2</v>
      </c>
      <c r="E1299" s="76"/>
      <c r="F1299" s="76"/>
      <c r="G1299" s="76"/>
      <c r="H1299" s="76"/>
      <c r="I1299" s="77" t="s">
        <v>12</v>
      </c>
      <c r="J1299" s="14"/>
      <c r="K1299" s="26">
        <v>8.0737746874216167</v>
      </c>
    </row>
    <row r="1300" spans="1:11">
      <c r="A1300" s="77" t="s">
        <v>32</v>
      </c>
      <c r="B1300" s="76">
        <v>337.429982331036</v>
      </c>
      <c r="C1300" s="25">
        <v>6</v>
      </c>
      <c r="D1300" s="77">
        <v>7.1999999999999995E-2</v>
      </c>
      <c r="E1300" s="76"/>
      <c r="F1300" s="76"/>
      <c r="G1300" s="76"/>
      <c r="H1300" s="76"/>
      <c r="I1300" s="77" t="s">
        <v>12</v>
      </c>
      <c r="J1300" s="14"/>
      <c r="K1300" s="26">
        <v>8.0184731252249453</v>
      </c>
    </row>
    <row r="1301" spans="1:11">
      <c r="A1301" s="77" t="s">
        <v>32</v>
      </c>
      <c r="B1301" s="76">
        <v>337.429982331036</v>
      </c>
      <c r="C1301" s="25">
        <v>6</v>
      </c>
      <c r="D1301" s="77">
        <v>7.1999999999999995E-2</v>
      </c>
      <c r="E1301" s="76"/>
      <c r="F1301" s="76"/>
      <c r="G1301" s="76"/>
      <c r="H1301" s="76"/>
      <c r="I1301" s="77" t="s">
        <v>12</v>
      </c>
      <c r="J1301" s="14"/>
      <c r="K1301" s="26">
        <v>8.0184731252249453</v>
      </c>
    </row>
    <row r="1302" spans="1:11">
      <c r="A1302" s="77" t="s">
        <v>32</v>
      </c>
      <c r="B1302" s="76">
        <v>337.429982331036</v>
      </c>
      <c r="C1302" s="25">
        <v>6</v>
      </c>
      <c r="D1302" s="77">
        <v>7.1999999999999995E-2</v>
      </c>
      <c r="E1302" s="76"/>
      <c r="F1302" s="76"/>
      <c r="G1302" s="76"/>
      <c r="H1302" s="76"/>
      <c r="I1302" s="77" t="s">
        <v>12</v>
      </c>
      <c r="J1302" s="14"/>
      <c r="K1302" s="26">
        <v>7.9623980519921798</v>
      </c>
    </row>
    <row r="1303" spans="1:11">
      <c r="A1303" s="77" t="s">
        <v>32</v>
      </c>
      <c r="B1303" s="76">
        <v>381.22272429350102</v>
      </c>
      <c r="C1303" s="25">
        <v>6</v>
      </c>
      <c r="D1303" s="77">
        <v>7.1999999999999995E-2</v>
      </c>
      <c r="E1303" s="76"/>
      <c r="F1303" s="76"/>
      <c r="G1303" s="76"/>
      <c r="H1303" s="76"/>
      <c r="I1303" s="77" t="s">
        <v>12</v>
      </c>
      <c r="J1303" s="14"/>
      <c r="K1303" s="26">
        <v>8.4657668575116567</v>
      </c>
    </row>
    <row r="1304" spans="1:11">
      <c r="A1304" s="77" t="s">
        <v>32</v>
      </c>
      <c r="B1304" s="76">
        <v>378.97701031157902</v>
      </c>
      <c r="C1304" s="25">
        <v>6</v>
      </c>
      <c r="D1304" s="77">
        <v>7.1999999999999995E-2</v>
      </c>
      <c r="E1304" s="76"/>
      <c r="F1304" s="76"/>
      <c r="G1304" s="76"/>
      <c r="H1304" s="76"/>
      <c r="I1304" s="77" t="s">
        <v>12</v>
      </c>
      <c r="J1304" s="14"/>
      <c r="K1304" s="26">
        <v>8.392403526207648</v>
      </c>
    </row>
    <row r="1305" spans="1:11">
      <c r="A1305" s="77" t="s">
        <v>32</v>
      </c>
      <c r="B1305" s="76">
        <v>92.840683114082395</v>
      </c>
      <c r="C1305" s="25">
        <v>2</v>
      </c>
      <c r="D1305" s="77">
        <v>3.6999999999999998E-2</v>
      </c>
      <c r="E1305" s="76"/>
      <c r="F1305" s="76"/>
      <c r="G1305" s="76"/>
      <c r="H1305" s="76"/>
      <c r="I1305" s="77" t="s">
        <v>12</v>
      </c>
      <c r="J1305" s="14"/>
      <c r="K1305" s="26">
        <v>4.6029274687505914</v>
      </c>
    </row>
    <row r="1306" spans="1:11">
      <c r="A1306" s="77" t="s">
        <v>32</v>
      </c>
      <c r="B1306" s="76">
        <v>91.359160915503494</v>
      </c>
      <c r="C1306" s="25">
        <v>2</v>
      </c>
      <c r="D1306" s="77">
        <v>3.6999999999999998E-2</v>
      </c>
      <c r="E1306" s="76"/>
      <c r="F1306" s="76"/>
      <c r="G1306" s="76"/>
      <c r="H1306" s="76"/>
      <c r="I1306" s="77" t="s">
        <v>12</v>
      </c>
      <c r="J1306" s="14"/>
      <c r="K1306" s="26">
        <v>4.5315913165492292</v>
      </c>
    </row>
    <row r="1307" spans="1:11">
      <c r="A1307" s="77" t="s">
        <v>32</v>
      </c>
      <c r="B1307" s="76">
        <v>140.247901502644</v>
      </c>
      <c r="C1307" s="25">
        <v>2</v>
      </c>
      <c r="D1307" s="77">
        <v>3.6999999999999998E-2</v>
      </c>
      <c r="E1307" s="76"/>
      <c r="F1307" s="76"/>
      <c r="G1307" s="76"/>
      <c r="H1307" s="76"/>
      <c r="I1307" s="77" t="s">
        <v>12</v>
      </c>
      <c r="J1307" s="14"/>
      <c r="K1307" s="26">
        <v>5.058807638481551</v>
      </c>
    </row>
    <row r="1308" spans="1:11">
      <c r="A1308" s="77" t="s">
        <v>32</v>
      </c>
      <c r="B1308" s="76">
        <v>139.507208219989</v>
      </c>
      <c r="C1308" s="25">
        <v>2</v>
      </c>
      <c r="D1308" s="77">
        <v>3.6999999999999998E-2</v>
      </c>
      <c r="E1308" s="76"/>
      <c r="F1308" s="76"/>
      <c r="G1308" s="76"/>
      <c r="H1308" s="76"/>
      <c r="I1308" s="77" t="s">
        <v>12</v>
      </c>
      <c r="J1308" s="14"/>
      <c r="K1308" s="26">
        <v>4.9911612645165482</v>
      </c>
    </row>
    <row r="1309" spans="1:11">
      <c r="A1309" s="77" t="s">
        <v>32</v>
      </c>
      <c r="B1309" s="76">
        <v>92.205715964705107</v>
      </c>
      <c r="C1309" s="25">
        <v>2</v>
      </c>
      <c r="D1309" s="77">
        <v>5.1999999999999998E-2</v>
      </c>
      <c r="E1309" s="76"/>
      <c r="F1309" s="76"/>
      <c r="G1309" s="76"/>
      <c r="H1309" s="76"/>
      <c r="I1309" s="77" t="s">
        <v>12</v>
      </c>
      <c r="J1309" s="14"/>
      <c r="K1309" s="76">
        <v>4.6383369678758601</v>
      </c>
    </row>
    <row r="1310" spans="1:11">
      <c r="A1310" s="77" t="s">
        <v>32</v>
      </c>
      <c r="B1310" s="76">
        <v>139.82462397804301</v>
      </c>
      <c r="C1310" s="25">
        <v>2</v>
      </c>
      <c r="D1310" s="77">
        <v>5.1999999999999998E-2</v>
      </c>
      <c r="E1310" s="76"/>
      <c r="F1310" s="76"/>
      <c r="G1310" s="76"/>
      <c r="H1310" s="76"/>
      <c r="I1310" s="77" t="s">
        <v>12</v>
      </c>
      <c r="J1310" s="14"/>
      <c r="K1310" s="76">
        <v>5.3806400995383665</v>
      </c>
    </row>
    <row r="1311" spans="1:11">
      <c r="A1311" s="77" t="s">
        <v>32</v>
      </c>
      <c r="B1311" s="76">
        <v>139.189724645301</v>
      </c>
      <c r="C1311" s="25">
        <v>2</v>
      </c>
      <c r="D1311" s="77">
        <v>5.1999999999999998E-2</v>
      </c>
      <c r="E1311" s="76"/>
      <c r="F1311" s="76"/>
      <c r="G1311" s="76"/>
      <c r="H1311" s="76"/>
      <c r="I1311" s="77" t="s">
        <v>12</v>
      </c>
      <c r="J1311" s="14"/>
      <c r="K1311" s="76">
        <v>5.268137248908153</v>
      </c>
    </row>
    <row r="1312" spans="1:11">
      <c r="A1312" s="77" t="s">
        <v>32</v>
      </c>
      <c r="B1312" s="76">
        <v>139.82462397804301</v>
      </c>
      <c r="C1312" s="25">
        <v>2</v>
      </c>
      <c r="D1312" s="77">
        <v>5.1999999999999998E-2</v>
      </c>
      <c r="E1312" s="76"/>
      <c r="F1312" s="76"/>
      <c r="G1312" s="76"/>
      <c r="H1312" s="76"/>
      <c r="I1312" s="77" t="s">
        <v>12</v>
      </c>
      <c r="J1312" s="14"/>
      <c r="K1312" s="76">
        <v>5.2222932489418383</v>
      </c>
    </row>
    <row r="1313" spans="1:11">
      <c r="A1313" s="77" t="s">
        <v>32</v>
      </c>
      <c r="B1313" s="76">
        <v>139.189724645301</v>
      </c>
      <c r="C1313" s="25">
        <v>2</v>
      </c>
      <c r="D1313" s="77">
        <v>5.1999999999999998E-2</v>
      </c>
      <c r="E1313" s="76"/>
      <c r="F1313" s="76"/>
      <c r="G1313" s="76"/>
      <c r="H1313" s="76"/>
      <c r="I1313" s="77" t="s">
        <v>12</v>
      </c>
      <c r="J1313" s="14"/>
      <c r="K1313" s="76">
        <v>5.1594847397577261</v>
      </c>
    </row>
    <row r="1314" spans="1:11">
      <c r="A1314" s="77" t="s">
        <v>32</v>
      </c>
      <c r="B1314" s="76">
        <v>188.078465232442</v>
      </c>
      <c r="C1314" s="25">
        <v>2</v>
      </c>
      <c r="D1314" s="77">
        <v>5.1999999999999998E-2</v>
      </c>
      <c r="E1314" s="76"/>
      <c r="F1314" s="76"/>
      <c r="G1314" s="76"/>
      <c r="H1314" s="76"/>
      <c r="I1314" s="77" t="s">
        <v>12</v>
      </c>
      <c r="J1314" s="14"/>
      <c r="K1314" s="76">
        <v>5.7040540367566352</v>
      </c>
    </row>
    <row r="1315" spans="1:11">
      <c r="A1315" s="77" t="s">
        <v>32</v>
      </c>
      <c r="B1315" s="76">
        <v>188.078465232442</v>
      </c>
      <c r="C1315" s="25">
        <v>2</v>
      </c>
      <c r="D1315" s="77">
        <v>5.1999999999999998E-2</v>
      </c>
      <c r="E1315" s="76"/>
      <c r="F1315" s="76"/>
      <c r="G1315" s="76"/>
      <c r="H1315" s="76"/>
      <c r="I1315" s="77" t="s">
        <v>12</v>
      </c>
      <c r="J1315" s="14"/>
      <c r="K1315" s="76">
        <v>5.6420485385097114</v>
      </c>
    </row>
    <row r="1316" spans="1:11">
      <c r="A1316" s="77" t="s">
        <v>32</v>
      </c>
      <c r="B1316" s="76">
        <v>188.078465232442</v>
      </c>
      <c r="C1316" s="25">
        <v>2</v>
      </c>
      <c r="D1316" s="77">
        <v>5.1999999999999998E-2</v>
      </c>
      <c r="E1316" s="76"/>
      <c r="F1316" s="76"/>
      <c r="G1316" s="76"/>
      <c r="H1316" s="76"/>
      <c r="I1316" s="77" t="s">
        <v>12</v>
      </c>
      <c r="J1316" s="14"/>
      <c r="K1316" s="76">
        <v>5.5786493682031004</v>
      </c>
    </row>
    <row r="1317" spans="1:11">
      <c r="A1317" s="77" t="s">
        <v>32</v>
      </c>
      <c r="B1317" s="76">
        <v>235.06244000472</v>
      </c>
      <c r="C1317" s="25">
        <v>2</v>
      </c>
      <c r="D1317" s="77">
        <v>5.1999999999999998E-2</v>
      </c>
      <c r="E1317" s="76"/>
      <c r="F1317" s="76"/>
      <c r="G1317" s="76"/>
      <c r="H1317" s="76"/>
      <c r="I1317" s="77" t="s">
        <v>12</v>
      </c>
      <c r="J1317" s="14"/>
      <c r="K1317" s="76">
        <v>6.0091141642467329</v>
      </c>
    </row>
    <row r="1318" spans="1:11">
      <c r="A1318" s="77" t="s">
        <v>32</v>
      </c>
      <c r="B1318" s="76">
        <v>235.69733933746301</v>
      </c>
      <c r="C1318" s="25">
        <v>2</v>
      </c>
      <c r="D1318" s="77">
        <v>5.1999999999999998E-2</v>
      </c>
      <c r="E1318" s="76"/>
      <c r="F1318" s="76"/>
      <c r="G1318" s="76"/>
      <c r="H1318" s="76"/>
      <c r="I1318" s="77" t="s">
        <v>12</v>
      </c>
      <c r="J1318" s="14"/>
      <c r="K1318" s="76">
        <v>5.9445768547920466</v>
      </c>
    </row>
    <row r="1319" spans="1:11">
      <c r="A1319" s="77" t="s">
        <v>32</v>
      </c>
      <c r="B1319" s="76">
        <v>235.06244000472</v>
      </c>
      <c r="C1319" s="25">
        <v>2</v>
      </c>
      <c r="D1319" s="77">
        <v>5.1999999999999998E-2</v>
      </c>
      <c r="E1319" s="76"/>
      <c r="F1319" s="76"/>
      <c r="G1319" s="76"/>
      <c r="H1319" s="76"/>
      <c r="I1319" s="77" t="s">
        <v>12</v>
      </c>
      <c r="J1319" s="14"/>
      <c r="K1319" s="76">
        <v>5.8676703984511338</v>
      </c>
    </row>
    <row r="1320" spans="1:11">
      <c r="A1320" s="77" t="s">
        <v>32</v>
      </c>
      <c r="B1320" s="76">
        <v>92.840683114082395</v>
      </c>
      <c r="C1320" s="25">
        <v>2</v>
      </c>
      <c r="D1320" s="77">
        <v>7.1999999999999995E-2</v>
      </c>
      <c r="E1320" s="76"/>
      <c r="F1320" s="76"/>
      <c r="G1320" s="76"/>
      <c r="H1320" s="76"/>
      <c r="I1320" s="77" t="s">
        <v>12</v>
      </c>
      <c r="J1320" s="14"/>
      <c r="K1320" s="76">
        <v>4.9077543346955892</v>
      </c>
    </row>
    <row r="1321" spans="1:11">
      <c r="A1321" s="77" t="s">
        <v>32</v>
      </c>
      <c r="B1321" s="76">
        <v>92.099922014792895</v>
      </c>
      <c r="C1321" s="25">
        <v>2</v>
      </c>
      <c r="D1321" s="77">
        <v>7.1999999999999995E-2</v>
      </c>
      <c r="E1321" s="76"/>
      <c r="F1321" s="76"/>
      <c r="G1321" s="76"/>
      <c r="H1321" s="76"/>
      <c r="I1321" s="77" t="s">
        <v>12</v>
      </c>
      <c r="J1321" s="14"/>
      <c r="K1321" s="76">
        <v>4.8535331354296147</v>
      </c>
    </row>
    <row r="1322" spans="1:11">
      <c r="A1322" s="77" t="s">
        <v>32</v>
      </c>
      <c r="B1322" s="76">
        <v>140.98866260193299</v>
      </c>
      <c r="C1322" s="25">
        <v>2</v>
      </c>
      <c r="D1322" s="77">
        <v>7.1999999999999995E-2</v>
      </c>
      <c r="E1322" s="76"/>
      <c r="F1322" s="76"/>
      <c r="G1322" s="76"/>
      <c r="H1322" s="76"/>
      <c r="I1322" s="77" t="s">
        <v>12</v>
      </c>
      <c r="J1322" s="14"/>
      <c r="K1322" s="76">
        <v>5.4464343483907642</v>
      </c>
    </row>
    <row r="1323" spans="1:11">
      <c r="A1323" s="77" t="s">
        <v>32</v>
      </c>
      <c r="B1323" s="76">
        <v>140.98866260193299</v>
      </c>
      <c r="C1323" s="25">
        <v>2</v>
      </c>
      <c r="D1323" s="77">
        <v>7.1999999999999995E-2</v>
      </c>
      <c r="E1323" s="76"/>
      <c r="F1323" s="76"/>
      <c r="G1323" s="76"/>
      <c r="H1323" s="76"/>
      <c r="I1323" s="77" t="s">
        <v>12</v>
      </c>
      <c r="J1323" s="14"/>
      <c r="K1323" s="76">
        <v>5.3955301146138357</v>
      </c>
    </row>
    <row r="1324" spans="1:11">
      <c r="A1324" s="77" t="s">
        <v>32</v>
      </c>
      <c r="B1324" s="76">
        <v>188.39594880713</v>
      </c>
      <c r="C1324" s="25">
        <v>2</v>
      </c>
      <c r="D1324" s="77">
        <v>7.1999999999999995E-2</v>
      </c>
      <c r="E1324" s="76"/>
      <c r="F1324" s="76"/>
      <c r="G1324" s="76"/>
      <c r="H1324" s="76"/>
      <c r="I1324" s="77" t="s">
        <v>12</v>
      </c>
      <c r="J1324" s="14"/>
      <c r="K1324" s="76">
        <v>5.8857281811887914</v>
      </c>
    </row>
    <row r="1325" spans="1:11">
      <c r="A1325" s="77" t="s">
        <v>32</v>
      </c>
      <c r="B1325" s="76">
        <v>186.17373332589699</v>
      </c>
      <c r="C1325" s="25">
        <v>2</v>
      </c>
      <c r="D1325" s="77">
        <v>7.1999999999999995E-2</v>
      </c>
      <c r="E1325" s="76"/>
      <c r="F1325" s="76"/>
      <c r="G1325" s="76"/>
      <c r="H1325" s="76"/>
      <c r="I1325" s="77" t="s">
        <v>12</v>
      </c>
      <c r="J1325" s="14"/>
      <c r="K1325" s="76">
        <v>5.8044466648890687</v>
      </c>
    </row>
    <row r="1326" spans="1:11">
      <c r="A1326" s="77" t="s">
        <v>32</v>
      </c>
      <c r="B1326" s="76">
        <v>234.32171281374801</v>
      </c>
      <c r="C1326" s="25">
        <v>2</v>
      </c>
      <c r="D1326" s="77">
        <v>7.1999999999999995E-2</v>
      </c>
      <c r="E1326" s="76"/>
      <c r="F1326" s="76"/>
      <c r="G1326" s="76"/>
      <c r="H1326" s="76"/>
      <c r="I1326" s="77" t="s">
        <v>12</v>
      </c>
      <c r="J1326" s="14"/>
      <c r="K1326" s="76">
        <v>6.2669880532477826</v>
      </c>
    </row>
    <row r="1327" spans="1:11">
      <c r="A1327" s="77" t="s">
        <v>32</v>
      </c>
      <c r="B1327" s="76">
        <v>237.284689394271</v>
      </c>
      <c r="C1327" s="25">
        <v>2</v>
      </c>
      <c r="D1327" s="77">
        <v>7.1999999999999995E-2</v>
      </c>
      <c r="E1327" s="76"/>
      <c r="F1327" s="76"/>
      <c r="G1327" s="76"/>
      <c r="H1327" s="76"/>
      <c r="I1327" s="77" t="s">
        <v>12</v>
      </c>
      <c r="J1327" s="14"/>
      <c r="K1327" s="76">
        <v>6.2290708998355022</v>
      </c>
    </row>
    <row r="1328" spans="1:11">
      <c r="A1328" s="77" t="s">
        <v>32</v>
      </c>
      <c r="B1328" s="76">
        <v>235.06247391303799</v>
      </c>
      <c r="C1328" s="25">
        <v>2</v>
      </c>
      <c r="D1328" s="77">
        <v>7.1999999999999995E-2</v>
      </c>
      <c r="E1328" s="76"/>
      <c r="F1328" s="76"/>
      <c r="G1328" s="76"/>
      <c r="H1328" s="76"/>
      <c r="I1328" s="77" t="s">
        <v>12</v>
      </c>
      <c r="J1328" s="14"/>
      <c r="K1328" s="76">
        <v>6.1441957168729662</v>
      </c>
    </row>
    <row r="1329" spans="1:11">
      <c r="A1329" s="77" t="s">
        <v>32</v>
      </c>
      <c r="B1329" s="76">
        <v>281.72899901894499</v>
      </c>
      <c r="C1329" s="25">
        <v>2</v>
      </c>
      <c r="D1329" s="77">
        <v>7.1999999999999995E-2</v>
      </c>
      <c r="E1329" s="76"/>
      <c r="F1329" s="76"/>
      <c r="G1329" s="76"/>
      <c r="H1329" s="76"/>
      <c r="I1329" s="77" t="s">
        <v>12</v>
      </c>
      <c r="J1329" s="14"/>
      <c r="K1329" s="76">
        <v>6.4555657892376139</v>
      </c>
    </row>
    <row r="1330" spans="1:11">
      <c r="A1330" s="77" t="s">
        <v>32</v>
      </c>
      <c r="B1330" s="76">
        <v>283.95121450017899</v>
      </c>
      <c r="C1330" s="25">
        <v>2</v>
      </c>
      <c r="D1330" s="77">
        <v>7.1999999999999995E-2</v>
      </c>
      <c r="E1330" s="76"/>
      <c r="F1330" s="76"/>
      <c r="G1330" s="76"/>
      <c r="H1330" s="76"/>
      <c r="I1330" s="77" t="s">
        <v>12</v>
      </c>
      <c r="J1330" s="14"/>
      <c r="K1330" s="76">
        <v>6.3997638945366795</v>
      </c>
    </row>
    <row r="1331" spans="1:11">
      <c r="A1331" s="77" t="s">
        <v>32</v>
      </c>
      <c r="B1331" s="76">
        <v>279.50678353771099</v>
      </c>
      <c r="C1331" s="25">
        <v>2</v>
      </c>
      <c r="D1331" s="77">
        <v>7.1999999999999995E-2</v>
      </c>
      <c r="E1331" s="76"/>
      <c r="F1331" s="76"/>
      <c r="G1331" s="76"/>
      <c r="H1331" s="76"/>
      <c r="I1331" s="77" t="s">
        <v>12</v>
      </c>
      <c r="J1331" s="14"/>
      <c r="K1331" s="76">
        <v>6.2921659815930999</v>
      </c>
    </row>
    <row r="1332" spans="1:11">
      <c r="A1332" s="77" t="s">
        <v>32</v>
      </c>
      <c r="B1332" s="76">
        <v>329.876978506797</v>
      </c>
      <c r="C1332" s="25">
        <v>2</v>
      </c>
      <c r="D1332" s="77">
        <v>7.1999999999999995E-2</v>
      </c>
      <c r="E1332" s="76"/>
      <c r="F1332" s="76"/>
      <c r="G1332" s="76"/>
      <c r="H1332" s="76"/>
      <c r="I1332" s="77" t="s">
        <v>12</v>
      </c>
      <c r="J1332" s="14"/>
      <c r="K1332" s="76">
        <v>6.7277014531571222</v>
      </c>
    </row>
    <row r="1333" spans="1:11">
      <c r="A1333" s="77" t="s">
        <v>32</v>
      </c>
      <c r="B1333" s="76">
        <v>329.876978506797</v>
      </c>
      <c r="C1333" s="25">
        <v>2</v>
      </c>
      <c r="D1333" s="77">
        <v>7.1999999999999995E-2</v>
      </c>
      <c r="E1333" s="76"/>
      <c r="F1333" s="76"/>
      <c r="G1333" s="76"/>
      <c r="H1333" s="76"/>
      <c r="I1333" s="77" t="s">
        <v>12</v>
      </c>
      <c r="J1333" s="14"/>
      <c r="K1333" s="76">
        <v>6.6494652725694294</v>
      </c>
    </row>
    <row r="1334" spans="1:11">
      <c r="A1334" s="77" t="s">
        <v>32</v>
      </c>
      <c r="B1334" s="76">
        <v>329.876978506797</v>
      </c>
      <c r="C1334" s="25">
        <v>2</v>
      </c>
      <c r="D1334" s="77">
        <v>7.1999999999999995E-2</v>
      </c>
      <c r="E1334" s="76"/>
      <c r="F1334" s="76"/>
      <c r="G1334" s="76"/>
      <c r="H1334" s="76"/>
      <c r="I1334" s="77" t="s">
        <v>12</v>
      </c>
      <c r="J1334" s="14"/>
      <c r="K1334" s="76">
        <v>6.5693434318792301</v>
      </c>
    </row>
    <row r="1335" spans="1:11">
      <c r="A1335" s="12"/>
      <c r="B1335" s="87"/>
      <c r="C1335" s="87"/>
      <c r="D1335" s="87"/>
      <c r="E1335" s="87"/>
      <c r="F1335" s="87"/>
      <c r="G1335" s="87"/>
      <c r="H1335" s="87"/>
      <c r="I1335" s="12"/>
      <c r="J1335" s="92"/>
      <c r="K1335" s="92"/>
    </row>
    <row r="1336" spans="1:11">
      <c r="A1336" s="77" t="s">
        <v>33</v>
      </c>
      <c r="B1336" s="76">
        <v>15.42</v>
      </c>
      <c r="C1336" s="76">
        <v>1.1100000000000001</v>
      </c>
      <c r="D1336" s="26">
        <v>4.8899999999999999E-2</v>
      </c>
      <c r="E1336" s="78">
        <v>1.33</v>
      </c>
      <c r="F1336" s="80">
        <v>966</v>
      </c>
      <c r="G1336" s="76"/>
      <c r="H1336" s="80">
        <v>25</v>
      </c>
      <c r="I1336" s="77" t="s">
        <v>14</v>
      </c>
      <c r="J1336" s="14">
        <v>1.1639999999999999</v>
      </c>
      <c r="K1336" s="76">
        <v>5.5196743664943728</v>
      </c>
    </row>
    <row r="1337" spans="1:11">
      <c r="A1337" s="77" t="s">
        <v>33</v>
      </c>
      <c r="B1337" s="76">
        <v>15.42</v>
      </c>
      <c r="C1337" s="76">
        <v>1.1100000000000001</v>
      </c>
      <c r="D1337" s="26">
        <v>4.8899999999999999E-2</v>
      </c>
      <c r="E1337" s="78">
        <v>1.33</v>
      </c>
      <c r="F1337" s="80">
        <v>966</v>
      </c>
      <c r="G1337" s="76"/>
      <c r="H1337" s="80">
        <v>25</v>
      </c>
      <c r="I1337" s="77" t="s">
        <v>14</v>
      </c>
      <c r="J1337" s="14">
        <v>1.1639999999999999</v>
      </c>
      <c r="K1337" s="76">
        <v>5.594635318762573</v>
      </c>
    </row>
    <row r="1338" spans="1:11">
      <c r="A1338" s="77" t="s">
        <v>33</v>
      </c>
      <c r="B1338" s="76">
        <v>41.879999999999995</v>
      </c>
      <c r="C1338" s="76">
        <v>1.45</v>
      </c>
      <c r="D1338" s="26">
        <v>4.8899999999999999E-2</v>
      </c>
      <c r="E1338" s="78">
        <v>1.33</v>
      </c>
      <c r="F1338" s="80">
        <v>966</v>
      </c>
      <c r="G1338" s="76"/>
      <c r="H1338" s="80">
        <v>25</v>
      </c>
      <c r="I1338" s="77" t="s">
        <v>14</v>
      </c>
      <c r="J1338" s="14">
        <v>1.1639999999999999</v>
      </c>
      <c r="K1338" s="76">
        <v>8.3964668268495881</v>
      </c>
    </row>
    <row r="1339" spans="1:11">
      <c r="A1339" s="77" t="s">
        <v>33</v>
      </c>
      <c r="B1339" s="76">
        <v>41.879999999999995</v>
      </c>
      <c r="C1339" s="76">
        <v>1.45</v>
      </c>
      <c r="D1339" s="26">
        <v>4.8899999999999999E-2</v>
      </c>
      <c r="E1339" s="78">
        <v>1.33</v>
      </c>
      <c r="F1339" s="80">
        <v>966</v>
      </c>
      <c r="G1339" s="76"/>
      <c r="H1339" s="80">
        <v>25</v>
      </c>
      <c r="I1339" s="77" t="s">
        <v>14</v>
      </c>
      <c r="J1339" s="14">
        <v>1.1639999999999999</v>
      </c>
      <c r="K1339" s="76">
        <v>8.6175273161791672</v>
      </c>
    </row>
    <row r="1340" spans="1:11">
      <c r="A1340" s="77" t="s">
        <v>33</v>
      </c>
      <c r="B1340" s="76">
        <v>48.18</v>
      </c>
      <c r="C1340" s="76">
        <v>1.99</v>
      </c>
      <c r="D1340" s="26">
        <v>4.8899999999999999E-2</v>
      </c>
      <c r="E1340" s="78">
        <v>1.33</v>
      </c>
      <c r="F1340" s="80">
        <v>966</v>
      </c>
      <c r="G1340" s="76"/>
      <c r="H1340" s="80">
        <v>25</v>
      </c>
      <c r="I1340" s="77" t="s">
        <v>14</v>
      </c>
      <c r="J1340" s="14">
        <v>1.1639999999999999</v>
      </c>
      <c r="K1340" s="76">
        <v>8.3870005510767278</v>
      </c>
    </row>
    <row r="1341" spans="1:11">
      <c r="A1341" s="77" t="s">
        <v>33</v>
      </c>
      <c r="B1341" s="76">
        <v>48.18</v>
      </c>
      <c r="C1341" s="76">
        <v>1.99</v>
      </c>
      <c r="D1341" s="26">
        <v>4.8899999999999999E-2</v>
      </c>
      <c r="E1341" s="78">
        <v>1.33</v>
      </c>
      <c r="F1341" s="80">
        <v>966</v>
      </c>
      <c r="G1341" s="76"/>
      <c r="H1341" s="80">
        <v>25</v>
      </c>
      <c r="I1341" s="77" t="s">
        <v>14</v>
      </c>
      <c r="J1341" s="14">
        <v>1.1639999999999999</v>
      </c>
      <c r="K1341" s="76">
        <v>8.5950271417932118</v>
      </c>
    </row>
    <row r="1342" spans="1:11">
      <c r="A1342" s="77" t="s">
        <v>33</v>
      </c>
      <c r="B1342" s="80">
        <v>300</v>
      </c>
      <c r="C1342" s="78">
        <v>1.64</v>
      </c>
      <c r="D1342" s="26">
        <v>6.5099999999999991E-2</v>
      </c>
      <c r="E1342" s="82">
        <v>19.5</v>
      </c>
      <c r="F1342" s="80">
        <v>1190</v>
      </c>
      <c r="G1342" s="26"/>
      <c r="H1342" s="80">
        <v>21.600000000000023</v>
      </c>
      <c r="I1342" s="77" t="s">
        <v>14</v>
      </c>
      <c r="J1342" s="14">
        <v>1.1639999999999999</v>
      </c>
      <c r="K1342" s="80">
        <v>8.1262871034962707</v>
      </c>
    </row>
    <row r="1343" spans="1:11">
      <c r="A1343" s="77" t="s">
        <v>33</v>
      </c>
      <c r="B1343" s="80">
        <v>300</v>
      </c>
      <c r="C1343" s="78">
        <v>1.64</v>
      </c>
      <c r="D1343" s="26">
        <v>6.5099999999999991E-2</v>
      </c>
      <c r="E1343" s="82">
        <v>19.5</v>
      </c>
      <c r="F1343" s="80">
        <v>1190</v>
      </c>
      <c r="G1343" s="26"/>
      <c r="H1343" s="80">
        <v>21.600000000000023</v>
      </c>
      <c r="I1343" s="77" t="s">
        <v>14</v>
      </c>
      <c r="J1343" s="14">
        <v>1.1639999999999999</v>
      </c>
      <c r="K1343" s="80">
        <v>9.6232902731247929</v>
      </c>
    </row>
    <row r="1344" spans="1:11">
      <c r="A1344" s="77" t="s">
        <v>33</v>
      </c>
      <c r="B1344" s="80">
        <v>300</v>
      </c>
      <c r="C1344" s="78">
        <v>1.64</v>
      </c>
      <c r="D1344" s="26">
        <v>6.5099999999999991E-2</v>
      </c>
      <c r="E1344" s="82">
        <v>19.5</v>
      </c>
      <c r="F1344" s="80">
        <v>1190</v>
      </c>
      <c r="G1344" s="26"/>
      <c r="H1344" s="80">
        <v>21.600000000000023</v>
      </c>
      <c r="I1344" s="77" t="s">
        <v>14</v>
      </c>
      <c r="J1344" s="14">
        <v>1.1639999999999999</v>
      </c>
      <c r="K1344" s="80">
        <v>10.335511429120942</v>
      </c>
    </row>
    <row r="1345" spans="1:11">
      <c r="A1345" s="77" t="s">
        <v>33</v>
      </c>
      <c r="B1345" s="80">
        <v>300</v>
      </c>
      <c r="C1345" s="78">
        <v>1.64</v>
      </c>
      <c r="D1345" s="26">
        <v>6.5099999999999991E-2</v>
      </c>
      <c r="E1345" s="82">
        <v>19.5</v>
      </c>
      <c r="F1345" s="80">
        <v>1190</v>
      </c>
      <c r="G1345" s="26"/>
      <c r="H1345" s="80">
        <v>21.600000000000023</v>
      </c>
      <c r="I1345" s="77" t="s">
        <v>14</v>
      </c>
      <c r="J1345" s="14">
        <v>1.1639999999999999</v>
      </c>
      <c r="K1345" s="80">
        <v>9.8916864878592605</v>
      </c>
    </row>
    <row r="1346" spans="1:11">
      <c r="A1346" s="77" t="s">
        <v>33</v>
      </c>
      <c r="B1346" s="80">
        <v>60</v>
      </c>
      <c r="C1346" s="78">
        <v>1.64</v>
      </c>
      <c r="D1346" s="26">
        <v>6.5099999999999991E-2</v>
      </c>
      <c r="E1346" s="82">
        <v>19.5</v>
      </c>
      <c r="F1346" s="80">
        <v>1190</v>
      </c>
      <c r="G1346" s="26"/>
      <c r="H1346" s="80">
        <v>21.600000000000023</v>
      </c>
      <c r="I1346" s="77" t="s">
        <v>14</v>
      </c>
      <c r="J1346" s="14">
        <v>1.1639999999999999</v>
      </c>
      <c r="K1346" s="80">
        <v>5.5600983664080124</v>
      </c>
    </row>
    <row r="1347" spans="1:11">
      <c r="A1347" s="77" t="s">
        <v>33</v>
      </c>
      <c r="B1347" s="80">
        <v>60</v>
      </c>
      <c r="C1347" s="78">
        <v>1.64</v>
      </c>
      <c r="D1347" s="26">
        <v>6.5099999999999991E-2</v>
      </c>
      <c r="E1347" s="82">
        <v>19.5</v>
      </c>
      <c r="F1347" s="80">
        <v>1190</v>
      </c>
      <c r="G1347" s="26"/>
      <c r="H1347" s="80">
        <v>21.600000000000023</v>
      </c>
      <c r="I1347" s="77" t="s">
        <v>14</v>
      </c>
      <c r="J1347" s="14">
        <v>1.1639999999999999</v>
      </c>
      <c r="K1347" s="80">
        <v>8.9810255570333872</v>
      </c>
    </row>
    <row r="1348" spans="1:11">
      <c r="A1348" s="77" t="s">
        <v>33</v>
      </c>
      <c r="B1348" s="80">
        <v>60</v>
      </c>
      <c r="C1348" s="78">
        <v>1.64</v>
      </c>
      <c r="D1348" s="26">
        <v>6.5099999999999991E-2</v>
      </c>
      <c r="E1348" s="82">
        <v>19.5</v>
      </c>
      <c r="F1348" s="80">
        <v>1190</v>
      </c>
      <c r="G1348" s="26"/>
      <c r="H1348" s="80">
        <v>21.600000000000023</v>
      </c>
      <c r="I1348" s="77" t="s">
        <v>14</v>
      </c>
      <c r="J1348" s="14">
        <v>1.1639999999999999</v>
      </c>
      <c r="K1348" s="80">
        <v>10.19447931962517</v>
      </c>
    </row>
    <row r="1349" spans="1:11">
      <c r="A1349" s="77" t="s">
        <v>33</v>
      </c>
      <c r="B1349" s="80">
        <v>60</v>
      </c>
      <c r="C1349" s="78">
        <v>1.64</v>
      </c>
      <c r="D1349" s="26">
        <v>6.5099999999999991E-2</v>
      </c>
      <c r="E1349" s="82">
        <v>19.5</v>
      </c>
      <c r="F1349" s="80">
        <v>1190</v>
      </c>
      <c r="G1349" s="26"/>
      <c r="H1349" s="80">
        <v>21.600000000000023</v>
      </c>
      <c r="I1349" s="77" t="s">
        <v>14</v>
      </c>
      <c r="J1349" s="14">
        <v>1.1639999999999999</v>
      </c>
      <c r="K1349" s="80">
        <v>10.467431653007436</v>
      </c>
    </row>
    <row r="1350" spans="1:11">
      <c r="A1350" s="77" t="s">
        <v>33</v>
      </c>
      <c r="B1350" s="80">
        <v>30</v>
      </c>
      <c r="C1350" s="78">
        <v>1.64</v>
      </c>
      <c r="D1350" s="26">
        <v>6.5099999999999991E-2</v>
      </c>
      <c r="E1350" s="82">
        <v>19.5</v>
      </c>
      <c r="F1350" s="80">
        <v>1190</v>
      </c>
      <c r="G1350" s="26"/>
      <c r="H1350" s="80">
        <v>21.600000000000023</v>
      </c>
      <c r="I1350" s="77" t="s">
        <v>14</v>
      </c>
      <c r="J1350" s="14">
        <v>1.1639999999999999</v>
      </c>
      <c r="K1350" s="80">
        <v>5.0008798434635491</v>
      </c>
    </row>
    <row r="1351" spans="1:11">
      <c r="A1351" s="77" t="s">
        <v>33</v>
      </c>
      <c r="B1351" s="80">
        <v>30</v>
      </c>
      <c r="C1351" s="78">
        <v>1.64</v>
      </c>
      <c r="D1351" s="26">
        <v>6.5099999999999991E-2</v>
      </c>
      <c r="E1351" s="82">
        <v>19.5</v>
      </c>
      <c r="F1351" s="80">
        <v>1190</v>
      </c>
      <c r="G1351" s="26"/>
      <c r="H1351" s="80">
        <v>21.600000000000023</v>
      </c>
      <c r="I1351" s="77" t="s">
        <v>14</v>
      </c>
      <c r="J1351" s="14">
        <v>1.1639999999999999</v>
      </c>
      <c r="K1351" s="80">
        <v>9.0300966742170825</v>
      </c>
    </row>
    <row r="1352" spans="1:11">
      <c r="A1352" s="77" t="s">
        <v>33</v>
      </c>
      <c r="B1352" s="80">
        <v>30</v>
      </c>
      <c r="C1352" s="78">
        <v>1.64</v>
      </c>
      <c r="D1352" s="26">
        <v>6.5099999999999991E-2</v>
      </c>
      <c r="E1352" s="82">
        <v>19.5</v>
      </c>
      <c r="F1352" s="80">
        <v>1190</v>
      </c>
      <c r="G1352" s="26"/>
      <c r="H1352" s="80">
        <v>21.600000000000023</v>
      </c>
      <c r="I1352" s="77" t="s">
        <v>14</v>
      </c>
      <c r="J1352" s="14">
        <v>1.1639999999999999</v>
      </c>
      <c r="K1352" s="80">
        <v>10.108183125304814</v>
      </c>
    </row>
    <row r="1353" spans="1:11">
      <c r="A1353" s="77" t="s">
        <v>33</v>
      </c>
      <c r="B1353" s="80">
        <v>30</v>
      </c>
      <c r="C1353" s="78">
        <v>1.64</v>
      </c>
      <c r="D1353" s="26">
        <v>6.5099999999999991E-2</v>
      </c>
      <c r="E1353" s="82">
        <v>19.5</v>
      </c>
      <c r="F1353" s="80">
        <v>1190</v>
      </c>
      <c r="G1353" s="26"/>
      <c r="H1353" s="80">
        <v>21.600000000000023</v>
      </c>
      <c r="I1353" s="77" t="s">
        <v>14</v>
      </c>
      <c r="J1353" s="14">
        <v>1.1639999999999999</v>
      </c>
      <c r="K1353" s="80">
        <v>10.351565262983774</v>
      </c>
    </row>
    <row r="1354" spans="1:11">
      <c r="A1354" s="77" t="s">
        <v>33</v>
      </c>
      <c r="B1354" s="76">
        <v>8.3890338079211393</v>
      </c>
      <c r="C1354" s="76">
        <v>1.08</v>
      </c>
      <c r="D1354" s="26">
        <v>6.6700000000000009E-2</v>
      </c>
      <c r="E1354" s="78">
        <v>48.5</v>
      </c>
      <c r="F1354" s="80">
        <v>1220</v>
      </c>
      <c r="G1354" s="26"/>
      <c r="H1354" s="77">
        <v>21.7</v>
      </c>
      <c r="I1354" s="77" t="s">
        <v>14</v>
      </c>
      <c r="J1354" s="14">
        <v>1.1639999999999999</v>
      </c>
      <c r="K1354" s="76">
        <v>7.4514057751820131</v>
      </c>
    </row>
    <row r="1355" spans="1:11">
      <c r="A1355" s="77" t="s">
        <v>33</v>
      </c>
      <c r="B1355" s="76">
        <v>11.33993273327088</v>
      </c>
      <c r="C1355" s="76">
        <v>1.08</v>
      </c>
      <c r="D1355" s="26">
        <v>6.6700000000000009E-2</v>
      </c>
      <c r="E1355" s="78">
        <v>48.5</v>
      </c>
      <c r="F1355" s="80">
        <v>1220</v>
      </c>
      <c r="G1355" s="26"/>
      <c r="H1355" s="77">
        <v>21.7</v>
      </c>
      <c r="I1355" s="77" t="s">
        <v>14</v>
      </c>
      <c r="J1355" s="14">
        <v>1.1639999999999999</v>
      </c>
      <c r="K1355" s="76">
        <v>7.5234585907034033</v>
      </c>
    </row>
    <row r="1356" spans="1:11">
      <c r="A1356" s="77" t="s">
        <v>33</v>
      </c>
      <c r="B1356" s="76">
        <v>13.64417963523486</v>
      </c>
      <c r="C1356" s="76">
        <v>1.08</v>
      </c>
      <c r="D1356" s="26">
        <v>6.6700000000000009E-2</v>
      </c>
      <c r="E1356" s="78">
        <v>48.5</v>
      </c>
      <c r="F1356" s="80">
        <v>1220</v>
      </c>
      <c r="G1356" s="26"/>
      <c r="H1356" s="77">
        <v>21.7</v>
      </c>
      <c r="I1356" s="77" t="s">
        <v>14</v>
      </c>
      <c r="J1356" s="14">
        <v>1.1639999999999999</v>
      </c>
      <c r="K1356" s="76">
        <v>7.5060417247756508</v>
      </c>
    </row>
    <row r="1357" spans="1:11">
      <c r="A1357" s="77" t="s">
        <v>33</v>
      </c>
      <c r="B1357" s="76">
        <v>17.04579707372946</v>
      </c>
      <c r="C1357" s="76">
        <v>1.08</v>
      </c>
      <c r="D1357" s="26">
        <v>6.6700000000000009E-2</v>
      </c>
      <c r="E1357" s="78">
        <v>48.5</v>
      </c>
      <c r="F1357" s="80">
        <v>1220</v>
      </c>
      <c r="G1357" s="26"/>
      <c r="H1357" s="77">
        <v>21.7</v>
      </c>
      <c r="I1357" s="77" t="s">
        <v>14</v>
      </c>
      <c r="J1357" s="14">
        <v>1.1639999999999999</v>
      </c>
      <c r="K1357" s="76">
        <v>7.5810425097816863</v>
      </c>
    </row>
    <row r="1358" spans="1:11">
      <c r="A1358" s="77" t="s">
        <v>33</v>
      </c>
      <c r="B1358" s="76">
        <v>22.001578728766322</v>
      </c>
      <c r="C1358" s="76">
        <v>1.08</v>
      </c>
      <c r="D1358" s="26">
        <v>6.6700000000000009E-2</v>
      </c>
      <c r="E1358" s="78">
        <v>48.5</v>
      </c>
      <c r="F1358" s="80">
        <v>1220</v>
      </c>
      <c r="G1358" s="26"/>
      <c r="H1358" s="77">
        <v>21.7</v>
      </c>
      <c r="I1358" s="77" t="s">
        <v>14</v>
      </c>
      <c r="J1358" s="14">
        <v>1.1639999999999999</v>
      </c>
      <c r="K1358" s="76">
        <v>7.5969406872815783</v>
      </c>
    </row>
    <row r="1359" spans="1:11">
      <c r="A1359" s="77" t="s">
        <v>33</v>
      </c>
      <c r="B1359" s="76">
        <v>29.553436487241001</v>
      </c>
      <c r="C1359" s="76">
        <v>1.08</v>
      </c>
      <c r="D1359" s="26">
        <v>6.6700000000000009E-2</v>
      </c>
      <c r="E1359" s="78">
        <v>48.5</v>
      </c>
      <c r="F1359" s="80">
        <v>1220</v>
      </c>
      <c r="G1359" s="26"/>
      <c r="H1359" s="77">
        <v>21.7</v>
      </c>
      <c r="I1359" s="77" t="s">
        <v>14</v>
      </c>
      <c r="J1359" s="14">
        <v>1.1639999999999999</v>
      </c>
      <c r="K1359" s="76">
        <v>7.5675426384177715</v>
      </c>
    </row>
    <row r="1360" spans="1:11">
      <c r="A1360" s="77" t="s">
        <v>33</v>
      </c>
      <c r="B1360" s="76">
        <v>33.947911011132057</v>
      </c>
      <c r="C1360" s="76">
        <v>1.08</v>
      </c>
      <c r="D1360" s="26">
        <v>6.6700000000000009E-2</v>
      </c>
      <c r="E1360" s="78">
        <v>48.5</v>
      </c>
      <c r="F1360" s="80">
        <v>1220</v>
      </c>
      <c r="G1360" s="26"/>
      <c r="H1360" s="77">
        <v>21.7</v>
      </c>
      <c r="I1360" s="77" t="s">
        <v>14</v>
      </c>
      <c r="J1360" s="14">
        <v>1.1639999999999999</v>
      </c>
      <c r="K1360" s="76">
        <v>7.5746673707294789</v>
      </c>
    </row>
    <row r="1361" spans="1:11">
      <c r="A1361" s="77" t="s">
        <v>33</v>
      </c>
      <c r="B1361" s="76">
        <v>39.400053803897222</v>
      </c>
      <c r="C1361" s="76">
        <v>1.08</v>
      </c>
      <c r="D1361" s="26">
        <v>6.6700000000000009E-2</v>
      </c>
      <c r="E1361" s="78">
        <v>48.5</v>
      </c>
      <c r="F1361" s="80">
        <v>1220</v>
      </c>
      <c r="G1361" s="26"/>
      <c r="H1361" s="77">
        <v>21.7</v>
      </c>
      <c r="I1361" s="77" t="s">
        <v>14</v>
      </c>
      <c r="J1361" s="14">
        <v>1.1639999999999999</v>
      </c>
      <c r="K1361" s="76">
        <v>7.638965565108145</v>
      </c>
    </row>
    <row r="1362" spans="1:11">
      <c r="A1362" s="77" t="s">
        <v>33</v>
      </c>
      <c r="B1362" s="76">
        <v>49.61900034711072</v>
      </c>
      <c r="C1362" s="76">
        <v>1.08</v>
      </c>
      <c r="D1362" s="26">
        <v>6.6700000000000009E-2</v>
      </c>
      <c r="E1362" s="78">
        <v>48.5</v>
      </c>
      <c r="F1362" s="80">
        <v>1220</v>
      </c>
      <c r="G1362" s="26"/>
      <c r="H1362" s="77">
        <v>21.7</v>
      </c>
      <c r="I1362" s="77" t="s">
        <v>14</v>
      </c>
      <c r="J1362" s="14">
        <v>1.1639999999999999</v>
      </c>
      <c r="K1362" s="76">
        <v>7.5805383509665845</v>
      </c>
    </row>
    <row r="1363" spans="1:11">
      <c r="A1363" s="77" t="s">
        <v>33</v>
      </c>
      <c r="B1363" s="76">
        <v>57.878480147561639</v>
      </c>
      <c r="C1363" s="76">
        <v>1.08</v>
      </c>
      <c r="D1363" s="26">
        <v>6.6700000000000009E-2</v>
      </c>
      <c r="E1363" s="78">
        <v>48.5</v>
      </c>
      <c r="F1363" s="80">
        <v>1220</v>
      </c>
      <c r="G1363" s="26"/>
      <c r="H1363" s="77">
        <v>21.7</v>
      </c>
      <c r="I1363" s="77" t="s">
        <v>14</v>
      </c>
      <c r="J1363" s="14">
        <v>1.1639999999999999</v>
      </c>
      <c r="K1363" s="76">
        <v>7.5872464064881564</v>
      </c>
    </row>
    <row r="1364" spans="1:11">
      <c r="A1364" s="77" t="s">
        <v>33</v>
      </c>
      <c r="B1364" s="76">
        <v>77.383984043104192</v>
      </c>
      <c r="C1364" s="76">
        <v>1.08</v>
      </c>
      <c r="D1364" s="26">
        <v>6.6700000000000009E-2</v>
      </c>
      <c r="E1364" s="78">
        <v>48.5</v>
      </c>
      <c r="F1364" s="80">
        <v>1220</v>
      </c>
      <c r="G1364" s="26"/>
      <c r="H1364" s="77">
        <v>21.7</v>
      </c>
      <c r="I1364" s="77" t="s">
        <v>14</v>
      </c>
      <c r="J1364" s="14">
        <v>1.1639999999999999</v>
      </c>
      <c r="K1364" s="76">
        <v>7.6254132602750033</v>
      </c>
    </row>
    <row r="1365" spans="1:11">
      <c r="A1365" s="77" t="s">
        <v>33</v>
      </c>
      <c r="B1365" s="76">
        <v>102.1830489145284</v>
      </c>
      <c r="C1365" s="76">
        <v>1.08</v>
      </c>
      <c r="D1365" s="26">
        <v>6.6700000000000009E-2</v>
      </c>
      <c r="E1365" s="78">
        <v>48.5</v>
      </c>
      <c r="F1365" s="80">
        <v>1220</v>
      </c>
      <c r="G1365" s="26"/>
      <c r="H1365" s="77">
        <v>21.7</v>
      </c>
      <c r="I1365" s="77" t="s">
        <v>14</v>
      </c>
      <c r="J1365" s="14">
        <v>1.1639999999999999</v>
      </c>
      <c r="K1365" s="76">
        <v>7.6380765682964578</v>
      </c>
    </row>
    <row r="1366" spans="1:11">
      <c r="A1366" s="77" t="s">
        <v>33</v>
      </c>
      <c r="B1366" s="76">
        <v>115.1039663934306</v>
      </c>
      <c r="C1366" s="76">
        <v>1.08</v>
      </c>
      <c r="D1366" s="26">
        <v>6.6700000000000009E-2</v>
      </c>
      <c r="E1366" s="78">
        <v>48.5</v>
      </c>
      <c r="F1366" s="80">
        <v>1220</v>
      </c>
      <c r="G1366" s="26"/>
      <c r="H1366" s="77">
        <v>21.7</v>
      </c>
      <c r="I1366" s="77" t="s">
        <v>14</v>
      </c>
      <c r="J1366" s="14">
        <v>1.1639999999999999</v>
      </c>
      <c r="K1366" s="76">
        <v>7.7883709281786553</v>
      </c>
    </row>
    <row r="1367" spans="1:11">
      <c r="A1367" s="77" t="s">
        <v>33</v>
      </c>
      <c r="B1367" s="76">
        <v>144.2449462544418</v>
      </c>
      <c r="C1367" s="76">
        <v>1.08</v>
      </c>
      <c r="D1367" s="26">
        <v>6.6700000000000009E-2</v>
      </c>
      <c r="E1367" s="78">
        <v>48.5</v>
      </c>
      <c r="F1367" s="80">
        <v>1220</v>
      </c>
      <c r="G1367" s="26"/>
      <c r="H1367" s="77">
        <v>21.7</v>
      </c>
      <c r="I1367" s="77" t="s">
        <v>14</v>
      </c>
      <c r="J1367" s="14">
        <v>1.1639999999999999</v>
      </c>
      <c r="K1367" s="76">
        <v>7.7217623521690175</v>
      </c>
    </row>
    <row r="1368" spans="1:11">
      <c r="A1368" s="77" t="s">
        <v>33</v>
      </c>
      <c r="B1368" s="76">
        <v>169.4040330507774</v>
      </c>
      <c r="C1368" s="76">
        <v>1.08</v>
      </c>
      <c r="D1368" s="26">
        <v>6.6700000000000009E-2</v>
      </c>
      <c r="E1368" s="78">
        <v>48.5</v>
      </c>
      <c r="F1368" s="80">
        <v>1220</v>
      </c>
      <c r="G1368" s="26"/>
      <c r="H1368" s="77">
        <v>21.7</v>
      </c>
      <c r="I1368" s="77" t="s">
        <v>14</v>
      </c>
      <c r="J1368" s="14">
        <v>1.1639999999999999</v>
      </c>
      <c r="K1368" s="76">
        <v>7.7107805384784491</v>
      </c>
    </row>
    <row r="1369" spans="1:11">
      <c r="A1369" s="77" t="s">
        <v>33</v>
      </c>
      <c r="B1369" s="76">
        <v>196.77198178568761</v>
      </c>
      <c r="C1369" s="76">
        <v>1.08</v>
      </c>
      <c r="D1369" s="26">
        <v>6.6700000000000009E-2</v>
      </c>
      <c r="E1369" s="78">
        <v>48.5</v>
      </c>
      <c r="F1369" s="80">
        <v>1220</v>
      </c>
      <c r="G1369" s="26"/>
      <c r="H1369" s="77">
        <v>21.7</v>
      </c>
      <c r="I1369" s="77" t="s">
        <v>14</v>
      </c>
      <c r="J1369" s="14">
        <v>1.1639999999999999</v>
      </c>
      <c r="K1369" s="76">
        <v>7.7235085656007749</v>
      </c>
    </row>
    <row r="1370" spans="1:11">
      <c r="A1370" s="77" t="s">
        <v>33</v>
      </c>
      <c r="B1370" s="76">
        <v>252.20681663016057</v>
      </c>
      <c r="C1370" s="76">
        <v>1.08</v>
      </c>
      <c r="D1370" s="26">
        <v>6.6700000000000009E-2</v>
      </c>
      <c r="E1370" s="78">
        <v>48.5</v>
      </c>
      <c r="F1370" s="80">
        <v>1220</v>
      </c>
      <c r="G1370" s="26"/>
      <c r="H1370" s="77">
        <v>21.7</v>
      </c>
      <c r="I1370" s="77" t="s">
        <v>14</v>
      </c>
      <c r="J1370" s="14">
        <v>1.1639999999999999</v>
      </c>
      <c r="K1370" s="76">
        <v>7.5291646975866602</v>
      </c>
    </row>
    <row r="1371" spans="1:11">
      <c r="A1371" s="77" t="s">
        <v>33</v>
      </c>
      <c r="B1371" s="76">
        <v>326.78651446281179</v>
      </c>
      <c r="C1371" s="76">
        <v>1.08</v>
      </c>
      <c r="D1371" s="26">
        <v>6.6700000000000009E-2</v>
      </c>
      <c r="E1371" s="78">
        <v>48.5</v>
      </c>
      <c r="F1371" s="80">
        <v>1220</v>
      </c>
      <c r="G1371" s="26"/>
      <c r="H1371" s="77">
        <v>21.7</v>
      </c>
      <c r="I1371" s="77" t="s">
        <v>14</v>
      </c>
      <c r="J1371" s="14">
        <v>1.1639999999999999</v>
      </c>
      <c r="K1371" s="76">
        <v>7.7146275261534853</v>
      </c>
    </row>
    <row r="1372" spans="1:11">
      <c r="A1372" s="77" t="s">
        <v>33</v>
      </c>
      <c r="B1372" s="76">
        <v>459.51113775269818</v>
      </c>
      <c r="C1372" s="76">
        <v>1.08</v>
      </c>
      <c r="D1372" s="26">
        <v>6.6700000000000009E-2</v>
      </c>
      <c r="E1372" s="78">
        <v>48.5</v>
      </c>
      <c r="F1372" s="80">
        <v>1220</v>
      </c>
      <c r="G1372" s="26"/>
      <c r="H1372" s="77">
        <v>21.7</v>
      </c>
      <c r="I1372" s="77" t="s">
        <v>14</v>
      </c>
      <c r="J1372" s="14">
        <v>1.1639999999999999</v>
      </c>
      <c r="K1372" s="76">
        <v>7.9559750144141885</v>
      </c>
    </row>
    <row r="1373" spans="1:11">
      <c r="A1373" s="77" t="s">
        <v>33</v>
      </c>
      <c r="B1373" s="76">
        <v>7.7572116796017001</v>
      </c>
      <c r="C1373" s="76">
        <v>1.45</v>
      </c>
      <c r="D1373" s="26">
        <v>6.6700000000000009E-2</v>
      </c>
      <c r="E1373" s="78">
        <v>48.5</v>
      </c>
      <c r="F1373" s="80">
        <v>1220</v>
      </c>
      <c r="G1373" s="26"/>
      <c r="H1373" s="77">
        <v>21.7</v>
      </c>
      <c r="I1373" s="77" t="s">
        <v>14</v>
      </c>
      <c r="J1373" s="14">
        <v>1.1639999999999999</v>
      </c>
      <c r="K1373" s="76">
        <v>9.0676052513432328</v>
      </c>
    </row>
    <row r="1374" spans="1:11">
      <c r="A1374" s="77" t="s">
        <v>33</v>
      </c>
      <c r="B1374" s="76">
        <v>9.4299324163992591</v>
      </c>
      <c r="C1374" s="76">
        <v>1.45</v>
      </c>
      <c r="D1374" s="26">
        <v>6.6700000000000009E-2</v>
      </c>
      <c r="E1374" s="78">
        <v>48.5</v>
      </c>
      <c r="F1374" s="80">
        <v>1220</v>
      </c>
      <c r="G1374" s="26"/>
      <c r="H1374" s="77">
        <v>21.7</v>
      </c>
      <c r="I1374" s="77" t="s">
        <v>14</v>
      </c>
      <c r="J1374" s="14">
        <v>1.1639999999999999</v>
      </c>
      <c r="K1374" s="76">
        <v>9.0494719297469999</v>
      </c>
    </row>
    <row r="1375" spans="1:11">
      <c r="A1375" s="77" t="s">
        <v>33</v>
      </c>
      <c r="B1375" s="76">
        <v>11.7757311804276</v>
      </c>
      <c r="C1375" s="76">
        <v>1.45</v>
      </c>
      <c r="D1375" s="26">
        <v>6.6700000000000009E-2</v>
      </c>
      <c r="E1375" s="78">
        <v>48.5</v>
      </c>
      <c r="F1375" s="80">
        <v>1220</v>
      </c>
      <c r="G1375" s="26"/>
      <c r="H1375" s="77">
        <v>21.7</v>
      </c>
      <c r="I1375" s="77" t="s">
        <v>14</v>
      </c>
      <c r="J1375" s="14">
        <v>1.1639999999999999</v>
      </c>
      <c r="K1375" s="76">
        <v>9.0323058949087152</v>
      </c>
    </row>
    <row r="1376" spans="1:11">
      <c r="A1376" s="77" t="s">
        <v>33</v>
      </c>
      <c r="B1376" s="76">
        <v>13.688359026004681</v>
      </c>
      <c r="C1376" s="76">
        <v>1.45</v>
      </c>
      <c r="D1376" s="26">
        <v>6.6700000000000009E-2</v>
      </c>
      <c r="E1376" s="78">
        <v>48.5</v>
      </c>
      <c r="F1376" s="80">
        <v>1220</v>
      </c>
      <c r="G1376" s="26"/>
      <c r="H1376" s="77">
        <v>21.7</v>
      </c>
      <c r="I1376" s="77" t="s">
        <v>14</v>
      </c>
      <c r="J1376" s="14">
        <v>1.1639999999999999</v>
      </c>
      <c r="K1376" s="76">
        <v>9.0423430162731027</v>
      </c>
    </row>
    <row r="1377" spans="1:11">
      <c r="A1377" s="77" t="s">
        <v>33</v>
      </c>
      <c r="B1377" s="76">
        <v>17.246694533231459</v>
      </c>
      <c r="C1377" s="76">
        <v>1.45</v>
      </c>
      <c r="D1377" s="26">
        <v>6.6700000000000009E-2</v>
      </c>
      <c r="E1377" s="78">
        <v>48.5</v>
      </c>
      <c r="F1377" s="80">
        <v>1220</v>
      </c>
      <c r="G1377" s="26"/>
      <c r="H1377" s="77">
        <v>21.7</v>
      </c>
      <c r="I1377" s="77" t="s">
        <v>14</v>
      </c>
      <c r="J1377" s="14">
        <v>1.1639999999999999</v>
      </c>
      <c r="K1377" s="76">
        <v>9.059739004947799</v>
      </c>
    </row>
    <row r="1378" spans="1:11">
      <c r="A1378" s="77" t="s">
        <v>33</v>
      </c>
      <c r="B1378" s="76">
        <v>21.331633774920242</v>
      </c>
      <c r="C1378" s="76">
        <v>1.45</v>
      </c>
      <c r="D1378" s="26">
        <v>6.6700000000000009E-2</v>
      </c>
      <c r="E1378" s="78">
        <v>48.5</v>
      </c>
      <c r="F1378" s="80">
        <v>1220</v>
      </c>
      <c r="G1378" s="26"/>
      <c r="H1378" s="77">
        <v>21.7</v>
      </c>
      <c r="I1378" s="77" t="s">
        <v>14</v>
      </c>
      <c r="J1378" s="14">
        <v>1.1639999999999999</v>
      </c>
      <c r="K1378" s="76">
        <v>9.0415011527932165</v>
      </c>
    </row>
    <row r="1379" spans="1:11">
      <c r="A1379" s="77" t="s">
        <v>33</v>
      </c>
      <c r="B1379" s="76">
        <v>25.31567308315098</v>
      </c>
      <c r="C1379" s="76">
        <v>1.45</v>
      </c>
      <c r="D1379" s="26">
        <v>6.6700000000000009E-2</v>
      </c>
      <c r="E1379" s="78">
        <v>48.5</v>
      </c>
      <c r="F1379" s="80">
        <v>1220</v>
      </c>
      <c r="G1379" s="26"/>
      <c r="H1379" s="77">
        <v>21.7</v>
      </c>
      <c r="I1379" s="77" t="s">
        <v>14</v>
      </c>
      <c r="J1379" s="14">
        <v>1.1639999999999999</v>
      </c>
      <c r="K1379" s="76">
        <v>9.0662786623485765</v>
      </c>
    </row>
    <row r="1380" spans="1:11">
      <c r="A1380" s="77" t="s">
        <v>33</v>
      </c>
      <c r="B1380" s="76">
        <v>30.294016036151639</v>
      </c>
      <c r="C1380" s="76">
        <v>1.45</v>
      </c>
      <c r="D1380" s="26">
        <v>6.6700000000000009E-2</v>
      </c>
      <c r="E1380" s="78">
        <v>48.5</v>
      </c>
      <c r="F1380" s="80">
        <v>1220</v>
      </c>
      <c r="G1380" s="26"/>
      <c r="H1380" s="77">
        <v>21.7</v>
      </c>
      <c r="I1380" s="77" t="s">
        <v>14</v>
      </c>
      <c r="J1380" s="14">
        <v>1.1639999999999999</v>
      </c>
      <c r="K1380" s="76">
        <v>9.0853821560957559</v>
      </c>
    </row>
    <row r="1381" spans="1:11">
      <c r="A1381" s="77" t="s">
        <v>33</v>
      </c>
      <c r="B1381" s="76">
        <v>37.414489427186403</v>
      </c>
      <c r="C1381" s="76">
        <v>1.45</v>
      </c>
      <c r="D1381" s="26">
        <v>6.6700000000000009E-2</v>
      </c>
      <c r="E1381" s="78">
        <v>48.5</v>
      </c>
      <c r="F1381" s="80">
        <v>1220</v>
      </c>
      <c r="G1381" s="26"/>
      <c r="H1381" s="77">
        <v>21.7</v>
      </c>
      <c r="I1381" s="77" t="s">
        <v>14</v>
      </c>
      <c r="J1381" s="14">
        <v>1.1639999999999999</v>
      </c>
      <c r="K1381" s="76">
        <v>8.9671865327704676</v>
      </c>
    </row>
    <row r="1382" spans="1:11">
      <c r="A1382" s="77" t="s">
        <v>33</v>
      </c>
      <c r="B1382" s="76">
        <v>43.142897781708299</v>
      </c>
      <c r="C1382" s="76">
        <v>1.45</v>
      </c>
      <c r="D1382" s="26">
        <v>6.6700000000000009E-2</v>
      </c>
      <c r="E1382" s="78">
        <v>48.5</v>
      </c>
      <c r="F1382" s="80">
        <v>1220</v>
      </c>
      <c r="G1382" s="26"/>
      <c r="H1382" s="77">
        <v>21.7</v>
      </c>
      <c r="I1382" s="77" t="s">
        <v>14</v>
      </c>
      <c r="J1382" s="14">
        <v>1.1639999999999999</v>
      </c>
      <c r="K1382" s="76">
        <v>9.1048589307555101</v>
      </c>
    </row>
    <row r="1383" spans="1:11">
      <c r="A1383" s="77" t="s">
        <v>33</v>
      </c>
      <c r="B1383" s="76">
        <v>48.06168611384718</v>
      </c>
      <c r="C1383" s="76">
        <v>1.45</v>
      </c>
      <c r="D1383" s="26">
        <v>6.6700000000000009E-2</v>
      </c>
      <c r="E1383" s="78">
        <v>48.5</v>
      </c>
      <c r="F1383" s="80">
        <v>1220</v>
      </c>
      <c r="G1383" s="26"/>
      <c r="H1383" s="77">
        <v>21.7</v>
      </c>
      <c r="I1383" s="77" t="s">
        <v>14</v>
      </c>
      <c r="J1383" s="14">
        <v>1.1639999999999999</v>
      </c>
      <c r="K1383" s="76">
        <v>8.9848860749073207</v>
      </c>
    </row>
    <row r="1384" spans="1:11">
      <c r="A1384" s="77" t="s">
        <v>33</v>
      </c>
      <c r="B1384" s="76">
        <v>56.751718176309303</v>
      </c>
      <c r="C1384" s="76">
        <v>1.45</v>
      </c>
      <c r="D1384" s="26">
        <v>6.6700000000000009E-2</v>
      </c>
      <c r="E1384" s="78">
        <v>48.5</v>
      </c>
      <c r="F1384" s="80">
        <v>1220</v>
      </c>
      <c r="G1384" s="26"/>
      <c r="H1384" s="77">
        <v>21.7</v>
      </c>
      <c r="I1384" s="77" t="s">
        <v>14</v>
      </c>
      <c r="J1384" s="14">
        <v>1.1639999999999999</v>
      </c>
      <c r="K1384" s="76">
        <v>9.1332108862245249</v>
      </c>
    </row>
    <row r="1385" spans="1:11">
      <c r="A1385" s="77" t="s">
        <v>33</v>
      </c>
      <c r="B1385" s="76">
        <v>63.561452608970995</v>
      </c>
      <c r="C1385" s="76">
        <v>1.45</v>
      </c>
      <c r="D1385" s="26">
        <v>6.6700000000000009E-2</v>
      </c>
      <c r="E1385" s="78">
        <v>48.5</v>
      </c>
      <c r="F1385" s="80">
        <v>1220</v>
      </c>
      <c r="G1385" s="26"/>
      <c r="H1385" s="77">
        <v>21.7</v>
      </c>
      <c r="I1385" s="77" t="s">
        <v>14</v>
      </c>
      <c r="J1385" s="14">
        <v>1.1639999999999999</v>
      </c>
      <c r="K1385" s="76">
        <v>9.0473055897170163</v>
      </c>
    </row>
    <row r="1386" spans="1:11">
      <c r="A1386" s="77" t="s">
        <v>33</v>
      </c>
      <c r="B1386" s="76">
        <v>74.708962868971796</v>
      </c>
      <c r="C1386" s="76">
        <v>1.45</v>
      </c>
      <c r="D1386" s="26">
        <v>6.6700000000000009E-2</v>
      </c>
      <c r="E1386" s="78">
        <v>48.5</v>
      </c>
      <c r="F1386" s="80">
        <v>1220</v>
      </c>
      <c r="G1386" s="26"/>
      <c r="H1386" s="77">
        <v>21.7</v>
      </c>
      <c r="I1386" s="77" t="s">
        <v>14</v>
      </c>
      <c r="J1386" s="14">
        <v>1.1639999999999999</v>
      </c>
      <c r="K1386" s="76">
        <v>9.052030082177664</v>
      </c>
    </row>
    <row r="1387" spans="1:11">
      <c r="A1387" s="77" t="s">
        <v>33</v>
      </c>
      <c r="B1387" s="76">
        <v>85.307231918633988</v>
      </c>
      <c r="C1387" s="76">
        <v>1.45</v>
      </c>
      <c r="D1387" s="26">
        <v>6.6700000000000009E-2</v>
      </c>
      <c r="E1387" s="78">
        <v>48.5</v>
      </c>
      <c r="F1387" s="80">
        <v>1220</v>
      </c>
      <c r="G1387" s="26"/>
      <c r="H1387" s="77">
        <v>21.7</v>
      </c>
      <c r="I1387" s="77" t="s">
        <v>14</v>
      </c>
      <c r="J1387" s="14">
        <v>1.1639999999999999</v>
      </c>
      <c r="K1387" s="76">
        <v>9.0205100154662272</v>
      </c>
    </row>
    <row r="1388" spans="1:11">
      <c r="A1388" s="77" t="s">
        <v>33</v>
      </c>
      <c r="B1388" s="76">
        <v>98.046551155741199</v>
      </c>
      <c r="C1388" s="76">
        <v>1.45</v>
      </c>
      <c r="D1388" s="26">
        <v>6.6700000000000009E-2</v>
      </c>
      <c r="E1388" s="78">
        <v>48.5</v>
      </c>
      <c r="F1388" s="80">
        <v>1220</v>
      </c>
      <c r="G1388" s="26"/>
      <c r="H1388" s="77">
        <v>21.7</v>
      </c>
      <c r="I1388" s="77" t="s">
        <v>14</v>
      </c>
      <c r="J1388" s="14">
        <v>1.1639999999999999</v>
      </c>
      <c r="K1388" s="76">
        <v>9.0995622012691229</v>
      </c>
    </row>
    <row r="1389" spans="1:11">
      <c r="A1389" s="77" t="s">
        <v>33</v>
      </c>
      <c r="B1389" s="76">
        <v>105.80310565117981</v>
      </c>
      <c r="C1389" s="76">
        <v>1.45</v>
      </c>
      <c r="D1389" s="26">
        <v>6.6700000000000009E-2</v>
      </c>
      <c r="E1389" s="78">
        <v>48.5</v>
      </c>
      <c r="F1389" s="80">
        <v>1220</v>
      </c>
      <c r="G1389" s="26"/>
      <c r="H1389" s="77">
        <v>21.7</v>
      </c>
      <c r="I1389" s="77" t="s">
        <v>14</v>
      </c>
      <c r="J1389" s="14">
        <v>1.1639999999999999</v>
      </c>
      <c r="K1389" s="76">
        <v>8.9968447840597623</v>
      </c>
    </row>
    <row r="1390" spans="1:11">
      <c r="A1390" s="77" t="s">
        <v>33</v>
      </c>
      <c r="B1390" s="76">
        <v>117.0942904221402</v>
      </c>
      <c r="C1390" s="76">
        <v>1.45</v>
      </c>
      <c r="D1390" s="26">
        <v>6.6700000000000009E-2</v>
      </c>
      <c r="E1390" s="78">
        <v>48.5</v>
      </c>
      <c r="F1390" s="80">
        <v>1220</v>
      </c>
      <c r="G1390" s="26"/>
      <c r="H1390" s="77">
        <v>21.7</v>
      </c>
      <c r="I1390" s="77" t="s">
        <v>14</v>
      </c>
      <c r="J1390" s="14">
        <v>1.1639999999999999</v>
      </c>
      <c r="K1390" s="76">
        <v>9.1801313377526323</v>
      </c>
    </row>
    <row r="1391" spans="1:11">
      <c r="A1391" s="77" t="s">
        <v>33</v>
      </c>
      <c r="B1391" s="76">
        <v>136.79351638972921</v>
      </c>
      <c r="C1391" s="76">
        <v>1.45</v>
      </c>
      <c r="D1391" s="26">
        <v>6.6700000000000009E-2</v>
      </c>
      <c r="E1391" s="78">
        <v>48.5</v>
      </c>
      <c r="F1391" s="80">
        <v>1220</v>
      </c>
      <c r="G1391" s="26"/>
      <c r="H1391" s="77">
        <v>21.7</v>
      </c>
      <c r="I1391" s="77" t="s">
        <v>14</v>
      </c>
      <c r="J1391" s="14">
        <v>1.1639999999999999</v>
      </c>
      <c r="K1391" s="76">
        <v>9.2461514153446096</v>
      </c>
    </row>
    <row r="1392" spans="1:11">
      <c r="A1392" s="77" t="s">
        <v>33</v>
      </c>
      <c r="B1392" s="76">
        <v>163.40218125355921</v>
      </c>
      <c r="C1392" s="76">
        <v>1.45</v>
      </c>
      <c r="D1392" s="26">
        <v>6.6700000000000009E-2</v>
      </c>
      <c r="E1392" s="78">
        <v>48.5</v>
      </c>
      <c r="F1392" s="80">
        <v>1220</v>
      </c>
      <c r="G1392" s="26"/>
      <c r="H1392" s="77">
        <v>21.7</v>
      </c>
      <c r="I1392" s="77" t="s">
        <v>14</v>
      </c>
      <c r="J1392" s="14">
        <v>1.1639999999999899</v>
      </c>
      <c r="K1392" s="76">
        <v>8.9771811416737126</v>
      </c>
    </row>
    <row r="1393" spans="1:11">
      <c r="A1393" s="77" t="s">
        <v>33</v>
      </c>
      <c r="B1393" s="76">
        <v>190.10615010433619</v>
      </c>
      <c r="C1393" s="76">
        <v>1.45</v>
      </c>
      <c r="D1393" s="26">
        <v>6.6700000000000009E-2</v>
      </c>
      <c r="E1393" s="78">
        <v>48.5</v>
      </c>
      <c r="F1393" s="80">
        <v>1220</v>
      </c>
      <c r="G1393" s="26"/>
      <c r="H1393" s="77">
        <v>21.7</v>
      </c>
      <c r="I1393" s="77" t="s">
        <v>14</v>
      </c>
      <c r="J1393" s="14">
        <v>1.1639999999999899</v>
      </c>
      <c r="K1393" s="76">
        <v>9.3264056877768287</v>
      </c>
    </row>
    <row r="1394" spans="1:11">
      <c r="A1394" s="77" t="s">
        <v>33</v>
      </c>
      <c r="B1394" s="76">
        <v>253.47910702081683</v>
      </c>
      <c r="C1394" s="76">
        <v>1.45</v>
      </c>
      <c r="D1394" s="26">
        <v>6.6700000000000009E-2</v>
      </c>
      <c r="E1394" s="78">
        <v>48.5</v>
      </c>
      <c r="F1394" s="80">
        <v>1220</v>
      </c>
      <c r="G1394" s="26"/>
      <c r="H1394" s="77">
        <v>21.7</v>
      </c>
      <c r="I1394" s="77" t="s">
        <v>14</v>
      </c>
      <c r="J1394" s="14">
        <v>1.1639999999999899</v>
      </c>
      <c r="K1394" s="76">
        <v>9.0153522899129648</v>
      </c>
    </row>
    <row r="1395" spans="1:11">
      <c r="A1395" s="77" t="s">
        <v>33</v>
      </c>
      <c r="B1395" s="76">
        <v>301.62690824502363</v>
      </c>
      <c r="C1395" s="76">
        <v>1.45</v>
      </c>
      <c r="D1395" s="26">
        <v>6.6700000000000009E-2</v>
      </c>
      <c r="E1395" s="78">
        <v>48.5</v>
      </c>
      <c r="F1395" s="80">
        <v>1220</v>
      </c>
      <c r="G1395" s="26"/>
      <c r="H1395" s="77">
        <v>21.7</v>
      </c>
      <c r="I1395" s="77" t="s">
        <v>14</v>
      </c>
      <c r="J1395" s="14">
        <v>1.1639999999999899</v>
      </c>
      <c r="K1395" s="76">
        <v>9.3854848151869792</v>
      </c>
    </row>
    <row r="1396" spans="1:11">
      <c r="A1396" s="77" t="s">
        <v>33</v>
      </c>
      <c r="B1396" s="76">
        <v>336.79335070825562</v>
      </c>
      <c r="C1396" s="76">
        <v>1.45</v>
      </c>
      <c r="D1396" s="26">
        <v>6.6700000000000009E-2</v>
      </c>
      <c r="E1396" s="78">
        <v>48.5</v>
      </c>
      <c r="F1396" s="80">
        <v>1220</v>
      </c>
      <c r="G1396" s="26"/>
      <c r="H1396" s="77">
        <v>21.7</v>
      </c>
      <c r="I1396" s="77" t="s">
        <v>14</v>
      </c>
      <c r="J1396" s="14">
        <v>1.1639999999999899</v>
      </c>
      <c r="K1396" s="76">
        <v>9.1211012474790145</v>
      </c>
    </row>
    <row r="1397" spans="1:11">
      <c r="A1397" s="77" t="s">
        <v>33</v>
      </c>
      <c r="B1397" s="76">
        <v>397.59006482809616</v>
      </c>
      <c r="C1397" s="76">
        <v>1.45</v>
      </c>
      <c r="D1397" s="26">
        <v>6.6700000000000009E-2</v>
      </c>
      <c r="E1397" s="78">
        <v>48.5</v>
      </c>
      <c r="F1397" s="80">
        <v>1220</v>
      </c>
      <c r="G1397" s="26"/>
      <c r="H1397" s="77">
        <v>21.7</v>
      </c>
      <c r="I1397" s="77" t="s">
        <v>14</v>
      </c>
      <c r="J1397" s="14">
        <v>1.1639999999999899</v>
      </c>
      <c r="K1397" s="76">
        <v>8.9691845639667047</v>
      </c>
    </row>
    <row r="1398" spans="1:11">
      <c r="A1398" s="77" t="s">
        <v>33</v>
      </c>
      <c r="B1398" s="76">
        <v>457.80701427155577</v>
      </c>
      <c r="C1398" s="76">
        <v>1.45</v>
      </c>
      <c r="D1398" s="26">
        <v>6.6700000000000009E-2</v>
      </c>
      <c r="E1398" s="78">
        <v>48.5</v>
      </c>
      <c r="F1398" s="80">
        <v>1220</v>
      </c>
      <c r="G1398" s="26"/>
      <c r="H1398" s="77">
        <v>21.7</v>
      </c>
      <c r="I1398" s="77" t="s">
        <v>14</v>
      </c>
      <c r="J1398" s="14">
        <v>1.1639999999999899</v>
      </c>
      <c r="K1398" s="76">
        <v>8.9379232527866872</v>
      </c>
    </row>
    <row r="1399" spans="1:11">
      <c r="A1399" s="77" t="s">
        <v>33</v>
      </c>
      <c r="B1399" s="76">
        <v>539.09062985592482</v>
      </c>
      <c r="C1399" s="76">
        <v>1.45</v>
      </c>
      <c r="D1399" s="26">
        <v>6.6700000000000009E-2</v>
      </c>
      <c r="E1399" s="78">
        <v>48.5</v>
      </c>
      <c r="F1399" s="80">
        <v>1220</v>
      </c>
      <c r="G1399" s="26"/>
      <c r="H1399" s="77">
        <v>21.7</v>
      </c>
      <c r="I1399" s="77" t="s">
        <v>14</v>
      </c>
      <c r="J1399" s="14">
        <v>1.1639999999999899</v>
      </c>
      <c r="K1399" s="76">
        <v>9.2419094870295275</v>
      </c>
    </row>
    <row r="1400" spans="1:11">
      <c r="A1400" s="77" t="s">
        <v>33</v>
      </c>
      <c r="B1400" s="76">
        <v>7.3088647684813806</v>
      </c>
      <c r="C1400" s="76">
        <v>1.64</v>
      </c>
      <c r="D1400" s="26">
        <v>6.6700000000000009E-2</v>
      </c>
      <c r="E1400" s="78">
        <v>48.5</v>
      </c>
      <c r="F1400" s="80">
        <v>1220</v>
      </c>
      <c r="G1400" s="26"/>
      <c r="H1400" s="77">
        <v>21.7</v>
      </c>
      <c r="I1400" s="77" t="s">
        <v>14</v>
      </c>
      <c r="J1400" s="14">
        <v>1.1639999999999899</v>
      </c>
      <c r="K1400" s="76">
        <v>9.6788787753869006</v>
      </c>
    </row>
    <row r="1401" spans="1:11">
      <c r="A1401" s="77" t="s">
        <v>33</v>
      </c>
      <c r="B1401" s="76">
        <v>9.6849193117284607</v>
      </c>
      <c r="C1401" s="76">
        <v>1.64</v>
      </c>
      <c r="D1401" s="26">
        <v>6.6700000000000009E-2</v>
      </c>
      <c r="E1401" s="78">
        <v>48.5</v>
      </c>
      <c r="F1401" s="80">
        <v>1220</v>
      </c>
      <c r="G1401" s="26"/>
      <c r="H1401" s="77">
        <v>21.7</v>
      </c>
      <c r="I1401" s="77" t="s">
        <v>14</v>
      </c>
      <c r="J1401" s="14">
        <v>1.1639999999999899</v>
      </c>
      <c r="K1401" s="76">
        <v>9.7115367339281047</v>
      </c>
    </row>
    <row r="1402" spans="1:11">
      <c r="A1402" s="77" t="s">
        <v>33</v>
      </c>
      <c r="B1402" s="76">
        <v>12.592595941325159</v>
      </c>
      <c r="C1402" s="76">
        <v>1.64</v>
      </c>
      <c r="D1402" s="26">
        <v>6.6700000000000009E-2</v>
      </c>
      <c r="E1402" s="78">
        <v>48.5</v>
      </c>
      <c r="F1402" s="80">
        <v>1220</v>
      </c>
      <c r="G1402" s="26"/>
      <c r="H1402" s="77">
        <v>21.7</v>
      </c>
      <c r="I1402" s="77" t="s">
        <v>14</v>
      </c>
      <c r="J1402" s="14">
        <v>1.1639999999999899</v>
      </c>
      <c r="K1402" s="76">
        <v>9.7373409139979969</v>
      </c>
    </row>
    <row r="1403" spans="1:11">
      <c r="A1403" s="77" t="s">
        <v>33</v>
      </c>
      <c r="B1403" s="76">
        <v>14.54909657372334</v>
      </c>
      <c r="C1403" s="76">
        <v>1.64</v>
      </c>
      <c r="D1403" s="26">
        <v>6.6700000000000009E-2</v>
      </c>
      <c r="E1403" s="78">
        <v>48.5</v>
      </c>
      <c r="F1403" s="80">
        <v>1220</v>
      </c>
      <c r="G1403" s="26"/>
      <c r="H1403" s="77">
        <v>21.7</v>
      </c>
      <c r="I1403" s="77" t="s">
        <v>14</v>
      </c>
      <c r="J1403" s="14">
        <v>1.1639999999999899</v>
      </c>
      <c r="K1403" s="76">
        <v>9.7395105477893136</v>
      </c>
    </row>
    <row r="1404" spans="1:11">
      <c r="A1404" s="77" t="s">
        <v>33</v>
      </c>
      <c r="B1404" s="76">
        <v>20.07110319141324</v>
      </c>
      <c r="C1404" s="76">
        <v>1.64</v>
      </c>
      <c r="D1404" s="26">
        <v>6.6700000000000009E-2</v>
      </c>
      <c r="E1404" s="78">
        <v>48.5</v>
      </c>
      <c r="F1404" s="80">
        <v>1220</v>
      </c>
      <c r="G1404" s="26"/>
      <c r="H1404" s="77">
        <v>21.7</v>
      </c>
      <c r="I1404" s="77" t="s">
        <v>14</v>
      </c>
      <c r="J1404" s="14">
        <v>1.1639999999999899</v>
      </c>
      <c r="K1404" s="76">
        <v>9.7471566910860865</v>
      </c>
    </row>
    <row r="1405" spans="1:11">
      <c r="A1405" s="77" t="s">
        <v>33</v>
      </c>
      <c r="B1405" s="76">
        <v>21.898832561465579</v>
      </c>
      <c r="C1405" s="76">
        <v>1.64</v>
      </c>
      <c r="D1405" s="26">
        <v>6.6700000000000009E-2</v>
      </c>
      <c r="E1405" s="78">
        <v>48.5</v>
      </c>
      <c r="F1405" s="80">
        <v>1220</v>
      </c>
      <c r="G1405" s="26"/>
      <c r="H1405" s="77">
        <v>21.7</v>
      </c>
      <c r="I1405" s="77" t="s">
        <v>14</v>
      </c>
      <c r="J1405" s="14">
        <v>1.1639999999999899</v>
      </c>
      <c r="K1405" s="76">
        <v>9.8456638904910516</v>
      </c>
    </row>
    <row r="1406" spans="1:11">
      <c r="A1406" s="77" t="s">
        <v>33</v>
      </c>
      <c r="B1406" s="76">
        <v>29.906120101939742</v>
      </c>
      <c r="C1406" s="76">
        <v>1.64</v>
      </c>
      <c r="D1406" s="26">
        <v>6.6700000000000009E-2</v>
      </c>
      <c r="E1406" s="78">
        <v>48.5</v>
      </c>
      <c r="F1406" s="80">
        <v>1220</v>
      </c>
      <c r="G1406" s="26"/>
      <c r="H1406" s="77">
        <v>21.7</v>
      </c>
      <c r="I1406" s="77" t="s">
        <v>14</v>
      </c>
      <c r="J1406" s="14">
        <v>1.1639999999999899</v>
      </c>
      <c r="K1406" s="76">
        <v>9.8377441942928119</v>
      </c>
    </row>
    <row r="1407" spans="1:11">
      <c r="A1407" s="77" t="s">
        <v>33</v>
      </c>
      <c r="B1407" s="76">
        <v>38.656201288773062</v>
      </c>
      <c r="C1407" s="76">
        <v>1.64</v>
      </c>
      <c r="D1407" s="26">
        <v>6.6700000000000009E-2</v>
      </c>
      <c r="E1407" s="78">
        <v>48.5</v>
      </c>
      <c r="F1407" s="80">
        <v>1220</v>
      </c>
      <c r="G1407" s="26"/>
      <c r="H1407" s="77">
        <v>21.7</v>
      </c>
      <c r="I1407" s="77" t="s">
        <v>14</v>
      </c>
      <c r="J1407" s="14">
        <v>1.1639999999999899</v>
      </c>
      <c r="K1407" s="76">
        <v>9.9037831183096259</v>
      </c>
    </row>
    <row r="1408" spans="1:11">
      <c r="A1408" s="77" t="s">
        <v>33</v>
      </c>
      <c r="B1408" s="76">
        <v>41.697247835083317</v>
      </c>
      <c r="C1408" s="76">
        <v>1.64</v>
      </c>
      <c r="D1408" s="26">
        <v>6.6700000000000009E-2</v>
      </c>
      <c r="E1408" s="78">
        <v>48.5</v>
      </c>
      <c r="F1408" s="80">
        <v>1220</v>
      </c>
      <c r="G1408" s="26"/>
      <c r="H1408" s="77">
        <v>21.7</v>
      </c>
      <c r="I1408" s="77" t="s">
        <v>14</v>
      </c>
      <c r="J1408" s="14">
        <v>1.1639999999999899</v>
      </c>
      <c r="K1408" s="76">
        <v>9.8776692440984633</v>
      </c>
    </row>
    <row r="1409" spans="1:11">
      <c r="A1409" s="77" t="s">
        <v>33</v>
      </c>
      <c r="B1409" s="76">
        <v>46.419969945526319</v>
      </c>
      <c r="C1409" s="76">
        <v>1.64</v>
      </c>
      <c r="D1409" s="26">
        <v>6.6700000000000009E-2</v>
      </c>
      <c r="E1409" s="78">
        <v>48.5</v>
      </c>
      <c r="F1409" s="80">
        <v>1220</v>
      </c>
      <c r="G1409" s="26"/>
      <c r="H1409" s="77">
        <v>21.7</v>
      </c>
      <c r="I1409" s="77" t="s">
        <v>14</v>
      </c>
      <c r="J1409" s="14">
        <v>1.1639999999999899</v>
      </c>
      <c r="K1409" s="76">
        <v>9.8836489547426645</v>
      </c>
    </row>
    <row r="1410" spans="1:11">
      <c r="A1410" s="77" t="s">
        <v>33</v>
      </c>
      <c r="B1410" s="76">
        <v>54.854872496406657</v>
      </c>
      <c r="C1410" s="76">
        <v>1.64</v>
      </c>
      <c r="D1410" s="26">
        <v>6.6700000000000009E-2</v>
      </c>
      <c r="E1410" s="78">
        <v>48.5</v>
      </c>
      <c r="F1410" s="80">
        <v>1220</v>
      </c>
      <c r="G1410" s="26"/>
      <c r="H1410" s="77">
        <v>21.7</v>
      </c>
      <c r="I1410" s="77" t="s">
        <v>14</v>
      </c>
      <c r="J1410" s="14">
        <v>1.1639999999999899</v>
      </c>
      <c r="K1410" s="76">
        <v>9.870084821009609</v>
      </c>
    </row>
    <row r="1411" spans="1:11">
      <c r="A1411" s="77" t="s">
        <v>33</v>
      </c>
      <c r="B1411" s="76">
        <v>63.147204893976607</v>
      </c>
      <c r="C1411" s="76">
        <v>1.64</v>
      </c>
      <c r="D1411" s="26">
        <v>6.6700000000000009E-2</v>
      </c>
      <c r="E1411" s="78">
        <v>48.5</v>
      </c>
      <c r="F1411" s="80">
        <v>1220</v>
      </c>
      <c r="G1411" s="26"/>
      <c r="H1411" s="77">
        <v>21.7</v>
      </c>
      <c r="I1411" s="77" t="s">
        <v>14</v>
      </c>
      <c r="J1411" s="14">
        <v>1.1639999999999899</v>
      </c>
      <c r="K1411" s="76">
        <v>9.9611854228067855</v>
      </c>
    </row>
    <row r="1412" spans="1:11">
      <c r="A1412" s="77" t="s">
        <v>33</v>
      </c>
      <c r="B1412" s="76">
        <v>71.362412490040811</v>
      </c>
      <c r="C1412" s="76">
        <v>1.64</v>
      </c>
      <c r="D1412" s="26">
        <v>6.6700000000000009E-2</v>
      </c>
      <c r="E1412" s="78">
        <v>48.5</v>
      </c>
      <c r="F1412" s="80">
        <v>1220</v>
      </c>
      <c r="G1412" s="26"/>
      <c r="H1412" s="77">
        <v>21.7</v>
      </c>
      <c r="I1412" s="77" t="s">
        <v>14</v>
      </c>
      <c r="J1412" s="14">
        <v>1.1639999999999899</v>
      </c>
      <c r="K1412" s="76">
        <v>9.8839118822076539</v>
      </c>
    </row>
    <row r="1413" spans="1:11">
      <c r="A1413" s="77" t="s">
        <v>33</v>
      </c>
      <c r="B1413" s="76">
        <v>80.803436518138199</v>
      </c>
      <c r="C1413" s="76">
        <v>1.64</v>
      </c>
      <c r="D1413" s="26">
        <v>6.6700000000000009E-2</v>
      </c>
      <c r="E1413" s="78">
        <v>48.5</v>
      </c>
      <c r="F1413" s="80">
        <v>1220</v>
      </c>
      <c r="G1413" s="26"/>
      <c r="H1413" s="77">
        <v>21.7</v>
      </c>
      <c r="I1413" s="77" t="s">
        <v>14</v>
      </c>
      <c r="J1413" s="14">
        <v>1.1639999999999899</v>
      </c>
      <c r="K1413" s="76">
        <v>9.9951947544311466</v>
      </c>
    </row>
    <row r="1414" spans="1:11">
      <c r="A1414" s="77" t="s">
        <v>33</v>
      </c>
      <c r="B1414" s="76">
        <v>88.048205305030208</v>
      </c>
      <c r="C1414" s="76">
        <v>1.64</v>
      </c>
      <c r="D1414" s="26">
        <v>6.6700000000000009E-2</v>
      </c>
      <c r="E1414" s="78">
        <v>48.5</v>
      </c>
      <c r="F1414" s="80">
        <v>1220</v>
      </c>
      <c r="G1414" s="26"/>
      <c r="H1414" s="77">
        <v>21.7</v>
      </c>
      <c r="I1414" s="77" t="s">
        <v>14</v>
      </c>
      <c r="J1414" s="14">
        <v>1.1639999999999899</v>
      </c>
      <c r="K1414" s="76">
        <v>9.9451996983625772</v>
      </c>
    </row>
    <row r="1415" spans="1:11">
      <c r="A1415" s="77" t="s">
        <v>33</v>
      </c>
      <c r="B1415" s="76">
        <v>99.218066481934201</v>
      </c>
      <c r="C1415" s="76">
        <v>1.64</v>
      </c>
      <c r="D1415" s="26">
        <v>6.6700000000000009E-2</v>
      </c>
      <c r="E1415" s="78">
        <v>48.5</v>
      </c>
      <c r="F1415" s="80">
        <v>1220</v>
      </c>
      <c r="G1415" s="26"/>
      <c r="H1415" s="77">
        <v>21.7</v>
      </c>
      <c r="I1415" s="77" t="s">
        <v>14</v>
      </c>
      <c r="J1415" s="14">
        <v>1.1639999999999899</v>
      </c>
      <c r="K1415" s="76">
        <v>10.018887115680059</v>
      </c>
    </row>
    <row r="1416" spans="1:11">
      <c r="A1416" s="77" t="s">
        <v>33</v>
      </c>
      <c r="B1416" s="76">
        <v>104.60891009383741</v>
      </c>
      <c r="C1416" s="76">
        <v>1.64</v>
      </c>
      <c r="D1416" s="26">
        <v>6.6700000000000009E-2</v>
      </c>
      <c r="E1416" s="78">
        <v>48.5</v>
      </c>
      <c r="F1416" s="80">
        <v>1220</v>
      </c>
      <c r="G1416" s="26"/>
      <c r="H1416" s="77">
        <v>21.7</v>
      </c>
      <c r="I1416" s="77" t="s">
        <v>14</v>
      </c>
      <c r="J1416" s="14">
        <v>1.1639999999999899</v>
      </c>
      <c r="K1416" s="76">
        <v>10.139778569839356</v>
      </c>
    </row>
    <row r="1417" spans="1:11">
      <c r="A1417" s="77" t="s">
        <v>33</v>
      </c>
      <c r="B1417" s="76">
        <v>112.9523404746012</v>
      </c>
      <c r="C1417" s="76">
        <v>1.64</v>
      </c>
      <c r="D1417" s="26">
        <v>6.6700000000000009E-2</v>
      </c>
      <c r="E1417" s="78">
        <v>48.5</v>
      </c>
      <c r="F1417" s="80">
        <v>1220</v>
      </c>
      <c r="G1417" s="26"/>
      <c r="H1417" s="77">
        <v>21.7</v>
      </c>
      <c r="I1417" s="77" t="s">
        <v>14</v>
      </c>
      <c r="J1417" s="14">
        <v>1.1639999999999899</v>
      </c>
      <c r="K1417" s="76">
        <v>10.008498164846557</v>
      </c>
    </row>
    <row r="1418" spans="1:11">
      <c r="A1418" s="77" t="s">
        <v>33</v>
      </c>
      <c r="B1418" s="76">
        <v>123.10836262496521</v>
      </c>
      <c r="C1418" s="76">
        <v>1.64</v>
      </c>
      <c r="D1418" s="26">
        <v>6.6700000000000009E-2</v>
      </c>
      <c r="E1418" s="78">
        <v>48.5</v>
      </c>
      <c r="F1418" s="80">
        <v>1220</v>
      </c>
      <c r="G1418" s="26"/>
      <c r="H1418" s="77">
        <v>21.7</v>
      </c>
      <c r="I1418" s="77" t="s">
        <v>14</v>
      </c>
      <c r="J1418" s="14">
        <v>1.1639999999999899</v>
      </c>
      <c r="K1418" s="76">
        <v>10.17077823884633</v>
      </c>
    </row>
    <row r="1419" spans="1:11">
      <c r="A1419" s="77" t="s">
        <v>33</v>
      </c>
      <c r="B1419" s="76">
        <v>160.59654089426999</v>
      </c>
      <c r="C1419" s="76">
        <v>1.64</v>
      </c>
      <c r="D1419" s="26">
        <v>6.6700000000000009E-2</v>
      </c>
      <c r="E1419" s="78">
        <v>48.5</v>
      </c>
      <c r="F1419" s="80">
        <v>1220</v>
      </c>
      <c r="G1419" s="26"/>
      <c r="H1419" s="77">
        <v>21.7</v>
      </c>
      <c r="I1419" s="77" t="s">
        <v>14</v>
      </c>
      <c r="J1419" s="14">
        <v>1.1639999999999899</v>
      </c>
      <c r="K1419" s="76">
        <v>10.164793812436558</v>
      </c>
    </row>
    <row r="1420" spans="1:11">
      <c r="A1420" s="77" t="s">
        <v>33</v>
      </c>
      <c r="B1420" s="76">
        <v>189.67006116141059</v>
      </c>
      <c r="C1420" s="76">
        <v>1.64</v>
      </c>
      <c r="D1420" s="26">
        <v>6.6700000000000009E-2</v>
      </c>
      <c r="E1420" s="78">
        <v>48.5</v>
      </c>
      <c r="F1420" s="80">
        <v>1220</v>
      </c>
      <c r="G1420" s="26"/>
      <c r="H1420" s="77">
        <v>21.7</v>
      </c>
      <c r="I1420" s="77" t="s">
        <v>14</v>
      </c>
      <c r="J1420" s="14">
        <v>1.1639999999999899</v>
      </c>
      <c r="K1420" s="76">
        <v>10.264551835548236</v>
      </c>
    </row>
    <row r="1421" spans="1:11">
      <c r="A1421" s="77" t="s">
        <v>33</v>
      </c>
      <c r="B1421" s="76">
        <v>216.5482867104144</v>
      </c>
      <c r="C1421" s="76">
        <v>1.64</v>
      </c>
      <c r="D1421" s="26">
        <v>6.6700000000000009E-2</v>
      </c>
      <c r="E1421" s="78">
        <v>48.5</v>
      </c>
      <c r="F1421" s="80">
        <v>1220</v>
      </c>
      <c r="G1421" s="26"/>
      <c r="H1421" s="77">
        <v>21.7</v>
      </c>
      <c r="I1421" s="77" t="s">
        <v>14</v>
      </c>
      <c r="J1421" s="14">
        <v>1.1639999999999899</v>
      </c>
      <c r="K1421" s="76">
        <v>10.077593240307147</v>
      </c>
    </row>
    <row r="1422" spans="1:11">
      <c r="A1422" s="77" t="s">
        <v>33</v>
      </c>
      <c r="B1422" s="76">
        <v>272.84873292132721</v>
      </c>
      <c r="C1422" s="76">
        <v>1.64</v>
      </c>
      <c r="D1422" s="26">
        <v>6.6700000000000009E-2</v>
      </c>
      <c r="E1422" s="78">
        <v>48.5</v>
      </c>
      <c r="F1422" s="80">
        <v>1220</v>
      </c>
      <c r="G1422" s="26"/>
      <c r="H1422" s="77">
        <v>21.7</v>
      </c>
      <c r="I1422" s="77" t="s">
        <v>14</v>
      </c>
      <c r="J1422" s="14">
        <v>1.1639999999999899</v>
      </c>
      <c r="K1422" s="76">
        <v>10.061889108149401</v>
      </c>
    </row>
    <row r="1423" spans="1:11">
      <c r="A1423" s="77" t="s">
        <v>33</v>
      </c>
      <c r="B1423" s="76">
        <v>342.94795726689358</v>
      </c>
      <c r="C1423" s="76">
        <v>1.64</v>
      </c>
      <c r="D1423" s="26">
        <v>6.6700000000000009E-2</v>
      </c>
      <c r="E1423" s="78">
        <v>48.5</v>
      </c>
      <c r="F1423" s="80">
        <v>1220</v>
      </c>
      <c r="G1423" s="26"/>
      <c r="H1423" s="77">
        <v>21.7</v>
      </c>
      <c r="I1423" s="77" t="s">
        <v>14</v>
      </c>
      <c r="J1423" s="14">
        <v>1.1639999999999799</v>
      </c>
      <c r="K1423" s="76">
        <v>9.9147556969946411</v>
      </c>
    </row>
    <row r="1424" spans="1:11">
      <c r="A1424" s="77" t="s">
        <v>33</v>
      </c>
      <c r="B1424" s="76">
        <v>396.97986905150458</v>
      </c>
      <c r="C1424" s="76">
        <v>1.64</v>
      </c>
      <c r="D1424" s="26">
        <v>6.6700000000000009E-2</v>
      </c>
      <c r="E1424" s="78">
        <v>48.5</v>
      </c>
      <c r="F1424" s="80">
        <v>1220</v>
      </c>
      <c r="G1424" s="26"/>
      <c r="H1424" s="77">
        <v>21.7</v>
      </c>
      <c r="I1424" s="77" t="s">
        <v>14</v>
      </c>
      <c r="J1424" s="14">
        <v>1.1639999999999799</v>
      </c>
      <c r="K1424" s="76">
        <v>10.02821971429826</v>
      </c>
    </row>
    <row r="1425" spans="1:11">
      <c r="A1425" s="77" t="s">
        <v>33</v>
      </c>
      <c r="B1425" s="76">
        <v>387.92716108650484</v>
      </c>
      <c r="C1425" s="76">
        <v>1.64</v>
      </c>
      <c r="D1425" s="26">
        <v>6.6700000000000009E-2</v>
      </c>
      <c r="E1425" s="78">
        <v>48.5</v>
      </c>
      <c r="F1425" s="80">
        <v>1220</v>
      </c>
      <c r="G1425" s="26"/>
      <c r="H1425" s="77">
        <v>21.7</v>
      </c>
      <c r="I1425" s="77" t="s">
        <v>14</v>
      </c>
      <c r="J1425" s="14">
        <v>1.1639999999999799</v>
      </c>
      <c r="K1425" s="76">
        <v>10.278487178798903</v>
      </c>
    </row>
    <row r="1426" spans="1:11">
      <c r="A1426" s="77" t="s">
        <v>33</v>
      </c>
      <c r="B1426" s="76">
        <v>434.05594183518775</v>
      </c>
      <c r="C1426" s="76">
        <v>1.64</v>
      </c>
      <c r="D1426" s="26">
        <v>6.6700000000000009E-2</v>
      </c>
      <c r="E1426" s="78">
        <v>48.5</v>
      </c>
      <c r="F1426" s="80">
        <v>1220</v>
      </c>
      <c r="G1426" s="26"/>
      <c r="H1426" s="77">
        <v>21.7</v>
      </c>
      <c r="I1426" s="77" t="s">
        <v>14</v>
      </c>
      <c r="J1426" s="14">
        <v>1.1639999999999799</v>
      </c>
      <c r="K1426" s="76">
        <v>10.100607618808104</v>
      </c>
    </row>
    <row r="1427" spans="1:11">
      <c r="A1427" s="77" t="s">
        <v>33</v>
      </c>
      <c r="B1427" s="76">
        <v>518.26730460406259</v>
      </c>
      <c r="C1427" s="76">
        <v>1.64</v>
      </c>
      <c r="D1427" s="26">
        <v>6.6700000000000009E-2</v>
      </c>
      <c r="E1427" s="78">
        <v>48.5</v>
      </c>
      <c r="F1427" s="80">
        <v>1220</v>
      </c>
      <c r="G1427" s="26"/>
      <c r="H1427" s="77">
        <v>21.7</v>
      </c>
      <c r="I1427" s="77" t="s">
        <v>14</v>
      </c>
      <c r="J1427" s="14">
        <v>1.1639999999999799</v>
      </c>
      <c r="K1427" s="76">
        <v>10.058142488907679</v>
      </c>
    </row>
    <row r="1428" spans="1:11">
      <c r="A1428" s="77" t="s">
        <v>33</v>
      </c>
      <c r="B1428" s="76">
        <v>532.06337049800106</v>
      </c>
      <c r="C1428" s="76">
        <v>1.64</v>
      </c>
      <c r="D1428" s="26">
        <v>6.6700000000000009E-2</v>
      </c>
      <c r="E1428" s="78">
        <v>48.5</v>
      </c>
      <c r="F1428" s="80">
        <v>1220</v>
      </c>
      <c r="G1428" s="26"/>
      <c r="H1428" s="77">
        <v>21.7</v>
      </c>
      <c r="I1428" s="77" t="s">
        <v>14</v>
      </c>
      <c r="J1428" s="14">
        <v>1.1639999999999799</v>
      </c>
      <c r="K1428" s="76">
        <v>10.241095799400604</v>
      </c>
    </row>
    <row r="1429" spans="1:11">
      <c r="A1429" s="77" t="s">
        <v>33</v>
      </c>
      <c r="B1429" s="76">
        <v>577.13622030576482</v>
      </c>
      <c r="C1429" s="76">
        <v>1.64</v>
      </c>
      <c r="D1429" s="26">
        <v>6.6700000000000009E-2</v>
      </c>
      <c r="E1429" s="78">
        <v>48.5</v>
      </c>
      <c r="F1429" s="80">
        <v>1220</v>
      </c>
      <c r="G1429" s="26"/>
      <c r="H1429" s="77">
        <v>21.7</v>
      </c>
      <c r="I1429" s="77" t="s">
        <v>14</v>
      </c>
      <c r="J1429" s="14">
        <v>1.1639999999999799</v>
      </c>
      <c r="K1429" s="76">
        <v>10.053795483808454</v>
      </c>
    </row>
    <row r="1430" spans="1:11">
      <c r="A1430" s="77" t="s">
        <v>33</v>
      </c>
      <c r="B1430" s="76">
        <v>7.9371897672881406</v>
      </c>
      <c r="C1430" s="76">
        <v>2.02</v>
      </c>
      <c r="D1430" s="26">
        <v>6.6700000000000009E-2</v>
      </c>
      <c r="E1430" s="78">
        <v>48.5</v>
      </c>
      <c r="F1430" s="80">
        <v>1220</v>
      </c>
      <c r="G1430" s="26"/>
      <c r="H1430" s="77">
        <v>21.7</v>
      </c>
      <c r="I1430" s="77" t="s">
        <v>14</v>
      </c>
      <c r="J1430" s="14">
        <v>1.1639999999999799</v>
      </c>
      <c r="K1430" s="76">
        <v>9.9840003568653337</v>
      </c>
    </row>
    <row r="1431" spans="1:11">
      <c r="A1431" s="77" t="s">
        <v>33</v>
      </c>
      <c r="B1431" s="76">
        <v>10.092926974387741</v>
      </c>
      <c r="C1431" s="76">
        <v>2.02</v>
      </c>
      <c r="D1431" s="26">
        <v>6.6700000000000009E-2</v>
      </c>
      <c r="E1431" s="78">
        <v>48.5</v>
      </c>
      <c r="F1431" s="80">
        <v>1220</v>
      </c>
      <c r="G1431" s="26"/>
      <c r="H1431" s="77">
        <v>21.7</v>
      </c>
      <c r="I1431" s="77" t="s">
        <v>14</v>
      </c>
      <c r="J1431" s="14">
        <v>1.1639999999999799</v>
      </c>
      <c r="K1431" s="76">
        <v>10.122597376532987</v>
      </c>
    </row>
    <row r="1432" spans="1:11">
      <c r="A1432" s="77" t="s">
        <v>33</v>
      </c>
      <c r="B1432" s="76">
        <v>12.518581116626279</v>
      </c>
      <c r="C1432" s="76">
        <v>2.02</v>
      </c>
      <c r="D1432" s="26">
        <v>6.6700000000000009E-2</v>
      </c>
      <c r="E1432" s="78">
        <v>48.5</v>
      </c>
      <c r="F1432" s="80">
        <v>1220</v>
      </c>
      <c r="G1432" s="26"/>
      <c r="H1432" s="77">
        <v>21.7</v>
      </c>
      <c r="I1432" s="77" t="s">
        <v>14</v>
      </c>
      <c r="J1432" s="14">
        <v>1.1639999999999799</v>
      </c>
      <c r="K1432" s="76">
        <v>10.335586453608542</v>
      </c>
    </row>
    <row r="1433" spans="1:11">
      <c r="A1433" s="77" t="s">
        <v>33</v>
      </c>
      <c r="B1433" s="76">
        <v>16.236811679302619</v>
      </c>
      <c r="C1433" s="76">
        <v>2.02</v>
      </c>
      <c r="D1433" s="26">
        <v>6.6700000000000009E-2</v>
      </c>
      <c r="E1433" s="78">
        <v>48.5</v>
      </c>
      <c r="F1433" s="80">
        <v>1220</v>
      </c>
      <c r="G1433" s="26"/>
      <c r="H1433" s="77">
        <v>21.7</v>
      </c>
      <c r="I1433" s="77" t="s">
        <v>14</v>
      </c>
      <c r="J1433" s="14">
        <v>1.1639999999999799</v>
      </c>
      <c r="K1433" s="76">
        <v>10.30363904669608</v>
      </c>
    </row>
    <row r="1434" spans="1:11">
      <c r="A1434" s="77" t="s">
        <v>33</v>
      </c>
      <c r="B1434" s="76">
        <v>19.818163383793859</v>
      </c>
      <c r="C1434" s="76">
        <v>2.02</v>
      </c>
      <c r="D1434" s="26">
        <v>6.6700000000000009E-2</v>
      </c>
      <c r="E1434" s="78">
        <v>48.5</v>
      </c>
      <c r="F1434" s="80">
        <v>1220</v>
      </c>
      <c r="G1434" s="26"/>
      <c r="H1434" s="77">
        <v>21.7</v>
      </c>
      <c r="I1434" s="77" t="s">
        <v>14</v>
      </c>
      <c r="J1434" s="14">
        <v>1.1639999999999799</v>
      </c>
      <c r="K1434" s="76">
        <v>10.1771045959657</v>
      </c>
    </row>
    <row r="1435" spans="1:11">
      <c r="A1435" s="77" t="s">
        <v>33</v>
      </c>
      <c r="B1435" s="76">
        <v>23.65617125186154</v>
      </c>
      <c r="C1435" s="76">
        <v>2.02</v>
      </c>
      <c r="D1435" s="26">
        <v>6.6700000000000009E-2</v>
      </c>
      <c r="E1435" s="78">
        <v>48.5</v>
      </c>
      <c r="F1435" s="80">
        <v>1220</v>
      </c>
      <c r="G1435" s="26"/>
      <c r="H1435" s="77">
        <v>21.7</v>
      </c>
      <c r="I1435" s="77" t="s">
        <v>14</v>
      </c>
      <c r="J1435" s="14">
        <v>1.1639999999999799</v>
      </c>
      <c r="K1435" s="76">
        <v>10.193937630796473</v>
      </c>
    </row>
    <row r="1436" spans="1:11">
      <c r="A1436" s="77" t="s">
        <v>33</v>
      </c>
      <c r="B1436" s="76">
        <v>29.156251581111359</v>
      </c>
      <c r="C1436" s="76">
        <v>2.02</v>
      </c>
      <c r="D1436" s="26">
        <v>6.6700000000000009E-2</v>
      </c>
      <c r="E1436" s="78">
        <v>48.5</v>
      </c>
      <c r="F1436" s="80">
        <v>1220</v>
      </c>
      <c r="G1436" s="26"/>
      <c r="H1436" s="77">
        <v>21.7</v>
      </c>
      <c r="I1436" s="77" t="s">
        <v>14</v>
      </c>
      <c r="J1436" s="14">
        <v>1.1639999999999799</v>
      </c>
      <c r="K1436" s="76">
        <v>10.261241556793525</v>
      </c>
    </row>
    <row r="1437" spans="1:11">
      <c r="A1437" s="77" t="s">
        <v>33</v>
      </c>
      <c r="B1437" s="76">
        <v>35.395672894138862</v>
      </c>
      <c r="C1437" s="76">
        <v>2.02</v>
      </c>
      <c r="D1437" s="26">
        <v>6.6700000000000009E-2</v>
      </c>
      <c r="E1437" s="78">
        <v>48.5</v>
      </c>
      <c r="F1437" s="80">
        <v>1220</v>
      </c>
      <c r="G1437" s="26"/>
      <c r="H1437" s="77">
        <v>21.7</v>
      </c>
      <c r="I1437" s="77" t="s">
        <v>14</v>
      </c>
      <c r="J1437" s="14">
        <v>1.1639999999999799</v>
      </c>
      <c r="K1437" s="76">
        <v>10.524426227262973</v>
      </c>
    </row>
    <row r="1438" spans="1:11">
      <c r="A1438" s="77" t="s">
        <v>33</v>
      </c>
      <c r="B1438" s="76">
        <v>43.7709361106511</v>
      </c>
      <c r="C1438" s="76">
        <v>2.02</v>
      </c>
      <c r="D1438" s="26">
        <v>6.6700000000000009E-2</v>
      </c>
      <c r="E1438" s="78">
        <v>48.5</v>
      </c>
      <c r="F1438" s="80">
        <v>1220</v>
      </c>
      <c r="G1438" s="26"/>
      <c r="H1438" s="77">
        <v>21.7</v>
      </c>
      <c r="I1438" s="77" t="s">
        <v>14</v>
      </c>
      <c r="J1438" s="14">
        <v>1.1639999999999799</v>
      </c>
      <c r="K1438" s="76">
        <v>10.582962129531454</v>
      </c>
    </row>
    <row r="1439" spans="1:11">
      <c r="A1439" s="77" t="s">
        <v>33</v>
      </c>
      <c r="B1439" s="76">
        <v>53.365345250321823</v>
      </c>
      <c r="C1439" s="76">
        <v>2.02</v>
      </c>
      <c r="D1439" s="26">
        <v>6.6700000000000009E-2</v>
      </c>
      <c r="E1439" s="78">
        <v>48.5</v>
      </c>
      <c r="F1439" s="80">
        <v>1220</v>
      </c>
      <c r="G1439" s="26"/>
      <c r="H1439" s="77">
        <v>21.7</v>
      </c>
      <c r="I1439" s="77" t="s">
        <v>14</v>
      </c>
      <c r="J1439" s="14">
        <v>1.1639999999999799</v>
      </c>
      <c r="K1439" s="76">
        <v>10.427134240544866</v>
      </c>
    </row>
    <row r="1440" spans="1:11">
      <c r="A1440" s="77" t="s">
        <v>33</v>
      </c>
      <c r="B1440" s="76">
        <v>67.467403935545391</v>
      </c>
      <c r="C1440" s="76">
        <v>2.02</v>
      </c>
      <c r="D1440" s="26">
        <v>6.6700000000000009E-2</v>
      </c>
      <c r="E1440" s="78">
        <v>48.5</v>
      </c>
      <c r="F1440" s="80">
        <v>1220</v>
      </c>
      <c r="G1440" s="26"/>
      <c r="H1440" s="77">
        <v>21.7</v>
      </c>
      <c r="I1440" s="77" t="s">
        <v>14</v>
      </c>
      <c r="J1440" s="14">
        <v>1.1639999999999799</v>
      </c>
      <c r="K1440" s="76">
        <v>10.497234345861333</v>
      </c>
    </row>
    <row r="1441" spans="1:11">
      <c r="A1441" s="77" t="s">
        <v>33</v>
      </c>
      <c r="B1441" s="76">
        <v>78.627703095057598</v>
      </c>
      <c r="C1441" s="76">
        <v>2.02</v>
      </c>
      <c r="D1441" s="26">
        <v>6.6700000000000009E-2</v>
      </c>
      <c r="E1441" s="78">
        <v>48.5</v>
      </c>
      <c r="F1441" s="80">
        <v>1220</v>
      </c>
      <c r="G1441" s="26"/>
      <c r="H1441" s="77">
        <v>21.7</v>
      </c>
      <c r="I1441" s="77" t="s">
        <v>14</v>
      </c>
      <c r="J1441" s="14">
        <v>1.1639999999999799</v>
      </c>
      <c r="K1441" s="76">
        <v>10.571214900400951</v>
      </c>
    </row>
    <row r="1442" spans="1:11">
      <c r="A1442" s="77" t="s">
        <v>33</v>
      </c>
      <c r="B1442" s="76">
        <v>96.348982197742203</v>
      </c>
      <c r="C1442" s="76">
        <v>2.02</v>
      </c>
      <c r="D1442" s="26">
        <v>6.6700000000000009E-2</v>
      </c>
      <c r="E1442" s="78">
        <v>48.5</v>
      </c>
      <c r="F1442" s="80">
        <v>1220</v>
      </c>
      <c r="G1442" s="26"/>
      <c r="H1442" s="77">
        <v>21.7</v>
      </c>
      <c r="I1442" s="77" t="s">
        <v>14</v>
      </c>
      <c r="J1442" s="14">
        <v>1.1639999999999799</v>
      </c>
      <c r="K1442" s="76">
        <v>10.711122924939597</v>
      </c>
    </row>
    <row r="1443" spans="1:11">
      <c r="A1443" s="77" t="s">
        <v>33</v>
      </c>
      <c r="B1443" s="76">
        <v>115.8319391881092</v>
      </c>
      <c r="C1443" s="76">
        <v>2.02</v>
      </c>
      <c r="D1443" s="26">
        <v>6.6700000000000009E-2</v>
      </c>
      <c r="E1443" s="78">
        <v>48.5</v>
      </c>
      <c r="F1443" s="80">
        <v>1220</v>
      </c>
      <c r="G1443" s="26"/>
      <c r="H1443" s="77">
        <v>21.7</v>
      </c>
      <c r="I1443" s="77" t="s">
        <v>14</v>
      </c>
      <c r="J1443" s="14">
        <v>1.1639999999999799</v>
      </c>
      <c r="K1443" s="76">
        <v>10.761460872790359</v>
      </c>
    </row>
    <row r="1444" spans="1:11">
      <c r="A1444" s="77" t="s">
        <v>33</v>
      </c>
      <c r="B1444" s="76">
        <v>141.9903037321734</v>
      </c>
      <c r="C1444" s="76">
        <v>2.02</v>
      </c>
      <c r="D1444" s="26">
        <v>6.6700000000000009E-2</v>
      </c>
      <c r="E1444" s="78">
        <v>48.5</v>
      </c>
      <c r="F1444" s="80">
        <v>1220</v>
      </c>
      <c r="G1444" s="26"/>
      <c r="H1444" s="77">
        <v>21.7</v>
      </c>
      <c r="I1444" s="77" t="s">
        <v>14</v>
      </c>
      <c r="J1444" s="14">
        <v>1.1639999999999799</v>
      </c>
      <c r="K1444" s="76">
        <v>10.676594547193536</v>
      </c>
    </row>
    <row r="1445" spans="1:11">
      <c r="A1445" s="77" t="s">
        <v>33</v>
      </c>
      <c r="B1445" s="76">
        <v>162.41324962226281</v>
      </c>
      <c r="C1445" s="76">
        <v>2.02</v>
      </c>
      <c r="D1445" s="26">
        <v>6.6700000000000009E-2</v>
      </c>
      <c r="E1445" s="78">
        <v>48.5</v>
      </c>
      <c r="F1445" s="80">
        <v>1220</v>
      </c>
      <c r="G1445" s="26"/>
      <c r="H1445" s="77">
        <v>21.7</v>
      </c>
      <c r="I1445" s="77" t="s">
        <v>14</v>
      </c>
      <c r="J1445" s="14">
        <v>1.1639999999999799</v>
      </c>
      <c r="K1445" s="76">
        <v>10.934095216255036</v>
      </c>
    </row>
    <row r="1446" spans="1:11">
      <c r="A1446" s="77" t="s">
        <v>33</v>
      </c>
      <c r="B1446" s="76">
        <v>189.63122286220201</v>
      </c>
      <c r="C1446" s="76">
        <v>2.02</v>
      </c>
      <c r="D1446" s="26">
        <v>6.6700000000000009E-2</v>
      </c>
      <c r="E1446" s="78">
        <v>48.5</v>
      </c>
      <c r="F1446" s="80">
        <v>1220</v>
      </c>
      <c r="G1446" s="26"/>
      <c r="H1446" s="77">
        <v>21.7</v>
      </c>
      <c r="I1446" s="77" t="s">
        <v>14</v>
      </c>
      <c r="J1446" s="14">
        <v>1.1639999999999799</v>
      </c>
      <c r="K1446" s="76">
        <v>11.126542145625526</v>
      </c>
    </row>
    <row r="1447" spans="1:11">
      <c r="A1447" s="77" t="s">
        <v>33</v>
      </c>
      <c r="B1447" s="76">
        <v>220.266960939792</v>
      </c>
      <c r="C1447" s="76">
        <v>2.02</v>
      </c>
      <c r="D1447" s="26">
        <v>6.6700000000000009E-2</v>
      </c>
      <c r="E1447" s="78">
        <v>48.5</v>
      </c>
      <c r="F1447" s="80">
        <v>1220</v>
      </c>
      <c r="G1447" s="26"/>
      <c r="H1447" s="77">
        <v>21.7</v>
      </c>
      <c r="I1447" s="77" t="s">
        <v>14</v>
      </c>
      <c r="J1447" s="14">
        <v>1.1639999999999799</v>
      </c>
      <c r="K1447" s="76">
        <v>11.439617597315216</v>
      </c>
    </row>
    <row r="1448" spans="1:11">
      <c r="A1448" s="77" t="s">
        <v>33</v>
      </c>
      <c r="B1448" s="76">
        <v>270.74555388244323</v>
      </c>
      <c r="C1448" s="76">
        <v>2.02</v>
      </c>
      <c r="D1448" s="26">
        <v>6.6700000000000009E-2</v>
      </c>
      <c r="E1448" s="78">
        <v>48.5</v>
      </c>
      <c r="F1448" s="80">
        <v>1220</v>
      </c>
      <c r="G1448" s="26"/>
      <c r="H1448" s="77">
        <v>21.7</v>
      </c>
      <c r="I1448" s="77" t="s">
        <v>14</v>
      </c>
      <c r="J1448" s="14">
        <v>1.1639999999999799</v>
      </c>
      <c r="K1448" s="76">
        <v>11.987829771274711</v>
      </c>
    </row>
    <row r="1449" spans="1:11">
      <c r="A1449" s="77" t="s">
        <v>33</v>
      </c>
      <c r="B1449" s="76">
        <v>311.14081367157661</v>
      </c>
      <c r="C1449" s="76">
        <v>2.02</v>
      </c>
      <c r="D1449" s="26">
        <v>6.6700000000000009E-2</v>
      </c>
      <c r="E1449" s="78">
        <v>48.5</v>
      </c>
      <c r="F1449" s="80">
        <v>1220</v>
      </c>
      <c r="G1449" s="26"/>
      <c r="H1449" s="77">
        <v>21.7</v>
      </c>
      <c r="I1449" s="77" t="s">
        <v>14</v>
      </c>
      <c r="J1449" s="14">
        <v>1.1639999999999799</v>
      </c>
      <c r="K1449" s="76">
        <v>11.949583146719055</v>
      </c>
    </row>
    <row r="1450" spans="1:11">
      <c r="A1450" s="77" t="s">
        <v>33</v>
      </c>
      <c r="B1450" s="76">
        <v>361.95187531579739</v>
      </c>
      <c r="C1450" s="76">
        <v>2.02</v>
      </c>
      <c r="D1450" s="26">
        <v>6.6700000000000009E-2</v>
      </c>
      <c r="E1450" s="78">
        <v>48.5</v>
      </c>
      <c r="F1450" s="80">
        <v>1220</v>
      </c>
      <c r="G1450" s="26"/>
      <c r="H1450" s="77">
        <v>21.7</v>
      </c>
      <c r="I1450" s="77" t="s">
        <v>14</v>
      </c>
      <c r="J1450" s="14">
        <v>1.1639999999999799</v>
      </c>
      <c r="K1450" s="76">
        <v>12.163866535323233</v>
      </c>
    </row>
    <row r="1451" spans="1:11">
      <c r="A1451" s="77" t="s">
        <v>33</v>
      </c>
      <c r="B1451" s="76">
        <v>412.11539043630364</v>
      </c>
      <c r="C1451" s="76">
        <v>2.02</v>
      </c>
      <c r="D1451" s="80">
        <v>6.6700000000000009E-2</v>
      </c>
      <c r="E1451" s="78">
        <v>48.5</v>
      </c>
      <c r="F1451" s="80">
        <v>1220</v>
      </c>
      <c r="G1451" s="26"/>
      <c r="H1451" s="77">
        <v>21.7</v>
      </c>
      <c r="I1451" s="77" t="s">
        <v>14</v>
      </c>
      <c r="J1451" s="14">
        <v>1.1639999999999799</v>
      </c>
      <c r="K1451" s="76">
        <v>12.315020986054936</v>
      </c>
    </row>
    <row r="1452" spans="1:11">
      <c r="A1452" s="77" t="s">
        <v>33</v>
      </c>
      <c r="B1452" s="76">
        <v>469.67063988232439</v>
      </c>
      <c r="C1452" s="76">
        <v>2.02</v>
      </c>
      <c r="D1452" s="80">
        <v>6.6700000000000009E-2</v>
      </c>
      <c r="E1452" s="78">
        <v>48.5</v>
      </c>
      <c r="F1452" s="80">
        <v>1220</v>
      </c>
      <c r="G1452" s="26"/>
      <c r="H1452" s="77">
        <v>21.7</v>
      </c>
      <c r="I1452" s="77" t="s">
        <v>14</v>
      </c>
      <c r="J1452" s="14">
        <v>1.1639999999999799</v>
      </c>
      <c r="K1452" s="76">
        <v>12.317027718612742</v>
      </c>
    </row>
    <row r="1453" spans="1:11">
      <c r="A1453" s="77" t="s">
        <v>33</v>
      </c>
      <c r="B1453" s="76">
        <v>541.18439285673833</v>
      </c>
      <c r="C1453" s="76">
        <v>2.02</v>
      </c>
      <c r="D1453" s="80">
        <v>6.6700000000000009E-2</v>
      </c>
      <c r="E1453" s="78">
        <v>48.5</v>
      </c>
      <c r="F1453" s="80">
        <v>1220</v>
      </c>
      <c r="G1453" s="26"/>
      <c r="H1453" s="77">
        <v>21.7</v>
      </c>
      <c r="I1453" s="77" t="s">
        <v>14</v>
      </c>
      <c r="J1453" s="14">
        <v>1.1639999999999799</v>
      </c>
      <c r="K1453" s="76">
        <v>12.635964968887999</v>
      </c>
    </row>
    <row r="1454" spans="1:11">
      <c r="A1454" s="77" t="s">
        <v>33</v>
      </c>
      <c r="B1454" s="76">
        <v>6.5633586705391798</v>
      </c>
      <c r="C1454" s="25">
        <v>1.08</v>
      </c>
      <c r="D1454" s="77">
        <v>7.1800000000000003E-2</v>
      </c>
      <c r="E1454" s="77">
        <v>0.874</v>
      </c>
      <c r="F1454" s="77">
        <v>997</v>
      </c>
      <c r="G1454" s="76"/>
      <c r="H1454" s="77">
        <v>26</v>
      </c>
      <c r="I1454" s="77" t="s">
        <v>34</v>
      </c>
      <c r="J1454" s="14">
        <v>0.1661</v>
      </c>
      <c r="K1454" s="76">
        <v>10.18972423525657</v>
      </c>
    </row>
    <row r="1455" spans="1:11">
      <c r="A1455" s="77" t="s">
        <v>33</v>
      </c>
      <c r="B1455" s="76">
        <v>7.680298567140901</v>
      </c>
      <c r="C1455" s="25">
        <v>1.08</v>
      </c>
      <c r="D1455" s="77">
        <v>7.1800000000000003E-2</v>
      </c>
      <c r="E1455" s="77">
        <v>0.874</v>
      </c>
      <c r="F1455" s="77">
        <v>997</v>
      </c>
      <c r="G1455" s="76"/>
      <c r="H1455" s="77">
        <v>26</v>
      </c>
      <c r="I1455" s="77" t="s">
        <v>34</v>
      </c>
      <c r="J1455" s="14">
        <v>0.1661</v>
      </c>
      <c r="K1455" s="76">
        <v>10.076862799846996</v>
      </c>
    </row>
    <row r="1456" spans="1:11">
      <c r="A1456" s="77" t="s">
        <v>33</v>
      </c>
      <c r="B1456" s="76">
        <v>9.3073377954690599</v>
      </c>
      <c r="C1456" s="25">
        <v>1.08</v>
      </c>
      <c r="D1456" s="77">
        <v>7.1800000000000003E-2</v>
      </c>
      <c r="E1456" s="77">
        <v>0.874</v>
      </c>
      <c r="F1456" s="77">
        <v>997</v>
      </c>
      <c r="G1456" s="76"/>
      <c r="H1456" s="77">
        <v>26</v>
      </c>
      <c r="I1456" s="77" t="s">
        <v>34</v>
      </c>
      <c r="J1456" s="14">
        <v>0.1661</v>
      </c>
      <c r="K1456" s="76">
        <v>10.326458850896238</v>
      </c>
    </row>
    <row r="1457" spans="1:11">
      <c r="A1457" s="77" t="s">
        <v>33</v>
      </c>
      <c r="B1457" s="76">
        <v>12.73722055669308</v>
      </c>
      <c r="C1457" s="25">
        <v>1.08</v>
      </c>
      <c r="D1457" s="77">
        <v>7.1800000000000003E-2</v>
      </c>
      <c r="E1457" s="77">
        <v>0.874</v>
      </c>
      <c r="F1457" s="77">
        <v>997</v>
      </c>
      <c r="G1457" s="76"/>
      <c r="H1457" s="77">
        <v>26</v>
      </c>
      <c r="I1457" s="77" t="s">
        <v>34</v>
      </c>
      <c r="J1457" s="14">
        <v>0.1661</v>
      </c>
      <c r="K1457" s="76">
        <v>10.424333125912392</v>
      </c>
    </row>
    <row r="1458" spans="1:11">
      <c r="A1458" s="77" t="s">
        <v>33</v>
      </c>
      <c r="B1458" s="76">
        <v>15.374817410920979</v>
      </c>
      <c r="C1458" s="25">
        <v>1.08</v>
      </c>
      <c r="D1458" s="77">
        <v>7.1800000000000003E-2</v>
      </c>
      <c r="E1458" s="77">
        <v>0.874</v>
      </c>
      <c r="F1458" s="77">
        <v>997</v>
      </c>
      <c r="G1458" s="76"/>
      <c r="H1458" s="77">
        <v>26</v>
      </c>
      <c r="I1458" s="77" t="s">
        <v>34</v>
      </c>
      <c r="J1458" s="14">
        <v>0.1661</v>
      </c>
      <c r="K1458" s="76">
        <v>10.432352096764765</v>
      </c>
    </row>
    <row r="1459" spans="1:11">
      <c r="A1459" s="77" t="s">
        <v>33</v>
      </c>
      <c r="B1459" s="76">
        <v>19.054718742034737</v>
      </c>
      <c r="C1459" s="25">
        <v>1.08</v>
      </c>
      <c r="D1459" s="77">
        <v>7.1800000000000003E-2</v>
      </c>
      <c r="E1459" s="77">
        <v>0.874</v>
      </c>
      <c r="F1459" s="77">
        <v>997</v>
      </c>
      <c r="G1459" s="76"/>
      <c r="H1459" s="77">
        <v>26</v>
      </c>
      <c r="I1459" s="77" t="s">
        <v>34</v>
      </c>
      <c r="J1459" s="14">
        <v>0.1661</v>
      </c>
      <c r="K1459" s="76">
        <v>10.402454439129308</v>
      </c>
    </row>
    <row r="1460" spans="1:11">
      <c r="A1460" s="77" t="s">
        <v>33</v>
      </c>
      <c r="B1460" s="76">
        <v>25.8422282387805</v>
      </c>
      <c r="C1460" s="25">
        <v>1.08</v>
      </c>
      <c r="D1460" s="77">
        <v>7.1800000000000003E-2</v>
      </c>
      <c r="E1460" s="77">
        <v>0.874</v>
      </c>
      <c r="F1460" s="77">
        <v>997</v>
      </c>
      <c r="G1460" s="76"/>
      <c r="H1460" s="77">
        <v>26</v>
      </c>
      <c r="I1460" s="77" t="s">
        <v>34</v>
      </c>
      <c r="J1460" s="14">
        <v>0.1661</v>
      </c>
      <c r="K1460" s="76">
        <v>10.500921838365352</v>
      </c>
    </row>
    <row r="1461" spans="1:11">
      <c r="A1461" s="77" t="s">
        <v>33</v>
      </c>
      <c r="B1461" s="76">
        <v>34.047588498932939</v>
      </c>
      <c r="C1461" s="25">
        <v>1.08</v>
      </c>
      <c r="D1461" s="77">
        <v>7.1800000000000003E-2</v>
      </c>
      <c r="E1461" s="77">
        <v>0.874</v>
      </c>
      <c r="F1461" s="77">
        <v>997</v>
      </c>
      <c r="G1461" s="76"/>
      <c r="H1461" s="77">
        <v>26</v>
      </c>
      <c r="I1461" s="77" t="s">
        <v>34</v>
      </c>
      <c r="J1461" s="14">
        <v>0.1661</v>
      </c>
      <c r="K1461" s="76">
        <v>10.457395758233224</v>
      </c>
    </row>
    <row r="1462" spans="1:11">
      <c r="A1462" s="77" t="s">
        <v>33</v>
      </c>
      <c r="B1462" s="76">
        <v>41.504853094681742</v>
      </c>
      <c r="C1462" s="25">
        <v>1.08</v>
      </c>
      <c r="D1462" s="77">
        <v>7.1800000000000003E-2</v>
      </c>
      <c r="E1462" s="77">
        <v>0.874</v>
      </c>
      <c r="F1462" s="77">
        <v>997</v>
      </c>
      <c r="G1462" s="76"/>
      <c r="H1462" s="77">
        <v>26</v>
      </c>
      <c r="I1462" s="77" t="s">
        <v>34</v>
      </c>
      <c r="J1462" s="14">
        <v>0.1661</v>
      </c>
      <c r="K1462" s="76">
        <v>10.507695394119606</v>
      </c>
    </row>
    <row r="1463" spans="1:11">
      <c r="A1463" s="77" t="s">
        <v>33</v>
      </c>
      <c r="B1463" s="76">
        <v>49.937205395813336</v>
      </c>
      <c r="C1463" s="25">
        <v>1.08</v>
      </c>
      <c r="D1463" s="77">
        <v>7.1800000000000003E-2</v>
      </c>
      <c r="E1463" s="77">
        <v>0.874</v>
      </c>
      <c r="F1463" s="77">
        <v>997</v>
      </c>
      <c r="G1463" s="76"/>
      <c r="H1463" s="77">
        <v>26</v>
      </c>
      <c r="I1463" s="77" t="s">
        <v>34</v>
      </c>
      <c r="J1463" s="14">
        <v>0.1661</v>
      </c>
      <c r="K1463" s="76">
        <v>10.574167044077399</v>
      </c>
    </row>
    <row r="1464" spans="1:11">
      <c r="A1464" s="77" t="s">
        <v>33</v>
      </c>
      <c r="B1464" s="76">
        <v>59.658047776776719</v>
      </c>
      <c r="C1464" s="25">
        <v>1.08</v>
      </c>
      <c r="D1464" s="77">
        <v>7.1800000000000003E-2</v>
      </c>
      <c r="E1464" s="77">
        <v>0.874</v>
      </c>
      <c r="F1464" s="77">
        <v>997</v>
      </c>
      <c r="G1464" s="76"/>
      <c r="H1464" s="77">
        <v>26</v>
      </c>
      <c r="I1464" s="77" t="s">
        <v>34</v>
      </c>
      <c r="J1464" s="14">
        <v>0.1661</v>
      </c>
      <c r="K1464" s="76">
        <v>10.559515606365716</v>
      </c>
    </row>
    <row r="1465" spans="1:11">
      <c r="A1465" s="77" t="s">
        <v>33</v>
      </c>
      <c r="B1465" s="76">
        <v>68.041171093521001</v>
      </c>
      <c r="C1465" s="25">
        <v>1.08</v>
      </c>
      <c r="D1465" s="77">
        <v>7.1800000000000003E-2</v>
      </c>
      <c r="E1465" s="77">
        <v>0.874</v>
      </c>
      <c r="F1465" s="77">
        <v>997</v>
      </c>
      <c r="G1465" s="76"/>
      <c r="H1465" s="77">
        <v>26</v>
      </c>
      <c r="I1465" s="77" t="s">
        <v>34</v>
      </c>
      <c r="J1465" s="14">
        <v>0.1661</v>
      </c>
      <c r="K1465" s="76">
        <v>10.542713890066121</v>
      </c>
    </row>
    <row r="1466" spans="1:11">
      <c r="A1466" s="77" t="s">
        <v>33</v>
      </c>
      <c r="B1466" s="76">
        <v>79.938057889975795</v>
      </c>
      <c r="C1466" s="25">
        <v>1.08</v>
      </c>
      <c r="D1466" s="77">
        <v>7.1800000000000003E-2</v>
      </c>
      <c r="E1466" s="77">
        <v>0.874</v>
      </c>
      <c r="F1466" s="77">
        <v>997</v>
      </c>
      <c r="G1466" s="76"/>
      <c r="H1466" s="77">
        <v>26</v>
      </c>
      <c r="I1466" s="77" t="s">
        <v>34</v>
      </c>
      <c r="J1466" s="14">
        <v>0.1661</v>
      </c>
      <c r="K1466" s="76">
        <v>10.606548869249542</v>
      </c>
    </row>
    <row r="1467" spans="1:11">
      <c r="A1467" s="77" t="s">
        <v>33</v>
      </c>
      <c r="B1467" s="76">
        <v>90.060937060663207</v>
      </c>
      <c r="C1467" s="25">
        <v>1.08</v>
      </c>
      <c r="D1467" s="77">
        <v>7.1800000000000003E-2</v>
      </c>
      <c r="E1467" s="77">
        <v>0.874</v>
      </c>
      <c r="F1467" s="77">
        <v>997</v>
      </c>
      <c r="G1467" s="76"/>
      <c r="H1467" s="77">
        <v>26</v>
      </c>
      <c r="I1467" s="77" t="s">
        <v>34</v>
      </c>
      <c r="J1467" s="14">
        <v>0.1661</v>
      </c>
      <c r="K1467" s="76">
        <v>10.607993929126431</v>
      </c>
    </row>
    <row r="1468" spans="1:11">
      <c r="A1468" s="77" t="s">
        <v>33</v>
      </c>
      <c r="B1468" s="76">
        <v>100.0487221861152</v>
      </c>
      <c r="C1468" s="25">
        <v>1.08</v>
      </c>
      <c r="D1468" s="77">
        <v>7.1800000000000003E-2</v>
      </c>
      <c r="E1468" s="77">
        <v>0.874</v>
      </c>
      <c r="F1468" s="77">
        <v>997</v>
      </c>
      <c r="G1468" s="76"/>
      <c r="H1468" s="77">
        <v>26</v>
      </c>
      <c r="I1468" s="77" t="s">
        <v>34</v>
      </c>
      <c r="J1468" s="14">
        <v>0.1661</v>
      </c>
      <c r="K1468" s="76">
        <v>10.620976176775869</v>
      </c>
    </row>
    <row r="1469" spans="1:11">
      <c r="A1469" s="77" t="s">
        <v>33</v>
      </c>
      <c r="B1469" s="76">
        <v>110.4188058495138</v>
      </c>
      <c r="C1469" s="25">
        <v>1.08</v>
      </c>
      <c r="D1469" s="77">
        <v>7.1800000000000003E-2</v>
      </c>
      <c r="E1469" s="77">
        <v>0.874</v>
      </c>
      <c r="F1469" s="77">
        <v>997</v>
      </c>
      <c r="G1469" s="76"/>
      <c r="H1469" s="77">
        <v>26</v>
      </c>
      <c r="I1469" s="77" t="s">
        <v>34</v>
      </c>
      <c r="J1469" s="14">
        <v>0.1661</v>
      </c>
      <c r="K1469" s="76">
        <v>10.633748961738892</v>
      </c>
    </row>
    <row r="1470" spans="1:11">
      <c r="A1470" s="77" t="s">
        <v>33</v>
      </c>
      <c r="B1470" s="76">
        <v>119.6352579986646</v>
      </c>
      <c r="C1470" s="25">
        <v>1.08</v>
      </c>
      <c r="D1470" s="77">
        <v>7.1800000000000003E-2</v>
      </c>
      <c r="E1470" s="77">
        <v>0.874</v>
      </c>
      <c r="F1470" s="77">
        <v>997</v>
      </c>
      <c r="G1470" s="76"/>
      <c r="H1470" s="77">
        <v>26</v>
      </c>
      <c r="I1470" s="77" t="s">
        <v>34</v>
      </c>
      <c r="J1470" s="14">
        <v>0.1661</v>
      </c>
      <c r="K1470" s="76">
        <v>10.644925663481098</v>
      </c>
    </row>
    <row r="1471" spans="1:11">
      <c r="A1471" s="77" t="s">
        <v>33</v>
      </c>
      <c r="B1471" s="76">
        <v>131.09688346655759</v>
      </c>
      <c r="C1471" s="25">
        <v>1.08</v>
      </c>
      <c r="D1471" s="77">
        <v>7.1800000000000003E-2</v>
      </c>
      <c r="E1471" s="77">
        <v>0.874</v>
      </c>
      <c r="F1471" s="77">
        <v>997</v>
      </c>
      <c r="G1471" s="76"/>
      <c r="H1471" s="77">
        <v>26</v>
      </c>
      <c r="I1471" s="77" t="s">
        <v>34</v>
      </c>
      <c r="J1471" s="14">
        <v>0.1661</v>
      </c>
      <c r="K1471" s="76">
        <v>10.629725648060115</v>
      </c>
    </row>
    <row r="1472" spans="1:11">
      <c r="A1472" s="77" t="s">
        <v>33</v>
      </c>
      <c r="B1472" s="76">
        <v>142.71516075829319</v>
      </c>
      <c r="C1472" s="25">
        <v>1.08</v>
      </c>
      <c r="D1472" s="77">
        <v>7.1800000000000003E-2</v>
      </c>
      <c r="E1472" s="77">
        <v>0.874</v>
      </c>
      <c r="F1472" s="77">
        <v>997</v>
      </c>
      <c r="G1472" s="76"/>
      <c r="H1472" s="77">
        <v>26</v>
      </c>
      <c r="I1472" s="77" t="s">
        <v>34</v>
      </c>
      <c r="J1472" s="14">
        <v>0.1661</v>
      </c>
      <c r="K1472" s="76">
        <v>10.571734395095955</v>
      </c>
    </row>
    <row r="1473" spans="1:11">
      <c r="A1473" s="77" t="s">
        <v>33</v>
      </c>
      <c r="B1473" s="76">
        <v>158.0004187248168</v>
      </c>
      <c r="C1473" s="25">
        <v>1.08</v>
      </c>
      <c r="D1473" s="77">
        <v>7.1800000000000003E-2</v>
      </c>
      <c r="E1473" s="77">
        <v>0.874</v>
      </c>
      <c r="F1473" s="77">
        <v>997</v>
      </c>
      <c r="G1473" s="76"/>
      <c r="H1473" s="77">
        <v>26</v>
      </c>
      <c r="I1473" s="77" t="s">
        <v>34</v>
      </c>
      <c r="J1473" s="14">
        <v>0.1661</v>
      </c>
      <c r="K1473" s="76">
        <v>10.779117437127658</v>
      </c>
    </row>
    <row r="1474" spans="1:11">
      <c r="A1474" s="77" t="s">
        <v>33</v>
      </c>
      <c r="B1474" s="76">
        <v>179.59153830085859</v>
      </c>
      <c r="C1474" s="25">
        <v>1.08</v>
      </c>
      <c r="D1474" s="77">
        <v>7.1800000000000003E-2</v>
      </c>
      <c r="E1474" s="77">
        <v>0.874</v>
      </c>
      <c r="F1474" s="77">
        <v>997</v>
      </c>
      <c r="G1474" s="76"/>
      <c r="H1474" s="77">
        <v>26</v>
      </c>
      <c r="I1474" s="77" t="s">
        <v>34</v>
      </c>
      <c r="J1474" s="14">
        <v>0.1661</v>
      </c>
      <c r="K1474" s="76">
        <v>10.663827116273962</v>
      </c>
    </row>
    <row r="1475" spans="1:11">
      <c r="A1475" s="77" t="s">
        <v>33</v>
      </c>
      <c r="B1475" s="76">
        <v>228.9441540551112</v>
      </c>
      <c r="C1475" s="25">
        <v>1.08</v>
      </c>
      <c r="D1475" s="77">
        <v>7.1800000000000003E-2</v>
      </c>
      <c r="E1475" s="77">
        <v>0.874</v>
      </c>
      <c r="F1475" s="77">
        <v>997</v>
      </c>
      <c r="G1475" s="76"/>
      <c r="H1475" s="77">
        <v>26</v>
      </c>
      <c r="I1475" s="77" t="s">
        <v>34</v>
      </c>
      <c r="J1475" s="14">
        <v>0.1661</v>
      </c>
      <c r="K1475" s="76">
        <v>10.779639572785491</v>
      </c>
    </row>
    <row r="1476" spans="1:11">
      <c r="A1476" s="77" t="s">
        <v>33</v>
      </c>
      <c r="B1476" s="76">
        <v>271.1703216435684</v>
      </c>
      <c r="C1476" s="25">
        <v>1.08</v>
      </c>
      <c r="D1476" s="77">
        <v>7.1800000000000003E-2</v>
      </c>
      <c r="E1476" s="77">
        <v>0.874</v>
      </c>
      <c r="F1476" s="77">
        <v>997</v>
      </c>
      <c r="G1476" s="76"/>
      <c r="H1476" s="77">
        <v>26</v>
      </c>
      <c r="I1476" s="77" t="s">
        <v>34</v>
      </c>
      <c r="J1476" s="14">
        <v>0.1661</v>
      </c>
      <c r="K1476" s="76">
        <v>10.810784938437628</v>
      </c>
    </row>
    <row r="1477" spans="1:11">
      <c r="A1477" s="77" t="s">
        <v>33</v>
      </c>
      <c r="B1477" s="76">
        <v>316.05185950914057</v>
      </c>
      <c r="C1477" s="25">
        <v>1.08</v>
      </c>
      <c r="D1477" s="77">
        <v>7.1800000000000003E-2</v>
      </c>
      <c r="E1477" s="77">
        <v>0.874</v>
      </c>
      <c r="F1477" s="77">
        <v>997</v>
      </c>
      <c r="G1477" s="76"/>
      <c r="H1477" s="77">
        <v>26</v>
      </c>
      <c r="I1477" s="77" t="s">
        <v>34</v>
      </c>
      <c r="J1477" s="14">
        <v>0.1661</v>
      </c>
      <c r="K1477" s="76">
        <v>10.834178403264971</v>
      </c>
    </row>
    <row r="1478" spans="1:11">
      <c r="A1478" s="77" t="s">
        <v>33</v>
      </c>
      <c r="B1478" s="76">
        <v>353.28320547877502</v>
      </c>
      <c r="C1478" s="25">
        <v>1.08</v>
      </c>
      <c r="D1478" s="77">
        <v>7.1800000000000003E-2</v>
      </c>
      <c r="E1478" s="77">
        <v>0.874</v>
      </c>
      <c r="F1478" s="77">
        <v>997</v>
      </c>
      <c r="G1478" s="76"/>
      <c r="H1478" s="77">
        <v>26</v>
      </c>
      <c r="I1478" s="77" t="s">
        <v>34</v>
      </c>
      <c r="J1478" s="14">
        <v>0.1661</v>
      </c>
      <c r="K1478" s="76">
        <v>10.937791975385519</v>
      </c>
    </row>
    <row r="1479" spans="1:11">
      <c r="A1479" s="77" t="s">
        <v>33</v>
      </c>
      <c r="B1479" s="76">
        <v>400.90338992116801</v>
      </c>
      <c r="C1479" s="25">
        <v>1.08</v>
      </c>
      <c r="D1479" s="77">
        <v>7.1800000000000003E-2</v>
      </c>
      <c r="E1479" s="77">
        <v>0.874</v>
      </c>
      <c r="F1479" s="77">
        <v>997</v>
      </c>
      <c r="G1479" s="76"/>
      <c r="H1479" s="77">
        <v>26</v>
      </c>
      <c r="I1479" s="77" t="s">
        <v>34</v>
      </c>
      <c r="J1479" s="14">
        <v>0.1661</v>
      </c>
      <c r="K1479" s="76">
        <v>10.934448067642291</v>
      </c>
    </row>
    <row r="1480" spans="1:11">
      <c r="A1480" s="77" t="s">
        <v>33</v>
      </c>
      <c r="B1480" s="76">
        <v>458.00597054494017</v>
      </c>
      <c r="C1480" s="25">
        <v>1.08</v>
      </c>
      <c r="D1480" s="77">
        <v>7.1800000000000003E-2</v>
      </c>
      <c r="E1480" s="77">
        <v>0.874</v>
      </c>
      <c r="F1480" s="77">
        <v>997</v>
      </c>
      <c r="G1480" s="76"/>
      <c r="H1480" s="77">
        <v>26</v>
      </c>
      <c r="I1480" s="77" t="s">
        <v>34</v>
      </c>
      <c r="J1480" s="14">
        <v>0.1661</v>
      </c>
      <c r="K1480" s="76">
        <v>11.01641873260847</v>
      </c>
    </row>
    <row r="1481" spans="1:11">
      <c r="A1481" s="77" t="s">
        <v>33</v>
      </c>
      <c r="B1481" s="76">
        <v>513.87678103813982</v>
      </c>
      <c r="C1481" s="25">
        <v>1.08</v>
      </c>
      <c r="D1481" s="77">
        <v>7.1800000000000003E-2</v>
      </c>
      <c r="E1481" s="77">
        <v>0.874</v>
      </c>
      <c r="F1481" s="77">
        <v>997</v>
      </c>
      <c r="G1481" s="76"/>
      <c r="H1481" s="77">
        <v>26</v>
      </c>
      <c r="I1481" s="77" t="s">
        <v>34</v>
      </c>
      <c r="J1481" s="14">
        <v>0.1661</v>
      </c>
      <c r="K1481" s="76">
        <v>11.052061886730323</v>
      </c>
    </row>
    <row r="1482" spans="1:11">
      <c r="A1482" s="77" t="s">
        <v>33</v>
      </c>
      <c r="B1482" s="76">
        <v>554.45752003072869</v>
      </c>
      <c r="C1482" s="25">
        <v>1.08</v>
      </c>
      <c r="D1482" s="77">
        <v>7.1800000000000003E-2</v>
      </c>
      <c r="E1482" s="77">
        <v>0.874</v>
      </c>
      <c r="F1482" s="77">
        <v>997</v>
      </c>
      <c r="G1482" s="76"/>
      <c r="H1482" s="77">
        <v>26</v>
      </c>
      <c r="I1482" s="77" t="s">
        <v>34</v>
      </c>
      <c r="J1482" s="14">
        <v>0.1661</v>
      </c>
      <c r="K1482" s="76">
        <v>10.813272595049703</v>
      </c>
    </row>
    <row r="1483" spans="1:11">
      <c r="A1483" s="77" t="s">
        <v>33</v>
      </c>
      <c r="B1483" s="76">
        <v>7.0723981859656799</v>
      </c>
      <c r="C1483" s="25">
        <v>1.08</v>
      </c>
      <c r="D1483" s="77">
        <v>7.1800000000000003E-2</v>
      </c>
      <c r="E1483" s="77">
        <v>0.874</v>
      </c>
      <c r="F1483" s="77">
        <v>997</v>
      </c>
      <c r="G1483" s="76"/>
      <c r="H1483" s="77">
        <v>26</v>
      </c>
      <c r="I1483" s="77" t="s">
        <v>14</v>
      </c>
      <c r="J1483" s="14">
        <v>1.1639999999999799</v>
      </c>
      <c r="K1483" s="76">
        <v>7.6261184792890102</v>
      </c>
    </row>
    <row r="1484" spans="1:11">
      <c r="A1484" s="77" t="s">
        <v>33</v>
      </c>
      <c r="B1484" s="76">
        <v>8.5033474856066391</v>
      </c>
      <c r="C1484" s="25">
        <v>1.08</v>
      </c>
      <c r="D1484" s="77">
        <v>7.1800000000000003E-2</v>
      </c>
      <c r="E1484" s="77">
        <v>0.874</v>
      </c>
      <c r="F1484" s="77">
        <v>997</v>
      </c>
      <c r="G1484" s="76"/>
      <c r="H1484" s="77">
        <v>26</v>
      </c>
      <c r="I1484" s="77" t="s">
        <v>14</v>
      </c>
      <c r="J1484" s="14">
        <v>1.1639999999999799</v>
      </c>
      <c r="K1484" s="76">
        <v>7.5757245270369085</v>
      </c>
    </row>
    <row r="1485" spans="1:11">
      <c r="A1485" s="77" t="s">
        <v>33</v>
      </c>
      <c r="B1485" s="76">
        <v>9.8125413842829001</v>
      </c>
      <c r="C1485" s="25">
        <v>1.08</v>
      </c>
      <c r="D1485" s="77">
        <v>7.1800000000000003E-2</v>
      </c>
      <c r="E1485" s="77">
        <v>0.874</v>
      </c>
      <c r="F1485" s="77">
        <v>997</v>
      </c>
      <c r="G1485" s="76"/>
      <c r="H1485" s="77">
        <v>26</v>
      </c>
      <c r="I1485" s="77" t="s">
        <v>14</v>
      </c>
      <c r="J1485" s="14">
        <v>1.1639999999999799</v>
      </c>
      <c r="K1485" s="76">
        <v>7.6447727104591197</v>
      </c>
    </row>
    <row r="1486" spans="1:11">
      <c r="A1486" s="77" t="s">
        <v>33</v>
      </c>
      <c r="B1486" s="76">
        <v>10.56795672519408</v>
      </c>
      <c r="C1486" s="25">
        <v>1.08</v>
      </c>
      <c r="D1486" s="77">
        <v>7.1800000000000003E-2</v>
      </c>
      <c r="E1486" s="77">
        <v>0.874</v>
      </c>
      <c r="F1486" s="77">
        <v>997</v>
      </c>
      <c r="G1486" s="76"/>
      <c r="H1486" s="77">
        <v>26</v>
      </c>
      <c r="I1486" s="77" t="s">
        <v>14</v>
      </c>
      <c r="J1486" s="14">
        <v>1.1639999999999799</v>
      </c>
      <c r="K1486" s="76">
        <v>7.5737982538064488</v>
      </c>
    </row>
    <row r="1487" spans="1:11">
      <c r="A1487" s="77" t="s">
        <v>33</v>
      </c>
      <c r="B1487" s="76">
        <v>12.479589903716398</v>
      </c>
      <c r="C1487" s="25">
        <v>1.08</v>
      </c>
      <c r="D1487" s="77">
        <v>7.1800000000000003E-2</v>
      </c>
      <c r="E1487" s="77">
        <v>0.874</v>
      </c>
      <c r="F1487" s="77">
        <v>997</v>
      </c>
      <c r="G1487" s="76"/>
      <c r="H1487" s="77">
        <v>26</v>
      </c>
      <c r="I1487" s="77" t="s">
        <v>14</v>
      </c>
      <c r="J1487" s="14">
        <v>1.1639999999999799</v>
      </c>
      <c r="K1487" s="76">
        <v>7.5863277904031081</v>
      </c>
    </row>
    <row r="1488" spans="1:11">
      <c r="A1488" s="77" t="s">
        <v>33</v>
      </c>
      <c r="B1488" s="76">
        <v>15.382998870201659</v>
      </c>
      <c r="C1488" s="25">
        <v>1.08</v>
      </c>
      <c r="D1488" s="77">
        <v>7.1800000000000003E-2</v>
      </c>
      <c r="E1488" s="77">
        <v>0.874</v>
      </c>
      <c r="F1488" s="77">
        <v>997</v>
      </c>
      <c r="G1488" s="76"/>
      <c r="H1488" s="77">
        <v>26</v>
      </c>
      <c r="I1488" s="77" t="s">
        <v>14</v>
      </c>
      <c r="J1488" s="14">
        <v>1.1639999999999799</v>
      </c>
      <c r="K1488" s="76">
        <v>7.7048807324285349</v>
      </c>
    </row>
    <row r="1489" spans="1:11">
      <c r="A1489" s="77" t="s">
        <v>33</v>
      </c>
      <c r="B1489" s="76">
        <v>18.741516002224319</v>
      </c>
      <c r="C1489" s="25">
        <v>1.08</v>
      </c>
      <c r="D1489" s="77">
        <v>7.1800000000000003E-2</v>
      </c>
      <c r="E1489" s="77">
        <v>0.874</v>
      </c>
      <c r="F1489" s="77">
        <v>997</v>
      </c>
      <c r="G1489" s="76"/>
      <c r="H1489" s="77">
        <v>26</v>
      </c>
      <c r="I1489" s="77" t="s">
        <v>14</v>
      </c>
      <c r="J1489" s="14">
        <v>1.1639999999999799</v>
      </c>
      <c r="K1489" s="76">
        <v>7.7818174211211097</v>
      </c>
    </row>
    <row r="1490" spans="1:11">
      <c r="A1490" s="77" t="s">
        <v>33</v>
      </c>
      <c r="B1490" s="76">
        <v>23.040095855610002</v>
      </c>
      <c r="C1490" s="25">
        <v>1.08</v>
      </c>
      <c r="D1490" s="77">
        <v>7.1800000000000003E-2</v>
      </c>
      <c r="E1490" s="77">
        <v>0.874</v>
      </c>
      <c r="F1490" s="77">
        <v>997</v>
      </c>
      <c r="G1490" s="76"/>
      <c r="H1490" s="77">
        <v>26</v>
      </c>
      <c r="I1490" s="77" t="s">
        <v>14</v>
      </c>
      <c r="J1490" s="14">
        <v>1.1639999999999799</v>
      </c>
      <c r="K1490" s="76">
        <v>7.782477091713786</v>
      </c>
    </row>
    <row r="1491" spans="1:11">
      <c r="A1491" s="77" t="s">
        <v>33</v>
      </c>
      <c r="B1491" s="76">
        <v>27.900865487944081</v>
      </c>
      <c r="C1491" s="25">
        <v>1.08</v>
      </c>
      <c r="D1491" s="77">
        <v>7.1800000000000003E-2</v>
      </c>
      <c r="E1491" s="77">
        <v>0.874</v>
      </c>
      <c r="F1491" s="77">
        <v>997</v>
      </c>
      <c r="G1491" s="76"/>
      <c r="H1491" s="77">
        <v>26</v>
      </c>
      <c r="I1491" s="77" t="s">
        <v>14</v>
      </c>
      <c r="J1491" s="14">
        <v>1.1639999999999799</v>
      </c>
      <c r="K1491" s="76">
        <v>7.7995773315723591</v>
      </c>
    </row>
    <row r="1492" spans="1:11">
      <c r="A1492" s="77" t="s">
        <v>33</v>
      </c>
      <c r="B1492" s="76">
        <v>32.898889031831636</v>
      </c>
      <c r="C1492" s="25">
        <v>1.08</v>
      </c>
      <c r="D1492" s="77">
        <v>7.1800000000000003E-2</v>
      </c>
      <c r="E1492" s="77">
        <v>0.874</v>
      </c>
      <c r="F1492" s="77">
        <v>997</v>
      </c>
      <c r="G1492" s="76"/>
      <c r="H1492" s="77">
        <v>26</v>
      </c>
      <c r="I1492" s="77" t="s">
        <v>14</v>
      </c>
      <c r="J1492" s="14">
        <v>1.1639999999999799</v>
      </c>
      <c r="K1492" s="76">
        <v>7.8165968246763669</v>
      </c>
    </row>
    <row r="1493" spans="1:11">
      <c r="A1493" s="77" t="s">
        <v>33</v>
      </c>
      <c r="B1493" s="76">
        <v>38.409437142585361</v>
      </c>
      <c r="C1493" s="25">
        <v>1.08</v>
      </c>
      <c r="D1493" s="77">
        <v>7.1800000000000003E-2</v>
      </c>
      <c r="E1493" s="77">
        <v>0.874</v>
      </c>
      <c r="F1493" s="77">
        <v>997</v>
      </c>
      <c r="G1493" s="76"/>
      <c r="H1493" s="77">
        <v>26</v>
      </c>
      <c r="I1493" s="77" t="s">
        <v>14</v>
      </c>
      <c r="J1493" s="14">
        <v>1.1639999999999799</v>
      </c>
      <c r="K1493" s="76">
        <v>7.8570957530743524</v>
      </c>
    </row>
    <row r="1494" spans="1:11">
      <c r="A1494" s="77" t="s">
        <v>33</v>
      </c>
      <c r="B1494" s="76">
        <v>43.302903617645462</v>
      </c>
      <c r="C1494" s="25">
        <v>1.08</v>
      </c>
      <c r="D1494" s="77">
        <v>7.1800000000000003E-2</v>
      </c>
      <c r="E1494" s="77">
        <v>0.874</v>
      </c>
      <c r="F1494" s="77">
        <v>997</v>
      </c>
      <c r="G1494" s="76"/>
      <c r="H1494" s="77">
        <v>26</v>
      </c>
      <c r="I1494" s="77" t="s">
        <v>14</v>
      </c>
      <c r="J1494" s="14">
        <v>1.1639999999999799</v>
      </c>
      <c r="K1494" s="76">
        <v>7.8100683005218681</v>
      </c>
    </row>
    <row r="1495" spans="1:11">
      <c r="A1495" s="77" t="s">
        <v>33</v>
      </c>
      <c r="B1495" s="76">
        <v>47.673413539115764</v>
      </c>
      <c r="C1495" s="25">
        <v>1.08</v>
      </c>
      <c r="D1495" s="77">
        <v>7.1800000000000003E-2</v>
      </c>
      <c r="E1495" s="77">
        <v>0.874</v>
      </c>
      <c r="F1495" s="77">
        <v>997</v>
      </c>
      <c r="G1495" s="76"/>
      <c r="H1495" s="77">
        <v>26</v>
      </c>
      <c r="I1495" s="77" t="s">
        <v>14</v>
      </c>
      <c r="J1495" s="14">
        <v>1.1639999999999799</v>
      </c>
      <c r="K1495" s="76">
        <v>7.7143334539356054</v>
      </c>
    </row>
    <row r="1496" spans="1:11">
      <c r="A1496" s="77" t="s">
        <v>33</v>
      </c>
      <c r="B1496" s="76">
        <v>56.632083082259584</v>
      </c>
      <c r="C1496" s="25">
        <v>1.08</v>
      </c>
      <c r="D1496" s="77">
        <v>7.1800000000000003E-2</v>
      </c>
      <c r="E1496" s="77">
        <v>0.874</v>
      </c>
      <c r="F1496" s="77">
        <v>997</v>
      </c>
      <c r="G1496" s="76"/>
      <c r="H1496" s="77">
        <v>26</v>
      </c>
      <c r="I1496" s="77" t="s">
        <v>14</v>
      </c>
      <c r="J1496" s="14">
        <v>1.1639999999999799</v>
      </c>
      <c r="K1496" s="76">
        <v>7.7353810428123637</v>
      </c>
    </row>
    <row r="1497" spans="1:11">
      <c r="A1497" s="77" t="s">
        <v>33</v>
      </c>
      <c r="B1497" s="76">
        <v>66.164845399681198</v>
      </c>
      <c r="C1497" s="25">
        <v>1.08</v>
      </c>
      <c r="D1497" s="77">
        <v>7.1800000000000003E-2</v>
      </c>
      <c r="E1497" s="77">
        <v>0.874</v>
      </c>
      <c r="F1497" s="77">
        <v>997</v>
      </c>
      <c r="G1497" s="76"/>
      <c r="H1497" s="77">
        <v>26</v>
      </c>
      <c r="I1497" s="77" t="s">
        <v>14</v>
      </c>
      <c r="J1497" s="14">
        <v>1.1639999999999799</v>
      </c>
      <c r="K1497" s="76">
        <v>7.6312686860712127</v>
      </c>
    </row>
    <row r="1498" spans="1:11">
      <c r="A1498" s="77" t="s">
        <v>33</v>
      </c>
      <c r="B1498" s="76">
        <v>78.120587426637002</v>
      </c>
      <c r="C1498" s="25">
        <v>1.08</v>
      </c>
      <c r="D1498" s="77">
        <v>7.1800000000000003E-2</v>
      </c>
      <c r="E1498" s="77">
        <v>0.874</v>
      </c>
      <c r="F1498" s="77">
        <v>997</v>
      </c>
      <c r="G1498" s="76"/>
      <c r="H1498" s="77">
        <v>26</v>
      </c>
      <c r="I1498" s="77" t="s">
        <v>14</v>
      </c>
      <c r="J1498" s="14">
        <v>1.1639999999999799</v>
      </c>
      <c r="K1498" s="76">
        <v>7.5055728939164936</v>
      </c>
    </row>
    <row r="1499" spans="1:11">
      <c r="A1499" s="77" t="s">
        <v>33</v>
      </c>
      <c r="B1499" s="76">
        <v>94.521716043548409</v>
      </c>
      <c r="C1499" s="25">
        <v>1.08</v>
      </c>
      <c r="D1499" s="77">
        <v>7.1800000000000003E-2</v>
      </c>
      <c r="E1499" s="77">
        <v>0.874</v>
      </c>
      <c r="F1499" s="77">
        <v>997</v>
      </c>
      <c r="G1499" s="76"/>
      <c r="H1499" s="77">
        <v>26</v>
      </c>
      <c r="I1499" s="77" t="s">
        <v>14</v>
      </c>
      <c r="J1499" s="14">
        <v>1.1639999999999799</v>
      </c>
      <c r="K1499" s="76">
        <v>7.4429852509986913</v>
      </c>
    </row>
    <row r="1500" spans="1:11">
      <c r="A1500" s="77" t="s">
        <v>33</v>
      </c>
      <c r="B1500" s="76">
        <v>107.912741532561</v>
      </c>
      <c r="C1500" s="25">
        <v>1.08</v>
      </c>
      <c r="D1500" s="77">
        <v>7.1800000000000003E-2</v>
      </c>
      <c r="E1500" s="77">
        <v>0.874</v>
      </c>
      <c r="F1500" s="77">
        <v>997</v>
      </c>
      <c r="G1500" s="76"/>
      <c r="H1500" s="77">
        <v>26</v>
      </c>
      <c r="I1500" s="77" t="s">
        <v>14</v>
      </c>
      <c r="J1500" s="14">
        <v>1.1639999999999799</v>
      </c>
      <c r="K1500" s="76">
        <v>7.5349648646642686</v>
      </c>
    </row>
    <row r="1501" spans="1:11">
      <c r="A1501" s="77" t="s">
        <v>33</v>
      </c>
      <c r="B1501" s="76">
        <v>130.66661806918921</v>
      </c>
      <c r="C1501" s="25">
        <v>1.08</v>
      </c>
      <c r="D1501" s="77">
        <v>7.1800000000000003E-2</v>
      </c>
      <c r="E1501" s="77">
        <v>0.874</v>
      </c>
      <c r="F1501" s="77">
        <v>997</v>
      </c>
      <c r="G1501" s="76"/>
      <c r="H1501" s="77">
        <v>26</v>
      </c>
      <c r="I1501" s="77" t="s">
        <v>14</v>
      </c>
      <c r="J1501" s="14">
        <v>1.1639999999999799</v>
      </c>
      <c r="K1501" s="76">
        <v>7.5780412899635543</v>
      </c>
    </row>
    <row r="1502" spans="1:11">
      <c r="A1502" s="77" t="s">
        <v>33</v>
      </c>
      <c r="B1502" s="76">
        <v>154.2418191456606</v>
      </c>
      <c r="C1502" s="25">
        <v>1.08</v>
      </c>
      <c r="D1502" s="77">
        <v>7.1800000000000003E-2</v>
      </c>
      <c r="E1502" s="77">
        <v>0.874</v>
      </c>
      <c r="F1502" s="77">
        <v>997</v>
      </c>
      <c r="G1502" s="76"/>
      <c r="H1502" s="77">
        <v>26</v>
      </c>
      <c r="I1502" s="77" t="s">
        <v>14</v>
      </c>
      <c r="J1502" s="14">
        <v>1.1639999999999799</v>
      </c>
      <c r="K1502" s="76">
        <v>7.6034343777387434</v>
      </c>
    </row>
    <row r="1503" spans="1:11">
      <c r="A1503" s="77" t="s">
        <v>33</v>
      </c>
      <c r="B1503" s="76">
        <v>180.6455736667962</v>
      </c>
      <c r="C1503" s="25">
        <v>1.08</v>
      </c>
      <c r="D1503" s="77">
        <v>7.1800000000000003E-2</v>
      </c>
      <c r="E1503" s="77">
        <v>0.874</v>
      </c>
      <c r="F1503" s="77">
        <v>997</v>
      </c>
      <c r="G1503" s="76"/>
      <c r="H1503" s="77">
        <v>26</v>
      </c>
      <c r="I1503" s="77" t="s">
        <v>14</v>
      </c>
      <c r="J1503" s="14">
        <v>1.1639999999999799</v>
      </c>
      <c r="K1503" s="76">
        <v>7.6040559061195747</v>
      </c>
    </row>
    <row r="1504" spans="1:11">
      <c r="A1504" s="77" t="s">
        <v>33</v>
      </c>
      <c r="B1504" s="76">
        <v>197.5773001854966</v>
      </c>
      <c r="C1504" s="25">
        <v>1.08</v>
      </c>
      <c r="D1504" s="77">
        <v>7.1800000000000003E-2</v>
      </c>
      <c r="E1504" s="77">
        <v>0.874</v>
      </c>
      <c r="F1504" s="77">
        <v>997</v>
      </c>
      <c r="G1504" s="76"/>
      <c r="H1504" s="77">
        <v>26</v>
      </c>
      <c r="I1504" s="77" t="s">
        <v>14</v>
      </c>
      <c r="J1504" s="14">
        <v>1.1639999999999799</v>
      </c>
      <c r="K1504" s="76">
        <v>7.6077170483724217</v>
      </c>
    </row>
    <row r="1505" spans="1:11">
      <c r="A1505" s="77" t="s">
        <v>33</v>
      </c>
      <c r="B1505" s="76">
        <v>217.60460305836421</v>
      </c>
      <c r="C1505" s="25">
        <v>1.08</v>
      </c>
      <c r="D1505" s="77">
        <v>7.1800000000000003E-2</v>
      </c>
      <c r="E1505" s="77">
        <v>0.874</v>
      </c>
      <c r="F1505" s="77">
        <v>997</v>
      </c>
      <c r="G1505" s="76"/>
      <c r="H1505" s="77">
        <v>26</v>
      </c>
      <c r="I1505" s="77" t="s">
        <v>14</v>
      </c>
      <c r="J1505" s="14">
        <v>1.1639999999999799</v>
      </c>
      <c r="K1505" s="76">
        <v>7.7352171179609206</v>
      </c>
    </row>
    <row r="1506" spans="1:11">
      <c r="A1506" s="77" t="s">
        <v>33</v>
      </c>
      <c r="B1506" s="76">
        <v>269.06273393300995</v>
      </c>
      <c r="C1506" s="25">
        <v>1.08</v>
      </c>
      <c r="D1506" s="77">
        <v>7.1800000000000003E-2</v>
      </c>
      <c r="E1506" s="77">
        <v>0.874</v>
      </c>
      <c r="F1506" s="77">
        <v>997</v>
      </c>
      <c r="G1506" s="76"/>
      <c r="H1506" s="77">
        <v>26</v>
      </c>
      <c r="I1506" s="77" t="s">
        <v>14</v>
      </c>
      <c r="J1506" s="14">
        <v>1.1639999999999799</v>
      </c>
      <c r="K1506" s="76">
        <v>8.1429741266113567</v>
      </c>
    </row>
    <row r="1507" spans="1:11">
      <c r="A1507" s="77" t="s">
        <v>33</v>
      </c>
      <c r="B1507" s="76">
        <v>329.914652542179</v>
      </c>
      <c r="C1507" s="25">
        <v>1.08</v>
      </c>
      <c r="D1507" s="77">
        <v>7.1800000000000003E-2</v>
      </c>
      <c r="E1507" s="77">
        <v>0.874</v>
      </c>
      <c r="F1507" s="77">
        <v>997</v>
      </c>
      <c r="G1507" s="76"/>
      <c r="H1507" s="77">
        <v>26</v>
      </c>
      <c r="I1507" s="77" t="s">
        <v>14</v>
      </c>
      <c r="J1507" s="14">
        <v>1.1639999999999799</v>
      </c>
      <c r="K1507" s="76">
        <v>8.0603679400687458</v>
      </c>
    </row>
    <row r="1508" spans="1:11">
      <c r="A1508" s="77" t="s">
        <v>33</v>
      </c>
      <c r="B1508" s="76">
        <v>371.56634423813699</v>
      </c>
      <c r="C1508" s="25">
        <v>1.08</v>
      </c>
      <c r="D1508" s="77">
        <v>7.1800000000000003E-2</v>
      </c>
      <c r="E1508" s="77">
        <v>0.874</v>
      </c>
      <c r="F1508" s="77">
        <v>997</v>
      </c>
      <c r="G1508" s="76"/>
      <c r="H1508" s="77">
        <v>26</v>
      </c>
      <c r="I1508" s="77" t="s">
        <v>14</v>
      </c>
      <c r="J1508" s="14">
        <v>1.1639999999999799</v>
      </c>
      <c r="K1508" s="76">
        <v>8.400610589021392</v>
      </c>
    </row>
    <row r="1509" spans="1:11">
      <c r="A1509" s="77" t="s">
        <v>33</v>
      </c>
      <c r="B1509" s="76">
        <v>470.19826740562263</v>
      </c>
      <c r="C1509" s="25">
        <v>1.08</v>
      </c>
      <c r="D1509" s="77">
        <v>7.1800000000000003E-2</v>
      </c>
      <c r="E1509" s="77">
        <v>0.874</v>
      </c>
      <c r="F1509" s="77">
        <v>997</v>
      </c>
      <c r="G1509" s="76"/>
      <c r="H1509" s="77">
        <v>26</v>
      </c>
      <c r="I1509" s="77" t="s">
        <v>14</v>
      </c>
      <c r="J1509" s="14">
        <v>1.1639999999999799</v>
      </c>
      <c r="K1509" s="76">
        <v>8.3725551825491848</v>
      </c>
    </row>
    <row r="1510" spans="1:11">
      <c r="A1510" s="77" t="s">
        <v>33</v>
      </c>
      <c r="B1510" s="76">
        <v>497.0749491324018</v>
      </c>
      <c r="C1510" s="25">
        <v>1.08</v>
      </c>
      <c r="D1510" s="77">
        <v>7.1800000000000003E-2</v>
      </c>
      <c r="E1510" s="77">
        <v>0.874</v>
      </c>
      <c r="F1510" s="77">
        <v>997</v>
      </c>
      <c r="G1510" s="76"/>
      <c r="H1510" s="77">
        <v>26</v>
      </c>
      <c r="I1510" s="77" t="s">
        <v>14</v>
      </c>
      <c r="J1510" s="14">
        <v>1.1639999999999799</v>
      </c>
      <c r="K1510" s="76">
        <v>8.556824417654072</v>
      </c>
    </row>
    <row r="1511" spans="1:11">
      <c r="A1511" s="77" t="s">
        <v>33</v>
      </c>
      <c r="B1511" s="76">
        <v>6.9118830944214595</v>
      </c>
      <c r="C1511" s="25">
        <v>1.08</v>
      </c>
      <c r="D1511" s="77">
        <v>7.1800000000000003E-2</v>
      </c>
      <c r="E1511" s="77">
        <v>0.874</v>
      </c>
      <c r="F1511" s="77">
        <v>997</v>
      </c>
      <c r="G1511" s="76"/>
      <c r="H1511" s="77">
        <v>26</v>
      </c>
      <c r="I1511" s="77" t="s">
        <v>35</v>
      </c>
      <c r="J1511" s="14">
        <v>1.6639999999999999</v>
      </c>
      <c r="K1511" s="76">
        <v>6.7385798941758157</v>
      </c>
    </row>
    <row r="1512" spans="1:11">
      <c r="A1512" s="77" t="s">
        <v>33</v>
      </c>
      <c r="B1512" s="76">
        <v>8.2947265993512005</v>
      </c>
      <c r="C1512" s="25">
        <v>1.08</v>
      </c>
      <c r="D1512" s="77">
        <v>7.1800000000000003E-2</v>
      </c>
      <c r="E1512" s="77">
        <v>0.874</v>
      </c>
      <c r="F1512" s="77">
        <v>997</v>
      </c>
      <c r="G1512" s="76"/>
      <c r="H1512" s="77">
        <v>26</v>
      </c>
      <c r="I1512" s="77" t="s">
        <v>35</v>
      </c>
      <c r="J1512" s="14">
        <v>1.6639999999999999</v>
      </c>
      <c r="K1512" s="76">
        <v>7.0115344287175052</v>
      </c>
    </row>
    <row r="1513" spans="1:11">
      <c r="A1513" s="77" t="s">
        <v>33</v>
      </c>
      <c r="B1513" s="76">
        <v>10.810722307146959</v>
      </c>
      <c r="C1513" s="25">
        <v>1.08</v>
      </c>
      <c r="D1513" s="77">
        <v>7.1800000000000003E-2</v>
      </c>
      <c r="E1513" s="77">
        <v>0.874</v>
      </c>
      <c r="F1513" s="77">
        <v>997</v>
      </c>
      <c r="G1513" s="76"/>
      <c r="H1513" s="77">
        <v>26</v>
      </c>
      <c r="I1513" s="77" t="s">
        <v>35</v>
      </c>
      <c r="J1513" s="14">
        <v>1.6639999999999999</v>
      </c>
      <c r="K1513" s="76">
        <v>6.975858491474038</v>
      </c>
    </row>
    <row r="1514" spans="1:11">
      <c r="A1514" s="77" t="s">
        <v>33</v>
      </c>
      <c r="B1514" s="76">
        <v>13.32768277984896</v>
      </c>
      <c r="C1514" s="25">
        <v>1.08</v>
      </c>
      <c r="D1514" s="77">
        <v>7.1800000000000003E-2</v>
      </c>
      <c r="E1514" s="77">
        <v>0.874</v>
      </c>
      <c r="F1514" s="77">
        <v>997</v>
      </c>
      <c r="G1514" s="76"/>
      <c r="H1514" s="77">
        <v>26</v>
      </c>
      <c r="I1514" s="77" t="s">
        <v>35</v>
      </c>
      <c r="J1514" s="14">
        <v>1.6639999999999999</v>
      </c>
      <c r="K1514" s="76">
        <v>6.9845225370043114</v>
      </c>
    </row>
    <row r="1515" spans="1:11">
      <c r="A1515" s="77" t="s">
        <v>33</v>
      </c>
      <c r="B1515" s="76">
        <v>15.15369475667976</v>
      </c>
      <c r="C1515" s="25">
        <v>1.08</v>
      </c>
      <c r="D1515" s="77">
        <v>7.1800000000000003E-2</v>
      </c>
      <c r="E1515" s="77">
        <v>0.874</v>
      </c>
      <c r="F1515" s="77">
        <v>997</v>
      </c>
      <c r="G1515" s="76"/>
      <c r="H1515" s="77">
        <v>26</v>
      </c>
      <c r="I1515" s="77" t="s">
        <v>35</v>
      </c>
      <c r="J1515" s="14">
        <v>1.6639999999999999</v>
      </c>
      <c r="K1515" s="76">
        <v>6.9673106567211907</v>
      </c>
    </row>
    <row r="1516" spans="1:11">
      <c r="A1516" s="77" t="s">
        <v>33</v>
      </c>
      <c r="B1516" s="76">
        <v>18.760187729729822</v>
      </c>
      <c r="C1516" s="25">
        <v>1.08</v>
      </c>
      <c r="D1516" s="77">
        <v>7.1800000000000003E-2</v>
      </c>
      <c r="E1516" s="77">
        <v>0.874</v>
      </c>
      <c r="F1516" s="77">
        <v>997</v>
      </c>
      <c r="G1516" s="76"/>
      <c r="H1516" s="77">
        <v>26</v>
      </c>
      <c r="I1516" s="77" t="s">
        <v>35</v>
      </c>
      <c r="J1516" s="14">
        <v>1.6639999999999999</v>
      </c>
      <c r="K1516" s="76">
        <v>7.0582608432726595</v>
      </c>
    </row>
    <row r="1517" spans="1:11">
      <c r="A1517" s="77" t="s">
        <v>33</v>
      </c>
      <c r="B1517" s="76">
        <v>22.250320294849981</v>
      </c>
      <c r="C1517" s="25">
        <v>1.08</v>
      </c>
      <c r="D1517" s="77">
        <v>7.1800000000000003E-2</v>
      </c>
      <c r="E1517" s="77">
        <v>0.874</v>
      </c>
      <c r="F1517" s="77">
        <v>997</v>
      </c>
      <c r="G1517" s="76"/>
      <c r="H1517" s="77">
        <v>26</v>
      </c>
      <c r="I1517" s="77" t="s">
        <v>35</v>
      </c>
      <c r="J1517" s="14">
        <v>1.6639999999999999</v>
      </c>
      <c r="K1517" s="76">
        <v>7.1032769467636001</v>
      </c>
    </row>
    <row r="1518" spans="1:11">
      <c r="A1518" s="77" t="s">
        <v>33</v>
      </c>
      <c r="B1518" s="76">
        <v>25.65292248231852</v>
      </c>
      <c r="C1518" s="25">
        <v>1.08</v>
      </c>
      <c r="D1518" s="77">
        <v>7.1800000000000003E-2</v>
      </c>
      <c r="E1518" s="77">
        <v>0.874</v>
      </c>
      <c r="F1518" s="77">
        <v>997</v>
      </c>
      <c r="G1518" s="76"/>
      <c r="H1518" s="77">
        <v>26</v>
      </c>
      <c r="I1518" s="77" t="s">
        <v>35</v>
      </c>
      <c r="J1518" s="14">
        <v>1.6639999999999999</v>
      </c>
      <c r="K1518" s="76">
        <v>7.0843782136303446</v>
      </c>
    </row>
    <row r="1519" spans="1:11">
      <c r="A1519" s="77" t="s">
        <v>33</v>
      </c>
      <c r="B1519" s="76">
        <v>28.710097237277818</v>
      </c>
      <c r="C1519" s="25">
        <v>1.08</v>
      </c>
      <c r="D1519" s="77">
        <v>7.1800000000000003E-2</v>
      </c>
      <c r="E1519" s="77">
        <v>0.874</v>
      </c>
      <c r="F1519" s="77">
        <v>997</v>
      </c>
      <c r="G1519" s="76"/>
      <c r="H1519" s="77">
        <v>26</v>
      </c>
      <c r="I1519" s="77" t="s">
        <v>35</v>
      </c>
      <c r="J1519" s="14">
        <v>1.6639999999999999</v>
      </c>
      <c r="K1519" s="76">
        <v>7.0682040399159805</v>
      </c>
    </row>
    <row r="1520" spans="1:11">
      <c r="A1520" s="77" t="s">
        <v>33</v>
      </c>
      <c r="B1520" s="76">
        <v>32.092186381518481</v>
      </c>
      <c r="C1520" s="25">
        <v>1.08</v>
      </c>
      <c r="D1520" s="77">
        <v>7.1800000000000003E-2</v>
      </c>
      <c r="E1520" s="77">
        <v>0.874</v>
      </c>
      <c r="F1520" s="77">
        <v>997</v>
      </c>
      <c r="G1520" s="76"/>
      <c r="H1520" s="77">
        <v>26</v>
      </c>
      <c r="I1520" s="77" t="s">
        <v>35</v>
      </c>
      <c r="J1520" s="14">
        <v>1.6639999999999999</v>
      </c>
      <c r="K1520" s="76">
        <v>7.0496547212978227</v>
      </c>
    </row>
    <row r="1521" spans="1:11">
      <c r="A1521" s="77" t="s">
        <v>33</v>
      </c>
      <c r="B1521" s="76">
        <v>40.899555404698077</v>
      </c>
      <c r="C1521" s="25">
        <v>1.08</v>
      </c>
      <c r="D1521" s="77">
        <v>7.1800000000000003E-2</v>
      </c>
      <c r="E1521" s="77">
        <v>0.874</v>
      </c>
      <c r="F1521" s="77">
        <v>997</v>
      </c>
      <c r="G1521" s="76"/>
      <c r="H1521" s="77">
        <v>26</v>
      </c>
      <c r="I1521" s="77" t="s">
        <v>35</v>
      </c>
      <c r="J1521" s="14">
        <v>1.6639999999999999</v>
      </c>
      <c r="K1521" s="76">
        <v>7.1167084079885914</v>
      </c>
    </row>
    <row r="1522" spans="1:11">
      <c r="A1522" s="77" t="s">
        <v>33</v>
      </c>
      <c r="B1522" s="76">
        <v>47.689673930160602</v>
      </c>
      <c r="C1522" s="25">
        <v>1.08</v>
      </c>
      <c r="D1522" s="77">
        <v>7.1800000000000003E-2</v>
      </c>
      <c r="E1522" s="77">
        <v>0.874</v>
      </c>
      <c r="F1522" s="77">
        <v>997</v>
      </c>
      <c r="G1522" s="76"/>
      <c r="H1522" s="77">
        <v>26</v>
      </c>
      <c r="I1522" s="77" t="s">
        <v>35</v>
      </c>
      <c r="J1522" s="14">
        <v>1.6639999999999999</v>
      </c>
      <c r="K1522" s="76">
        <v>7.1061591280099368</v>
      </c>
    </row>
    <row r="1523" spans="1:11">
      <c r="A1523" s="77" t="s">
        <v>33</v>
      </c>
      <c r="B1523" s="76">
        <v>54.982557209327759</v>
      </c>
      <c r="C1523" s="25">
        <v>1.08</v>
      </c>
      <c r="D1523" s="77">
        <v>7.1800000000000003E-2</v>
      </c>
      <c r="E1523" s="77">
        <v>0.874</v>
      </c>
      <c r="F1523" s="77">
        <v>997</v>
      </c>
      <c r="G1523" s="76"/>
      <c r="H1523" s="77">
        <v>26</v>
      </c>
      <c r="I1523" s="77" t="s">
        <v>35</v>
      </c>
      <c r="J1523" s="14">
        <v>1.6639999999999999</v>
      </c>
      <c r="K1523" s="76">
        <v>7.1218811145907974</v>
      </c>
    </row>
    <row r="1524" spans="1:11">
      <c r="A1524" s="77" t="s">
        <v>33</v>
      </c>
      <c r="B1524" s="76">
        <v>63.112011292283405</v>
      </c>
      <c r="C1524" s="25">
        <v>1.08</v>
      </c>
      <c r="D1524" s="77">
        <v>7.1800000000000003E-2</v>
      </c>
      <c r="E1524" s="77">
        <v>0.874</v>
      </c>
      <c r="F1524" s="77">
        <v>997</v>
      </c>
      <c r="G1524" s="76"/>
      <c r="H1524" s="77">
        <v>26</v>
      </c>
      <c r="I1524" s="77" t="s">
        <v>35</v>
      </c>
      <c r="J1524" s="14">
        <v>1.6639999999999999</v>
      </c>
      <c r="K1524" s="76">
        <v>7.1450318114291678</v>
      </c>
    </row>
    <row r="1525" spans="1:11">
      <c r="A1525" s="77" t="s">
        <v>33</v>
      </c>
      <c r="B1525" s="76">
        <v>75.5570624470962</v>
      </c>
      <c r="C1525" s="25">
        <v>1.08</v>
      </c>
      <c r="D1525" s="77">
        <v>7.1800000000000003E-2</v>
      </c>
      <c r="E1525" s="77">
        <v>0.874</v>
      </c>
      <c r="F1525" s="77">
        <v>997</v>
      </c>
      <c r="G1525" s="76"/>
      <c r="H1525" s="77">
        <v>26</v>
      </c>
      <c r="I1525" s="77" t="s">
        <v>35</v>
      </c>
      <c r="J1525" s="14">
        <v>1.6639999999999999</v>
      </c>
      <c r="K1525" s="76">
        <v>7.2364833728339191</v>
      </c>
    </row>
    <row r="1526" spans="1:11">
      <c r="A1526" s="77" t="s">
        <v>33</v>
      </c>
      <c r="B1526" s="76">
        <v>86.39911958145359</v>
      </c>
      <c r="C1526" s="25">
        <v>1.08</v>
      </c>
      <c r="D1526" s="77">
        <v>7.1800000000000003E-2</v>
      </c>
      <c r="E1526" s="77">
        <v>0.874</v>
      </c>
      <c r="F1526" s="77">
        <v>997</v>
      </c>
      <c r="G1526" s="76"/>
      <c r="H1526" s="77">
        <v>26</v>
      </c>
      <c r="I1526" s="77" t="s">
        <v>35</v>
      </c>
      <c r="J1526" s="14">
        <v>1.6639999999999999</v>
      </c>
      <c r="K1526" s="76">
        <v>7.2178201941402005</v>
      </c>
    </row>
    <row r="1527" spans="1:11">
      <c r="A1527" s="77" t="s">
        <v>33</v>
      </c>
      <c r="B1527" s="76">
        <v>98.231213263744806</v>
      </c>
      <c r="C1527" s="25">
        <v>1.08</v>
      </c>
      <c r="D1527" s="77">
        <v>7.1800000000000003E-2</v>
      </c>
      <c r="E1527" s="77">
        <v>0.874</v>
      </c>
      <c r="F1527" s="77">
        <v>997</v>
      </c>
      <c r="G1527" s="76"/>
      <c r="H1527" s="77">
        <v>26</v>
      </c>
      <c r="I1527" s="77" t="s">
        <v>35</v>
      </c>
      <c r="J1527" s="14">
        <v>1.6639999999999999</v>
      </c>
      <c r="K1527" s="76">
        <v>7.2541405959635883</v>
      </c>
    </row>
    <row r="1528" spans="1:11">
      <c r="A1528" s="77" t="s">
        <v>33</v>
      </c>
      <c r="B1528" s="76">
        <v>112.346817384666</v>
      </c>
      <c r="C1528" s="25">
        <v>1.08</v>
      </c>
      <c r="D1528" s="77">
        <v>7.1800000000000003E-2</v>
      </c>
      <c r="E1528" s="77">
        <v>0.874</v>
      </c>
      <c r="F1528" s="77">
        <v>997</v>
      </c>
      <c r="G1528" s="76"/>
      <c r="H1528" s="77">
        <v>26</v>
      </c>
      <c r="I1528" s="77" t="s">
        <v>35</v>
      </c>
      <c r="J1528" s="14">
        <v>1.6639999999999999</v>
      </c>
      <c r="K1528" s="76">
        <v>7.3136123509415292</v>
      </c>
    </row>
    <row r="1529" spans="1:11">
      <c r="A1529" s="77" t="s">
        <v>33</v>
      </c>
      <c r="B1529" s="76">
        <v>129.00009771042539</v>
      </c>
      <c r="C1529" s="25">
        <v>1.08</v>
      </c>
      <c r="D1529" s="77">
        <v>7.1800000000000003E-2</v>
      </c>
      <c r="E1529" s="77">
        <v>0.874</v>
      </c>
      <c r="F1529" s="77">
        <v>997</v>
      </c>
      <c r="G1529" s="76"/>
      <c r="H1529" s="77">
        <v>26</v>
      </c>
      <c r="I1529" s="77" t="s">
        <v>35</v>
      </c>
      <c r="J1529" s="14">
        <v>1.6639999999999999</v>
      </c>
      <c r="K1529" s="76">
        <v>7.3922347435648987</v>
      </c>
    </row>
    <row r="1530" spans="1:11">
      <c r="A1530" s="77" t="s">
        <v>33</v>
      </c>
      <c r="B1530" s="76">
        <v>143.01722664671402</v>
      </c>
      <c r="C1530" s="25">
        <v>1.08</v>
      </c>
      <c r="D1530" s="77">
        <v>7.1800000000000003E-2</v>
      </c>
      <c r="E1530" s="77">
        <v>0.874</v>
      </c>
      <c r="F1530" s="77">
        <v>997</v>
      </c>
      <c r="G1530" s="76"/>
      <c r="H1530" s="77">
        <v>26</v>
      </c>
      <c r="I1530" s="77" t="s">
        <v>35</v>
      </c>
      <c r="J1530" s="14">
        <v>1.6639999999999999</v>
      </c>
      <c r="K1530" s="76">
        <v>7.4616884730080697</v>
      </c>
    </row>
    <row r="1531" spans="1:11">
      <c r="A1531" s="77" t="s">
        <v>33</v>
      </c>
      <c r="B1531" s="76">
        <v>169.9320705646914</v>
      </c>
      <c r="C1531" s="25">
        <v>1.08</v>
      </c>
      <c r="D1531" s="77">
        <v>7.1800000000000003E-2</v>
      </c>
      <c r="E1531" s="77">
        <v>0.874</v>
      </c>
      <c r="F1531" s="77">
        <v>997</v>
      </c>
      <c r="G1531" s="76"/>
      <c r="H1531" s="77">
        <v>26</v>
      </c>
      <c r="I1531" s="77" t="s">
        <v>35</v>
      </c>
      <c r="J1531" s="14">
        <v>1.6639999999999999</v>
      </c>
      <c r="K1531" s="76">
        <v>7.4782196882478642</v>
      </c>
    </row>
    <row r="1532" spans="1:11">
      <c r="A1532" s="77" t="s">
        <v>33</v>
      </c>
      <c r="B1532" s="76">
        <v>212.4165163802088</v>
      </c>
      <c r="C1532" s="25">
        <v>1.08</v>
      </c>
      <c r="D1532" s="77">
        <v>7.1800000000000003E-2</v>
      </c>
      <c r="E1532" s="77">
        <v>0.874</v>
      </c>
      <c r="F1532" s="77">
        <v>997</v>
      </c>
      <c r="G1532" s="76"/>
      <c r="H1532" s="77">
        <v>26</v>
      </c>
      <c r="I1532" s="77" t="s">
        <v>35</v>
      </c>
      <c r="J1532" s="14">
        <v>1.6639999999999999</v>
      </c>
      <c r="K1532" s="76">
        <v>7.4720868851963376</v>
      </c>
    </row>
    <row r="1533" spans="1:11">
      <c r="A1533" s="77" t="s">
        <v>33</v>
      </c>
      <c r="B1533" s="76">
        <v>246.92949367481879</v>
      </c>
      <c r="C1533" s="25">
        <v>1.08</v>
      </c>
      <c r="D1533" s="77">
        <v>7.1800000000000003E-2</v>
      </c>
      <c r="E1533" s="77">
        <v>0.874</v>
      </c>
      <c r="F1533" s="77">
        <v>997</v>
      </c>
      <c r="G1533" s="76"/>
      <c r="H1533" s="77">
        <v>26</v>
      </c>
      <c r="I1533" s="77" t="s">
        <v>35</v>
      </c>
      <c r="J1533" s="14">
        <v>1.6639999999999999</v>
      </c>
      <c r="K1533" s="76">
        <v>7.5925313723631342</v>
      </c>
    </row>
    <row r="1534" spans="1:11">
      <c r="A1534" s="77" t="s">
        <v>33</v>
      </c>
      <c r="B1534" s="76">
        <v>272.13747794599442</v>
      </c>
      <c r="C1534" s="25">
        <v>1.08</v>
      </c>
      <c r="D1534" s="77">
        <v>7.1800000000000003E-2</v>
      </c>
      <c r="E1534" s="77">
        <v>0.874</v>
      </c>
      <c r="F1534" s="77">
        <v>997</v>
      </c>
      <c r="G1534" s="76"/>
      <c r="H1534" s="77">
        <v>26</v>
      </c>
      <c r="I1534" s="77" t="s">
        <v>35</v>
      </c>
      <c r="J1534" s="14">
        <v>1.6639999999999999</v>
      </c>
      <c r="K1534" s="76">
        <v>7.4491843746063564</v>
      </c>
    </row>
    <row r="1535" spans="1:11">
      <c r="A1535" s="77" t="s">
        <v>33</v>
      </c>
      <c r="B1535" s="76">
        <v>315.31120086753538</v>
      </c>
      <c r="C1535" s="25">
        <v>1.08</v>
      </c>
      <c r="D1535" s="77">
        <v>7.1800000000000003E-2</v>
      </c>
      <c r="E1535" s="77">
        <v>0.874</v>
      </c>
      <c r="F1535" s="77">
        <v>997</v>
      </c>
      <c r="G1535" s="76"/>
      <c r="H1535" s="77">
        <v>26</v>
      </c>
      <c r="I1535" s="77" t="s">
        <v>35</v>
      </c>
      <c r="J1535" s="14">
        <v>1.6639999999999999</v>
      </c>
      <c r="K1535" s="76">
        <v>7.4734668928606531</v>
      </c>
    </row>
    <row r="1536" spans="1:11">
      <c r="A1536" s="77" t="s">
        <v>33</v>
      </c>
      <c r="B1536" s="76">
        <v>370.48327283729043</v>
      </c>
      <c r="C1536" s="25">
        <v>1.08</v>
      </c>
      <c r="D1536" s="77">
        <v>7.1800000000000003E-2</v>
      </c>
      <c r="E1536" s="77">
        <v>0.874</v>
      </c>
      <c r="F1536" s="77">
        <v>997</v>
      </c>
      <c r="G1536" s="76"/>
      <c r="H1536" s="77">
        <v>26</v>
      </c>
      <c r="I1536" s="77" t="s">
        <v>35</v>
      </c>
      <c r="J1536" s="14">
        <v>1.6639999999999999</v>
      </c>
      <c r="K1536" s="76">
        <v>7.4042173399813258</v>
      </c>
    </row>
    <row r="1537" spans="1:11">
      <c r="A1537" s="77" t="s">
        <v>33</v>
      </c>
      <c r="B1537" s="76">
        <v>403.74067669925762</v>
      </c>
      <c r="C1537" s="25">
        <v>1.08</v>
      </c>
      <c r="D1537" s="77">
        <v>7.1800000000000003E-2</v>
      </c>
      <c r="E1537" s="77">
        <v>0.874</v>
      </c>
      <c r="F1537" s="77">
        <v>997</v>
      </c>
      <c r="G1537" s="76"/>
      <c r="H1537" s="77">
        <v>26</v>
      </c>
      <c r="I1537" s="77" t="s">
        <v>35</v>
      </c>
      <c r="J1537" s="14">
        <v>1.6639999999999999</v>
      </c>
      <c r="K1537" s="76">
        <v>7.5414917343366694</v>
      </c>
    </row>
    <row r="1538" spans="1:11">
      <c r="A1538" s="77" t="s">
        <v>33</v>
      </c>
      <c r="B1538" s="76">
        <v>466.86847546324441</v>
      </c>
      <c r="C1538" s="25">
        <v>1.08</v>
      </c>
      <c r="D1538" s="77">
        <v>7.1800000000000003E-2</v>
      </c>
      <c r="E1538" s="77">
        <v>0.874</v>
      </c>
      <c r="F1538" s="77">
        <v>997</v>
      </c>
      <c r="G1538" s="76"/>
      <c r="H1538" s="77">
        <v>26</v>
      </c>
      <c r="I1538" s="77" t="s">
        <v>35</v>
      </c>
      <c r="J1538" s="14">
        <v>1.6639999999999999</v>
      </c>
      <c r="K1538" s="76">
        <v>7.7105509744820724</v>
      </c>
    </row>
    <row r="1539" spans="1:11">
      <c r="A1539" s="77" t="s">
        <v>33</v>
      </c>
      <c r="B1539" s="76">
        <v>510.07065781856033</v>
      </c>
      <c r="C1539" s="25">
        <v>1.08</v>
      </c>
      <c r="D1539" s="77">
        <v>7.1800000000000003E-2</v>
      </c>
      <c r="E1539" s="77">
        <v>0.874</v>
      </c>
      <c r="F1539" s="77">
        <v>997</v>
      </c>
      <c r="G1539" s="76"/>
      <c r="H1539" s="77">
        <v>26</v>
      </c>
      <c r="I1539" s="77" t="s">
        <v>35</v>
      </c>
      <c r="J1539" s="14">
        <v>1.6639999999999999</v>
      </c>
      <c r="K1539" s="76">
        <v>7.8556924711837279</v>
      </c>
    </row>
    <row r="1540" spans="1:11">
      <c r="A1540" s="77" t="s">
        <v>33</v>
      </c>
      <c r="B1540" s="76">
        <v>7.63725619554552</v>
      </c>
      <c r="C1540" s="25">
        <v>1.08</v>
      </c>
      <c r="D1540" s="77">
        <v>7.1800000000000003E-2</v>
      </c>
      <c r="E1540" s="77">
        <v>0.874</v>
      </c>
      <c r="F1540" s="77">
        <v>997</v>
      </c>
      <c r="G1540" s="76"/>
      <c r="H1540" s="77">
        <v>26</v>
      </c>
      <c r="I1540" s="77" t="s">
        <v>31</v>
      </c>
      <c r="J1540" s="14">
        <v>1.829</v>
      </c>
      <c r="K1540" s="76">
        <v>6.8020775414443255</v>
      </c>
    </row>
    <row r="1541" spans="1:11">
      <c r="A1541" s="77" t="s">
        <v>33</v>
      </c>
      <c r="B1541" s="76">
        <v>9.1256771556146408</v>
      </c>
      <c r="C1541" s="25">
        <v>1.08</v>
      </c>
      <c r="D1541" s="77">
        <v>7.1800000000000003E-2</v>
      </c>
      <c r="E1541" s="77">
        <v>0.874</v>
      </c>
      <c r="F1541" s="77">
        <v>997</v>
      </c>
      <c r="G1541" s="76"/>
      <c r="H1541" s="77">
        <v>26</v>
      </c>
      <c r="I1541" s="77" t="s">
        <v>31</v>
      </c>
      <c r="J1541" s="14">
        <v>1.829</v>
      </c>
      <c r="K1541" s="76">
        <v>6.9358271331930448</v>
      </c>
    </row>
    <row r="1542" spans="1:11">
      <c r="A1542" s="77" t="s">
        <v>33</v>
      </c>
      <c r="B1542" s="76">
        <v>12.2821670419758</v>
      </c>
      <c r="C1542" s="25">
        <v>1.08</v>
      </c>
      <c r="D1542" s="77">
        <v>7.1800000000000003E-2</v>
      </c>
      <c r="E1542" s="77">
        <v>0.874</v>
      </c>
      <c r="F1542" s="77">
        <v>997</v>
      </c>
      <c r="G1542" s="76"/>
      <c r="H1542" s="77">
        <v>26</v>
      </c>
      <c r="I1542" s="77" t="s">
        <v>31</v>
      </c>
      <c r="J1542" s="14">
        <v>1.829</v>
      </c>
      <c r="K1542" s="76">
        <v>6.9775693164409329</v>
      </c>
    </row>
    <row r="1543" spans="1:11">
      <c r="A1543" s="77" t="s">
        <v>33</v>
      </c>
      <c r="B1543" s="76">
        <v>17.602863259814399</v>
      </c>
      <c r="C1543" s="25">
        <v>1.08</v>
      </c>
      <c r="D1543" s="77">
        <v>7.1800000000000003E-2</v>
      </c>
      <c r="E1543" s="77">
        <v>0.874</v>
      </c>
      <c r="F1543" s="77">
        <v>997</v>
      </c>
      <c r="G1543" s="76"/>
      <c r="H1543" s="77">
        <v>26</v>
      </c>
      <c r="I1543" s="77" t="s">
        <v>31</v>
      </c>
      <c r="J1543" s="14">
        <v>1.829</v>
      </c>
      <c r="K1543" s="76">
        <v>7.0105792917570051</v>
      </c>
    </row>
    <row r="1544" spans="1:11">
      <c r="A1544" s="77" t="s">
        <v>33</v>
      </c>
      <c r="B1544" s="76">
        <v>20.863168784184118</v>
      </c>
      <c r="C1544" s="25">
        <v>1.08</v>
      </c>
      <c r="D1544" s="77">
        <v>7.1800000000000003E-2</v>
      </c>
      <c r="E1544" s="77">
        <v>0.874</v>
      </c>
      <c r="F1544" s="77">
        <v>997</v>
      </c>
      <c r="G1544" s="76"/>
      <c r="H1544" s="77">
        <v>26</v>
      </c>
      <c r="I1544" s="77" t="s">
        <v>31</v>
      </c>
      <c r="J1544" s="14">
        <v>1.829</v>
      </c>
      <c r="K1544" s="76">
        <v>7.0369462881492053</v>
      </c>
    </row>
    <row r="1545" spans="1:11">
      <c r="A1545" s="77" t="s">
        <v>33</v>
      </c>
      <c r="B1545" s="76">
        <v>24.453284969744939</v>
      </c>
      <c r="C1545" s="25">
        <v>1.08</v>
      </c>
      <c r="D1545" s="77">
        <v>7.1800000000000003E-2</v>
      </c>
      <c r="E1545" s="77">
        <v>0.874</v>
      </c>
      <c r="F1545" s="77">
        <v>997</v>
      </c>
      <c r="G1545" s="76"/>
      <c r="H1545" s="77">
        <v>26</v>
      </c>
      <c r="I1545" s="77" t="s">
        <v>31</v>
      </c>
      <c r="J1545" s="14">
        <v>1.829</v>
      </c>
      <c r="K1545" s="76">
        <v>7.0395031897804019</v>
      </c>
    </row>
    <row r="1546" spans="1:11">
      <c r="A1546" s="77" t="s">
        <v>33</v>
      </c>
      <c r="B1546" s="76">
        <v>34.627444126091397</v>
      </c>
      <c r="C1546" s="25">
        <v>1.08</v>
      </c>
      <c r="D1546" s="77">
        <v>7.1800000000000003E-2</v>
      </c>
      <c r="E1546" s="77">
        <v>0.874</v>
      </c>
      <c r="F1546" s="77">
        <v>997</v>
      </c>
      <c r="G1546" s="76"/>
      <c r="H1546" s="77">
        <v>26</v>
      </c>
      <c r="I1546" s="77" t="s">
        <v>31</v>
      </c>
      <c r="J1546" s="14">
        <v>1.829</v>
      </c>
      <c r="K1546" s="76">
        <v>6.9782875655182686</v>
      </c>
    </row>
    <row r="1547" spans="1:11">
      <c r="A1547" s="77" t="s">
        <v>33</v>
      </c>
      <c r="B1547" s="76">
        <v>38.407865365383721</v>
      </c>
      <c r="C1547" s="25">
        <v>1.08</v>
      </c>
      <c r="D1547" s="77">
        <v>7.1800000000000003E-2</v>
      </c>
      <c r="E1547" s="77">
        <v>0.874</v>
      </c>
      <c r="F1547" s="77">
        <v>997</v>
      </c>
      <c r="G1547" s="76"/>
      <c r="H1547" s="77">
        <v>26</v>
      </c>
      <c r="I1547" s="77" t="s">
        <v>31</v>
      </c>
      <c r="J1547" s="14">
        <v>1.829</v>
      </c>
      <c r="K1547" s="76">
        <v>7.0732344232942461</v>
      </c>
    </row>
    <row r="1548" spans="1:11">
      <c r="A1548" s="77" t="s">
        <v>33</v>
      </c>
      <c r="B1548" s="76">
        <v>43.167258417565144</v>
      </c>
      <c r="C1548" s="25">
        <v>1.08</v>
      </c>
      <c r="D1548" s="77">
        <v>7.1800000000000003E-2</v>
      </c>
      <c r="E1548" s="77">
        <v>0.874</v>
      </c>
      <c r="F1548" s="77">
        <v>997</v>
      </c>
      <c r="G1548" s="76"/>
      <c r="H1548" s="77">
        <v>26</v>
      </c>
      <c r="I1548" s="77" t="s">
        <v>31</v>
      </c>
      <c r="J1548" s="14">
        <v>1.829</v>
      </c>
      <c r="K1548" s="76">
        <v>7.0730202915145011</v>
      </c>
    </row>
    <row r="1549" spans="1:11">
      <c r="A1549" s="77" t="s">
        <v>33</v>
      </c>
      <c r="B1549" s="76">
        <v>50.846593903318563</v>
      </c>
      <c r="C1549" s="25">
        <v>1.08</v>
      </c>
      <c r="D1549" s="77">
        <v>7.1800000000000003E-2</v>
      </c>
      <c r="E1549" s="77">
        <v>0.874</v>
      </c>
      <c r="F1549" s="77">
        <v>997</v>
      </c>
      <c r="G1549" s="76"/>
      <c r="H1549" s="77">
        <v>26</v>
      </c>
      <c r="I1549" s="77" t="s">
        <v>31</v>
      </c>
      <c r="J1549" s="14">
        <v>1.829</v>
      </c>
      <c r="K1549" s="76">
        <v>7.0637546001556979</v>
      </c>
    </row>
    <row r="1550" spans="1:11">
      <c r="A1550" s="77" t="s">
        <v>33</v>
      </c>
      <c r="B1550" s="76">
        <v>53.561236515165902</v>
      </c>
      <c r="C1550" s="25">
        <v>1.08</v>
      </c>
      <c r="D1550" s="77">
        <v>7.1800000000000003E-2</v>
      </c>
      <c r="E1550" s="77">
        <v>0.874</v>
      </c>
      <c r="F1550" s="77">
        <v>997</v>
      </c>
      <c r="G1550" s="76"/>
      <c r="H1550" s="77">
        <v>26</v>
      </c>
      <c r="I1550" s="77" t="s">
        <v>31</v>
      </c>
      <c r="J1550" s="14">
        <v>1.829</v>
      </c>
      <c r="K1550" s="76">
        <v>6.9767455335322568</v>
      </c>
    </row>
    <row r="1551" spans="1:11">
      <c r="A1551" s="77" t="s">
        <v>33</v>
      </c>
      <c r="B1551" s="76">
        <v>56.94348448065054</v>
      </c>
      <c r="C1551" s="25">
        <v>1.08</v>
      </c>
      <c r="D1551" s="77">
        <v>7.1800000000000003E-2</v>
      </c>
      <c r="E1551" s="77">
        <v>0.874</v>
      </c>
      <c r="F1551" s="77">
        <v>997</v>
      </c>
      <c r="G1551" s="76"/>
      <c r="H1551" s="77">
        <v>26</v>
      </c>
      <c r="I1551" s="77" t="s">
        <v>31</v>
      </c>
      <c r="J1551" s="14">
        <v>1.829</v>
      </c>
      <c r="K1551" s="76">
        <v>6.8805937944092594</v>
      </c>
    </row>
    <row r="1552" spans="1:11">
      <c r="A1552" s="77" t="s">
        <v>33</v>
      </c>
      <c r="B1552" s="76">
        <v>63.389830776676803</v>
      </c>
      <c r="C1552" s="25">
        <v>1.08</v>
      </c>
      <c r="D1552" s="77">
        <v>7.1800000000000003E-2</v>
      </c>
      <c r="E1552" s="77">
        <v>0.874</v>
      </c>
      <c r="F1552" s="77">
        <v>997</v>
      </c>
      <c r="G1552" s="76"/>
      <c r="H1552" s="77">
        <v>26</v>
      </c>
      <c r="I1552" s="77" t="s">
        <v>31</v>
      </c>
      <c r="J1552" s="14">
        <v>1.829</v>
      </c>
      <c r="K1552" s="76">
        <v>6.8871376190599882</v>
      </c>
    </row>
    <row r="1553" spans="1:11">
      <c r="A1553" s="77" t="s">
        <v>33</v>
      </c>
      <c r="B1553" s="76">
        <v>90.677289352139994</v>
      </c>
      <c r="C1553" s="25">
        <v>1.08</v>
      </c>
      <c r="D1553" s="77">
        <v>7.1800000000000003E-2</v>
      </c>
      <c r="E1553" s="77">
        <v>0.874</v>
      </c>
      <c r="F1553" s="77">
        <v>997</v>
      </c>
      <c r="G1553" s="76"/>
      <c r="H1553" s="77">
        <v>26</v>
      </c>
      <c r="I1553" s="77" t="s">
        <v>31</v>
      </c>
      <c r="J1553" s="14">
        <v>1.829</v>
      </c>
      <c r="K1553" s="76">
        <v>6.910905967088687</v>
      </c>
    </row>
    <row r="1554" spans="1:11">
      <c r="A1554" s="77" t="s">
        <v>33</v>
      </c>
      <c r="B1554" s="76">
        <v>99.735322210479609</v>
      </c>
      <c r="C1554" s="25">
        <v>1.08</v>
      </c>
      <c r="D1554" s="77">
        <v>7.1800000000000003E-2</v>
      </c>
      <c r="E1554" s="77">
        <v>0.874</v>
      </c>
      <c r="F1554" s="77">
        <v>997</v>
      </c>
      <c r="G1554" s="76"/>
      <c r="H1554" s="77">
        <v>26</v>
      </c>
      <c r="I1554" s="77" t="s">
        <v>31</v>
      </c>
      <c r="J1554" s="14">
        <v>1.829</v>
      </c>
      <c r="K1554" s="76">
        <v>6.8791150018970653</v>
      </c>
    </row>
    <row r="1555" spans="1:11">
      <c r="A1555" s="77" t="s">
        <v>33</v>
      </c>
      <c r="B1555" s="76">
        <v>117.24582693648181</v>
      </c>
      <c r="C1555" s="25">
        <v>1.08</v>
      </c>
      <c r="D1555" s="77">
        <v>7.1800000000000003E-2</v>
      </c>
      <c r="E1555" s="77">
        <v>0.874</v>
      </c>
      <c r="F1555" s="77">
        <v>997</v>
      </c>
      <c r="G1555" s="76"/>
      <c r="H1555" s="77">
        <v>26</v>
      </c>
      <c r="I1555" s="77" t="s">
        <v>31</v>
      </c>
      <c r="J1555" s="14">
        <v>1.829</v>
      </c>
      <c r="K1555" s="76">
        <v>6.8392246978364826</v>
      </c>
    </row>
    <row r="1556" spans="1:11">
      <c r="A1556" s="77" t="s">
        <v>33</v>
      </c>
      <c r="B1556" s="76">
        <v>143.9056712451324</v>
      </c>
      <c r="C1556" s="25">
        <v>1.08</v>
      </c>
      <c r="D1556" s="77">
        <v>7.1800000000000003E-2</v>
      </c>
      <c r="E1556" s="77">
        <v>0.874</v>
      </c>
      <c r="F1556" s="77">
        <v>997</v>
      </c>
      <c r="G1556" s="76"/>
      <c r="H1556" s="77">
        <v>26</v>
      </c>
      <c r="I1556" s="77" t="s">
        <v>31</v>
      </c>
      <c r="J1556" s="14">
        <v>1.829</v>
      </c>
      <c r="K1556" s="76">
        <v>6.8861577334706805</v>
      </c>
    </row>
    <row r="1557" spans="1:11">
      <c r="A1557" s="77" t="s">
        <v>33</v>
      </c>
      <c r="B1557" s="76">
        <v>156.84727474041719</v>
      </c>
      <c r="C1557" s="25">
        <v>1.08</v>
      </c>
      <c r="D1557" s="77">
        <v>7.1800000000000003E-2</v>
      </c>
      <c r="E1557" s="77">
        <v>0.874</v>
      </c>
      <c r="F1557" s="77">
        <v>997</v>
      </c>
      <c r="G1557" s="76"/>
      <c r="H1557" s="77">
        <v>26</v>
      </c>
      <c r="I1557" s="77" t="s">
        <v>31</v>
      </c>
      <c r="J1557" s="14">
        <v>1.829</v>
      </c>
      <c r="K1557" s="76">
        <v>6.9219616533015556</v>
      </c>
    </row>
    <row r="1558" spans="1:11">
      <c r="A1558" s="77" t="s">
        <v>33</v>
      </c>
      <c r="B1558" s="76">
        <v>172.8308545221312</v>
      </c>
      <c r="C1558" s="25">
        <v>1.08</v>
      </c>
      <c r="D1558" s="77">
        <v>7.1800000000000003E-2</v>
      </c>
      <c r="E1558" s="77">
        <v>0.874</v>
      </c>
      <c r="F1558" s="77">
        <v>997</v>
      </c>
      <c r="G1558" s="76"/>
      <c r="H1558" s="77">
        <v>26</v>
      </c>
      <c r="I1558" s="77" t="s">
        <v>31</v>
      </c>
      <c r="J1558" s="14">
        <v>1.829</v>
      </c>
      <c r="K1558" s="76">
        <v>6.9666568097162189</v>
      </c>
    </row>
    <row r="1559" spans="1:11">
      <c r="A1559" s="77" t="s">
        <v>33</v>
      </c>
      <c r="B1559" s="76">
        <v>190.62257974194898</v>
      </c>
      <c r="C1559" s="25">
        <v>1.08</v>
      </c>
      <c r="D1559" s="77">
        <v>7.1800000000000003E-2</v>
      </c>
      <c r="E1559" s="77">
        <v>0.874</v>
      </c>
      <c r="F1559" s="77">
        <v>997</v>
      </c>
      <c r="G1559" s="76"/>
      <c r="H1559" s="77">
        <v>26</v>
      </c>
      <c r="I1559" s="77" t="s">
        <v>31</v>
      </c>
      <c r="J1559" s="14">
        <v>1.829</v>
      </c>
      <c r="K1559" s="76">
        <v>6.9676270563343321</v>
      </c>
    </row>
    <row r="1560" spans="1:11">
      <c r="A1560" s="77" t="s">
        <v>33</v>
      </c>
      <c r="B1560" s="76">
        <v>216.02528637017221</v>
      </c>
      <c r="C1560" s="25">
        <v>1.08</v>
      </c>
      <c r="D1560" s="77">
        <v>7.1800000000000003E-2</v>
      </c>
      <c r="E1560" s="77">
        <v>0.874</v>
      </c>
      <c r="F1560" s="77">
        <v>997</v>
      </c>
      <c r="G1560" s="76"/>
      <c r="H1560" s="77">
        <v>26</v>
      </c>
      <c r="I1560" s="77" t="s">
        <v>31</v>
      </c>
      <c r="J1560" s="14">
        <v>1.829</v>
      </c>
      <c r="K1560" s="76">
        <v>7.0345819810012333</v>
      </c>
    </row>
    <row r="1561" spans="1:11">
      <c r="A1561" s="77" t="s">
        <v>33</v>
      </c>
      <c r="B1561" s="76">
        <v>250.96023638280721</v>
      </c>
      <c r="C1561" s="25">
        <v>1.08</v>
      </c>
      <c r="D1561" s="77">
        <v>7.1800000000000003E-2</v>
      </c>
      <c r="E1561" s="77">
        <v>0.874</v>
      </c>
      <c r="F1561" s="77">
        <v>997</v>
      </c>
      <c r="G1561" s="76"/>
      <c r="H1561" s="77">
        <v>26</v>
      </c>
      <c r="I1561" s="77" t="s">
        <v>31</v>
      </c>
      <c r="J1561" s="14">
        <v>1.829</v>
      </c>
      <c r="K1561" s="76">
        <v>7.0448117250430835</v>
      </c>
    </row>
    <row r="1562" spans="1:11">
      <c r="A1562" s="77" t="s">
        <v>33</v>
      </c>
      <c r="B1562" s="76">
        <v>267.21927811271581</v>
      </c>
      <c r="C1562" s="25">
        <v>1.08</v>
      </c>
      <c r="D1562" s="77">
        <v>7.1800000000000003E-2</v>
      </c>
      <c r="E1562" s="77">
        <v>0.874</v>
      </c>
      <c r="F1562" s="77">
        <v>997</v>
      </c>
      <c r="G1562" s="76"/>
      <c r="H1562" s="77">
        <v>26</v>
      </c>
      <c r="I1562" s="77" t="s">
        <v>31</v>
      </c>
      <c r="J1562" s="14">
        <v>1.829</v>
      </c>
      <c r="K1562" s="76">
        <v>7.0438094059563214</v>
      </c>
    </row>
    <row r="1563" spans="1:11">
      <c r="A1563" s="77" t="s">
        <v>33</v>
      </c>
      <c r="B1563" s="76">
        <v>314.15203836590456</v>
      </c>
      <c r="C1563" s="25">
        <v>1.08</v>
      </c>
      <c r="D1563" s="77">
        <v>7.1800000000000003E-2</v>
      </c>
      <c r="E1563" s="77">
        <v>0.874</v>
      </c>
      <c r="F1563" s="77">
        <v>997</v>
      </c>
      <c r="G1563" s="76"/>
      <c r="H1563" s="77">
        <v>26</v>
      </c>
      <c r="I1563" s="77" t="s">
        <v>31</v>
      </c>
      <c r="J1563" s="14">
        <v>1.829</v>
      </c>
      <c r="K1563" s="76">
        <v>7.0528567658242904</v>
      </c>
    </row>
    <row r="1564" spans="1:11">
      <c r="A1564" s="77" t="s">
        <v>33</v>
      </c>
      <c r="B1564" s="76">
        <v>343.1803050984492</v>
      </c>
      <c r="C1564" s="25">
        <v>1.08</v>
      </c>
      <c r="D1564" s="77">
        <v>7.1800000000000003E-2</v>
      </c>
      <c r="E1564" s="77">
        <v>0.874</v>
      </c>
      <c r="F1564" s="77">
        <v>997</v>
      </c>
      <c r="G1564" s="76"/>
      <c r="H1564" s="77">
        <v>26</v>
      </c>
      <c r="I1564" s="77" t="s">
        <v>31</v>
      </c>
      <c r="J1564" s="14">
        <v>1.829</v>
      </c>
      <c r="K1564" s="76">
        <v>7.1079449461662172</v>
      </c>
    </row>
    <row r="1565" spans="1:11">
      <c r="A1565" s="77" t="s">
        <v>33</v>
      </c>
      <c r="B1565" s="76">
        <v>369.61001388948659</v>
      </c>
      <c r="C1565" s="25">
        <v>1.08</v>
      </c>
      <c r="D1565" s="77">
        <v>7.1800000000000003E-2</v>
      </c>
      <c r="E1565" s="77">
        <v>0.874</v>
      </c>
      <c r="F1565" s="77">
        <v>997</v>
      </c>
      <c r="G1565" s="76"/>
      <c r="H1565" s="77">
        <v>26</v>
      </c>
      <c r="I1565" s="77" t="s">
        <v>31</v>
      </c>
      <c r="J1565" s="14">
        <v>1.829</v>
      </c>
      <c r="K1565" s="76">
        <v>7.1884465318000386</v>
      </c>
    </row>
    <row r="1566" spans="1:11">
      <c r="A1566" s="77" t="s">
        <v>33</v>
      </c>
      <c r="B1566" s="76">
        <v>426.27750406722896</v>
      </c>
      <c r="C1566" s="25">
        <v>1.08</v>
      </c>
      <c r="D1566" s="77">
        <v>7.1800000000000003E-2</v>
      </c>
      <c r="E1566" s="77">
        <v>0.874</v>
      </c>
      <c r="F1566" s="77">
        <v>997</v>
      </c>
      <c r="G1566" s="76"/>
      <c r="H1566" s="77">
        <v>26</v>
      </c>
      <c r="I1566" s="77" t="s">
        <v>31</v>
      </c>
      <c r="J1566" s="14">
        <v>1.829</v>
      </c>
      <c r="K1566" s="76">
        <v>7.3096944044596581</v>
      </c>
    </row>
    <row r="1567" spans="1:11">
      <c r="A1567" s="77" t="s">
        <v>33</v>
      </c>
      <c r="B1567" s="76">
        <v>450.39784206222839</v>
      </c>
      <c r="C1567" s="25">
        <v>1.08</v>
      </c>
      <c r="D1567" s="77">
        <v>7.1800000000000003E-2</v>
      </c>
      <c r="E1567" s="77">
        <v>0.874</v>
      </c>
      <c r="F1567" s="77">
        <v>997</v>
      </c>
      <c r="G1567" s="76"/>
      <c r="H1567" s="77">
        <v>26</v>
      </c>
      <c r="I1567" s="77" t="s">
        <v>31</v>
      </c>
      <c r="J1567" s="14">
        <v>1.829</v>
      </c>
      <c r="K1567" s="76">
        <v>7.4615755263255643</v>
      </c>
    </row>
    <row r="1568" spans="1:11">
      <c r="A1568" s="77" t="s">
        <v>33</v>
      </c>
      <c r="B1568" s="76">
        <v>496.04537888983498</v>
      </c>
      <c r="C1568" s="25">
        <v>1.08</v>
      </c>
      <c r="D1568" s="77">
        <v>7.1800000000000003E-2</v>
      </c>
      <c r="E1568" s="77">
        <v>0.874</v>
      </c>
      <c r="F1568" s="77">
        <v>997</v>
      </c>
      <c r="G1568" s="76"/>
      <c r="H1568" s="77">
        <v>26</v>
      </c>
      <c r="I1568" s="77" t="s">
        <v>31</v>
      </c>
      <c r="J1568" s="14">
        <v>1.829</v>
      </c>
      <c r="K1568" s="76">
        <v>7.5494182900706077</v>
      </c>
    </row>
    <row r="1569" spans="1:11">
      <c r="A1569" s="77" t="s">
        <v>33</v>
      </c>
      <c r="B1569" s="76">
        <v>7.43879351057232</v>
      </c>
      <c r="C1569" s="25">
        <v>1.45</v>
      </c>
      <c r="D1569" s="76"/>
      <c r="E1569" s="76"/>
      <c r="F1569" s="76"/>
      <c r="G1569" s="77">
        <v>0</v>
      </c>
      <c r="H1569" s="76"/>
      <c r="I1569" s="77" t="s">
        <v>14</v>
      </c>
      <c r="J1569" s="14">
        <v>1.1639999999999799</v>
      </c>
      <c r="K1569" s="76">
        <v>9.1158023773739902</v>
      </c>
    </row>
    <row r="1570" spans="1:11">
      <c r="A1570" s="77" t="s">
        <v>33</v>
      </c>
      <c r="B1570" s="76">
        <v>8.9913651223768198</v>
      </c>
      <c r="C1570" s="25">
        <v>1.45</v>
      </c>
      <c r="D1570" s="76"/>
      <c r="E1570" s="76"/>
      <c r="F1570" s="76"/>
      <c r="G1570" s="77">
        <v>0</v>
      </c>
      <c r="H1570" s="76"/>
      <c r="I1570" s="77" t="s">
        <v>14</v>
      </c>
      <c r="J1570" s="14">
        <v>1.1639999999999799</v>
      </c>
      <c r="K1570" s="76">
        <v>9.0834934966742065</v>
      </c>
    </row>
    <row r="1571" spans="1:11">
      <c r="A1571" s="77" t="s">
        <v>33</v>
      </c>
      <c r="B1571" s="76">
        <v>11.44621393581852</v>
      </c>
      <c r="C1571" s="25">
        <v>1.45</v>
      </c>
      <c r="D1571" s="76"/>
      <c r="E1571" s="76"/>
      <c r="F1571" s="76"/>
      <c r="G1571" s="77">
        <v>0</v>
      </c>
      <c r="H1571" s="76"/>
      <c r="I1571" s="77" t="s">
        <v>14</v>
      </c>
      <c r="J1571" s="14">
        <v>1.1639999999999799</v>
      </c>
      <c r="K1571" s="76">
        <v>9.0725276876442056</v>
      </c>
    </row>
    <row r="1572" spans="1:11">
      <c r="A1572" s="77" t="s">
        <v>33</v>
      </c>
      <c r="B1572" s="76">
        <v>13.40719583039184</v>
      </c>
      <c r="C1572" s="25">
        <v>1.45</v>
      </c>
      <c r="D1572" s="76"/>
      <c r="E1572" s="76"/>
      <c r="F1572" s="76"/>
      <c r="G1572" s="77">
        <v>0</v>
      </c>
      <c r="H1572" s="76"/>
      <c r="I1572" s="77" t="s">
        <v>14</v>
      </c>
      <c r="J1572" s="14">
        <v>1.1639999999999799</v>
      </c>
      <c r="K1572" s="76">
        <v>9.089536508600867</v>
      </c>
    </row>
    <row r="1573" spans="1:11">
      <c r="A1573" s="77" t="s">
        <v>33</v>
      </c>
      <c r="B1573" s="76">
        <v>16.64521788405942</v>
      </c>
      <c r="C1573" s="25">
        <v>1.45</v>
      </c>
      <c r="D1573" s="76"/>
      <c r="E1573" s="76"/>
      <c r="F1573" s="76"/>
      <c r="G1573" s="77">
        <v>0</v>
      </c>
      <c r="H1573" s="76"/>
      <c r="I1573" s="77" t="s">
        <v>14</v>
      </c>
      <c r="J1573" s="14">
        <v>1.1639999999999799</v>
      </c>
      <c r="K1573" s="76">
        <v>9.0871928228345364</v>
      </c>
    </row>
    <row r="1574" spans="1:11">
      <c r="A1574" s="77" t="s">
        <v>33</v>
      </c>
      <c r="B1574" s="76">
        <v>20.975962469618757</v>
      </c>
      <c r="C1574" s="25">
        <v>1.45</v>
      </c>
      <c r="D1574" s="76"/>
      <c r="E1574" s="76"/>
      <c r="F1574" s="76"/>
      <c r="G1574" s="77">
        <v>0</v>
      </c>
      <c r="H1574" s="76"/>
      <c r="I1574" s="77" t="s">
        <v>14</v>
      </c>
      <c r="J1574" s="14">
        <v>1.1639999999999799</v>
      </c>
      <c r="K1574" s="76">
        <v>9.0703853579419711</v>
      </c>
    </row>
    <row r="1575" spans="1:11">
      <c r="A1575" s="77" t="s">
        <v>33</v>
      </c>
      <c r="B1575" s="76">
        <v>25.094437730706659</v>
      </c>
      <c r="C1575" s="25">
        <v>1.45</v>
      </c>
      <c r="D1575" s="76"/>
      <c r="E1575" s="76"/>
      <c r="F1575" s="76"/>
      <c r="G1575" s="77">
        <v>0</v>
      </c>
      <c r="H1575" s="76"/>
      <c r="I1575" s="77" t="s">
        <v>14</v>
      </c>
      <c r="J1575" s="14">
        <v>1.1639999999999799</v>
      </c>
      <c r="K1575" s="76">
        <v>9.0869214877333118</v>
      </c>
    </row>
    <row r="1576" spans="1:11">
      <c r="A1576" s="77" t="s">
        <v>33</v>
      </c>
      <c r="B1576" s="76">
        <v>30.466573662933058</v>
      </c>
      <c r="C1576" s="25">
        <v>1.45</v>
      </c>
      <c r="D1576" s="76"/>
      <c r="E1576" s="76"/>
      <c r="F1576" s="76"/>
      <c r="G1576" s="77">
        <v>0</v>
      </c>
      <c r="H1576" s="76"/>
      <c r="I1576" s="77" t="s">
        <v>14</v>
      </c>
      <c r="J1576" s="14">
        <v>1.1639999999999799</v>
      </c>
      <c r="K1576" s="76">
        <v>9.0923990919462234</v>
      </c>
    </row>
    <row r="1577" spans="1:11">
      <c r="A1577" s="77" t="s">
        <v>33</v>
      </c>
      <c r="B1577" s="76">
        <v>36.969309305363822</v>
      </c>
      <c r="C1577" s="25">
        <v>1.45</v>
      </c>
      <c r="D1577" s="76"/>
      <c r="E1577" s="76"/>
      <c r="F1577" s="76"/>
      <c r="G1577" s="77">
        <v>0</v>
      </c>
      <c r="H1577" s="76"/>
      <c r="I1577" s="77" t="s">
        <v>14</v>
      </c>
      <c r="J1577" s="14">
        <v>1.1639999999999799</v>
      </c>
      <c r="K1577" s="76">
        <v>8.9955507385183768</v>
      </c>
    </row>
    <row r="1578" spans="1:11">
      <c r="A1578" s="77" t="s">
        <v>33</v>
      </c>
      <c r="B1578" s="76">
        <v>42.156298275138724</v>
      </c>
      <c r="C1578" s="25">
        <v>1.45</v>
      </c>
      <c r="D1578" s="76"/>
      <c r="E1578" s="76"/>
      <c r="F1578" s="76"/>
      <c r="G1578" s="77">
        <v>0</v>
      </c>
      <c r="H1578" s="76"/>
      <c r="I1578" s="77" t="s">
        <v>14</v>
      </c>
      <c r="J1578" s="14">
        <v>1.1639999999999799</v>
      </c>
      <c r="K1578" s="76">
        <v>9.1540140658839881</v>
      </c>
    </row>
    <row r="1579" spans="1:11">
      <c r="A1579" s="77" t="s">
        <v>33</v>
      </c>
      <c r="B1579" s="76">
        <v>48.487971116692684</v>
      </c>
      <c r="C1579" s="25">
        <v>1.45</v>
      </c>
      <c r="D1579" s="76"/>
      <c r="E1579" s="76"/>
      <c r="F1579" s="76"/>
      <c r="G1579" s="77">
        <v>0</v>
      </c>
      <c r="H1579" s="76"/>
      <c r="I1579" s="77" t="s">
        <v>14</v>
      </c>
      <c r="J1579" s="14">
        <v>1.1639999999999799</v>
      </c>
      <c r="K1579" s="76">
        <v>8.9977975149011158</v>
      </c>
    </row>
    <row r="1580" spans="1:11">
      <c r="A1580" s="77" t="s">
        <v>33</v>
      </c>
      <c r="B1580" s="76">
        <v>56.887471202332804</v>
      </c>
      <c r="C1580" s="25">
        <v>1.45</v>
      </c>
      <c r="D1580" s="76"/>
      <c r="E1580" s="76"/>
      <c r="F1580" s="76"/>
      <c r="G1580" s="77">
        <v>0</v>
      </c>
      <c r="H1580" s="76"/>
      <c r="I1580" s="77" t="s">
        <v>14</v>
      </c>
      <c r="J1580" s="14">
        <v>1.1639999999999799</v>
      </c>
      <c r="K1580" s="76">
        <v>9.1544365015248594</v>
      </c>
    </row>
    <row r="1581" spans="1:11">
      <c r="A1581" s="77" t="s">
        <v>33</v>
      </c>
      <c r="B1581" s="76">
        <v>63.613438096359602</v>
      </c>
      <c r="C1581" s="25">
        <v>1.45</v>
      </c>
      <c r="D1581" s="76"/>
      <c r="E1581" s="76"/>
      <c r="F1581" s="76"/>
      <c r="G1581" s="77">
        <v>0</v>
      </c>
      <c r="H1581" s="76"/>
      <c r="I1581" s="77" t="s">
        <v>14</v>
      </c>
      <c r="J1581" s="14">
        <v>1.1639999999999799</v>
      </c>
      <c r="K1581" s="76">
        <v>9.0689574191902285</v>
      </c>
    </row>
    <row r="1582" spans="1:11">
      <c r="A1582" s="77" t="s">
        <v>33</v>
      </c>
      <c r="B1582" s="76">
        <v>74.936798416366202</v>
      </c>
      <c r="C1582" s="25">
        <v>1.45</v>
      </c>
      <c r="D1582" s="76"/>
      <c r="E1582" s="76"/>
      <c r="F1582" s="76"/>
      <c r="G1582" s="77">
        <v>0</v>
      </c>
      <c r="H1582" s="76"/>
      <c r="I1582" s="77" t="s">
        <v>14</v>
      </c>
      <c r="J1582" s="14">
        <v>1.1639999999999799</v>
      </c>
      <c r="K1582" s="76">
        <v>9.1000535237835614</v>
      </c>
    </row>
    <row r="1583" spans="1:11">
      <c r="A1583" s="77" t="s">
        <v>33</v>
      </c>
      <c r="B1583" s="76">
        <v>84.623906351834393</v>
      </c>
      <c r="C1583" s="25">
        <v>1.45</v>
      </c>
      <c r="D1583" s="76"/>
      <c r="E1583" s="76"/>
      <c r="F1583" s="76"/>
      <c r="G1583" s="77">
        <v>0</v>
      </c>
      <c r="H1583" s="76"/>
      <c r="I1583" s="77" t="s">
        <v>14</v>
      </c>
      <c r="J1583" s="14">
        <v>1.1639999999999799</v>
      </c>
      <c r="K1583" s="76">
        <v>9.0424828792462559</v>
      </c>
    </row>
    <row r="1584" spans="1:11">
      <c r="A1584" s="77" t="s">
        <v>33</v>
      </c>
      <c r="B1584" s="76">
        <v>97.678692554088002</v>
      </c>
      <c r="C1584" s="25">
        <v>1.45</v>
      </c>
      <c r="D1584" s="76"/>
      <c r="E1584" s="76"/>
      <c r="F1584" s="76"/>
      <c r="G1584" s="77">
        <v>0</v>
      </c>
      <c r="H1584" s="76"/>
      <c r="I1584" s="77" t="s">
        <v>14</v>
      </c>
      <c r="J1584" s="14">
        <v>1.1639999999999799</v>
      </c>
      <c r="K1584" s="76">
        <v>9.1598304811500775</v>
      </c>
    </row>
    <row r="1585" spans="1:11">
      <c r="A1585" s="77" t="s">
        <v>33</v>
      </c>
      <c r="B1585" s="76">
        <v>103.57015859303159</v>
      </c>
      <c r="C1585" s="25">
        <v>1.45</v>
      </c>
      <c r="D1585" s="76"/>
      <c r="E1585" s="76"/>
      <c r="F1585" s="76"/>
      <c r="G1585" s="77">
        <v>0</v>
      </c>
      <c r="H1585" s="76"/>
      <c r="I1585" s="77" t="s">
        <v>14</v>
      </c>
      <c r="J1585" s="14">
        <v>1.1639999999999799</v>
      </c>
      <c r="K1585" s="76">
        <v>9.0639121954808406</v>
      </c>
    </row>
    <row r="1586" spans="1:11">
      <c r="A1586" s="77" t="s">
        <v>33</v>
      </c>
      <c r="B1586" s="76">
        <v>117.140540885994</v>
      </c>
      <c r="C1586" s="25">
        <v>1.45</v>
      </c>
      <c r="D1586" s="76"/>
      <c r="E1586" s="76"/>
      <c r="F1586" s="76"/>
      <c r="G1586" s="77">
        <v>0</v>
      </c>
      <c r="H1586" s="76"/>
      <c r="I1586" s="77" t="s">
        <v>14</v>
      </c>
      <c r="J1586" s="14">
        <v>1.1639999999999799</v>
      </c>
      <c r="K1586" s="76">
        <v>9.2404955106263049</v>
      </c>
    </row>
    <row r="1587" spans="1:11">
      <c r="A1587" s="77" t="s">
        <v>33</v>
      </c>
      <c r="B1587" s="76">
        <v>135.15704601353158</v>
      </c>
      <c r="C1587" s="25">
        <v>1.45</v>
      </c>
      <c r="D1587" s="76"/>
      <c r="E1587" s="76"/>
      <c r="F1587" s="76"/>
      <c r="G1587" s="77">
        <v>0</v>
      </c>
      <c r="H1587" s="76"/>
      <c r="I1587" s="77" t="s">
        <v>14</v>
      </c>
      <c r="J1587" s="14">
        <v>1.1639999999999799</v>
      </c>
      <c r="K1587" s="76">
        <v>9.2906220693435522</v>
      </c>
    </row>
    <row r="1588" spans="1:11">
      <c r="A1588" s="77" t="s">
        <v>33</v>
      </c>
      <c r="B1588" s="76">
        <v>165.3280436764434</v>
      </c>
      <c r="C1588" s="25">
        <v>1.45</v>
      </c>
      <c r="D1588" s="76"/>
      <c r="E1588" s="76"/>
      <c r="F1588" s="76"/>
      <c r="G1588" s="77">
        <v>0</v>
      </c>
      <c r="H1588" s="76"/>
      <c r="I1588" s="77" t="s">
        <v>14</v>
      </c>
      <c r="J1588" s="14">
        <v>1.1639999999999799</v>
      </c>
      <c r="K1588" s="76">
        <v>8.9804971750183498</v>
      </c>
    </row>
    <row r="1589" spans="1:11">
      <c r="A1589" s="77" t="s">
        <v>33</v>
      </c>
      <c r="B1589" s="76">
        <v>193.47707727674819</v>
      </c>
      <c r="C1589" s="25">
        <v>1.45</v>
      </c>
      <c r="D1589" s="76"/>
      <c r="E1589" s="76"/>
      <c r="F1589" s="76"/>
      <c r="G1589" s="77">
        <v>0</v>
      </c>
      <c r="H1589" s="76"/>
      <c r="I1589" s="77" t="s">
        <v>14</v>
      </c>
      <c r="J1589" s="14">
        <v>1.1639999999999799</v>
      </c>
      <c r="K1589" s="76">
        <v>9.3787505157745539</v>
      </c>
    </row>
    <row r="1590" spans="1:11">
      <c r="A1590" s="77" t="s">
        <v>33</v>
      </c>
      <c r="B1590" s="76">
        <v>234.87016582125781</v>
      </c>
      <c r="C1590" s="25">
        <v>1.45</v>
      </c>
      <c r="D1590" s="76"/>
      <c r="E1590" s="76"/>
      <c r="F1590" s="76"/>
      <c r="G1590" s="77">
        <v>0</v>
      </c>
      <c r="H1590" s="76"/>
      <c r="I1590" s="77" t="s">
        <v>14</v>
      </c>
      <c r="J1590" s="14">
        <v>1.1639999999999799</v>
      </c>
      <c r="K1590" s="76">
        <v>8.8773673455725426</v>
      </c>
    </row>
    <row r="1591" spans="1:11">
      <c r="A1591" s="77" t="s">
        <v>33</v>
      </c>
      <c r="B1591" s="76">
        <v>258.7398226535808</v>
      </c>
      <c r="C1591" s="25">
        <v>1.45</v>
      </c>
      <c r="D1591" s="76"/>
      <c r="E1591" s="76"/>
      <c r="F1591" s="76"/>
      <c r="G1591" s="77">
        <v>0</v>
      </c>
      <c r="H1591" s="76"/>
      <c r="I1591" s="77" t="s">
        <v>14</v>
      </c>
      <c r="J1591" s="14">
        <v>1.1639999999999799</v>
      </c>
      <c r="K1591" s="76">
        <v>9.0746951565794927</v>
      </c>
    </row>
    <row r="1592" spans="1:11">
      <c r="A1592" s="77" t="s">
        <v>33</v>
      </c>
      <c r="B1592" s="76">
        <v>303.1972773559296</v>
      </c>
      <c r="C1592" s="25">
        <v>1.45</v>
      </c>
      <c r="D1592" s="76"/>
      <c r="E1592" s="76"/>
      <c r="F1592" s="76"/>
      <c r="G1592" s="77">
        <v>0</v>
      </c>
      <c r="H1592" s="76"/>
      <c r="I1592" s="77" t="s">
        <v>14</v>
      </c>
      <c r="J1592" s="14">
        <v>1.1639999999999799</v>
      </c>
      <c r="K1592" s="76">
        <v>9.4374372975721776</v>
      </c>
    </row>
    <row r="1593" spans="1:11">
      <c r="A1593" s="77" t="s">
        <v>33</v>
      </c>
      <c r="B1593" s="76">
        <v>334.01096089753497</v>
      </c>
      <c r="C1593" s="25">
        <v>1.45</v>
      </c>
      <c r="D1593" s="76"/>
      <c r="E1593" s="76"/>
      <c r="F1593" s="76"/>
      <c r="G1593" s="77">
        <v>0</v>
      </c>
      <c r="H1593" s="76"/>
      <c r="I1593" s="77" t="s">
        <v>14</v>
      </c>
      <c r="J1593" s="14">
        <v>1.1639999999999799</v>
      </c>
      <c r="K1593" s="76">
        <v>9.1547595536979554</v>
      </c>
    </row>
    <row r="1594" spans="1:11">
      <c r="A1594" s="77" t="s">
        <v>33</v>
      </c>
      <c r="B1594" s="76">
        <v>403.15583184561723</v>
      </c>
      <c r="C1594" s="25">
        <v>1.45</v>
      </c>
      <c r="D1594" s="76"/>
      <c r="E1594" s="76"/>
      <c r="F1594" s="76"/>
      <c r="G1594" s="77">
        <v>0</v>
      </c>
      <c r="H1594" s="76"/>
      <c r="I1594" s="77" t="s">
        <v>14</v>
      </c>
      <c r="J1594" s="14">
        <v>1.1639999999999799</v>
      </c>
      <c r="K1594" s="76">
        <v>8.9811553935342054</v>
      </c>
    </row>
    <row r="1595" spans="1:11">
      <c r="A1595" s="77" t="s">
        <v>33</v>
      </c>
      <c r="B1595" s="76">
        <v>469.13917787527203</v>
      </c>
      <c r="C1595" s="25">
        <v>1.45</v>
      </c>
      <c r="D1595" s="76"/>
      <c r="E1595" s="76"/>
      <c r="F1595" s="76"/>
      <c r="G1595" s="77">
        <v>0</v>
      </c>
      <c r="H1595" s="76"/>
      <c r="I1595" s="77" t="s">
        <v>14</v>
      </c>
      <c r="J1595" s="14">
        <v>1.1639999999999799</v>
      </c>
      <c r="K1595" s="76">
        <v>8.9534301887065997</v>
      </c>
    </row>
    <row r="1596" spans="1:11">
      <c r="A1596" s="77" t="s">
        <v>33</v>
      </c>
      <c r="B1596" s="76">
        <v>548.42497035549604</v>
      </c>
      <c r="C1596" s="25">
        <v>1.45</v>
      </c>
      <c r="D1596" s="76"/>
      <c r="E1596" s="76"/>
      <c r="F1596" s="76"/>
      <c r="G1596" s="77">
        <v>0</v>
      </c>
      <c r="H1596" s="76"/>
      <c r="I1596" s="77" t="s">
        <v>14</v>
      </c>
      <c r="J1596" s="14">
        <v>1.1639999999999799</v>
      </c>
      <c r="K1596" s="76">
        <v>9.287823137128342</v>
      </c>
    </row>
    <row r="1597" spans="1:11">
      <c r="A1597" s="77" t="s">
        <v>33</v>
      </c>
      <c r="B1597" s="76">
        <v>636.17328745655993</v>
      </c>
      <c r="C1597" s="25">
        <v>1.45</v>
      </c>
      <c r="D1597" s="76"/>
      <c r="E1597" s="76"/>
      <c r="F1597" s="76"/>
      <c r="G1597" s="77">
        <v>0</v>
      </c>
      <c r="H1597" s="76"/>
      <c r="I1597" s="77" t="s">
        <v>14</v>
      </c>
      <c r="J1597" s="14">
        <v>1.1639999999999799</v>
      </c>
      <c r="K1597" s="76">
        <v>9.5965444770137101</v>
      </c>
    </row>
    <row r="1598" spans="1:11">
      <c r="A1598" s="77" t="s">
        <v>33</v>
      </c>
      <c r="B1598" s="76">
        <v>6.5317345697537998</v>
      </c>
      <c r="C1598" s="25">
        <v>1.45</v>
      </c>
      <c r="D1598" s="76"/>
      <c r="E1598" s="76"/>
      <c r="F1598" s="76"/>
      <c r="G1598" s="77">
        <v>0.08</v>
      </c>
      <c r="H1598" s="76"/>
      <c r="I1598" s="77" t="s">
        <v>14</v>
      </c>
      <c r="J1598" s="14">
        <v>1.1639999999999799</v>
      </c>
      <c r="K1598" s="76">
        <v>8.3508070704600339</v>
      </c>
    </row>
    <row r="1599" spans="1:11">
      <c r="A1599" s="77" t="s">
        <v>33</v>
      </c>
      <c r="B1599" s="76">
        <v>8.0681784892616406</v>
      </c>
      <c r="C1599" s="25">
        <v>1.45</v>
      </c>
      <c r="D1599" s="76"/>
      <c r="E1599" s="76"/>
      <c r="F1599" s="76"/>
      <c r="G1599" s="77">
        <v>0.08</v>
      </c>
      <c r="H1599" s="76"/>
      <c r="I1599" s="77" t="s">
        <v>14</v>
      </c>
      <c r="J1599" s="14">
        <v>1.1639999999999799</v>
      </c>
      <c r="K1599" s="76">
        <v>8.331810027955914</v>
      </c>
    </row>
    <row r="1600" spans="1:11">
      <c r="A1600" s="77" t="s">
        <v>33</v>
      </c>
      <c r="B1600" s="76">
        <v>9.9204276142906203</v>
      </c>
      <c r="C1600" s="25">
        <v>1.45</v>
      </c>
      <c r="D1600" s="76"/>
      <c r="E1600" s="76"/>
      <c r="F1600" s="76"/>
      <c r="G1600" s="77">
        <v>0.08</v>
      </c>
      <c r="H1600" s="76"/>
      <c r="I1600" s="77" t="s">
        <v>14</v>
      </c>
      <c r="J1600" s="14">
        <v>1.1639999999999799</v>
      </c>
      <c r="K1600" s="76">
        <v>8.3093593220658608</v>
      </c>
    </row>
    <row r="1601" spans="1:11">
      <c r="A1601" s="77" t="s">
        <v>33</v>
      </c>
      <c r="B1601" s="76">
        <v>12.39842295206652</v>
      </c>
      <c r="C1601" s="25">
        <v>1.45</v>
      </c>
      <c r="D1601" s="76"/>
      <c r="E1601" s="76"/>
      <c r="F1601" s="76"/>
      <c r="G1601" s="77">
        <v>0.08</v>
      </c>
      <c r="H1601" s="76"/>
      <c r="I1601" s="77" t="s">
        <v>14</v>
      </c>
      <c r="J1601" s="14">
        <v>1.1639999999999799</v>
      </c>
      <c r="K1601" s="76">
        <v>8.3342529905173137</v>
      </c>
    </row>
    <row r="1602" spans="1:11">
      <c r="A1602" s="77" t="s">
        <v>33</v>
      </c>
      <c r="B1602" s="76">
        <v>14.5300013241747</v>
      </c>
      <c r="C1602" s="25">
        <v>1.45</v>
      </c>
      <c r="D1602" s="76"/>
      <c r="E1602" s="76"/>
      <c r="F1602" s="76"/>
      <c r="G1602" s="77">
        <v>0.08</v>
      </c>
      <c r="H1602" s="76"/>
      <c r="I1602" s="77" t="s">
        <v>14</v>
      </c>
      <c r="J1602" s="14">
        <v>1.1639999999999799</v>
      </c>
      <c r="K1602" s="76">
        <v>8.3800776566972299</v>
      </c>
    </row>
    <row r="1603" spans="1:11">
      <c r="A1603" s="77" t="s">
        <v>33</v>
      </c>
      <c r="B1603" s="76">
        <v>18.266117693862</v>
      </c>
      <c r="C1603" s="25">
        <v>1.45</v>
      </c>
      <c r="D1603" s="76"/>
      <c r="E1603" s="76"/>
      <c r="F1603" s="76"/>
      <c r="G1603" s="77">
        <v>0.08</v>
      </c>
      <c r="H1603" s="76"/>
      <c r="I1603" s="77" t="s">
        <v>14</v>
      </c>
      <c r="J1603" s="14">
        <v>1.1639999999999799</v>
      </c>
      <c r="K1603" s="76">
        <v>8.4162561763344232</v>
      </c>
    </row>
    <row r="1604" spans="1:11">
      <c r="A1604" s="77" t="s">
        <v>33</v>
      </c>
      <c r="B1604" s="76">
        <v>23.337815347458182</v>
      </c>
      <c r="C1604" s="25">
        <v>1.45</v>
      </c>
      <c r="D1604" s="76"/>
      <c r="E1604" s="76"/>
      <c r="F1604" s="76"/>
      <c r="G1604" s="77">
        <v>0.08</v>
      </c>
      <c r="H1604" s="76"/>
      <c r="I1604" s="77" t="s">
        <v>14</v>
      </c>
      <c r="J1604" s="14">
        <v>1.1639999999999799</v>
      </c>
      <c r="K1604" s="76">
        <v>8.4114142309603057</v>
      </c>
    </row>
    <row r="1605" spans="1:11">
      <c r="A1605" s="77" t="s">
        <v>33</v>
      </c>
      <c r="B1605" s="76">
        <v>30.166577944310816</v>
      </c>
      <c r="C1605" s="25">
        <v>1.45</v>
      </c>
      <c r="D1605" s="76"/>
      <c r="E1605" s="76"/>
      <c r="F1605" s="76"/>
      <c r="G1605" s="77">
        <v>0.08</v>
      </c>
      <c r="H1605" s="76"/>
      <c r="I1605" s="77" t="s">
        <v>14</v>
      </c>
      <c r="J1605" s="14">
        <v>1.1639999999999799</v>
      </c>
      <c r="K1605" s="76">
        <v>8.5000121681815983</v>
      </c>
    </row>
    <row r="1606" spans="1:11">
      <c r="A1606" s="77" t="s">
        <v>33</v>
      </c>
      <c r="B1606" s="76">
        <v>40.731949126719122</v>
      </c>
      <c r="C1606" s="25">
        <v>1.45</v>
      </c>
      <c r="D1606" s="76"/>
      <c r="E1606" s="76"/>
      <c r="F1606" s="76"/>
      <c r="G1606" s="77">
        <v>0.08</v>
      </c>
      <c r="H1606" s="76"/>
      <c r="I1606" s="77" t="s">
        <v>14</v>
      </c>
      <c r="J1606" s="14">
        <v>1.1639999999999799</v>
      </c>
      <c r="K1606" s="76">
        <v>8.5825745599704568</v>
      </c>
    </row>
    <row r="1607" spans="1:11">
      <c r="A1607" s="77" t="s">
        <v>33</v>
      </c>
      <c r="B1607" s="76">
        <v>52.383096394214334</v>
      </c>
      <c r="C1607" s="25">
        <v>1.45</v>
      </c>
      <c r="D1607" s="76"/>
      <c r="E1607" s="76"/>
      <c r="F1607" s="76"/>
      <c r="G1607" s="77">
        <v>0.08</v>
      </c>
      <c r="H1607" s="76"/>
      <c r="I1607" s="77" t="s">
        <v>14</v>
      </c>
      <c r="J1607" s="14">
        <v>1.1639999999999799</v>
      </c>
      <c r="K1607" s="76">
        <v>8.6404063216362488</v>
      </c>
    </row>
    <row r="1608" spans="1:11">
      <c r="A1608" s="77" t="s">
        <v>33</v>
      </c>
      <c r="B1608" s="76">
        <v>60.476721887973</v>
      </c>
      <c r="C1608" s="25">
        <v>1.45</v>
      </c>
      <c r="D1608" s="76"/>
      <c r="E1608" s="76"/>
      <c r="F1608" s="76"/>
      <c r="G1608" s="77">
        <v>0.08</v>
      </c>
      <c r="H1608" s="76"/>
      <c r="I1608" s="77" t="s">
        <v>14</v>
      </c>
      <c r="J1608" s="14">
        <v>1.1639999999999799</v>
      </c>
      <c r="K1608" s="76">
        <v>8.58938010013172</v>
      </c>
    </row>
    <row r="1609" spans="1:11">
      <c r="A1609" s="77" t="s">
        <v>33</v>
      </c>
      <c r="B1609" s="76">
        <v>71.325443284103997</v>
      </c>
      <c r="C1609" s="25">
        <v>1.45</v>
      </c>
      <c r="D1609" s="76"/>
      <c r="E1609" s="76"/>
      <c r="F1609" s="76"/>
      <c r="G1609" s="77">
        <v>0.08</v>
      </c>
      <c r="H1609" s="76"/>
      <c r="I1609" s="77" t="s">
        <v>14</v>
      </c>
      <c r="J1609" s="14">
        <v>1.1639999999999799</v>
      </c>
      <c r="K1609" s="76">
        <v>8.7163078144815245</v>
      </c>
    </row>
    <row r="1610" spans="1:11">
      <c r="A1610" s="77" t="s">
        <v>33</v>
      </c>
      <c r="B1610" s="76">
        <v>90.354651061788601</v>
      </c>
      <c r="C1610" s="25">
        <v>1.45</v>
      </c>
      <c r="D1610" s="76"/>
      <c r="E1610" s="76"/>
      <c r="F1610" s="76"/>
      <c r="G1610" s="77">
        <v>0.08</v>
      </c>
      <c r="H1610" s="76"/>
      <c r="I1610" s="77" t="s">
        <v>14</v>
      </c>
      <c r="J1610" s="14">
        <v>1.1639999999999799</v>
      </c>
      <c r="K1610" s="76">
        <v>8.65439645383079</v>
      </c>
    </row>
    <row r="1611" spans="1:11">
      <c r="A1611" s="77" t="s">
        <v>33</v>
      </c>
      <c r="B1611" s="76">
        <v>105.494422501827</v>
      </c>
      <c r="C1611" s="25">
        <v>1.45</v>
      </c>
      <c r="D1611" s="76"/>
      <c r="E1611" s="76"/>
      <c r="F1611" s="76"/>
      <c r="G1611" s="77">
        <v>0.08</v>
      </c>
      <c r="H1611" s="76"/>
      <c r="I1611" s="77" t="s">
        <v>14</v>
      </c>
      <c r="J1611" s="14">
        <v>1.1639999999999799</v>
      </c>
      <c r="K1611" s="76">
        <v>8.8795605002351046</v>
      </c>
    </row>
    <row r="1612" spans="1:11">
      <c r="A1612" s="77" t="s">
        <v>33</v>
      </c>
      <c r="B1612" s="76">
        <v>115.85805861435421</v>
      </c>
      <c r="C1612" s="25">
        <v>1.45</v>
      </c>
      <c r="D1612" s="76"/>
      <c r="E1612" s="76"/>
      <c r="F1612" s="76"/>
      <c r="G1612" s="77">
        <v>0.08</v>
      </c>
      <c r="H1612" s="76"/>
      <c r="I1612" s="77" t="s">
        <v>14</v>
      </c>
      <c r="J1612" s="14">
        <v>1.1639999999999799</v>
      </c>
      <c r="K1612" s="76">
        <v>8.8327306550000664</v>
      </c>
    </row>
    <row r="1613" spans="1:11">
      <c r="A1613" s="77" t="s">
        <v>33</v>
      </c>
      <c r="B1613" s="76">
        <v>132.73392921064021</v>
      </c>
      <c r="C1613" s="25">
        <v>1.45</v>
      </c>
      <c r="D1613" s="76"/>
      <c r="E1613" s="76"/>
      <c r="F1613" s="76"/>
      <c r="G1613" s="77">
        <v>0.08</v>
      </c>
      <c r="H1613" s="76"/>
      <c r="I1613" s="77" t="s">
        <v>14</v>
      </c>
      <c r="J1613" s="14">
        <v>1.1639999999999799</v>
      </c>
      <c r="K1613" s="76">
        <v>8.2984720259821483</v>
      </c>
    </row>
    <row r="1614" spans="1:11">
      <c r="A1614" s="77" t="s">
        <v>33</v>
      </c>
      <c r="B1614" s="76">
        <v>167.27676167046542</v>
      </c>
      <c r="C1614" s="25">
        <v>1.45</v>
      </c>
      <c r="D1614" s="76"/>
      <c r="E1614" s="76"/>
      <c r="F1614" s="76"/>
      <c r="G1614" s="77">
        <v>0.08</v>
      </c>
      <c r="H1614" s="76"/>
      <c r="I1614" s="77" t="s">
        <v>14</v>
      </c>
      <c r="J1614" s="14">
        <v>1.1639999999999799</v>
      </c>
      <c r="K1614" s="76">
        <v>8.0831704270442231</v>
      </c>
    </row>
    <row r="1615" spans="1:11">
      <c r="A1615" s="77" t="s">
        <v>33</v>
      </c>
      <c r="B1615" s="76">
        <v>193.60728244805279</v>
      </c>
      <c r="C1615" s="25">
        <v>1.45</v>
      </c>
      <c r="D1615" s="76"/>
      <c r="E1615" s="76"/>
      <c r="F1615" s="76"/>
      <c r="G1615" s="77">
        <v>0.08</v>
      </c>
      <c r="H1615" s="76"/>
      <c r="I1615" s="77" t="s">
        <v>14</v>
      </c>
      <c r="J1615" s="14">
        <v>1.1639999999999799</v>
      </c>
      <c r="K1615" s="76">
        <v>8.184735381340861</v>
      </c>
    </row>
    <row r="1616" spans="1:11">
      <c r="A1616" s="77" t="s">
        <v>33</v>
      </c>
      <c r="B1616" s="76">
        <v>235.70478100364159</v>
      </c>
      <c r="C1616" s="25">
        <v>1.45</v>
      </c>
      <c r="D1616" s="76"/>
      <c r="E1616" s="76"/>
      <c r="F1616" s="76"/>
      <c r="G1616" s="77">
        <v>0.08</v>
      </c>
      <c r="H1616" s="76"/>
      <c r="I1616" s="77" t="s">
        <v>14</v>
      </c>
      <c r="J1616" s="14">
        <v>1.1639999999999799</v>
      </c>
      <c r="K1616" s="76">
        <v>8.368302612647021</v>
      </c>
    </row>
    <row r="1617" spans="1:11">
      <c r="A1617" s="77" t="s">
        <v>33</v>
      </c>
      <c r="B1617" s="76">
        <v>258.56265170840817</v>
      </c>
      <c r="C1617" s="25">
        <v>1.45</v>
      </c>
      <c r="D1617" s="76"/>
      <c r="E1617" s="76"/>
      <c r="F1617" s="76"/>
      <c r="G1617" s="77">
        <v>0.08</v>
      </c>
      <c r="H1617" s="76"/>
      <c r="I1617" s="77" t="s">
        <v>14</v>
      </c>
      <c r="J1617" s="14">
        <v>1.1639999999999799</v>
      </c>
      <c r="K1617" s="76">
        <v>8.3453684560688792</v>
      </c>
    </row>
    <row r="1618" spans="1:11">
      <c r="A1618" s="77" t="s">
        <v>33</v>
      </c>
      <c r="B1618" s="76">
        <v>300.62701689539279</v>
      </c>
      <c r="C1618" s="25">
        <v>1.45</v>
      </c>
      <c r="D1618" s="76"/>
      <c r="E1618" s="76"/>
      <c r="F1618" s="76"/>
      <c r="G1618" s="77">
        <v>0.08</v>
      </c>
      <c r="H1618" s="76"/>
      <c r="I1618" s="77" t="s">
        <v>14</v>
      </c>
      <c r="J1618" s="14">
        <v>1.1639999999999799</v>
      </c>
      <c r="K1618" s="76">
        <v>8.3833767268677732</v>
      </c>
    </row>
    <row r="1619" spans="1:11">
      <c r="A1619" s="77" t="s">
        <v>33</v>
      </c>
      <c r="B1619" s="76">
        <v>349.83832726062781</v>
      </c>
      <c r="C1619" s="25">
        <v>1.45</v>
      </c>
      <c r="D1619" s="76"/>
      <c r="E1619" s="76"/>
      <c r="F1619" s="76"/>
      <c r="G1619" s="77">
        <v>0.08</v>
      </c>
      <c r="H1619" s="76"/>
      <c r="I1619" s="77" t="s">
        <v>14</v>
      </c>
      <c r="J1619" s="14">
        <v>1.1639999999999799</v>
      </c>
      <c r="K1619" s="76">
        <v>9.0317136775941798</v>
      </c>
    </row>
    <row r="1620" spans="1:11">
      <c r="A1620" s="77" t="s">
        <v>33</v>
      </c>
      <c r="B1620" s="76">
        <v>404.2767962178828</v>
      </c>
      <c r="C1620" s="25">
        <v>1.45</v>
      </c>
      <c r="D1620" s="76"/>
      <c r="E1620" s="76"/>
      <c r="F1620" s="76"/>
      <c r="G1620" s="77">
        <v>0.08</v>
      </c>
      <c r="H1620" s="76"/>
      <c r="I1620" s="77" t="s">
        <v>14</v>
      </c>
      <c r="J1620" s="14">
        <v>1.1639999999999799</v>
      </c>
      <c r="K1620" s="76">
        <v>9.1539892173357149</v>
      </c>
    </row>
    <row r="1621" spans="1:11">
      <c r="A1621" s="77" t="s">
        <v>33</v>
      </c>
      <c r="B1621" s="76">
        <v>486.74560906015688</v>
      </c>
      <c r="C1621" s="25">
        <v>1.45</v>
      </c>
      <c r="D1621" s="76"/>
      <c r="E1621" s="76"/>
      <c r="F1621" s="76"/>
      <c r="G1621" s="77">
        <v>0.08</v>
      </c>
      <c r="H1621" s="76"/>
      <c r="I1621" s="77" t="s">
        <v>14</v>
      </c>
      <c r="J1621" s="14">
        <v>1.1639999999999799</v>
      </c>
      <c r="K1621" s="76">
        <v>9.2551809191811589</v>
      </c>
    </row>
    <row r="1622" spans="1:11">
      <c r="A1622" s="77" t="s">
        <v>33</v>
      </c>
      <c r="B1622" s="76">
        <v>584.49100870675193</v>
      </c>
      <c r="C1622" s="25">
        <v>1.45</v>
      </c>
      <c r="D1622" s="76"/>
      <c r="E1622" s="76"/>
      <c r="F1622" s="76"/>
      <c r="G1622" s="77">
        <v>0.08</v>
      </c>
      <c r="H1622" s="76"/>
      <c r="I1622" s="77" t="s">
        <v>14</v>
      </c>
      <c r="J1622" s="14">
        <v>1.1639999999999799</v>
      </c>
      <c r="K1622" s="76">
        <v>9.4893276606613739</v>
      </c>
    </row>
    <row r="1623" spans="1:11">
      <c r="A1623" s="77" t="s">
        <v>33</v>
      </c>
      <c r="B1623" s="76">
        <v>6.6556944498200394</v>
      </c>
      <c r="C1623" s="25">
        <v>1.45</v>
      </c>
      <c r="D1623" s="76"/>
      <c r="E1623" s="76"/>
      <c r="F1623" s="76"/>
      <c r="G1623" s="77">
        <v>0.128</v>
      </c>
      <c r="H1623" s="76"/>
      <c r="I1623" s="77" t="s">
        <v>14</v>
      </c>
      <c r="J1623" s="14">
        <v>1.1639999999999799</v>
      </c>
      <c r="K1623" s="76">
        <v>7.4963689578012884</v>
      </c>
    </row>
    <row r="1624" spans="1:11">
      <c r="A1624" s="77" t="s">
        <v>33</v>
      </c>
      <c r="B1624" s="76">
        <v>7.9404127704430207</v>
      </c>
      <c r="C1624" s="25">
        <v>1.45</v>
      </c>
      <c r="D1624" s="76"/>
      <c r="E1624" s="76"/>
      <c r="F1624" s="76"/>
      <c r="G1624" s="77">
        <v>0.128</v>
      </c>
      <c r="H1624" s="76"/>
      <c r="I1624" s="77" t="s">
        <v>14</v>
      </c>
      <c r="J1624" s="14">
        <v>1.1639999999999799</v>
      </c>
      <c r="K1624" s="76">
        <v>7.6223375450905753</v>
      </c>
    </row>
    <row r="1625" spans="1:11">
      <c r="A1625" s="77" t="s">
        <v>33</v>
      </c>
      <c r="B1625" s="76">
        <v>10.040674943540401</v>
      </c>
      <c r="C1625" s="25">
        <v>1.45</v>
      </c>
      <c r="D1625" s="76"/>
      <c r="E1625" s="76"/>
      <c r="F1625" s="76"/>
      <c r="G1625" s="77">
        <v>0.128</v>
      </c>
      <c r="H1625" s="76"/>
      <c r="I1625" s="77" t="s">
        <v>14</v>
      </c>
      <c r="J1625" s="14">
        <v>1.1639999999999799</v>
      </c>
      <c r="K1625" s="76">
        <v>7.6815142905339151</v>
      </c>
    </row>
    <row r="1626" spans="1:11">
      <c r="A1626" s="77" t="s">
        <v>33</v>
      </c>
      <c r="B1626" s="76">
        <v>12.379783427457602</v>
      </c>
      <c r="C1626" s="25">
        <v>1.45</v>
      </c>
      <c r="D1626" s="76"/>
      <c r="E1626" s="76"/>
      <c r="F1626" s="76"/>
      <c r="G1626" s="77">
        <v>0.128</v>
      </c>
      <c r="H1626" s="76"/>
      <c r="I1626" s="77" t="s">
        <v>14</v>
      </c>
      <c r="J1626" s="14">
        <v>1.1639999999999799</v>
      </c>
      <c r="K1626" s="76">
        <v>7.6520660387286918</v>
      </c>
    </row>
    <row r="1627" spans="1:11">
      <c r="A1627" s="77" t="s">
        <v>33</v>
      </c>
      <c r="B1627" s="76">
        <v>14.7050428915122</v>
      </c>
      <c r="C1627" s="25">
        <v>1.45</v>
      </c>
      <c r="D1627" s="76"/>
      <c r="E1627" s="76"/>
      <c r="F1627" s="76"/>
      <c r="G1627" s="77">
        <v>0.128</v>
      </c>
      <c r="H1627" s="76"/>
      <c r="I1627" s="77" t="s">
        <v>14</v>
      </c>
      <c r="J1627" s="14">
        <v>1.1639999999999799</v>
      </c>
      <c r="K1627" s="76">
        <v>7.7192854742586876</v>
      </c>
    </row>
    <row r="1628" spans="1:11">
      <c r="A1628" s="77" t="s">
        <v>33</v>
      </c>
      <c r="B1628" s="76">
        <v>17.75331483921774</v>
      </c>
      <c r="C1628" s="25">
        <v>1.45</v>
      </c>
      <c r="D1628" s="76"/>
      <c r="E1628" s="76"/>
      <c r="F1628" s="76"/>
      <c r="G1628" s="77">
        <v>0.128</v>
      </c>
      <c r="H1628" s="76"/>
      <c r="I1628" s="77" t="s">
        <v>14</v>
      </c>
      <c r="J1628" s="14">
        <v>1.1639999999999799</v>
      </c>
      <c r="K1628" s="76">
        <v>7.7988358734887617</v>
      </c>
    </row>
    <row r="1629" spans="1:11">
      <c r="A1629" s="77" t="s">
        <v>33</v>
      </c>
      <c r="B1629" s="76">
        <v>23.715944607717539</v>
      </c>
      <c r="C1629" s="25">
        <v>1.45</v>
      </c>
      <c r="D1629" s="76"/>
      <c r="E1629" s="76"/>
      <c r="F1629" s="76"/>
      <c r="G1629" s="77">
        <v>0.128</v>
      </c>
      <c r="H1629" s="76"/>
      <c r="I1629" s="77" t="s">
        <v>14</v>
      </c>
      <c r="J1629" s="14">
        <v>1.1639999999999799</v>
      </c>
      <c r="K1629" s="76">
        <v>7.9767573390361131</v>
      </c>
    </row>
    <row r="1630" spans="1:11">
      <c r="A1630" s="77" t="s">
        <v>33</v>
      </c>
      <c r="B1630" s="76">
        <v>30.050201789150037</v>
      </c>
      <c r="C1630" s="25">
        <v>1.45</v>
      </c>
      <c r="D1630" s="76"/>
      <c r="E1630" s="76"/>
      <c r="F1630" s="76"/>
      <c r="G1630" s="77">
        <v>0.128</v>
      </c>
      <c r="H1630" s="76"/>
      <c r="I1630" s="77" t="s">
        <v>14</v>
      </c>
      <c r="J1630" s="14">
        <v>1.1639999999999799</v>
      </c>
      <c r="K1630" s="76">
        <v>8.0355222308546388</v>
      </c>
    </row>
    <row r="1631" spans="1:11">
      <c r="A1631" s="77" t="s">
        <v>33</v>
      </c>
      <c r="B1631" s="76">
        <v>39.04931520698166</v>
      </c>
      <c r="C1631" s="25">
        <v>1.45</v>
      </c>
      <c r="D1631" s="76"/>
      <c r="E1631" s="76"/>
      <c r="F1631" s="76"/>
      <c r="G1631" s="77">
        <v>0.128</v>
      </c>
      <c r="H1631" s="76"/>
      <c r="I1631" s="77" t="s">
        <v>14</v>
      </c>
      <c r="J1631" s="14">
        <v>1.1639999999999799</v>
      </c>
      <c r="K1631" s="76">
        <v>8.0809107400613787</v>
      </c>
    </row>
    <row r="1632" spans="1:11">
      <c r="A1632" s="77" t="s">
        <v>33</v>
      </c>
      <c r="B1632" s="76">
        <v>51.627402498047523</v>
      </c>
      <c r="C1632" s="25">
        <v>1.45</v>
      </c>
      <c r="D1632" s="76"/>
      <c r="E1632" s="76"/>
      <c r="F1632" s="76"/>
      <c r="G1632" s="77">
        <v>0.128</v>
      </c>
      <c r="H1632" s="76"/>
      <c r="I1632" s="77" t="s">
        <v>14</v>
      </c>
      <c r="J1632" s="14">
        <v>1.1639999999999799</v>
      </c>
      <c r="K1632" s="76">
        <v>8.1988333875814412</v>
      </c>
    </row>
    <row r="1633" spans="1:11">
      <c r="A1633" s="77" t="s">
        <v>33</v>
      </c>
      <c r="B1633" s="76">
        <v>60.686430614381393</v>
      </c>
      <c r="C1633" s="25">
        <v>1.45</v>
      </c>
      <c r="D1633" s="76"/>
      <c r="E1633" s="76"/>
      <c r="F1633" s="76"/>
      <c r="G1633" s="77">
        <v>0.128</v>
      </c>
      <c r="H1633" s="76"/>
      <c r="I1633" s="77" t="s">
        <v>14</v>
      </c>
      <c r="J1633" s="14">
        <v>1.1639999999999799</v>
      </c>
      <c r="K1633" s="76">
        <v>8.0821172904230494</v>
      </c>
    </row>
    <row r="1634" spans="1:11">
      <c r="A1634" s="77" t="s">
        <v>33</v>
      </c>
      <c r="B1634" s="76">
        <v>72.041798302947598</v>
      </c>
      <c r="C1634" s="25">
        <v>1.45</v>
      </c>
      <c r="D1634" s="76"/>
      <c r="E1634" s="76"/>
      <c r="F1634" s="76"/>
      <c r="G1634" s="77">
        <v>0.128</v>
      </c>
      <c r="H1634" s="76"/>
      <c r="I1634" s="77" t="s">
        <v>14</v>
      </c>
      <c r="J1634" s="14">
        <v>1.1639999999999799</v>
      </c>
      <c r="K1634" s="76">
        <v>8.3131269888555561</v>
      </c>
    </row>
    <row r="1635" spans="1:11">
      <c r="A1635" s="77" t="s">
        <v>33</v>
      </c>
      <c r="B1635" s="76">
        <v>90.537193025953201</v>
      </c>
      <c r="C1635" s="25">
        <v>1.45</v>
      </c>
      <c r="D1635" s="76"/>
      <c r="E1635" s="76"/>
      <c r="F1635" s="76"/>
      <c r="G1635" s="77">
        <v>0.128</v>
      </c>
      <c r="H1635" s="76"/>
      <c r="I1635" s="77" t="s">
        <v>14</v>
      </c>
      <c r="J1635" s="14">
        <v>1.1639999999999799</v>
      </c>
      <c r="K1635" s="76">
        <v>8.3326242692339125</v>
      </c>
    </row>
    <row r="1636" spans="1:11">
      <c r="A1636" s="77" t="s">
        <v>33</v>
      </c>
      <c r="B1636" s="76">
        <v>107.169600039267</v>
      </c>
      <c r="C1636" s="25">
        <v>1.45</v>
      </c>
      <c r="D1636" s="76"/>
      <c r="E1636" s="76"/>
      <c r="F1636" s="76"/>
      <c r="G1636" s="77">
        <v>0.128</v>
      </c>
      <c r="H1636" s="76"/>
      <c r="I1636" s="77" t="s">
        <v>14</v>
      </c>
      <c r="J1636" s="14">
        <v>1.1639999999999799</v>
      </c>
      <c r="K1636" s="76">
        <v>8.3400465782371551</v>
      </c>
    </row>
    <row r="1637" spans="1:11">
      <c r="A1637" s="77" t="s">
        <v>33</v>
      </c>
      <c r="B1637" s="76">
        <v>118.804308037512</v>
      </c>
      <c r="C1637" s="25">
        <v>1.45</v>
      </c>
      <c r="D1637" s="76"/>
      <c r="E1637" s="76"/>
      <c r="F1637" s="76"/>
      <c r="G1637" s="77">
        <v>0.128</v>
      </c>
      <c r="H1637" s="76"/>
      <c r="I1637" s="77" t="s">
        <v>14</v>
      </c>
      <c r="J1637" s="14">
        <v>1.1639999999999799</v>
      </c>
      <c r="K1637" s="76">
        <v>8.3356557556106772</v>
      </c>
    </row>
    <row r="1638" spans="1:11">
      <c r="A1638" s="77" t="s">
        <v>33</v>
      </c>
      <c r="B1638" s="76">
        <v>141.5875422740244</v>
      </c>
      <c r="C1638" s="25">
        <v>1.45</v>
      </c>
      <c r="D1638" s="76"/>
      <c r="E1638" s="76"/>
      <c r="F1638" s="76"/>
      <c r="G1638" s="77">
        <v>0.128</v>
      </c>
      <c r="H1638" s="76"/>
      <c r="I1638" s="77" t="s">
        <v>14</v>
      </c>
      <c r="J1638" s="14">
        <v>1.1639999999999799</v>
      </c>
      <c r="K1638" s="76">
        <v>7.7632670374702366</v>
      </c>
    </row>
    <row r="1639" spans="1:11">
      <c r="A1639" s="77" t="s">
        <v>33</v>
      </c>
      <c r="B1639" s="76">
        <v>189.02319230335019</v>
      </c>
      <c r="C1639" s="25">
        <v>1.45</v>
      </c>
      <c r="D1639" s="76"/>
      <c r="E1639" s="76"/>
      <c r="F1639" s="76"/>
      <c r="G1639" s="77">
        <v>0.128</v>
      </c>
      <c r="H1639" s="76"/>
      <c r="I1639" s="77" t="s">
        <v>14</v>
      </c>
      <c r="J1639" s="14">
        <v>1.1639999999999799</v>
      </c>
      <c r="K1639" s="76">
        <v>7.82666036484882</v>
      </c>
    </row>
    <row r="1640" spans="1:11">
      <c r="A1640" s="77" t="s">
        <v>33</v>
      </c>
      <c r="B1640" s="76">
        <v>221.97365688306542</v>
      </c>
      <c r="C1640" s="25">
        <v>1.45</v>
      </c>
      <c r="D1640" s="76"/>
      <c r="E1640" s="76"/>
      <c r="F1640" s="76"/>
      <c r="G1640" s="77">
        <v>0.128</v>
      </c>
      <c r="H1640" s="76"/>
      <c r="I1640" s="77" t="s">
        <v>14</v>
      </c>
      <c r="J1640" s="14">
        <v>1.1639999999999799</v>
      </c>
      <c r="K1640" s="76">
        <v>7.8903785814656464</v>
      </c>
    </row>
    <row r="1641" spans="1:11">
      <c r="A1641" s="77" t="s">
        <v>33</v>
      </c>
      <c r="B1641" s="76">
        <v>257.9908392219192</v>
      </c>
      <c r="C1641" s="25">
        <v>1.45</v>
      </c>
      <c r="D1641" s="76"/>
      <c r="E1641" s="76"/>
      <c r="F1641" s="76"/>
      <c r="G1641" s="77">
        <v>0.128</v>
      </c>
      <c r="H1641" s="76"/>
      <c r="I1641" s="77" t="s">
        <v>14</v>
      </c>
      <c r="J1641" s="14">
        <v>1.1639999999999799</v>
      </c>
      <c r="K1641" s="76">
        <v>8.1940497988833183</v>
      </c>
    </row>
    <row r="1642" spans="1:11">
      <c r="A1642" s="77" t="s">
        <v>33</v>
      </c>
      <c r="B1642" s="76">
        <v>343.99107845276399</v>
      </c>
      <c r="C1642" s="25">
        <v>1.45</v>
      </c>
      <c r="D1642" s="76"/>
      <c r="E1642" s="76"/>
      <c r="F1642" s="76"/>
      <c r="G1642" s="77">
        <v>0.128</v>
      </c>
      <c r="H1642" s="76"/>
      <c r="I1642" s="77" t="s">
        <v>14</v>
      </c>
      <c r="J1642" s="14">
        <v>1.1639999999999799</v>
      </c>
      <c r="K1642" s="76">
        <v>8.4005300363257422</v>
      </c>
    </row>
    <row r="1643" spans="1:11">
      <c r="A1643" s="77" t="s">
        <v>33</v>
      </c>
      <c r="B1643" s="76">
        <v>395.54558574125576</v>
      </c>
      <c r="C1643" s="25">
        <v>1.45</v>
      </c>
      <c r="D1643" s="76"/>
      <c r="E1643" s="76"/>
      <c r="F1643" s="76"/>
      <c r="G1643" s="77">
        <v>0.128</v>
      </c>
      <c r="H1643" s="76"/>
      <c r="I1643" s="77" t="s">
        <v>14</v>
      </c>
      <c r="J1643" s="14">
        <v>1.1639999999999799</v>
      </c>
      <c r="K1643" s="76">
        <v>8.4507325803862354</v>
      </c>
    </row>
    <row r="1644" spans="1:11">
      <c r="A1644" s="77" t="s">
        <v>33</v>
      </c>
      <c r="B1644" s="76">
        <v>451.87656212348878</v>
      </c>
      <c r="C1644" s="25">
        <v>1.45</v>
      </c>
      <c r="D1644" s="76"/>
      <c r="E1644" s="76"/>
      <c r="F1644" s="76"/>
      <c r="G1644" s="77">
        <v>0.128</v>
      </c>
      <c r="H1644" s="76"/>
      <c r="I1644" s="77" t="s">
        <v>14</v>
      </c>
      <c r="J1644" s="14">
        <v>1.1639999999999799</v>
      </c>
      <c r="K1644" s="76">
        <v>8.4769701630308312</v>
      </c>
    </row>
    <row r="1645" spans="1:11">
      <c r="A1645" s="77" t="s">
        <v>33</v>
      </c>
      <c r="B1645" s="76">
        <v>542.78571980116863</v>
      </c>
      <c r="C1645" s="25">
        <v>1.45</v>
      </c>
      <c r="D1645" s="76"/>
      <c r="E1645" s="76"/>
      <c r="F1645" s="76"/>
      <c r="G1645" s="77">
        <v>0.128</v>
      </c>
      <c r="H1645" s="76"/>
      <c r="I1645" s="77" t="s">
        <v>14</v>
      </c>
      <c r="J1645" s="14">
        <v>1.1639999999999799</v>
      </c>
      <c r="K1645" s="76">
        <v>8.496021425596755</v>
      </c>
    </row>
    <row r="1646" spans="1:11">
      <c r="A1646" s="77" t="s">
        <v>33</v>
      </c>
      <c r="B1646" s="76">
        <v>584.79135938571596</v>
      </c>
      <c r="C1646" s="25">
        <v>1.45</v>
      </c>
      <c r="D1646" s="76"/>
      <c r="E1646" s="76"/>
      <c r="F1646" s="76"/>
      <c r="G1646" s="77">
        <v>0.128</v>
      </c>
      <c r="H1646" s="76"/>
      <c r="I1646" s="77" t="s">
        <v>14</v>
      </c>
      <c r="J1646" s="14">
        <v>1.1639999999999799</v>
      </c>
      <c r="K1646" s="76">
        <v>8.7029499188144666</v>
      </c>
    </row>
    <row r="1647" spans="1:11">
      <c r="A1647" s="77" t="s">
        <v>33</v>
      </c>
      <c r="B1647" s="76">
        <v>7.696367252608499</v>
      </c>
      <c r="C1647" s="25">
        <v>2.02</v>
      </c>
      <c r="D1647" s="76"/>
      <c r="E1647" s="76"/>
      <c r="F1647" s="76"/>
      <c r="G1647" s="77">
        <v>0</v>
      </c>
      <c r="H1647" s="76"/>
      <c r="I1647" s="77" t="s">
        <v>14</v>
      </c>
      <c r="J1647" s="14">
        <v>1.1639999999999799</v>
      </c>
      <c r="K1647" s="76">
        <v>8.8040005969371773</v>
      </c>
    </row>
    <row r="1648" spans="1:11">
      <c r="A1648" s="77" t="s">
        <v>33</v>
      </c>
      <c r="B1648" s="76">
        <v>9.658614192898801</v>
      </c>
      <c r="C1648" s="25">
        <v>2.02</v>
      </c>
      <c r="D1648" s="76"/>
      <c r="E1648" s="76"/>
      <c r="F1648" s="76"/>
      <c r="G1648" s="77">
        <v>0</v>
      </c>
      <c r="H1648" s="76"/>
      <c r="I1648" s="77" t="s">
        <v>14</v>
      </c>
      <c r="J1648" s="14">
        <v>1.1639999999999799</v>
      </c>
      <c r="K1648" s="76">
        <v>9.0219665245729121</v>
      </c>
    </row>
    <row r="1649" spans="1:11">
      <c r="A1649" s="77" t="s">
        <v>33</v>
      </c>
      <c r="B1649" s="76">
        <v>12.059003486469301</v>
      </c>
      <c r="C1649" s="25">
        <v>2.02</v>
      </c>
      <c r="D1649" s="76"/>
      <c r="E1649" s="76"/>
      <c r="F1649" s="76"/>
      <c r="G1649" s="77">
        <v>0</v>
      </c>
      <c r="H1649" s="76"/>
      <c r="I1649" s="77" t="s">
        <v>14</v>
      </c>
      <c r="J1649" s="14">
        <v>1.1639999999999799</v>
      </c>
      <c r="K1649" s="76">
        <v>9.3460616915494672</v>
      </c>
    </row>
    <row r="1650" spans="1:11">
      <c r="A1650" s="77" t="s">
        <v>33</v>
      </c>
      <c r="B1650" s="76">
        <v>15.701737523783281</v>
      </c>
      <c r="C1650" s="25">
        <v>2.02</v>
      </c>
      <c r="D1650" s="76"/>
      <c r="E1650" s="76"/>
      <c r="F1650" s="76"/>
      <c r="G1650" s="77">
        <v>0</v>
      </c>
      <c r="H1650" s="76"/>
      <c r="I1650" s="77" t="s">
        <v>14</v>
      </c>
      <c r="J1650" s="14">
        <v>1.1639999999999799</v>
      </c>
      <c r="K1650" s="76">
        <v>9.2932338357065909</v>
      </c>
    </row>
    <row r="1651" spans="1:11">
      <c r="A1651" s="77" t="s">
        <v>33</v>
      </c>
      <c r="B1651" s="76">
        <v>19.41925250395002</v>
      </c>
      <c r="C1651" s="25">
        <v>2.02</v>
      </c>
      <c r="D1651" s="76"/>
      <c r="E1651" s="76"/>
      <c r="F1651" s="76"/>
      <c r="G1651" s="77">
        <v>0</v>
      </c>
      <c r="H1651" s="76"/>
      <c r="I1651" s="77" t="s">
        <v>14</v>
      </c>
      <c r="J1651" s="14">
        <v>1.1639999999999799</v>
      </c>
      <c r="K1651" s="76">
        <v>9.1004068097998942</v>
      </c>
    </row>
    <row r="1652" spans="1:11">
      <c r="A1652" s="77" t="s">
        <v>33</v>
      </c>
      <c r="B1652" s="76">
        <v>23.30584743752064</v>
      </c>
      <c r="C1652" s="25">
        <v>2.02</v>
      </c>
      <c r="D1652" s="76"/>
      <c r="E1652" s="76"/>
      <c r="F1652" s="76"/>
      <c r="G1652" s="77">
        <v>0</v>
      </c>
      <c r="H1652" s="76"/>
      <c r="I1652" s="77" t="s">
        <v>14</v>
      </c>
      <c r="J1652" s="14">
        <v>1.1639999999999799</v>
      </c>
      <c r="K1652" s="76">
        <v>9.1657212199354507</v>
      </c>
    </row>
    <row r="1653" spans="1:11">
      <c r="A1653" s="77" t="s">
        <v>33</v>
      </c>
      <c r="B1653" s="76">
        <v>29.028100118970421</v>
      </c>
      <c r="C1653" s="25">
        <v>2.02</v>
      </c>
      <c r="D1653" s="76"/>
      <c r="E1653" s="76"/>
      <c r="F1653" s="76"/>
      <c r="G1653" s="77">
        <v>0</v>
      </c>
      <c r="H1653" s="76"/>
      <c r="I1653" s="77" t="s">
        <v>14</v>
      </c>
      <c r="J1653" s="14">
        <v>1.1639999999999799</v>
      </c>
      <c r="K1653" s="76">
        <v>9.2276290360635276</v>
      </c>
    </row>
    <row r="1654" spans="1:11">
      <c r="A1654" s="77" t="s">
        <v>33</v>
      </c>
      <c r="B1654" s="76">
        <v>35.295251336842504</v>
      </c>
      <c r="C1654" s="25">
        <v>2.02</v>
      </c>
      <c r="D1654" s="76"/>
      <c r="E1654" s="76"/>
      <c r="F1654" s="76"/>
      <c r="G1654" s="77">
        <v>0</v>
      </c>
      <c r="H1654" s="76"/>
      <c r="I1654" s="77" t="s">
        <v>14</v>
      </c>
      <c r="J1654" s="14">
        <v>1.1639999999999799</v>
      </c>
      <c r="K1654" s="76">
        <v>9.6244508931325985</v>
      </c>
    </row>
    <row r="1655" spans="1:11">
      <c r="A1655" s="77" t="s">
        <v>33</v>
      </c>
      <c r="B1655" s="76">
        <v>43.197654115991938</v>
      </c>
      <c r="C1655" s="25">
        <v>2.02</v>
      </c>
      <c r="D1655" s="76"/>
      <c r="E1655" s="76"/>
      <c r="F1655" s="76"/>
      <c r="G1655" s="77">
        <v>0</v>
      </c>
      <c r="H1655" s="76"/>
      <c r="I1655" s="77" t="s">
        <v>14</v>
      </c>
      <c r="J1655" s="14">
        <v>1.1639999999999799</v>
      </c>
      <c r="K1655" s="76">
        <v>9.6837456201368095</v>
      </c>
    </row>
    <row r="1656" spans="1:11">
      <c r="A1656" s="77" t="s">
        <v>33</v>
      </c>
      <c r="B1656" s="76">
        <v>53.165094529926357</v>
      </c>
      <c r="C1656" s="25">
        <v>2.02</v>
      </c>
      <c r="D1656" s="76"/>
      <c r="E1656" s="76"/>
      <c r="F1656" s="76"/>
      <c r="G1656" s="77">
        <v>0</v>
      </c>
      <c r="H1656" s="76"/>
      <c r="I1656" s="77" t="s">
        <v>14</v>
      </c>
      <c r="J1656" s="14">
        <v>1.1639999999999799</v>
      </c>
      <c r="K1656" s="76">
        <v>9.5032970237932695</v>
      </c>
    </row>
    <row r="1657" spans="1:11">
      <c r="A1657" s="77" t="s">
        <v>33</v>
      </c>
      <c r="B1657" s="76">
        <v>66.804271000920593</v>
      </c>
      <c r="C1657" s="25">
        <v>2.02</v>
      </c>
      <c r="D1657" s="76"/>
      <c r="E1657" s="76"/>
      <c r="F1657" s="76"/>
      <c r="G1657" s="77">
        <v>0</v>
      </c>
      <c r="H1657" s="76"/>
      <c r="I1657" s="77" t="s">
        <v>14</v>
      </c>
      <c r="J1657" s="14">
        <v>1.1639999999999799</v>
      </c>
      <c r="K1657" s="76">
        <v>9.5992481483334657</v>
      </c>
    </row>
    <row r="1658" spans="1:11">
      <c r="A1658" s="77" t="s">
        <v>33</v>
      </c>
      <c r="B1658" s="76">
        <v>78.840117222582009</v>
      </c>
      <c r="C1658" s="25">
        <v>2.02</v>
      </c>
      <c r="D1658" s="76"/>
      <c r="E1658" s="76"/>
      <c r="F1658" s="76"/>
      <c r="G1658" s="77">
        <v>0</v>
      </c>
      <c r="H1658" s="76"/>
      <c r="I1658" s="77" t="s">
        <v>14</v>
      </c>
      <c r="J1658" s="14">
        <v>1.1639999999999799</v>
      </c>
      <c r="K1658" s="76">
        <v>9.6912318010341512</v>
      </c>
    </row>
    <row r="1659" spans="1:11">
      <c r="A1659" s="77" t="s">
        <v>33</v>
      </c>
      <c r="B1659" s="76">
        <v>96.436465902394801</v>
      </c>
      <c r="C1659" s="25">
        <v>2.02</v>
      </c>
      <c r="D1659" s="76"/>
      <c r="E1659" s="76"/>
      <c r="F1659" s="76"/>
      <c r="G1659" s="77">
        <v>0</v>
      </c>
      <c r="H1659" s="76"/>
      <c r="I1659" s="77" t="s">
        <v>14</v>
      </c>
      <c r="J1659" s="14">
        <v>1.1639999999999799</v>
      </c>
      <c r="K1659" s="76">
        <v>9.8804995576131045</v>
      </c>
    </row>
    <row r="1660" spans="1:11">
      <c r="A1660" s="77" t="s">
        <v>33</v>
      </c>
      <c r="B1660" s="76">
        <v>116.82960085289639</v>
      </c>
      <c r="C1660" s="25">
        <v>2.02</v>
      </c>
      <c r="D1660" s="76"/>
      <c r="E1660" s="76"/>
      <c r="F1660" s="76"/>
      <c r="G1660" s="77">
        <v>0</v>
      </c>
      <c r="H1660" s="76"/>
      <c r="I1660" s="77" t="s">
        <v>14</v>
      </c>
      <c r="J1660" s="14">
        <v>1.1639999999999799</v>
      </c>
      <c r="K1660" s="76">
        <v>9.9897593138870473</v>
      </c>
    </row>
    <row r="1661" spans="1:11">
      <c r="A1661" s="77" t="s">
        <v>33</v>
      </c>
      <c r="B1661" s="76">
        <v>143.0103235110588</v>
      </c>
      <c r="C1661" s="25">
        <v>2.02</v>
      </c>
      <c r="D1661" s="76"/>
      <c r="E1661" s="76"/>
      <c r="F1661" s="76"/>
      <c r="G1661" s="77">
        <v>0</v>
      </c>
      <c r="H1661" s="76"/>
      <c r="I1661" s="77" t="s">
        <v>14</v>
      </c>
      <c r="J1661" s="14">
        <v>1.1639999999999799</v>
      </c>
      <c r="K1661" s="76">
        <v>9.8699128626550614</v>
      </c>
    </row>
    <row r="1662" spans="1:11">
      <c r="A1662" s="77" t="s">
        <v>33</v>
      </c>
      <c r="B1662" s="76">
        <v>162.54433200743458</v>
      </c>
      <c r="C1662" s="25">
        <v>2.02</v>
      </c>
      <c r="D1662" s="76"/>
      <c r="E1662" s="76"/>
      <c r="F1662" s="76"/>
      <c r="G1662" s="77">
        <v>0</v>
      </c>
      <c r="H1662" s="76"/>
      <c r="I1662" s="77" t="s">
        <v>14</v>
      </c>
      <c r="J1662" s="14">
        <v>1.1639999999999799</v>
      </c>
      <c r="K1662" s="76">
        <v>10.23123031137898</v>
      </c>
    </row>
    <row r="1663" spans="1:11">
      <c r="A1663" s="77" t="s">
        <v>33</v>
      </c>
      <c r="B1663" s="76">
        <v>192.08134675774022</v>
      </c>
      <c r="C1663" s="25">
        <v>2.02</v>
      </c>
      <c r="D1663" s="76"/>
      <c r="E1663" s="76"/>
      <c r="F1663" s="76"/>
      <c r="G1663" s="77">
        <v>0</v>
      </c>
      <c r="H1663" s="76"/>
      <c r="I1663" s="77" t="s">
        <v>14</v>
      </c>
      <c r="J1663" s="14">
        <v>1.1639999999999799</v>
      </c>
      <c r="K1663" s="76">
        <v>10.507598198878883</v>
      </c>
    </row>
    <row r="1664" spans="1:11">
      <c r="A1664" s="77" t="s">
        <v>33</v>
      </c>
      <c r="B1664" s="76">
        <v>222.33007088518499</v>
      </c>
      <c r="C1664" s="25">
        <v>2.02</v>
      </c>
      <c r="D1664" s="76"/>
      <c r="E1664" s="76"/>
      <c r="F1664" s="76"/>
      <c r="G1664" s="77">
        <v>0</v>
      </c>
      <c r="H1664" s="76"/>
      <c r="I1664" s="77" t="s">
        <v>14</v>
      </c>
      <c r="J1664" s="14">
        <v>1.1639999999999799</v>
      </c>
      <c r="K1664" s="76">
        <v>11.037726000963284</v>
      </c>
    </row>
    <row r="1665" spans="1:11">
      <c r="A1665" s="77" t="s">
        <v>33</v>
      </c>
      <c r="B1665" s="76">
        <v>270.04715678709539</v>
      </c>
      <c r="C1665" s="25">
        <v>2.02</v>
      </c>
      <c r="D1665" s="76"/>
      <c r="E1665" s="76"/>
      <c r="F1665" s="76"/>
      <c r="G1665" s="77">
        <v>0</v>
      </c>
      <c r="H1665" s="76"/>
      <c r="I1665" s="77" t="s">
        <v>14</v>
      </c>
      <c r="J1665" s="14">
        <v>1.1639999999999799</v>
      </c>
      <c r="K1665" s="76">
        <v>11.888927530405516</v>
      </c>
    </row>
    <row r="1666" spans="1:11">
      <c r="A1666" s="77" t="s">
        <v>33</v>
      </c>
      <c r="B1666" s="76">
        <v>319.5465730745712</v>
      </c>
      <c r="C1666" s="25">
        <v>2.02</v>
      </c>
      <c r="D1666" s="76"/>
      <c r="E1666" s="76"/>
      <c r="F1666" s="76"/>
      <c r="G1666" s="77">
        <v>0</v>
      </c>
      <c r="H1666" s="76"/>
      <c r="I1666" s="77" t="s">
        <v>14</v>
      </c>
      <c r="J1666" s="14">
        <v>1.1639999999999799</v>
      </c>
      <c r="K1666" s="76">
        <v>11.877143784599276</v>
      </c>
    </row>
    <row r="1667" spans="1:11">
      <c r="A1667" s="77" t="s">
        <v>33</v>
      </c>
      <c r="B1667" s="76">
        <v>367.9443637138578</v>
      </c>
      <c r="C1667" s="25">
        <v>2.02</v>
      </c>
      <c r="D1667" s="76"/>
      <c r="E1667" s="76"/>
      <c r="F1667" s="76"/>
      <c r="G1667" s="77">
        <v>0</v>
      </c>
      <c r="H1667" s="76"/>
      <c r="I1667" s="77" t="s">
        <v>14</v>
      </c>
      <c r="J1667" s="14">
        <v>1.1639999999999799</v>
      </c>
      <c r="K1667" s="76">
        <v>12.148706181399701</v>
      </c>
    </row>
    <row r="1668" spans="1:11">
      <c r="A1668" s="77" t="s">
        <v>33</v>
      </c>
      <c r="B1668" s="76">
        <v>422.31803329473541</v>
      </c>
      <c r="C1668" s="25">
        <v>2.02</v>
      </c>
      <c r="D1668" s="76"/>
      <c r="E1668" s="76"/>
      <c r="F1668" s="76"/>
      <c r="G1668" s="77">
        <v>0</v>
      </c>
      <c r="H1668" s="76"/>
      <c r="I1668" s="77" t="s">
        <v>14</v>
      </c>
      <c r="J1668" s="14">
        <v>1.1639999999999799</v>
      </c>
      <c r="K1668" s="76">
        <v>12.389121915752181</v>
      </c>
    </row>
    <row r="1669" spans="1:11">
      <c r="A1669" s="77" t="s">
        <v>33</v>
      </c>
      <c r="B1669" s="76">
        <v>477.27337382996518</v>
      </c>
      <c r="C1669" s="25">
        <v>2.02</v>
      </c>
      <c r="D1669" s="76"/>
      <c r="E1669" s="76"/>
      <c r="F1669" s="76"/>
      <c r="G1669" s="77">
        <v>0</v>
      </c>
      <c r="H1669" s="76"/>
      <c r="I1669" s="77" t="s">
        <v>14</v>
      </c>
      <c r="J1669" s="14">
        <v>1.1639999999999799</v>
      </c>
      <c r="K1669" s="76">
        <v>12.465393664369749</v>
      </c>
    </row>
    <row r="1670" spans="1:11">
      <c r="A1670" s="77" t="s">
        <v>33</v>
      </c>
      <c r="B1670" s="76">
        <v>555.53781732878826</v>
      </c>
      <c r="C1670" s="25">
        <v>2.02</v>
      </c>
      <c r="D1670" s="76"/>
      <c r="E1670" s="76"/>
      <c r="F1670" s="76"/>
      <c r="G1670" s="77">
        <v>0</v>
      </c>
      <c r="H1670" s="76"/>
      <c r="I1670" s="77" t="s">
        <v>14</v>
      </c>
      <c r="J1670" s="14">
        <v>1.1639999999999799</v>
      </c>
      <c r="K1670" s="76">
        <v>12.972156061218376</v>
      </c>
    </row>
    <row r="1671" spans="1:11">
      <c r="A1671" s="77" t="s">
        <v>33</v>
      </c>
      <c r="B1671" s="76">
        <v>647.15405886917392</v>
      </c>
      <c r="C1671" s="25">
        <v>2.02</v>
      </c>
      <c r="D1671" s="76"/>
      <c r="E1671" s="76"/>
      <c r="F1671" s="76"/>
      <c r="G1671" s="77">
        <v>0</v>
      </c>
      <c r="H1671" s="76"/>
      <c r="I1671" s="77" t="s">
        <v>14</v>
      </c>
      <c r="J1671" s="14">
        <v>1.1639999999999799</v>
      </c>
      <c r="K1671" s="76">
        <v>12.055294375796159</v>
      </c>
    </row>
    <row r="1672" spans="1:11">
      <c r="A1672" s="77" t="s">
        <v>33</v>
      </c>
      <c r="B1672" s="76">
        <v>7.5435073211985593</v>
      </c>
      <c r="C1672" s="25">
        <v>2.02</v>
      </c>
      <c r="D1672" s="76"/>
      <c r="E1672" s="76"/>
      <c r="F1672" s="76"/>
      <c r="G1672" s="77">
        <v>0.08</v>
      </c>
      <c r="H1672" s="76"/>
      <c r="I1672" s="77" t="s">
        <v>14</v>
      </c>
      <c r="J1672" s="14">
        <v>1.1639999999999799</v>
      </c>
      <c r="K1672" s="76">
        <v>7.445064357853286</v>
      </c>
    </row>
    <row r="1673" spans="1:11">
      <c r="A1673" s="77" t="s">
        <v>33</v>
      </c>
      <c r="B1673" s="76">
        <v>9.9123073301351994</v>
      </c>
      <c r="C1673" s="25">
        <v>2.02</v>
      </c>
      <c r="D1673" s="76"/>
      <c r="E1673" s="76"/>
      <c r="F1673" s="76"/>
      <c r="G1673" s="77">
        <v>0.08</v>
      </c>
      <c r="H1673" s="76"/>
      <c r="I1673" s="77" t="s">
        <v>14</v>
      </c>
      <c r="J1673" s="14">
        <v>1.1639999999999799</v>
      </c>
      <c r="K1673" s="76">
        <v>7.5676469210606543</v>
      </c>
    </row>
    <row r="1674" spans="1:11">
      <c r="A1674" s="77" t="s">
        <v>33</v>
      </c>
      <c r="B1674" s="76">
        <v>12.243804405459539</v>
      </c>
      <c r="C1674" s="25">
        <v>2.02</v>
      </c>
      <c r="D1674" s="76"/>
      <c r="E1674" s="76"/>
      <c r="F1674" s="76"/>
      <c r="G1674" s="77">
        <v>0.08</v>
      </c>
      <c r="H1674" s="76"/>
      <c r="I1674" s="77" t="s">
        <v>14</v>
      </c>
      <c r="J1674" s="14">
        <v>1.1639999999999799</v>
      </c>
      <c r="K1674" s="76">
        <v>7.6090679548074416</v>
      </c>
    </row>
    <row r="1675" spans="1:11">
      <c r="A1675" s="77" t="s">
        <v>33</v>
      </c>
      <c r="B1675" s="76">
        <v>15.939969832003799</v>
      </c>
      <c r="C1675" s="25">
        <v>2.02</v>
      </c>
      <c r="D1675" s="76"/>
      <c r="E1675" s="76"/>
      <c r="F1675" s="76"/>
      <c r="G1675" s="77">
        <v>0.08</v>
      </c>
      <c r="H1675" s="76"/>
      <c r="I1675" s="77" t="s">
        <v>14</v>
      </c>
      <c r="J1675" s="14">
        <v>1.1639999999999799</v>
      </c>
      <c r="K1675" s="76">
        <v>7.7140630723833601</v>
      </c>
    </row>
    <row r="1676" spans="1:11">
      <c r="A1676" s="77" t="s">
        <v>33</v>
      </c>
      <c r="B1676" s="76">
        <v>19.803841145255159</v>
      </c>
      <c r="C1676" s="25">
        <v>2.02</v>
      </c>
      <c r="D1676" s="76"/>
      <c r="E1676" s="76"/>
      <c r="F1676" s="76"/>
      <c r="G1676" s="77">
        <v>0.08</v>
      </c>
      <c r="H1676" s="76"/>
      <c r="I1676" s="77" t="s">
        <v>14</v>
      </c>
      <c r="J1676" s="14">
        <v>1.1639999999999799</v>
      </c>
      <c r="K1676" s="76">
        <v>7.8779725432751251</v>
      </c>
    </row>
    <row r="1677" spans="1:11">
      <c r="A1677" s="77" t="s">
        <v>33</v>
      </c>
      <c r="B1677" s="76">
        <v>24.005207678019058</v>
      </c>
      <c r="C1677" s="25">
        <v>2.02</v>
      </c>
      <c r="D1677" s="76"/>
      <c r="E1677" s="76"/>
      <c r="F1677" s="76"/>
      <c r="G1677" s="77">
        <v>0.08</v>
      </c>
      <c r="H1677" s="76"/>
      <c r="I1677" s="77" t="s">
        <v>14</v>
      </c>
      <c r="J1677" s="14">
        <v>1.1639999999999799</v>
      </c>
      <c r="K1677" s="76">
        <v>7.991317342740949</v>
      </c>
    </row>
    <row r="1678" spans="1:11">
      <c r="A1678" s="77" t="s">
        <v>33</v>
      </c>
      <c r="B1678" s="76">
        <v>29.181348907348859</v>
      </c>
      <c r="C1678" s="25">
        <v>2.02</v>
      </c>
      <c r="D1678" s="76"/>
      <c r="E1678" s="76"/>
      <c r="F1678" s="76"/>
      <c r="G1678" s="77">
        <v>0.08</v>
      </c>
      <c r="H1678" s="76"/>
      <c r="I1678" s="77" t="s">
        <v>14</v>
      </c>
      <c r="J1678" s="14">
        <v>1.1639999999999799</v>
      </c>
      <c r="K1678" s="76">
        <v>7.8892765893363803</v>
      </c>
    </row>
    <row r="1679" spans="1:11">
      <c r="A1679" s="77" t="s">
        <v>33</v>
      </c>
      <c r="B1679" s="76">
        <v>37.667484272735102</v>
      </c>
      <c r="C1679" s="25">
        <v>2.02</v>
      </c>
      <c r="D1679" s="76"/>
      <c r="E1679" s="76"/>
      <c r="F1679" s="76"/>
      <c r="G1679" s="77">
        <v>0.08</v>
      </c>
      <c r="H1679" s="76"/>
      <c r="I1679" s="77" t="s">
        <v>14</v>
      </c>
      <c r="J1679" s="14">
        <v>1.1639999999999799</v>
      </c>
      <c r="K1679" s="76">
        <v>8.0813827437794803</v>
      </c>
    </row>
    <row r="1680" spans="1:11">
      <c r="A1680" s="77" t="s">
        <v>33</v>
      </c>
      <c r="B1680" s="76">
        <v>44.617637560347838</v>
      </c>
      <c r="C1680" s="25">
        <v>2.02</v>
      </c>
      <c r="D1680" s="76"/>
      <c r="E1680" s="76"/>
      <c r="F1680" s="76"/>
      <c r="G1680" s="77">
        <v>0.08</v>
      </c>
      <c r="H1680" s="76"/>
      <c r="I1680" s="77" t="s">
        <v>14</v>
      </c>
      <c r="J1680" s="14">
        <v>1.1639999999999799</v>
      </c>
      <c r="K1680" s="76">
        <v>8.3060576533862278</v>
      </c>
    </row>
    <row r="1681" spans="1:11">
      <c r="A1681" s="77" t="s">
        <v>33</v>
      </c>
      <c r="B1681" s="76">
        <v>53.847672621414418</v>
      </c>
      <c r="C1681" s="25">
        <v>2.02</v>
      </c>
      <c r="D1681" s="76"/>
      <c r="E1681" s="76"/>
      <c r="F1681" s="76"/>
      <c r="G1681" s="77">
        <v>0.08</v>
      </c>
      <c r="H1681" s="76"/>
      <c r="I1681" s="77" t="s">
        <v>14</v>
      </c>
      <c r="J1681" s="14">
        <v>1.1639999999999799</v>
      </c>
      <c r="K1681" s="76">
        <v>8.6899522683550288</v>
      </c>
    </row>
    <row r="1682" spans="1:11">
      <c r="A1682" s="77" t="s">
        <v>33</v>
      </c>
      <c r="B1682" s="76">
        <v>66.64404367598101</v>
      </c>
      <c r="C1682" s="25">
        <v>2.02</v>
      </c>
      <c r="D1682" s="76"/>
      <c r="E1682" s="76"/>
      <c r="F1682" s="76"/>
      <c r="G1682" s="77">
        <v>0.08</v>
      </c>
      <c r="H1682" s="76"/>
      <c r="I1682" s="77" t="s">
        <v>14</v>
      </c>
      <c r="J1682" s="14">
        <v>1.1639999999999799</v>
      </c>
      <c r="K1682" s="76">
        <v>9.1249519867384006</v>
      </c>
    </row>
    <row r="1683" spans="1:11">
      <c r="A1683" s="77" t="s">
        <v>33</v>
      </c>
      <c r="B1683" s="76">
        <v>79.786445033243396</v>
      </c>
      <c r="C1683" s="25">
        <v>2.02</v>
      </c>
      <c r="D1683" s="76"/>
      <c r="E1683" s="76"/>
      <c r="F1683" s="76"/>
      <c r="G1683" s="77">
        <v>0.08</v>
      </c>
      <c r="H1683" s="76"/>
      <c r="I1683" s="77" t="s">
        <v>14</v>
      </c>
      <c r="J1683" s="14">
        <v>1.1639999999999799</v>
      </c>
      <c r="K1683" s="76">
        <v>9.3236284409820591</v>
      </c>
    </row>
    <row r="1684" spans="1:11">
      <c r="A1684" s="77" t="s">
        <v>33</v>
      </c>
      <c r="B1684" s="76">
        <v>98.452180429903208</v>
      </c>
      <c r="C1684" s="25">
        <v>2.02</v>
      </c>
      <c r="D1684" s="76"/>
      <c r="E1684" s="76"/>
      <c r="F1684" s="76"/>
      <c r="G1684" s="77">
        <v>0.08</v>
      </c>
      <c r="H1684" s="76"/>
      <c r="I1684" s="77" t="s">
        <v>14</v>
      </c>
      <c r="J1684" s="14">
        <v>1.1639999999999799</v>
      </c>
      <c r="K1684" s="76">
        <v>9.7430574788605622</v>
      </c>
    </row>
    <row r="1685" spans="1:11">
      <c r="A1685" s="77" t="s">
        <v>33</v>
      </c>
      <c r="B1685" s="76">
        <v>116.8880628957954</v>
      </c>
      <c r="C1685" s="25">
        <v>2.02</v>
      </c>
      <c r="D1685" s="76"/>
      <c r="E1685" s="76"/>
      <c r="F1685" s="76"/>
      <c r="G1685" s="77">
        <v>0.08</v>
      </c>
      <c r="H1685" s="76"/>
      <c r="I1685" s="77" t="s">
        <v>14</v>
      </c>
      <c r="J1685" s="14">
        <v>1.1639999999999799</v>
      </c>
      <c r="K1685" s="76">
        <v>9.8277671932607582</v>
      </c>
    </row>
    <row r="1686" spans="1:11">
      <c r="A1686" s="77" t="s">
        <v>33</v>
      </c>
      <c r="B1686" s="76">
        <v>136.45953872140078</v>
      </c>
      <c r="C1686" s="25">
        <v>2.02</v>
      </c>
      <c r="D1686" s="76"/>
      <c r="E1686" s="76"/>
      <c r="F1686" s="76"/>
      <c r="G1686" s="77">
        <v>0.08</v>
      </c>
      <c r="H1686" s="76"/>
      <c r="I1686" s="77" t="s">
        <v>14</v>
      </c>
      <c r="J1686" s="14">
        <v>1.1639999999999799</v>
      </c>
      <c r="K1686" s="76">
        <v>9.8406381176297444</v>
      </c>
    </row>
    <row r="1687" spans="1:11">
      <c r="A1687" s="77" t="s">
        <v>33</v>
      </c>
      <c r="B1687" s="76">
        <v>166.44484802952962</v>
      </c>
      <c r="C1687" s="25">
        <v>2.02</v>
      </c>
      <c r="D1687" s="76"/>
      <c r="E1687" s="76"/>
      <c r="F1687" s="76"/>
      <c r="G1687" s="77">
        <v>0.08</v>
      </c>
      <c r="H1687" s="76"/>
      <c r="I1687" s="77" t="s">
        <v>14</v>
      </c>
      <c r="J1687" s="14">
        <v>1.1639999999999799</v>
      </c>
      <c r="K1687" s="76">
        <v>9.9662706889313064</v>
      </c>
    </row>
    <row r="1688" spans="1:11">
      <c r="A1688" s="77" t="s">
        <v>33</v>
      </c>
      <c r="B1688" s="76">
        <v>193.88431709725438</v>
      </c>
      <c r="C1688" s="25">
        <v>2.02</v>
      </c>
      <c r="D1688" s="76"/>
      <c r="E1688" s="76"/>
      <c r="F1688" s="76"/>
      <c r="G1688" s="77">
        <v>0.08</v>
      </c>
      <c r="H1688" s="76"/>
      <c r="I1688" s="77" t="s">
        <v>14</v>
      </c>
      <c r="J1688" s="14">
        <v>1.1639999999999799</v>
      </c>
      <c r="K1688" s="76">
        <v>10.223738002551105</v>
      </c>
    </row>
    <row r="1689" spans="1:11">
      <c r="A1689" s="77" t="s">
        <v>33</v>
      </c>
      <c r="B1689" s="76">
        <v>223.67440558662719</v>
      </c>
      <c r="C1689" s="25">
        <v>2.02</v>
      </c>
      <c r="D1689" s="76"/>
      <c r="E1689" s="76"/>
      <c r="F1689" s="76"/>
      <c r="G1689" s="77">
        <v>0.08</v>
      </c>
      <c r="H1689" s="76"/>
      <c r="I1689" s="77" t="s">
        <v>14</v>
      </c>
      <c r="J1689" s="14">
        <v>1.1639999999999799</v>
      </c>
      <c r="K1689" s="76">
        <v>10.54714564817235</v>
      </c>
    </row>
    <row r="1690" spans="1:11">
      <c r="A1690" s="77" t="s">
        <v>33</v>
      </c>
      <c r="B1690" s="76">
        <v>267.11466008854978</v>
      </c>
      <c r="C1690" s="25">
        <v>2.02</v>
      </c>
      <c r="D1690" s="76"/>
      <c r="E1690" s="76"/>
      <c r="F1690" s="76"/>
      <c r="G1690" s="77">
        <v>0.08</v>
      </c>
      <c r="H1690" s="76"/>
      <c r="I1690" s="77" t="s">
        <v>14</v>
      </c>
      <c r="J1690" s="14">
        <v>1.1639999999999799</v>
      </c>
      <c r="K1690" s="76">
        <v>10.768558813181697</v>
      </c>
    </row>
    <row r="1691" spans="1:11">
      <c r="A1691" s="77" t="s">
        <v>33</v>
      </c>
      <c r="B1691" s="76">
        <v>313.52525493883797</v>
      </c>
      <c r="C1691" s="25">
        <v>2.02</v>
      </c>
      <c r="D1691" s="76"/>
      <c r="E1691" s="76"/>
      <c r="F1691" s="76"/>
      <c r="G1691" s="77">
        <v>0.08</v>
      </c>
      <c r="H1691" s="76"/>
      <c r="I1691" s="77" t="s">
        <v>14</v>
      </c>
      <c r="J1691" s="14">
        <v>1.1639999999999799</v>
      </c>
      <c r="K1691" s="76">
        <v>10.883651608044843</v>
      </c>
    </row>
    <row r="1692" spans="1:11">
      <c r="A1692" s="77" t="s">
        <v>33</v>
      </c>
      <c r="B1692" s="76">
        <v>393.88432019888097</v>
      </c>
      <c r="C1692" s="25">
        <v>2.02</v>
      </c>
      <c r="D1692" s="76"/>
      <c r="E1692" s="76"/>
      <c r="F1692" s="76"/>
      <c r="G1692" s="77">
        <v>0.08</v>
      </c>
      <c r="H1692" s="76"/>
      <c r="I1692" s="77" t="s">
        <v>14</v>
      </c>
      <c r="J1692" s="14">
        <v>1.1639999999999799</v>
      </c>
      <c r="K1692" s="76">
        <v>11.406736668152455</v>
      </c>
    </row>
    <row r="1693" spans="1:11">
      <c r="A1693" s="77" t="s">
        <v>33</v>
      </c>
      <c r="B1693" s="76">
        <v>472.24410579931384</v>
      </c>
      <c r="C1693" s="25">
        <v>2.02</v>
      </c>
      <c r="D1693" s="76"/>
      <c r="E1693" s="76"/>
      <c r="F1693" s="76"/>
      <c r="G1693" s="77">
        <v>0.08</v>
      </c>
      <c r="H1693" s="76"/>
      <c r="I1693" s="77" t="s">
        <v>14</v>
      </c>
      <c r="J1693" s="14">
        <v>1.1639999999999799</v>
      </c>
      <c r="K1693" s="76">
        <v>10.865678609338417</v>
      </c>
    </row>
    <row r="1694" spans="1:11">
      <c r="A1694" s="77" t="s">
        <v>33</v>
      </c>
      <c r="B1694" s="76">
        <v>557.9610259036092</v>
      </c>
      <c r="C1694" s="25">
        <v>2.02</v>
      </c>
      <c r="D1694" s="76"/>
      <c r="E1694" s="76"/>
      <c r="F1694" s="76"/>
      <c r="G1694" s="77">
        <v>0.08</v>
      </c>
      <c r="H1694" s="76"/>
      <c r="I1694" s="77" t="s">
        <v>14</v>
      </c>
      <c r="J1694" s="14">
        <v>1.1639999999999799</v>
      </c>
      <c r="K1694" s="76">
        <v>11.334106982616023</v>
      </c>
    </row>
    <row r="1695" spans="1:11">
      <c r="A1695" s="77" t="s">
        <v>33</v>
      </c>
      <c r="B1695" s="76">
        <v>8.0161531755854405</v>
      </c>
      <c r="C1695" s="25">
        <v>2.02</v>
      </c>
      <c r="D1695" s="76"/>
      <c r="E1695" s="76"/>
      <c r="F1695" s="76"/>
      <c r="G1695" s="77">
        <v>0.128</v>
      </c>
      <c r="H1695" s="76"/>
      <c r="I1695" s="77" t="s">
        <v>14</v>
      </c>
      <c r="J1695" s="14">
        <v>1.1639999999999799</v>
      </c>
      <c r="K1695" s="76">
        <v>6.4349197459354963</v>
      </c>
    </row>
    <row r="1696" spans="1:11">
      <c r="A1696" s="77" t="s">
        <v>33</v>
      </c>
      <c r="B1696" s="76">
        <v>10.185649641290579</v>
      </c>
      <c r="C1696" s="25">
        <v>2.02</v>
      </c>
      <c r="D1696" s="76"/>
      <c r="E1696" s="76"/>
      <c r="F1696" s="76"/>
      <c r="G1696" s="77">
        <v>0.128</v>
      </c>
      <c r="H1696" s="76"/>
      <c r="I1696" s="77" t="s">
        <v>14</v>
      </c>
      <c r="J1696" s="14">
        <v>1.1639999999999799</v>
      </c>
      <c r="K1696" s="76">
        <v>6.7052322115324259</v>
      </c>
    </row>
    <row r="1697" spans="1:11">
      <c r="A1697" s="77" t="s">
        <v>33</v>
      </c>
      <c r="B1697" s="76">
        <v>12.28414469972196</v>
      </c>
      <c r="C1697" s="25">
        <v>2.02</v>
      </c>
      <c r="D1697" s="76"/>
      <c r="E1697" s="76"/>
      <c r="F1697" s="76"/>
      <c r="G1697" s="77">
        <v>0.128</v>
      </c>
      <c r="H1697" s="76"/>
      <c r="I1697" s="77" t="s">
        <v>14</v>
      </c>
      <c r="J1697" s="14">
        <v>1.1639999999999799</v>
      </c>
      <c r="K1697" s="76">
        <v>6.7420834515292229</v>
      </c>
    </row>
    <row r="1698" spans="1:11">
      <c r="A1698" s="77" t="s">
        <v>33</v>
      </c>
      <c r="B1698" s="76">
        <v>15.935783803103702</v>
      </c>
      <c r="C1698" s="25">
        <v>2.02</v>
      </c>
      <c r="D1698" s="76"/>
      <c r="E1698" s="76"/>
      <c r="F1698" s="76"/>
      <c r="G1698" s="77">
        <v>0.128</v>
      </c>
      <c r="H1698" s="76"/>
      <c r="I1698" s="77" t="s">
        <v>14</v>
      </c>
      <c r="J1698" s="14">
        <v>1.1639999999999799</v>
      </c>
      <c r="K1698" s="76">
        <v>7.00430509037127</v>
      </c>
    </row>
    <row r="1699" spans="1:11">
      <c r="A1699" s="77" t="s">
        <v>33</v>
      </c>
      <c r="B1699" s="76">
        <v>19.799630926603321</v>
      </c>
      <c r="C1699" s="25">
        <v>2.02</v>
      </c>
      <c r="D1699" s="76"/>
      <c r="E1699" s="76"/>
      <c r="F1699" s="76"/>
      <c r="G1699" s="77">
        <v>0.128</v>
      </c>
      <c r="H1699" s="76"/>
      <c r="I1699" s="77" t="s">
        <v>14</v>
      </c>
      <c r="J1699" s="14">
        <v>1.1639999999999799</v>
      </c>
      <c r="K1699" s="76">
        <v>7.0252048381053225</v>
      </c>
    </row>
    <row r="1700" spans="1:11">
      <c r="A1700" s="77" t="s">
        <v>33</v>
      </c>
      <c r="B1700" s="76">
        <v>24.11655118860438</v>
      </c>
      <c r="C1700" s="25">
        <v>2.02</v>
      </c>
      <c r="D1700" s="76"/>
      <c r="E1700" s="76"/>
      <c r="F1700" s="76"/>
      <c r="G1700" s="77">
        <v>0.128</v>
      </c>
      <c r="H1700" s="76"/>
      <c r="I1700" s="77" t="s">
        <v>14</v>
      </c>
      <c r="J1700" s="14">
        <v>1.1639999999999799</v>
      </c>
      <c r="K1700" s="76">
        <v>7.4907983846650383</v>
      </c>
    </row>
    <row r="1701" spans="1:11">
      <c r="A1701" s="77" t="s">
        <v>33</v>
      </c>
      <c r="B1701" s="76">
        <v>29.334672960431043</v>
      </c>
      <c r="C1701" s="25">
        <v>2.02</v>
      </c>
      <c r="D1701" s="76"/>
      <c r="E1701" s="76"/>
      <c r="F1701" s="76"/>
      <c r="G1701" s="77">
        <v>0.128</v>
      </c>
      <c r="H1701" s="76"/>
      <c r="I1701" s="77" t="s">
        <v>14</v>
      </c>
      <c r="J1701" s="14">
        <v>1.1639999999999799</v>
      </c>
      <c r="K1701" s="76">
        <v>7.4112202817580872</v>
      </c>
    </row>
    <row r="1702" spans="1:11">
      <c r="A1702" s="77" t="s">
        <v>33</v>
      </c>
      <c r="B1702" s="76">
        <v>37.447182085697698</v>
      </c>
      <c r="C1702" s="25">
        <v>2.02</v>
      </c>
      <c r="D1702" s="76"/>
      <c r="E1702" s="76"/>
      <c r="F1702" s="76"/>
      <c r="G1702" s="77">
        <v>0.128</v>
      </c>
      <c r="H1702" s="76"/>
      <c r="I1702" s="77" t="s">
        <v>14</v>
      </c>
      <c r="J1702" s="14">
        <v>1.1639999999999799</v>
      </c>
      <c r="K1702" s="76">
        <v>7.4167508685747849</v>
      </c>
    </row>
    <row r="1703" spans="1:11">
      <c r="A1703" s="77" t="s">
        <v>33</v>
      </c>
      <c r="B1703" s="76">
        <v>44.893597194117241</v>
      </c>
      <c r="C1703" s="25">
        <v>2.02</v>
      </c>
      <c r="D1703" s="76"/>
      <c r="E1703" s="76"/>
      <c r="F1703" s="76"/>
      <c r="G1703" s="77">
        <v>0.128</v>
      </c>
      <c r="H1703" s="76"/>
      <c r="I1703" s="77" t="s">
        <v>14</v>
      </c>
      <c r="J1703" s="14">
        <v>1.1639999999999799</v>
      </c>
      <c r="K1703" s="76">
        <v>7.4922038533195625</v>
      </c>
    </row>
    <row r="1704" spans="1:11">
      <c r="A1704" s="77" t="s">
        <v>33</v>
      </c>
      <c r="B1704" s="76">
        <v>53.577616430510275</v>
      </c>
      <c r="C1704" s="25">
        <v>2.02</v>
      </c>
      <c r="D1704" s="76"/>
      <c r="E1704" s="76"/>
      <c r="F1704" s="76"/>
      <c r="G1704" s="77">
        <v>0.128</v>
      </c>
      <c r="H1704" s="76"/>
      <c r="I1704" s="77" t="s">
        <v>14</v>
      </c>
      <c r="J1704" s="14">
        <v>1.1639999999999799</v>
      </c>
      <c r="K1704" s="76">
        <v>8.1402925190360733</v>
      </c>
    </row>
    <row r="1705" spans="1:11">
      <c r="A1705" s="77" t="s">
        <v>33</v>
      </c>
      <c r="B1705" s="76">
        <v>66.407745118868405</v>
      </c>
      <c r="C1705" s="25">
        <v>2.02</v>
      </c>
      <c r="D1705" s="76"/>
      <c r="E1705" s="76"/>
      <c r="F1705" s="76"/>
      <c r="G1705" s="77">
        <v>0.128</v>
      </c>
      <c r="H1705" s="76"/>
      <c r="I1705" s="77" t="s">
        <v>14</v>
      </c>
      <c r="J1705" s="14">
        <v>1.1639999999999799</v>
      </c>
      <c r="K1705" s="76">
        <v>8.4395737326377969</v>
      </c>
    </row>
    <row r="1706" spans="1:11">
      <c r="A1706" s="77" t="s">
        <v>33</v>
      </c>
      <c r="B1706" s="76">
        <v>80.0663433407166</v>
      </c>
      <c r="C1706" s="25">
        <v>2.02</v>
      </c>
      <c r="D1706" s="76"/>
      <c r="E1706" s="76"/>
      <c r="F1706" s="76"/>
      <c r="G1706" s="77">
        <v>0.128</v>
      </c>
      <c r="H1706" s="76"/>
      <c r="I1706" s="77" t="s">
        <v>14</v>
      </c>
      <c r="J1706" s="14">
        <v>1.1639999999999799</v>
      </c>
      <c r="K1706" s="76">
        <v>8.5690712241265725</v>
      </c>
    </row>
    <row r="1707" spans="1:11">
      <c r="A1707" s="77" t="s">
        <v>33</v>
      </c>
      <c r="B1707" s="76">
        <v>98.691350326496988</v>
      </c>
      <c r="C1707" s="25">
        <v>2.02</v>
      </c>
      <c r="D1707" s="76"/>
      <c r="E1707" s="76"/>
      <c r="F1707" s="76"/>
      <c r="G1707" s="77">
        <v>0.128</v>
      </c>
      <c r="H1707" s="76"/>
      <c r="I1707" s="77" t="s">
        <v>14</v>
      </c>
      <c r="J1707" s="14">
        <v>1.1639999999999799</v>
      </c>
      <c r="K1707" s="76">
        <v>8.8756679558473053</v>
      </c>
    </row>
    <row r="1708" spans="1:11">
      <c r="A1708" s="77" t="s">
        <v>33</v>
      </c>
      <c r="B1708" s="76">
        <v>117.4801718908128</v>
      </c>
      <c r="C1708" s="25">
        <v>2.02</v>
      </c>
      <c r="D1708" s="76"/>
      <c r="E1708" s="76"/>
      <c r="F1708" s="76"/>
      <c r="G1708" s="77">
        <v>0.128</v>
      </c>
      <c r="H1708" s="76"/>
      <c r="I1708" s="77" t="s">
        <v>14</v>
      </c>
      <c r="J1708" s="14">
        <v>1.1639999999999799</v>
      </c>
      <c r="K1708" s="76">
        <v>8.9513967027656083</v>
      </c>
    </row>
    <row r="1709" spans="1:11">
      <c r="A1709" s="77" t="s">
        <v>33</v>
      </c>
      <c r="B1709" s="76">
        <v>141.31234510135079</v>
      </c>
      <c r="C1709" s="25">
        <v>2.02</v>
      </c>
      <c r="D1709" s="76"/>
      <c r="E1709" s="76"/>
      <c r="F1709" s="76"/>
      <c r="G1709" s="77">
        <v>0.128</v>
      </c>
      <c r="H1709" s="76"/>
      <c r="I1709" s="77" t="s">
        <v>14</v>
      </c>
      <c r="J1709" s="14">
        <v>1.1639999999999799</v>
      </c>
      <c r="K1709" s="76">
        <v>9.52807760558224</v>
      </c>
    </row>
    <row r="1710" spans="1:11">
      <c r="A1710" s="77" t="s">
        <v>33</v>
      </c>
      <c r="B1710" s="76">
        <v>162.12000263982722</v>
      </c>
      <c r="C1710" s="25">
        <v>2.02</v>
      </c>
      <c r="D1710" s="76"/>
      <c r="E1710" s="76"/>
      <c r="F1710" s="76"/>
      <c r="G1710" s="77">
        <v>0.128</v>
      </c>
      <c r="H1710" s="76"/>
      <c r="I1710" s="77" t="s">
        <v>14</v>
      </c>
      <c r="J1710" s="14">
        <v>1.1639999999999799</v>
      </c>
      <c r="K1710" s="76">
        <v>9.5425592226696203</v>
      </c>
    </row>
    <row r="1711" spans="1:11">
      <c r="A1711" s="77" t="s">
        <v>33</v>
      </c>
      <c r="B1711" s="76">
        <v>195.78989816416259</v>
      </c>
      <c r="C1711" s="25">
        <v>2.02</v>
      </c>
      <c r="D1711" s="76"/>
      <c r="E1711" s="76"/>
      <c r="F1711" s="76"/>
      <c r="G1711" s="77">
        <v>0.128</v>
      </c>
      <c r="H1711" s="76"/>
      <c r="I1711" s="77" t="s">
        <v>14</v>
      </c>
      <c r="J1711" s="14">
        <v>1.1639999999999799</v>
      </c>
      <c r="K1711" s="76">
        <v>9.8382647354882522</v>
      </c>
    </row>
    <row r="1712" spans="1:11">
      <c r="A1712" s="77" t="s">
        <v>33</v>
      </c>
      <c r="B1712" s="76">
        <v>223.97954008813622</v>
      </c>
      <c r="C1712" s="25">
        <v>2.02</v>
      </c>
      <c r="D1712" s="76"/>
      <c r="E1712" s="76"/>
      <c r="F1712" s="76"/>
      <c r="G1712" s="77">
        <v>0.128</v>
      </c>
      <c r="H1712" s="76"/>
      <c r="I1712" s="77" t="s">
        <v>14</v>
      </c>
      <c r="J1712" s="14">
        <v>1.1639999999999799</v>
      </c>
      <c r="K1712" s="76">
        <v>10.338317154961951</v>
      </c>
    </row>
    <row r="1713" spans="1:11">
      <c r="A1713" s="77" t="s">
        <v>33</v>
      </c>
      <c r="B1713" s="76">
        <v>311.1735243637296</v>
      </c>
      <c r="C1713" s="25">
        <v>2.02</v>
      </c>
      <c r="D1713" s="76"/>
      <c r="E1713" s="76"/>
      <c r="F1713" s="76"/>
      <c r="G1713" s="77">
        <v>0.128</v>
      </c>
      <c r="H1713" s="76"/>
      <c r="I1713" s="77" t="s">
        <v>14</v>
      </c>
      <c r="J1713" s="14">
        <v>1.1639999999999799</v>
      </c>
      <c r="K1713" s="76">
        <v>11.030135787504364</v>
      </c>
    </row>
    <row r="1714" spans="1:11">
      <c r="A1714" s="77" t="s">
        <v>33</v>
      </c>
      <c r="B1714" s="76">
        <v>397.24849195799402</v>
      </c>
      <c r="C1714" s="25">
        <v>2.02</v>
      </c>
      <c r="D1714" s="76"/>
      <c r="E1714" s="76"/>
      <c r="F1714" s="76"/>
      <c r="G1714" s="77">
        <v>0.128</v>
      </c>
      <c r="H1714" s="76"/>
      <c r="I1714" s="77" t="s">
        <v>14</v>
      </c>
      <c r="J1714" s="14">
        <v>1.1639999999999799</v>
      </c>
      <c r="K1714" s="76">
        <v>11.178691379518277</v>
      </c>
    </row>
    <row r="1715" spans="1:11">
      <c r="A1715" s="77" t="s">
        <v>33</v>
      </c>
      <c r="B1715" s="76">
        <v>472.29726592054863</v>
      </c>
      <c r="C1715" s="25">
        <v>2.02</v>
      </c>
      <c r="D1715" s="76"/>
      <c r="E1715" s="76"/>
      <c r="F1715" s="76"/>
      <c r="G1715" s="77">
        <v>0.128</v>
      </c>
      <c r="H1715" s="76"/>
      <c r="I1715" s="77" t="s">
        <v>14</v>
      </c>
      <c r="J1715" s="14">
        <v>1.1639999999999799</v>
      </c>
      <c r="K1715" s="76">
        <v>11.496150040947601</v>
      </c>
    </row>
    <row r="1716" spans="1:11">
      <c r="A1716" s="77" t="s">
        <v>33</v>
      </c>
      <c r="B1716" s="76">
        <v>560.09350492386295</v>
      </c>
      <c r="C1716" s="25">
        <v>2.02</v>
      </c>
      <c r="D1716" s="76"/>
      <c r="E1716" s="76"/>
      <c r="F1716" s="76"/>
      <c r="G1716" s="77">
        <v>0.128</v>
      </c>
      <c r="H1716" s="76"/>
      <c r="I1716" s="77" t="s">
        <v>14</v>
      </c>
      <c r="J1716" s="14">
        <v>1.1639999999999799</v>
      </c>
      <c r="K1716" s="76">
        <v>11.901520378217331</v>
      </c>
    </row>
    <row r="1717" spans="1:11">
      <c r="A1717" s="12"/>
      <c r="B1717" s="87"/>
      <c r="C1717" s="87"/>
      <c r="D1717" s="87"/>
      <c r="E1717" s="87"/>
      <c r="F1717" s="87"/>
      <c r="G1717" s="87"/>
      <c r="H1717" s="87"/>
      <c r="I1717" s="12"/>
      <c r="J1717" s="92"/>
      <c r="K1717" s="92"/>
    </row>
    <row r="1718" spans="1:11">
      <c r="A1718" s="77" t="s">
        <v>36</v>
      </c>
      <c r="B1718" s="77">
        <v>500</v>
      </c>
      <c r="C1718" s="77">
        <v>2</v>
      </c>
      <c r="D1718" s="77">
        <v>7.2800000000000004E-2</v>
      </c>
      <c r="E1718" s="76">
        <f>6.5/1000</f>
        <v>6.4999999999999997E-3</v>
      </c>
      <c r="F1718" s="77">
        <v>1005</v>
      </c>
      <c r="G1718" s="76"/>
      <c r="H1718" s="76"/>
      <c r="I1718" s="77" t="s">
        <v>12</v>
      </c>
      <c r="J1718" s="14"/>
      <c r="K1718" s="14">
        <v>6.7403435294687197</v>
      </c>
    </row>
    <row r="1719" spans="1:11">
      <c r="A1719" s="77" t="s">
        <v>36</v>
      </c>
      <c r="B1719" s="77">
        <v>500</v>
      </c>
      <c r="C1719" s="77">
        <v>2</v>
      </c>
      <c r="D1719" s="77">
        <v>6.7599999999999993E-2</v>
      </c>
      <c r="E1719" s="76">
        <f>12/1000</f>
        <v>1.2E-2</v>
      </c>
      <c r="F1719" s="77">
        <v>1127</v>
      </c>
      <c r="G1719" s="76"/>
      <c r="H1719" s="76"/>
      <c r="I1719" s="77" t="s">
        <v>12</v>
      </c>
      <c r="J1719" s="14"/>
      <c r="K1719" s="14">
        <v>6.3596588255536703</v>
      </c>
    </row>
    <row r="1720" spans="1:11">
      <c r="A1720" s="77" t="s">
        <v>36</v>
      </c>
      <c r="B1720" s="77">
        <v>500</v>
      </c>
      <c r="C1720" s="77">
        <v>2</v>
      </c>
      <c r="D1720" s="77">
        <v>6.6299999999999998E-2</v>
      </c>
      <c r="E1720" s="77">
        <v>3.15E-2</v>
      </c>
      <c r="F1720" s="77">
        <v>1160</v>
      </c>
      <c r="G1720" s="76"/>
      <c r="H1720" s="76"/>
      <c r="I1720" s="77" t="s">
        <v>12</v>
      </c>
      <c r="J1720" s="14"/>
      <c r="K1720" s="14">
        <v>7.3337595121891201</v>
      </c>
    </row>
    <row r="1721" spans="1:11">
      <c r="A1721" s="77" t="s">
        <v>36</v>
      </c>
      <c r="B1721" s="77">
        <v>500</v>
      </c>
      <c r="C1721" s="77">
        <v>2</v>
      </c>
      <c r="D1721" s="77">
        <v>6.4799999999999996E-2</v>
      </c>
      <c r="E1721" s="77">
        <v>0.108</v>
      </c>
      <c r="F1721" s="77">
        <v>1210</v>
      </c>
      <c r="G1721" s="76"/>
      <c r="H1721" s="76"/>
      <c r="I1721" s="77" t="s">
        <v>12</v>
      </c>
      <c r="J1721" s="14"/>
      <c r="K1721" s="14">
        <v>6.6872955356044699</v>
      </c>
    </row>
    <row r="1722" spans="1:11">
      <c r="A1722" s="77" t="s">
        <v>36</v>
      </c>
      <c r="B1722" s="77">
        <v>500</v>
      </c>
      <c r="C1722" s="77">
        <v>2</v>
      </c>
      <c r="D1722" s="77">
        <v>6.3399999999999998E-2</v>
      </c>
      <c r="E1722" s="77">
        <v>0.378</v>
      </c>
      <c r="F1722" s="77">
        <v>1235</v>
      </c>
      <c r="G1722" s="76"/>
      <c r="H1722" s="76"/>
      <c r="I1722" s="77" t="s">
        <v>12</v>
      </c>
      <c r="J1722" s="14"/>
      <c r="K1722" s="14">
        <v>7.6478357107722497</v>
      </c>
    </row>
    <row r="1723" spans="1:11">
      <c r="A1723" s="77" t="s">
        <v>36</v>
      </c>
      <c r="B1723" s="77">
        <v>500</v>
      </c>
      <c r="C1723" s="77">
        <v>2</v>
      </c>
      <c r="D1723" s="77">
        <v>6.2399999999999997E-2</v>
      </c>
      <c r="E1723" s="77">
        <v>0.84899999999999998</v>
      </c>
      <c r="F1723" s="77">
        <v>1254</v>
      </c>
      <c r="G1723" s="76"/>
      <c r="H1723" s="76"/>
      <c r="I1723" s="77" t="s">
        <v>12</v>
      </c>
      <c r="J1723" s="14"/>
      <c r="K1723" s="14">
        <v>8.8695055618170198</v>
      </c>
    </row>
    <row r="1724" spans="1:11">
      <c r="A1724" s="7" t="s">
        <v>36</v>
      </c>
      <c r="B1724" s="8">
        <v>500</v>
      </c>
      <c r="C1724" s="17">
        <v>2</v>
      </c>
      <c r="D1724" s="8">
        <v>7.2800000000000004E-2</v>
      </c>
      <c r="E1724" s="7">
        <v>6.4999999999999997E-3</v>
      </c>
      <c r="F1724" s="8">
        <v>1005</v>
      </c>
      <c r="G1724" s="7"/>
      <c r="H1724" s="7">
        <v>25.5</v>
      </c>
      <c r="I1724" s="7" t="s">
        <v>12</v>
      </c>
      <c r="J1724" s="7"/>
      <c r="K1724" s="83">
        <v>6.4211823618696702</v>
      </c>
    </row>
    <row r="1725" spans="1:11">
      <c r="A1725" s="7" t="s">
        <v>36</v>
      </c>
      <c r="B1725" s="8">
        <v>1000</v>
      </c>
      <c r="C1725" s="17">
        <v>2</v>
      </c>
      <c r="D1725" s="8">
        <v>7.2800000000000004E-2</v>
      </c>
      <c r="E1725" s="7">
        <v>6.4999999999999997E-3</v>
      </c>
      <c r="F1725" s="8">
        <v>1005</v>
      </c>
      <c r="G1725" s="7"/>
      <c r="H1725" s="7">
        <v>25.5</v>
      </c>
      <c r="I1725" s="7" t="s">
        <v>12</v>
      </c>
      <c r="J1725" s="7"/>
      <c r="K1725" s="83">
        <v>9.7893698999779399</v>
      </c>
    </row>
    <row r="1726" spans="1:11">
      <c r="A1726" s="7" t="s">
        <v>36</v>
      </c>
      <c r="B1726" s="8">
        <v>1500</v>
      </c>
      <c r="C1726" s="17">
        <v>2</v>
      </c>
      <c r="D1726" s="8">
        <v>7.2800000000000004E-2</v>
      </c>
      <c r="E1726" s="7">
        <v>6.4999999999999997E-3</v>
      </c>
      <c r="F1726" s="8">
        <v>1005</v>
      </c>
      <c r="G1726" s="7"/>
      <c r="H1726" s="7">
        <v>25.5</v>
      </c>
      <c r="I1726" s="7" t="s">
        <v>12</v>
      </c>
      <c r="J1726" s="7"/>
      <c r="K1726" s="83">
        <v>10.4395781170945</v>
      </c>
    </row>
    <row r="1727" spans="1:11">
      <c r="A1727" s="7" t="s">
        <v>36</v>
      </c>
      <c r="B1727" s="8">
        <v>500</v>
      </c>
      <c r="C1727" s="17">
        <v>2</v>
      </c>
      <c r="D1727" s="8">
        <v>6.7599999999999993E-2</v>
      </c>
      <c r="E1727" s="7">
        <v>1.2E-2</v>
      </c>
      <c r="F1727" s="8">
        <v>1127</v>
      </c>
      <c r="G1727" s="7"/>
      <c r="H1727" s="7">
        <v>25.5</v>
      </c>
      <c r="I1727" s="7" t="s">
        <v>12</v>
      </c>
      <c r="J1727" s="7"/>
      <c r="K1727" s="83">
        <v>6.9820323547344998</v>
      </c>
    </row>
    <row r="1728" spans="1:11">
      <c r="A1728" s="7" t="s">
        <v>36</v>
      </c>
      <c r="B1728" s="8">
        <v>1000</v>
      </c>
      <c r="C1728" s="17">
        <v>2</v>
      </c>
      <c r="D1728" s="8">
        <v>6.7599999999999993E-2</v>
      </c>
      <c r="E1728" s="7">
        <v>1.2E-2</v>
      </c>
      <c r="F1728" s="8">
        <v>1127</v>
      </c>
      <c r="G1728" s="7"/>
      <c r="H1728" s="7">
        <v>25.5</v>
      </c>
      <c r="I1728" s="7" t="s">
        <v>12</v>
      </c>
      <c r="J1728" s="7"/>
      <c r="K1728" s="83">
        <v>10.2743017267101</v>
      </c>
    </row>
    <row r="1729" spans="1:11">
      <c r="A1729" s="7" t="s">
        <v>36</v>
      </c>
      <c r="B1729" s="8">
        <v>1500</v>
      </c>
      <c r="C1729" s="17">
        <v>2</v>
      </c>
      <c r="D1729" s="8">
        <v>6.7599999999999993E-2</v>
      </c>
      <c r="E1729" s="7">
        <v>1.2E-2</v>
      </c>
      <c r="F1729" s="8">
        <v>1127</v>
      </c>
      <c r="G1729" s="7"/>
      <c r="H1729" s="7">
        <v>25.5</v>
      </c>
      <c r="I1729" s="7" t="s">
        <v>12</v>
      </c>
      <c r="J1729" s="7"/>
      <c r="K1729" s="83">
        <v>11.434687285134199</v>
      </c>
    </row>
    <row r="1730" spans="1:11">
      <c r="A1730" s="7" t="s">
        <v>36</v>
      </c>
      <c r="B1730" s="8">
        <v>500</v>
      </c>
      <c r="C1730" s="17">
        <v>2</v>
      </c>
      <c r="D1730" s="8">
        <v>6.6299999999999998E-2</v>
      </c>
      <c r="E1730" s="8">
        <v>3.15E-2</v>
      </c>
      <c r="F1730" s="8">
        <v>1160</v>
      </c>
      <c r="G1730" s="7"/>
      <c r="H1730" s="7">
        <v>25.5</v>
      </c>
      <c r="I1730" s="7" t="s">
        <v>12</v>
      </c>
      <c r="J1730" s="7"/>
      <c r="K1730" s="83">
        <v>6.9820323547344998</v>
      </c>
    </row>
    <row r="1731" spans="1:11">
      <c r="A1731" s="7" t="s">
        <v>36</v>
      </c>
      <c r="B1731" s="8">
        <v>1000</v>
      </c>
      <c r="C1731" s="17">
        <v>2</v>
      </c>
      <c r="D1731" s="8">
        <v>6.6299999999999998E-2</v>
      </c>
      <c r="E1731" s="8">
        <v>3.15E-2</v>
      </c>
      <c r="F1731" s="8">
        <v>1160</v>
      </c>
      <c r="G1731" s="7"/>
      <c r="H1731" s="7">
        <v>25.5</v>
      </c>
      <c r="I1731" s="7" t="s">
        <v>12</v>
      </c>
      <c r="J1731" s="7"/>
      <c r="K1731" s="83">
        <v>9.3832621978905806</v>
      </c>
    </row>
    <row r="1732" spans="1:11">
      <c r="A1732" s="7" t="s">
        <v>36</v>
      </c>
      <c r="B1732" s="8">
        <v>1500</v>
      </c>
      <c r="C1732" s="17">
        <v>2</v>
      </c>
      <c r="D1732" s="8">
        <v>6.6299999999999998E-2</v>
      </c>
      <c r="E1732" s="8">
        <v>3.15E-2</v>
      </c>
      <c r="F1732" s="8">
        <v>1160</v>
      </c>
      <c r="G1732" s="7"/>
      <c r="H1732" s="7">
        <v>25.5</v>
      </c>
      <c r="I1732" s="7" t="s">
        <v>12</v>
      </c>
      <c r="J1732" s="7"/>
      <c r="K1732" s="83">
        <v>11.7855817754887</v>
      </c>
    </row>
    <row r="1733" spans="1:11">
      <c r="A1733" s="7" t="s">
        <v>36</v>
      </c>
      <c r="B1733" s="8">
        <v>500</v>
      </c>
      <c r="C1733" s="17">
        <v>2</v>
      </c>
      <c r="D1733" s="8">
        <v>6.4799999999999996E-2</v>
      </c>
      <c r="E1733" s="8">
        <v>0.108</v>
      </c>
      <c r="F1733" s="8">
        <v>1210</v>
      </c>
      <c r="G1733" s="7"/>
      <c r="H1733" s="7">
        <v>25.5</v>
      </c>
      <c r="I1733" s="7" t="s">
        <v>12</v>
      </c>
      <c r="J1733" s="7"/>
      <c r="K1733" s="83">
        <v>7.3768794675868801</v>
      </c>
    </row>
    <row r="1734" spans="1:11">
      <c r="A1734" s="7" t="s">
        <v>36</v>
      </c>
      <c r="B1734" s="8">
        <v>1000</v>
      </c>
      <c r="C1734" s="17">
        <v>2</v>
      </c>
      <c r="D1734" s="8">
        <v>6.4799999999999996E-2</v>
      </c>
      <c r="E1734" s="8">
        <v>0.108</v>
      </c>
      <c r="F1734" s="8">
        <v>1210</v>
      </c>
      <c r="G1734" s="7"/>
      <c r="H1734" s="7">
        <v>25.5</v>
      </c>
      <c r="I1734" s="7" t="s">
        <v>12</v>
      </c>
      <c r="J1734" s="7"/>
      <c r="K1734" s="83">
        <v>10.2743017267101</v>
      </c>
    </row>
    <row r="1735" spans="1:11">
      <c r="A1735" s="7" t="s">
        <v>36</v>
      </c>
      <c r="B1735" s="8">
        <v>1500</v>
      </c>
      <c r="C1735" s="17">
        <v>2</v>
      </c>
      <c r="D1735" s="8">
        <v>6.4799999999999996E-2</v>
      </c>
      <c r="E1735" s="8">
        <v>0.108</v>
      </c>
      <c r="F1735" s="8">
        <v>1210</v>
      </c>
      <c r="G1735" s="7"/>
      <c r="H1735" s="7">
        <v>25.5</v>
      </c>
      <c r="I1735" s="7" t="s">
        <v>12</v>
      </c>
      <c r="J1735" s="7"/>
      <c r="K1735" s="83">
        <v>12.120856738839899</v>
      </c>
    </row>
    <row r="1736" spans="1:11">
      <c r="A1736" s="7" t="s">
        <v>36</v>
      </c>
      <c r="B1736" s="8">
        <v>500</v>
      </c>
      <c r="C1736" s="17">
        <v>2</v>
      </c>
      <c r="D1736" s="8">
        <v>6.3399999999999998E-2</v>
      </c>
      <c r="E1736" s="8">
        <v>0.378</v>
      </c>
      <c r="F1736" s="8">
        <v>1235</v>
      </c>
      <c r="G1736" s="7"/>
      <c r="H1736" s="7">
        <v>25.5</v>
      </c>
      <c r="I1736" s="7" t="s">
        <v>12</v>
      </c>
      <c r="J1736" s="7"/>
      <c r="K1736" s="83">
        <v>10.727994499435599</v>
      </c>
    </row>
    <row r="1737" spans="1:11">
      <c r="A1737" s="7" t="s">
        <v>36</v>
      </c>
      <c r="B1737" s="8">
        <v>1000</v>
      </c>
      <c r="C1737" s="17">
        <v>2</v>
      </c>
      <c r="D1737" s="8">
        <v>6.3399999999999998E-2</v>
      </c>
      <c r="E1737" s="8">
        <v>0.378</v>
      </c>
      <c r="F1737" s="8">
        <v>1235</v>
      </c>
      <c r="G1737" s="7"/>
      <c r="H1737" s="7">
        <v>25.5</v>
      </c>
      <c r="I1737" s="7" t="s">
        <v>12</v>
      </c>
      <c r="J1737" s="7"/>
      <c r="K1737" s="83">
        <v>12.406548785075801</v>
      </c>
    </row>
    <row r="1738" spans="1:11">
      <c r="A1738" s="7" t="s">
        <v>36</v>
      </c>
      <c r="B1738" s="8">
        <v>1500</v>
      </c>
      <c r="C1738" s="17">
        <v>2</v>
      </c>
      <c r="D1738" s="8">
        <v>6.3399999999999998E-2</v>
      </c>
      <c r="E1738" s="8">
        <v>0.378</v>
      </c>
      <c r="F1738" s="8">
        <v>1235</v>
      </c>
      <c r="G1738" s="7"/>
      <c r="H1738" s="7">
        <v>25.5</v>
      </c>
      <c r="I1738" s="7" t="s">
        <v>12</v>
      </c>
      <c r="J1738" s="7"/>
      <c r="K1738" s="83">
        <v>13.632136787618499</v>
      </c>
    </row>
    <row r="1739" spans="1:11">
      <c r="A1739" s="7" t="s">
        <v>36</v>
      </c>
      <c r="B1739" s="8">
        <v>500</v>
      </c>
      <c r="C1739" s="17">
        <v>2</v>
      </c>
      <c r="D1739" s="8">
        <v>6.2399999999999997E-2</v>
      </c>
      <c r="E1739" s="8">
        <v>0.84899999999999998</v>
      </c>
      <c r="F1739" s="8">
        <v>1254</v>
      </c>
      <c r="G1739" s="7"/>
      <c r="H1739" s="7">
        <v>25.5</v>
      </c>
      <c r="I1739" s="7" t="s">
        <v>12</v>
      </c>
      <c r="J1739" s="7"/>
      <c r="K1739" s="83">
        <v>9.7986326427357504</v>
      </c>
    </row>
    <row r="1740" spans="1:11">
      <c r="A1740" s="7" t="s">
        <v>36</v>
      </c>
      <c r="B1740" s="8">
        <v>1000</v>
      </c>
      <c r="C1740" s="17">
        <v>2</v>
      </c>
      <c r="D1740" s="8">
        <v>6.2399999999999997E-2</v>
      </c>
      <c r="E1740" s="8">
        <v>0.84899999999999998</v>
      </c>
      <c r="F1740" s="8">
        <v>1254</v>
      </c>
      <c r="G1740" s="7"/>
      <c r="H1740" s="7">
        <v>25.5</v>
      </c>
      <c r="I1740" s="7" t="s">
        <v>12</v>
      </c>
      <c r="J1740" s="7"/>
      <c r="K1740" s="83">
        <v>13.779432559708299</v>
      </c>
    </row>
    <row r="1741" spans="1:11">
      <c r="A1741" s="7" t="s">
        <v>36</v>
      </c>
      <c r="B1741" s="8">
        <v>1500</v>
      </c>
      <c r="C1741" s="17">
        <v>2</v>
      </c>
      <c r="D1741" s="8">
        <v>6.2399999999999997E-2</v>
      </c>
      <c r="E1741" s="8">
        <v>0.84899999999999998</v>
      </c>
      <c r="F1741" s="8">
        <v>1254</v>
      </c>
      <c r="G1741" s="7"/>
      <c r="H1741" s="7">
        <v>25.5</v>
      </c>
      <c r="I1741" s="7" t="s">
        <v>12</v>
      </c>
      <c r="J1741" s="7"/>
      <c r="K1741" s="83">
        <v>14.732223706913301</v>
      </c>
    </row>
    <row r="1742" spans="1:11">
      <c r="A1742" s="7" t="s">
        <v>36</v>
      </c>
      <c r="B1742" s="8">
        <v>500</v>
      </c>
      <c r="C1742" s="17">
        <v>5</v>
      </c>
      <c r="D1742" s="8">
        <v>7.2800000000000004E-2</v>
      </c>
      <c r="E1742" s="7">
        <v>6.4999999999999997E-3</v>
      </c>
      <c r="F1742" s="8">
        <v>1005</v>
      </c>
      <c r="G1742" s="7"/>
      <c r="H1742" s="7">
        <v>25.5</v>
      </c>
      <c r="I1742" s="7" t="s">
        <v>12</v>
      </c>
      <c r="J1742" s="7"/>
      <c r="K1742" s="83">
        <v>7.6809861689546999</v>
      </c>
    </row>
    <row r="1743" spans="1:11">
      <c r="A1743" s="7" t="s">
        <v>36</v>
      </c>
      <c r="B1743" s="8">
        <v>1000</v>
      </c>
      <c r="C1743" s="17">
        <v>5</v>
      </c>
      <c r="D1743" s="8">
        <v>7.2800000000000004E-2</v>
      </c>
      <c r="E1743" s="7">
        <v>6.4999999999999997E-3</v>
      </c>
      <c r="F1743" s="8">
        <v>1005</v>
      </c>
      <c r="G1743" s="7"/>
      <c r="H1743" s="7">
        <v>25.5</v>
      </c>
      <c r="I1743" s="7" t="s">
        <v>12</v>
      </c>
      <c r="J1743" s="7"/>
      <c r="K1743" s="8">
        <v>11.016864620288899</v>
      </c>
    </row>
    <row r="1744" spans="1:11">
      <c r="A1744" s="7" t="s">
        <v>36</v>
      </c>
      <c r="B1744" s="8">
        <v>1500</v>
      </c>
      <c r="C1744" s="17">
        <v>5</v>
      </c>
      <c r="D1744" s="8">
        <v>7.2800000000000004E-2</v>
      </c>
      <c r="E1744" s="7">
        <v>6.4999999999999997E-3</v>
      </c>
      <c r="F1744" s="8">
        <v>1005</v>
      </c>
      <c r="G1744" s="7"/>
      <c r="H1744" s="7">
        <v>25.5</v>
      </c>
      <c r="I1744" s="7" t="s">
        <v>12</v>
      </c>
      <c r="J1744" s="7"/>
      <c r="K1744" s="8">
        <v>12.548485783330699</v>
      </c>
    </row>
    <row r="1745" spans="1:11">
      <c r="A1745" s="7" t="s">
        <v>36</v>
      </c>
      <c r="B1745" s="8">
        <v>500</v>
      </c>
      <c r="C1745" s="17">
        <v>5</v>
      </c>
      <c r="D1745" s="8">
        <v>6.7599999999999993E-2</v>
      </c>
      <c r="E1745" s="7">
        <v>1.2E-2</v>
      </c>
      <c r="F1745" s="8">
        <v>1127</v>
      </c>
      <c r="G1745" s="7"/>
      <c r="H1745" s="7">
        <v>25.5</v>
      </c>
      <c r="I1745" s="7" t="s">
        <v>12</v>
      </c>
      <c r="J1745" s="7"/>
      <c r="K1745" s="8">
        <v>7.6970024165766802</v>
      </c>
    </row>
    <row r="1746" spans="1:11">
      <c r="A1746" s="7" t="s">
        <v>36</v>
      </c>
      <c r="B1746" s="8">
        <v>1000</v>
      </c>
      <c r="C1746" s="17">
        <v>5</v>
      </c>
      <c r="D1746" s="8">
        <v>6.7599999999999993E-2</v>
      </c>
      <c r="E1746" s="7">
        <v>1.2E-2</v>
      </c>
      <c r="F1746" s="8">
        <v>1127</v>
      </c>
      <c r="G1746" s="7"/>
      <c r="H1746" s="7">
        <v>25.5</v>
      </c>
      <c r="I1746" s="7" t="s">
        <v>12</v>
      </c>
      <c r="J1746" s="7"/>
      <c r="K1746" s="8">
        <v>11.477016813203701</v>
      </c>
    </row>
    <row r="1747" spans="1:11">
      <c r="A1747" s="7" t="s">
        <v>36</v>
      </c>
      <c r="B1747" s="8">
        <v>1500</v>
      </c>
      <c r="C1747" s="17">
        <v>5</v>
      </c>
      <c r="D1747" s="8">
        <v>6.7599999999999993E-2</v>
      </c>
      <c r="E1747" s="7">
        <v>1.2E-2</v>
      </c>
      <c r="F1747" s="8">
        <v>1127</v>
      </c>
      <c r="G1747" s="7"/>
      <c r="H1747" s="7">
        <v>25.5</v>
      </c>
      <c r="I1747" s="7" t="s">
        <v>12</v>
      </c>
      <c r="J1747" s="7"/>
      <c r="K1747" s="8">
        <v>14.079926988534099</v>
      </c>
    </row>
    <row r="1748" spans="1:11">
      <c r="A1748" s="7" t="s">
        <v>36</v>
      </c>
      <c r="B1748" s="8">
        <v>500</v>
      </c>
      <c r="C1748" s="17">
        <v>5</v>
      </c>
      <c r="D1748" s="8">
        <v>6.6299999999999998E-2</v>
      </c>
      <c r="E1748" s="8">
        <v>3.15E-2</v>
      </c>
      <c r="F1748" s="8">
        <v>1160</v>
      </c>
      <c r="G1748" s="7"/>
      <c r="H1748" s="7">
        <v>25.5</v>
      </c>
      <c r="I1748" s="7" t="s">
        <v>12</v>
      </c>
      <c r="J1748" s="7"/>
      <c r="K1748" s="8">
        <v>7.9133117383927196</v>
      </c>
    </row>
    <row r="1749" spans="1:11">
      <c r="A1749" s="7" t="s">
        <v>36</v>
      </c>
      <c r="B1749" s="8">
        <v>1000</v>
      </c>
      <c r="C1749" s="17">
        <v>5</v>
      </c>
      <c r="D1749" s="8">
        <v>6.6299999999999998E-2</v>
      </c>
      <c r="E1749" s="8">
        <v>3.15E-2</v>
      </c>
      <c r="F1749" s="8">
        <v>1160</v>
      </c>
      <c r="G1749" s="7"/>
      <c r="H1749" s="7">
        <v>25.5</v>
      </c>
      <c r="I1749" s="7" t="s">
        <v>12</v>
      </c>
      <c r="J1749" s="7"/>
      <c r="K1749" s="8">
        <v>11.016864620288899</v>
      </c>
    </row>
    <row r="1750" spans="1:11">
      <c r="A1750" s="7" t="s">
        <v>36</v>
      </c>
      <c r="B1750" s="8">
        <v>1500</v>
      </c>
      <c r="C1750" s="17">
        <v>5</v>
      </c>
      <c r="D1750" s="8">
        <v>6.6299999999999998E-2</v>
      </c>
      <c r="E1750" s="8">
        <v>3.15E-2</v>
      </c>
      <c r="F1750" s="8">
        <v>1160</v>
      </c>
      <c r="G1750" s="7"/>
      <c r="H1750" s="7">
        <v>25.5</v>
      </c>
      <c r="I1750" s="7" t="s">
        <v>12</v>
      </c>
      <c r="J1750" s="7"/>
      <c r="K1750" s="8">
        <v>11.4924931873104</v>
      </c>
    </row>
    <row r="1751" spans="1:11">
      <c r="A1751" s="7" t="s">
        <v>36</v>
      </c>
      <c r="B1751" s="8">
        <v>500</v>
      </c>
      <c r="C1751" s="17">
        <v>5</v>
      </c>
      <c r="D1751" s="8">
        <v>6.4799999999999996E-2</v>
      </c>
      <c r="E1751" s="8">
        <v>0.108</v>
      </c>
      <c r="F1751" s="8">
        <v>1210</v>
      </c>
      <c r="G1751" s="7"/>
      <c r="H1751" s="7">
        <v>25.5</v>
      </c>
      <c r="I1751" s="7" t="s">
        <v>12</v>
      </c>
      <c r="J1751" s="7"/>
      <c r="K1751" s="8">
        <v>7.9133117383927196</v>
      </c>
    </row>
    <row r="1752" spans="1:11">
      <c r="A1752" s="7" t="s">
        <v>36</v>
      </c>
      <c r="B1752" s="8">
        <v>1000</v>
      </c>
      <c r="C1752" s="17">
        <v>5</v>
      </c>
      <c r="D1752" s="8">
        <v>6.4799999999999996E-2</v>
      </c>
      <c r="E1752" s="8">
        <v>0.108</v>
      </c>
      <c r="F1752" s="8">
        <v>1210</v>
      </c>
      <c r="G1752" s="7"/>
      <c r="H1752" s="7">
        <v>25.5</v>
      </c>
      <c r="I1752" s="7" t="s">
        <v>12</v>
      </c>
      <c r="J1752" s="7"/>
      <c r="K1752" s="8">
        <v>13.1436063550825</v>
      </c>
    </row>
    <row r="1753" spans="1:11">
      <c r="A1753" s="7" t="s">
        <v>36</v>
      </c>
      <c r="B1753" s="8">
        <v>1500</v>
      </c>
      <c r="C1753" s="17">
        <v>5</v>
      </c>
      <c r="D1753" s="8">
        <v>6.4799999999999996E-2</v>
      </c>
      <c r="E1753" s="8">
        <v>0.108</v>
      </c>
      <c r="F1753" s="8">
        <v>1210</v>
      </c>
      <c r="G1753" s="7"/>
      <c r="H1753" s="7">
        <v>25.5</v>
      </c>
      <c r="I1753" s="7" t="s">
        <v>12</v>
      </c>
      <c r="J1753" s="7"/>
      <c r="K1753" s="8">
        <v>14.079926988534099</v>
      </c>
    </row>
    <row r="1754" spans="1:11">
      <c r="A1754" s="7" t="s">
        <v>36</v>
      </c>
      <c r="B1754" s="8">
        <v>500</v>
      </c>
      <c r="C1754" s="17">
        <v>5</v>
      </c>
      <c r="D1754" s="8">
        <v>6.3399999999999998E-2</v>
      </c>
      <c r="E1754" s="8">
        <v>0.378</v>
      </c>
      <c r="F1754" s="8">
        <v>1235</v>
      </c>
      <c r="G1754" s="7"/>
      <c r="H1754" s="7">
        <v>25.5</v>
      </c>
      <c r="I1754" s="7" t="s">
        <v>12</v>
      </c>
      <c r="J1754" s="7"/>
      <c r="K1754" s="8">
        <v>9.8860095634736993</v>
      </c>
    </row>
    <row r="1755" spans="1:11">
      <c r="A1755" s="7" t="s">
        <v>36</v>
      </c>
      <c r="B1755" s="8">
        <v>1000</v>
      </c>
      <c r="C1755" s="17">
        <v>5</v>
      </c>
      <c r="D1755" s="8">
        <v>6.3399999999999998E-2</v>
      </c>
      <c r="E1755" s="8">
        <v>0.378</v>
      </c>
      <c r="F1755" s="8">
        <v>1235</v>
      </c>
      <c r="G1755" s="7"/>
      <c r="H1755" s="7">
        <v>25.5</v>
      </c>
      <c r="I1755" s="7" t="s">
        <v>12</v>
      </c>
      <c r="J1755" s="7"/>
      <c r="K1755" s="8">
        <v>13.613836186950399</v>
      </c>
    </row>
    <row r="1756" spans="1:11">
      <c r="A1756" s="7" t="s">
        <v>36</v>
      </c>
      <c r="B1756" s="8">
        <v>1500</v>
      </c>
      <c r="C1756" s="17">
        <v>5</v>
      </c>
      <c r="D1756" s="8">
        <v>6.3399999999999998E-2</v>
      </c>
      <c r="E1756" s="8">
        <v>0.378</v>
      </c>
      <c r="F1756" s="8">
        <v>1235</v>
      </c>
      <c r="G1756" s="7"/>
      <c r="H1756" s="7">
        <v>25.5</v>
      </c>
      <c r="I1756" s="7" t="s">
        <v>12</v>
      </c>
      <c r="J1756" s="7"/>
      <c r="K1756" s="8">
        <v>14.8368296570517</v>
      </c>
    </row>
    <row r="1757" spans="1:11">
      <c r="A1757" s="7" t="s">
        <v>36</v>
      </c>
      <c r="B1757" s="8">
        <v>500</v>
      </c>
      <c r="C1757" s="17">
        <v>5</v>
      </c>
      <c r="D1757" s="8">
        <v>6.2399999999999997E-2</v>
      </c>
      <c r="E1757" s="8">
        <v>0.84899999999999998</v>
      </c>
      <c r="F1757" s="8">
        <v>1254</v>
      </c>
      <c r="G1757" s="7"/>
      <c r="H1757" s="7">
        <v>25.5</v>
      </c>
      <c r="I1757" s="7" t="s">
        <v>12</v>
      </c>
      <c r="J1757" s="7"/>
      <c r="K1757" s="8">
        <v>11.474497403465399</v>
      </c>
    </row>
    <row r="1758" spans="1:11">
      <c r="A1758" s="7" t="s">
        <v>36</v>
      </c>
      <c r="B1758" s="8">
        <v>1000</v>
      </c>
      <c r="C1758" s="17">
        <v>5</v>
      </c>
      <c r="D1758" s="8">
        <v>6.2399999999999997E-2</v>
      </c>
      <c r="E1758" s="8">
        <v>0.84899999999999998</v>
      </c>
      <c r="F1758" s="8">
        <v>1254</v>
      </c>
      <c r="G1758" s="7"/>
      <c r="H1758" s="7">
        <v>25.5</v>
      </c>
      <c r="I1758" s="7" t="s">
        <v>12</v>
      </c>
      <c r="J1758" s="7"/>
      <c r="K1758" s="8">
        <v>17.403028433338399</v>
      </c>
    </row>
    <row r="1759" spans="1:11">
      <c r="A1759" s="7" t="s">
        <v>36</v>
      </c>
      <c r="B1759" s="8">
        <v>1500</v>
      </c>
      <c r="C1759" s="17">
        <v>5</v>
      </c>
      <c r="D1759" s="8">
        <v>6.2399999999999997E-2</v>
      </c>
      <c r="E1759" s="8">
        <v>0.84899999999999998</v>
      </c>
      <c r="F1759" s="8">
        <v>1254</v>
      </c>
      <c r="G1759" s="7"/>
      <c r="H1759" s="7">
        <v>25.5</v>
      </c>
      <c r="I1759" s="7" t="s">
        <v>12</v>
      </c>
      <c r="J1759" s="7"/>
      <c r="K1759" s="8">
        <v>18.078590158876999</v>
      </c>
    </row>
    <row r="1760" spans="1:11">
      <c r="A1760" s="7" t="s">
        <v>36</v>
      </c>
      <c r="B1760" s="8">
        <v>500</v>
      </c>
      <c r="C1760" s="17">
        <v>10</v>
      </c>
      <c r="D1760" s="8">
        <v>7.2800000000000004E-2</v>
      </c>
      <c r="E1760" s="7">
        <v>6.4999999999999997E-3</v>
      </c>
      <c r="F1760" s="8">
        <v>1005</v>
      </c>
      <c r="G1760" s="7"/>
      <c r="H1760" s="7">
        <v>25.5</v>
      </c>
      <c r="I1760" s="7" t="s">
        <v>12</v>
      </c>
      <c r="J1760" s="7"/>
      <c r="K1760" s="8">
        <v>8.1758414514715696</v>
      </c>
    </row>
    <row r="1761" spans="1:11">
      <c r="A1761" s="7" t="s">
        <v>36</v>
      </c>
      <c r="B1761" s="8">
        <v>1000</v>
      </c>
      <c r="C1761" s="17">
        <v>10</v>
      </c>
      <c r="D1761" s="8">
        <v>7.2800000000000004E-2</v>
      </c>
      <c r="E1761" s="7">
        <v>6.4999999999999997E-3</v>
      </c>
      <c r="F1761" s="8">
        <v>1005</v>
      </c>
      <c r="G1761" s="7"/>
      <c r="H1761" s="7">
        <v>25.5</v>
      </c>
      <c r="I1761" s="7" t="s">
        <v>12</v>
      </c>
      <c r="J1761" s="7"/>
      <c r="K1761" s="8">
        <v>12.706303798773201</v>
      </c>
    </row>
    <row r="1762" spans="1:11">
      <c r="A1762" s="7" t="s">
        <v>36</v>
      </c>
      <c r="B1762" s="8">
        <v>1500</v>
      </c>
      <c r="C1762" s="17">
        <v>10</v>
      </c>
      <c r="D1762" s="8">
        <v>7.2800000000000004E-2</v>
      </c>
      <c r="E1762" s="7">
        <v>6.4999999999999997E-3</v>
      </c>
      <c r="F1762" s="8">
        <v>1005</v>
      </c>
      <c r="G1762" s="7"/>
      <c r="H1762" s="7">
        <v>25.5</v>
      </c>
      <c r="I1762" s="7" t="s">
        <v>12</v>
      </c>
      <c r="J1762" s="7"/>
      <c r="K1762" s="8">
        <v>13.3757795989897</v>
      </c>
    </row>
    <row r="1763" spans="1:11">
      <c r="A1763" s="7" t="s">
        <v>36</v>
      </c>
      <c r="B1763" s="8">
        <v>500</v>
      </c>
      <c r="C1763" s="17">
        <v>10</v>
      </c>
      <c r="D1763" s="8">
        <v>6.7599999999999993E-2</v>
      </c>
      <c r="E1763" s="7">
        <v>1.2E-2</v>
      </c>
      <c r="F1763" s="8">
        <v>1127</v>
      </c>
      <c r="G1763" s="7"/>
      <c r="H1763" s="7">
        <v>25.5</v>
      </c>
      <c r="I1763" s="7" t="s">
        <v>12</v>
      </c>
      <c r="J1763" s="7"/>
      <c r="K1763" s="8">
        <v>8.7488016081645199</v>
      </c>
    </row>
    <row r="1764" spans="1:11">
      <c r="A1764" s="7" t="s">
        <v>36</v>
      </c>
      <c r="B1764" s="8">
        <v>1000</v>
      </c>
      <c r="C1764" s="17">
        <v>10</v>
      </c>
      <c r="D1764" s="8">
        <v>6.7599999999999993E-2</v>
      </c>
      <c r="E1764" s="7">
        <v>1.2E-2</v>
      </c>
      <c r="F1764" s="8">
        <v>1127</v>
      </c>
      <c r="G1764" s="7"/>
      <c r="H1764" s="7">
        <v>25.5</v>
      </c>
      <c r="I1764" s="7" t="s">
        <v>12</v>
      </c>
      <c r="J1764" s="7"/>
      <c r="K1764" s="8">
        <v>12.706303798773201</v>
      </c>
    </row>
    <row r="1765" spans="1:11">
      <c r="A1765" s="7" t="s">
        <v>36</v>
      </c>
      <c r="B1765" s="8">
        <v>1500</v>
      </c>
      <c r="C1765" s="17">
        <v>10</v>
      </c>
      <c r="D1765" s="8">
        <v>6.7599999999999993E-2</v>
      </c>
      <c r="E1765" s="7">
        <v>1.2E-2</v>
      </c>
      <c r="F1765" s="8">
        <v>1127</v>
      </c>
      <c r="G1765" s="7"/>
      <c r="H1765" s="7">
        <v>25.5</v>
      </c>
      <c r="I1765" s="7" t="s">
        <v>12</v>
      </c>
      <c r="J1765" s="7"/>
      <c r="K1765" s="8">
        <v>13.6597340343281</v>
      </c>
    </row>
    <row r="1766" spans="1:11">
      <c r="A1766" s="7" t="s">
        <v>36</v>
      </c>
      <c r="B1766" s="8">
        <v>500</v>
      </c>
      <c r="C1766" s="17">
        <v>10</v>
      </c>
      <c r="D1766" s="8">
        <v>6.6299999999999998E-2</v>
      </c>
      <c r="E1766" s="8">
        <v>3.15E-2</v>
      </c>
      <c r="F1766" s="8">
        <v>1160</v>
      </c>
      <c r="G1766" s="7"/>
      <c r="H1766" s="7">
        <v>25.5</v>
      </c>
      <c r="I1766" s="7" t="s">
        <v>12</v>
      </c>
      <c r="J1766" s="7"/>
      <c r="K1766" s="8">
        <v>10.3460904077109</v>
      </c>
    </row>
    <row r="1767" spans="1:11">
      <c r="A1767" s="7" t="s">
        <v>36</v>
      </c>
      <c r="B1767" s="8">
        <v>1000</v>
      </c>
      <c r="C1767" s="17">
        <v>10</v>
      </c>
      <c r="D1767" s="8">
        <v>6.6299999999999998E-2</v>
      </c>
      <c r="E1767" s="8">
        <v>3.15E-2</v>
      </c>
      <c r="F1767" s="8">
        <v>1160</v>
      </c>
      <c r="G1767" s="7"/>
      <c r="H1767" s="7">
        <v>25.5</v>
      </c>
      <c r="I1767" s="7" t="s">
        <v>12</v>
      </c>
      <c r="J1767" s="7"/>
      <c r="K1767" s="8">
        <v>13.3779444358538</v>
      </c>
    </row>
    <row r="1768" spans="1:11">
      <c r="A1768" s="7" t="s">
        <v>36</v>
      </c>
      <c r="B1768" s="8">
        <v>1500</v>
      </c>
      <c r="C1768" s="17">
        <v>10</v>
      </c>
      <c r="D1768" s="8">
        <v>6.6299999999999998E-2</v>
      </c>
      <c r="E1768" s="8">
        <v>3.15E-2</v>
      </c>
      <c r="F1768" s="8">
        <v>1160</v>
      </c>
      <c r="G1768" s="7"/>
      <c r="H1768" s="7">
        <v>25.5</v>
      </c>
      <c r="I1768" s="7" t="s">
        <v>12</v>
      </c>
      <c r="J1768" s="7"/>
      <c r="K1768" s="8">
        <v>15.702979227874801</v>
      </c>
    </row>
    <row r="1769" spans="1:11">
      <c r="A1769" s="7" t="s">
        <v>36</v>
      </c>
      <c r="B1769" s="8">
        <v>500</v>
      </c>
      <c r="C1769" s="17">
        <v>10</v>
      </c>
      <c r="D1769" s="8">
        <v>6.4799999999999996E-2</v>
      </c>
      <c r="E1769" s="8">
        <v>0.108</v>
      </c>
      <c r="F1769" s="8">
        <v>1210</v>
      </c>
      <c r="G1769" s="7"/>
      <c r="H1769" s="7">
        <v>25.5</v>
      </c>
      <c r="I1769" s="7" t="s">
        <v>12</v>
      </c>
      <c r="J1769" s="7"/>
      <c r="K1769" s="8">
        <v>10.349518066079</v>
      </c>
    </row>
    <row r="1770" spans="1:11">
      <c r="A1770" s="7" t="s">
        <v>36</v>
      </c>
      <c r="B1770" s="8">
        <v>1000</v>
      </c>
      <c r="C1770" s="17">
        <v>10</v>
      </c>
      <c r="D1770" s="8">
        <v>6.4799999999999996E-2</v>
      </c>
      <c r="E1770" s="8">
        <v>0.108</v>
      </c>
      <c r="F1770" s="8">
        <v>1210</v>
      </c>
      <c r="G1770" s="7"/>
      <c r="H1770" s="7">
        <v>25.5</v>
      </c>
      <c r="I1770" s="7" t="s">
        <v>12</v>
      </c>
      <c r="J1770" s="7"/>
      <c r="K1770" s="8">
        <v>14.559223751353001</v>
      </c>
    </row>
    <row r="1771" spans="1:11">
      <c r="A1771" s="7" t="s">
        <v>36</v>
      </c>
      <c r="B1771" s="8">
        <v>1500</v>
      </c>
      <c r="C1771" s="17">
        <v>10</v>
      </c>
      <c r="D1771" s="8">
        <v>6.4799999999999996E-2</v>
      </c>
      <c r="E1771" s="8">
        <v>0.108</v>
      </c>
      <c r="F1771" s="8">
        <v>1210</v>
      </c>
      <c r="G1771" s="7"/>
      <c r="H1771" s="7">
        <v>25.5</v>
      </c>
      <c r="I1771" s="7" t="s">
        <v>12</v>
      </c>
      <c r="J1771" s="7"/>
      <c r="K1771" s="8">
        <v>15.684578114530099</v>
      </c>
    </row>
    <row r="1772" spans="1:11">
      <c r="A1772" s="7" t="s">
        <v>36</v>
      </c>
      <c r="B1772" s="8">
        <v>500</v>
      </c>
      <c r="C1772" s="17">
        <v>10</v>
      </c>
      <c r="D1772" s="8">
        <v>6.3399999999999998E-2</v>
      </c>
      <c r="E1772" s="8">
        <v>0.378</v>
      </c>
      <c r="F1772" s="8">
        <v>1235</v>
      </c>
      <c r="G1772" s="7"/>
      <c r="H1772" s="7">
        <v>25.5</v>
      </c>
      <c r="I1772" s="7" t="s">
        <v>12</v>
      </c>
      <c r="J1772" s="7"/>
      <c r="K1772" s="8">
        <v>11.791840626771799</v>
      </c>
    </row>
    <row r="1773" spans="1:11">
      <c r="A1773" s="7" t="s">
        <v>36</v>
      </c>
      <c r="B1773" s="8">
        <v>1000</v>
      </c>
      <c r="C1773" s="17">
        <v>10</v>
      </c>
      <c r="D1773" s="8">
        <v>6.3399999999999998E-2</v>
      </c>
      <c r="E1773" s="8">
        <v>0.378</v>
      </c>
      <c r="F1773" s="8">
        <v>1235</v>
      </c>
      <c r="G1773" s="7"/>
      <c r="H1773" s="7">
        <v>25.5</v>
      </c>
      <c r="I1773" s="7" t="s">
        <v>12</v>
      </c>
      <c r="J1773" s="7"/>
      <c r="K1773" s="8">
        <v>15.4751301479305</v>
      </c>
    </row>
    <row r="1774" spans="1:11">
      <c r="A1774" s="7" t="s">
        <v>36</v>
      </c>
      <c r="B1774" s="8">
        <v>1500</v>
      </c>
      <c r="C1774" s="17">
        <v>10</v>
      </c>
      <c r="D1774" s="8">
        <v>6.3399999999999998E-2</v>
      </c>
      <c r="E1774" s="8">
        <v>0.378</v>
      </c>
      <c r="F1774" s="8">
        <v>1235</v>
      </c>
      <c r="G1774" s="7"/>
      <c r="H1774" s="7">
        <v>25.5</v>
      </c>
      <c r="I1774" s="7" t="s">
        <v>12</v>
      </c>
      <c r="J1774" s="7"/>
      <c r="K1774" s="8">
        <v>15.684578114530099</v>
      </c>
    </row>
    <row r="1775" spans="1:11">
      <c r="A1775" s="7" t="s">
        <v>36</v>
      </c>
      <c r="B1775" s="8">
        <v>500</v>
      </c>
      <c r="C1775" s="17">
        <v>10</v>
      </c>
      <c r="D1775" s="8">
        <v>6.2399999999999997E-2</v>
      </c>
      <c r="E1775" s="8">
        <v>0.84899999999999998</v>
      </c>
      <c r="F1775" s="8">
        <v>1254</v>
      </c>
      <c r="G1775" s="7"/>
      <c r="H1775" s="7">
        <v>25.5</v>
      </c>
      <c r="I1775" s="7" t="s">
        <v>12</v>
      </c>
      <c r="J1775" s="7"/>
      <c r="K1775" s="8">
        <v>10.349518066079</v>
      </c>
    </row>
    <row r="1776" spans="1:11">
      <c r="A1776" s="7" t="s">
        <v>36</v>
      </c>
      <c r="B1776" s="8">
        <v>1000</v>
      </c>
      <c r="C1776" s="17">
        <v>10</v>
      </c>
      <c r="D1776" s="8">
        <v>6.2399999999999997E-2</v>
      </c>
      <c r="E1776" s="8">
        <v>0.84899999999999998</v>
      </c>
      <c r="F1776" s="8">
        <v>1254</v>
      </c>
      <c r="G1776" s="7"/>
      <c r="H1776" s="7">
        <v>25.5</v>
      </c>
      <c r="I1776" s="7" t="s">
        <v>12</v>
      </c>
      <c r="J1776" s="7"/>
      <c r="K1776" s="8">
        <v>14.8998247513014</v>
      </c>
    </row>
    <row r="1777" spans="1:11">
      <c r="A1777" s="7" t="s">
        <v>36</v>
      </c>
      <c r="B1777" s="8">
        <v>1500</v>
      </c>
      <c r="C1777" s="17">
        <v>10</v>
      </c>
      <c r="D1777" s="8">
        <v>6.2399999999999997E-2</v>
      </c>
      <c r="E1777" s="8">
        <v>0.84899999999999998</v>
      </c>
      <c r="F1777" s="8">
        <v>1254</v>
      </c>
      <c r="G1777" s="7"/>
      <c r="H1777" s="7">
        <v>25.5</v>
      </c>
      <c r="I1777" s="7" t="s">
        <v>12</v>
      </c>
      <c r="J1777" s="7"/>
      <c r="K1777" s="8">
        <v>16.979150559249501</v>
      </c>
    </row>
    <row r="1778" spans="1:11">
      <c r="A1778" s="77" t="s">
        <v>36</v>
      </c>
      <c r="B1778" s="77">
        <v>500</v>
      </c>
      <c r="C1778" s="77">
        <v>2</v>
      </c>
      <c r="D1778" s="77">
        <v>7.2800000000000004E-2</v>
      </c>
      <c r="E1778" s="76">
        <f>6.5/1000</f>
        <v>6.4999999999999997E-3</v>
      </c>
      <c r="F1778" s="77">
        <v>1005</v>
      </c>
      <c r="G1778" s="76"/>
      <c r="H1778" s="76"/>
      <c r="I1778" s="77" t="s">
        <v>12</v>
      </c>
      <c r="J1778" s="14"/>
      <c r="K1778" s="14">
        <v>6.97</v>
      </c>
    </row>
    <row r="1779" spans="1:11">
      <c r="A1779" s="12"/>
      <c r="B1779" s="87"/>
      <c r="C1779" s="87"/>
      <c r="D1779" s="87"/>
      <c r="E1779" s="87"/>
      <c r="F1779" s="87"/>
      <c r="G1779" s="87"/>
      <c r="H1779" s="87"/>
      <c r="I1779" s="12"/>
      <c r="J1779" s="92"/>
      <c r="K1779" s="92"/>
    </row>
    <row r="1835" spans="1:11">
      <c r="A1835" s="12"/>
      <c r="D1835" s="87"/>
      <c r="E1835" s="87"/>
      <c r="F1835" s="87"/>
      <c r="G1835" s="87"/>
      <c r="H1835" s="87"/>
      <c r="I1835" s="12"/>
      <c r="J1835" s="92"/>
      <c r="K1835" s="92"/>
    </row>
    <row r="1836" spans="1:11">
      <c r="A1836" s="12" t="s">
        <v>37</v>
      </c>
      <c r="B1836" s="84">
        <f t="shared" ref="B1836:B1841" si="0">4.16 * 60</f>
        <v>249.60000000000002</v>
      </c>
      <c r="C1836" s="84">
        <v>1.55</v>
      </c>
      <c r="D1836" s="87"/>
      <c r="E1836" s="12">
        <v>1E-3</v>
      </c>
      <c r="F1836" s="12">
        <v>1000</v>
      </c>
      <c r="G1836" s="87"/>
      <c r="H1836" s="87"/>
      <c r="I1836" s="12" t="s">
        <v>12</v>
      </c>
      <c r="J1836" s="92"/>
      <c r="K1836" s="92">
        <v>6.2292989510068901</v>
      </c>
    </row>
    <row r="1837" spans="1:11">
      <c r="A1837" s="12" t="s">
        <v>37</v>
      </c>
      <c r="B1837" s="84">
        <f t="shared" si="0"/>
        <v>249.60000000000002</v>
      </c>
      <c r="C1837" s="84">
        <v>1.55</v>
      </c>
      <c r="D1837" s="87"/>
      <c r="E1837" s="12">
        <v>1E-3</v>
      </c>
      <c r="F1837" s="12">
        <v>1000</v>
      </c>
      <c r="G1837" s="87"/>
      <c r="H1837" s="87"/>
      <c r="I1837" s="12" t="s">
        <v>12</v>
      </c>
      <c r="J1837" s="92"/>
      <c r="K1837" s="92">
        <v>6.3439488820872203</v>
      </c>
    </row>
    <row r="1838" spans="1:11">
      <c r="A1838" s="12" t="s">
        <v>37</v>
      </c>
      <c r="B1838" s="84">
        <f t="shared" si="0"/>
        <v>249.60000000000002</v>
      </c>
      <c r="C1838" s="84">
        <v>1.55</v>
      </c>
      <c r="D1838" s="87"/>
      <c r="E1838" s="12">
        <v>1E-3</v>
      </c>
      <c r="F1838" s="12">
        <v>1000</v>
      </c>
      <c r="G1838" s="87"/>
      <c r="H1838" s="87"/>
      <c r="I1838" s="12" t="s">
        <v>12</v>
      </c>
      <c r="J1838" s="92"/>
      <c r="K1838" s="92">
        <v>6.2675158376746696</v>
      </c>
    </row>
    <row r="1839" spans="1:11">
      <c r="A1839" s="12" t="s">
        <v>37</v>
      </c>
      <c r="B1839" s="84">
        <f t="shared" si="0"/>
        <v>249.60000000000002</v>
      </c>
      <c r="C1839" s="84">
        <v>1.55</v>
      </c>
      <c r="D1839" s="87"/>
      <c r="E1839" s="12">
        <v>1E-3</v>
      </c>
      <c r="F1839" s="12">
        <v>1000</v>
      </c>
      <c r="G1839" s="87"/>
      <c r="H1839" s="87"/>
      <c r="I1839" s="12" t="s">
        <v>12</v>
      </c>
      <c r="J1839" s="92"/>
      <c r="K1839" s="92">
        <v>6.3057323598809498</v>
      </c>
    </row>
    <row r="1840" spans="1:11">
      <c r="A1840" s="12" t="s">
        <v>37</v>
      </c>
      <c r="B1840" s="84">
        <f t="shared" si="0"/>
        <v>249.60000000000002</v>
      </c>
      <c r="C1840" s="84">
        <v>1.55</v>
      </c>
      <c r="D1840" s="87"/>
      <c r="E1840" s="12">
        <v>1E-3</v>
      </c>
      <c r="F1840" s="12">
        <v>1000</v>
      </c>
      <c r="G1840" s="87"/>
      <c r="H1840" s="87"/>
      <c r="I1840" s="12" t="s">
        <v>12</v>
      </c>
      <c r="J1840" s="92"/>
      <c r="K1840" s="88">
        <v>6.3057323598809498</v>
      </c>
    </row>
    <row r="1841" spans="1:11">
      <c r="A1841" s="12" t="s">
        <v>37</v>
      </c>
      <c r="B1841" s="84">
        <f t="shared" si="0"/>
        <v>249.60000000000002</v>
      </c>
      <c r="C1841" s="84">
        <v>1.55</v>
      </c>
      <c r="D1841" s="87"/>
      <c r="E1841" s="12">
        <v>1E-3</v>
      </c>
      <c r="F1841" s="12">
        <v>1000</v>
      </c>
      <c r="G1841" s="87"/>
      <c r="H1841" s="87"/>
      <c r="I1841" s="12" t="s">
        <v>12</v>
      </c>
      <c r="J1841" s="88"/>
      <c r="K1841" s="92">
        <v>6.3821655865242501</v>
      </c>
    </row>
    <row r="1842" spans="1:11">
      <c r="A1842" s="12" t="s">
        <v>37</v>
      </c>
      <c r="B1842" s="86">
        <v>36.803445388204324</v>
      </c>
      <c r="C1842" s="84">
        <v>1.55</v>
      </c>
      <c r="D1842" s="203"/>
      <c r="E1842" s="12">
        <v>1E-3</v>
      </c>
      <c r="F1842" s="12">
        <v>1000</v>
      </c>
      <c r="G1842" s="87"/>
      <c r="H1842" s="87"/>
      <c r="I1842" s="12" t="s">
        <v>12</v>
      </c>
      <c r="J1842" s="92"/>
      <c r="K1842" s="203">
        <v>4.6319568954296599</v>
      </c>
    </row>
    <row r="1843" spans="1:11">
      <c r="A1843" s="12" t="s">
        <v>37</v>
      </c>
      <c r="B1843" s="86">
        <v>44.060472257842505</v>
      </c>
      <c r="C1843" s="84">
        <v>1.55</v>
      </c>
      <c r="D1843" s="203"/>
      <c r="E1843" s="12">
        <v>1E-3</v>
      </c>
      <c r="F1843" s="12">
        <v>1000</v>
      </c>
      <c r="G1843" s="87"/>
      <c r="H1843" s="87"/>
      <c r="I1843" s="12" t="s">
        <v>12</v>
      </c>
      <c r="J1843" s="92"/>
      <c r="K1843" s="203">
        <v>4.5780977557561702</v>
      </c>
    </row>
    <row r="1844" spans="1:11">
      <c r="A1844" s="12" t="s">
        <v>37</v>
      </c>
      <c r="B1844" s="86">
        <v>49.244057229353402</v>
      </c>
      <c r="C1844" s="84">
        <v>1.55</v>
      </c>
      <c r="D1844" s="203"/>
      <c r="E1844" s="12">
        <v>1E-3</v>
      </c>
      <c r="F1844" s="12">
        <v>1000</v>
      </c>
      <c r="G1844" s="87"/>
      <c r="H1844" s="87"/>
      <c r="I1844" s="12" t="s">
        <v>12</v>
      </c>
      <c r="J1844" s="92"/>
      <c r="K1844" s="203">
        <v>4.7127476595343802</v>
      </c>
    </row>
    <row r="1845" spans="1:11">
      <c r="A1845" s="12" t="s">
        <v>37</v>
      </c>
      <c r="B1845" s="86">
        <v>57.019435304551259</v>
      </c>
      <c r="C1845" s="84">
        <v>1.55</v>
      </c>
      <c r="D1845" s="203"/>
      <c r="E1845" s="12">
        <v>1E-3</v>
      </c>
      <c r="F1845" s="12">
        <v>1000</v>
      </c>
      <c r="G1845" s="87"/>
      <c r="H1845" s="87"/>
      <c r="I1845" s="12" t="s">
        <v>12</v>
      </c>
      <c r="J1845" s="92"/>
      <c r="K1845" s="203">
        <v>4.6806277733635397</v>
      </c>
    </row>
    <row r="1846" spans="1:11">
      <c r="A1846" s="12" t="s">
        <v>37</v>
      </c>
      <c r="B1846" s="86">
        <v>63.239741225125194</v>
      </c>
      <c r="C1846" s="84">
        <v>1.55</v>
      </c>
      <c r="D1846" s="203"/>
      <c r="E1846" s="12">
        <v>1E-3</v>
      </c>
      <c r="F1846" s="12">
        <v>1000</v>
      </c>
      <c r="G1846" s="87"/>
      <c r="H1846" s="87"/>
      <c r="I1846" s="12" t="s">
        <v>12</v>
      </c>
      <c r="J1846" s="92"/>
      <c r="K1846" s="203">
        <v>4.8063011425992501</v>
      </c>
    </row>
    <row r="1847" spans="1:11">
      <c r="A1847" s="12" t="s">
        <v>37</v>
      </c>
      <c r="B1847" s="86">
        <v>69.114480087281407</v>
      </c>
      <c r="C1847" s="84">
        <v>1.55</v>
      </c>
      <c r="D1847" s="203"/>
      <c r="E1847" s="12">
        <v>1E-3</v>
      </c>
      <c r="F1847" s="12">
        <v>1000</v>
      </c>
      <c r="G1847" s="87"/>
      <c r="H1847" s="87"/>
      <c r="I1847" s="12" t="s">
        <v>12</v>
      </c>
      <c r="J1847" s="92"/>
      <c r="K1847" s="203">
        <v>4.8601613047427197</v>
      </c>
    </row>
    <row r="1848" spans="1:11">
      <c r="A1848" s="12" t="s">
        <v>37</v>
      </c>
      <c r="B1848" s="86">
        <v>75.33478600785601</v>
      </c>
      <c r="C1848" s="84">
        <v>1.55</v>
      </c>
      <c r="D1848" s="203"/>
      <c r="E1848" s="12">
        <v>1E-3</v>
      </c>
      <c r="F1848" s="12">
        <v>1000</v>
      </c>
      <c r="G1848" s="87"/>
      <c r="H1848" s="87"/>
      <c r="I1848" s="12" t="s">
        <v>12</v>
      </c>
      <c r="J1848" s="92"/>
      <c r="K1848" s="203">
        <v>4.8601613047427197</v>
      </c>
    </row>
    <row r="1849" spans="1:11">
      <c r="A1849" s="12" t="s">
        <v>37</v>
      </c>
      <c r="B1849" s="86">
        <v>81.555091928430599</v>
      </c>
      <c r="C1849" s="84">
        <v>1.55</v>
      </c>
      <c r="D1849" s="203"/>
      <c r="E1849" s="12">
        <v>1E-3</v>
      </c>
      <c r="F1849" s="12">
        <v>1000</v>
      </c>
      <c r="G1849" s="87"/>
      <c r="H1849" s="87"/>
      <c r="I1849" s="12" t="s">
        <v>12</v>
      </c>
      <c r="J1849" s="92"/>
      <c r="K1849" s="203">
        <v>4.8781138360429201</v>
      </c>
    </row>
    <row r="1850" spans="1:11">
      <c r="A1850" s="12" t="s">
        <v>37</v>
      </c>
      <c r="B1850" s="86">
        <v>87.775378075197608</v>
      </c>
      <c r="C1850" s="84">
        <v>1.55</v>
      </c>
      <c r="D1850" s="203"/>
      <c r="E1850" s="12">
        <v>1E-3</v>
      </c>
      <c r="F1850" s="12">
        <v>1000</v>
      </c>
      <c r="G1850" s="87"/>
      <c r="H1850" s="87"/>
      <c r="I1850" s="12" t="s">
        <v>12</v>
      </c>
      <c r="J1850" s="92"/>
      <c r="K1850" s="203">
        <v>4.8601613047427197</v>
      </c>
    </row>
    <row r="1851" spans="1:11">
      <c r="A1851" s="12" t="s">
        <v>37</v>
      </c>
      <c r="B1851" s="86">
        <v>94.341251054190607</v>
      </c>
      <c r="C1851" s="84">
        <v>1.55</v>
      </c>
      <c r="D1851" s="203"/>
      <c r="E1851" s="12">
        <v>1E-3</v>
      </c>
      <c r="F1851" s="12">
        <v>1000</v>
      </c>
      <c r="G1851" s="87"/>
      <c r="H1851" s="87"/>
      <c r="I1851" s="12" t="s">
        <v>12</v>
      </c>
      <c r="J1851" s="92"/>
      <c r="K1851" s="203">
        <v>4.9499275567837397</v>
      </c>
    </row>
    <row r="1852" spans="1:11">
      <c r="A1852" s="12" t="s">
        <v>37</v>
      </c>
      <c r="B1852" s="86">
        <v>99.870422857927792</v>
      </c>
      <c r="C1852" s="84">
        <v>1.55</v>
      </c>
      <c r="D1852" s="203"/>
      <c r="E1852" s="12">
        <v>1E-3</v>
      </c>
      <c r="F1852" s="12">
        <v>1000</v>
      </c>
      <c r="G1852" s="87"/>
      <c r="H1852" s="87"/>
      <c r="I1852" s="12" t="s">
        <v>12</v>
      </c>
      <c r="J1852" s="92"/>
      <c r="K1852" s="203">
        <v>5.0217412775245602</v>
      </c>
    </row>
    <row r="1853" spans="1:11">
      <c r="A1853" s="12" t="s">
        <v>37</v>
      </c>
      <c r="B1853" s="86">
        <v>105.3995748878574</v>
      </c>
      <c r="C1853" s="84">
        <v>1.55</v>
      </c>
      <c r="D1853" s="203"/>
      <c r="E1853" s="12">
        <v>1E-3</v>
      </c>
      <c r="F1853" s="12">
        <v>1000</v>
      </c>
      <c r="G1853" s="87"/>
      <c r="H1853" s="87"/>
      <c r="I1853" s="12" t="s">
        <v>12</v>
      </c>
      <c r="J1853" s="92"/>
      <c r="K1853" s="203">
        <v>5.1294610881629303</v>
      </c>
    </row>
    <row r="1854" spans="1:11">
      <c r="A1854" s="12" t="s">
        <v>37</v>
      </c>
      <c r="B1854" s="86">
        <v>111.9654280930434</v>
      </c>
      <c r="C1854" s="84">
        <v>1.55</v>
      </c>
      <c r="D1854" s="203"/>
      <c r="E1854" s="12">
        <v>1E-3</v>
      </c>
      <c r="F1854" s="12">
        <v>1000</v>
      </c>
      <c r="G1854" s="87"/>
      <c r="H1854" s="87"/>
      <c r="I1854" s="12" t="s">
        <v>12</v>
      </c>
      <c r="J1854" s="92"/>
      <c r="K1854" s="203">
        <v>5.2371803851527199</v>
      </c>
    </row>
    <row r="1855" spans="1:11">
      <c r="A1855" s="12" t="s">
        <v>37</v>
      </c>
      <c r="B1855" s="86">
        <v>118.18575378742561</v>
      </c>
      <c r="C1855" s="84">
        <v>1.55</v>
      </c>
      <c r="D1855" s="203"/>
      <c r="E1855" s="12">
        <v>1E-3</v>
      </c>
      <c r="F1855" s="12">
        <v>1000</v>
      </c>
      <c r="G1855" s="87"/>
      <c r="H1855" s="87"/>
      <c r="I1855" s="12" t="s">
        <v>12</v>
      </c>
      <c r="J1855" s="92"/>
      <c r="K1855" s="203">
        <v>5.2730875023474102</v>
      </c>
    </row>
    <row r="1856" spans="1:11">
      <c r="A1856" s="12" t="s">
        <v>37</v>
      </c>
      <c r="B1856" s="86">
        <v>124.751606992611</v>
      </c>
      <c r="C1856" s="84">
        <v>1.55</v>
      </c>
      <c r="D1856" s="203"/>
      <c r="E1856" s="12">
        <v>1E-3</v>
      </c>
      <c r="F1856" s="12">
        <v>1000</v>
      </c>
      <c r="G1856" s="87"/>
      <c r="H1856" s="87"/>
      <c r="I1856" s="12" t="s">
        <v>12</v>
      </c>
      <c r="J1856" s="92"/>
      <c r="K1856" s="203">
        <v>5.3089941058935404</v>
      </c>
    </row>
    <row r="1857" spans="1:11">
      <c r="A1857" s="12" t="s">
        <v>37</v>
      </c>
      <c r="B1857" s="86">
        <v>130.9719326869932</v>
      </c>
      <c r="C1857" s="84">
        <v>1.55</v>
      </c>
      <c r="D1857" s="203"/>
      <c r="E1857" s="12">
        <v>1E-3</v>
      </c>
      <c r="F1857" s="12">
        <v>1000</v>
      </c>
      <c r="G1857" s="87"/>
      <c r="H1857" s="87"/>
      <c r="I1857" s="12" t="s">
        <v>12</v>
      </c>
      <c r="J1857" s="92"/>
      <c r="K1857" s="203">
        <v>5.3628542680370099</v>
      </c>
    </row>
    <row r="1858" spans="1:11">
      <c r="A1858" s="12" t="s">
        <v>37</v>
      </c>
      <c r="B1858" s="86">
        <v>137.53778589217919</v>
      </c>
      <c r="C1858" s="84">
        <v>1.55</v>
      </c>
      <c r="D1858" s="203"/>
      <c r="E1858" s="12">
        <v>1E-3</v>
      </c>
      <c r="F1858" s="12">
        <v>1000</v>
      </c>
      <c r="G1858" s="87"/>
      <c r="H1858" s="87"/>
      <c r="I1858" s="12" t="s">
        <v>12</v>
      </c>
      <c r="J1858" s="92"/>
      <c r="K1858" s="203">
        <v>5.3808073129857803</v>
      </c>
    </row>
    <row r="1859" spans="1:11">
      <c r="A1859" s="12" t="s">
        <v>37</v>
      </c>
      <c r="B1859" s="86">
        <v>143.7581115865608</v>
      </c>
      <c r="C1859" s="84">
        <v>1.55</v>
      </c>
      <c r="D1859" s="203"/>
      <c r="E1859" s="12">
        <v>1E-3</v>
      </c>
      <c r="F1859" s="12">
        <v>1000</v>
      </c>
      <c r="G1859" s="87"/>
      <c r="H1859" s="87"/>
      <c r="I1859" s="12" t="s">
        <v>12</v>
      </c>
      <c r="J1859" s="92"/>
      <c r="K1859" s="203">
        <v>5.4346674751292499</v>
      </c>
    </row>
    <row r="1860" spans="1:11">
      <c r="A1860" s="12" t="s">
        <v>37</v>
      </c>
      <c r="B1860" s="86">
        <v>149.97839773332839</v>
      </c>
      <c r="C1860" s="84">
        <v>1.55</v>
      </c>
      <c r="D1860" s="203"/>
      <c r="E1860" s="12">
        <v>1E-3</v>
      </c>
      <c r="F1860" s="12">
        <v>1000</v>
      </c>
      <c r="G1860" s="87"/>
      <c r="H1860" s="87"/>
      <c r="I1860" s="12" t="s">
        <v>12</v>
      </c>
      <c r="J1860" s="92"/>
      <c r="K1860" s="203">
        <v>5.5064801685729199</v>
      </c>
    </row>
    <row r="1861" spans="1:11">
      <c r="A1861" s="12" t="s">
        <v>37</v>
      </c>
      <c r="B1861" s="86">
        <v>155.507549763258</v>
      </c>
      <c r="C1861" s="84">
        <v>1.55</v>
      </c>
      <c r="D1861" s="203"/>
      <c r="E1861" s="12">
        <v>1E-3</v>
      </c>
      <c r="F1861" s="12">
        <v>1000</v>
      </c>
      <c r="G1861" s="87"/>
      <c r="H1861" s="87"/>
      <c r="I1861" s="12" t="s">
        <v>12</v>
      </c>
      <c r="J1861" s="92"/>
      <c r="K1861" s="203">
        <v>5.5962469342625196</v>
      </c>
    </row>
    <row r="1862" spans="1:11">
      <c r="A1862" s="12" t="s">
        <v>37</v>
      </c>
      <c r="B1862" s="86">
        <v>162.419009574477</v>
      </c>
      <c r="C1862" s="84">
        <v>1.55</v>
      </c>
      <c r="D1862" s="203"/>
      <c r="E1862" s="12">
        <v>1E-3</v>
      </c>
      <c r="F1862" s="12">
        <v>1000</v>
      </c>
      <c r="G1862" s="87"/>
      <c r="H1862" s="87"/>
      <c r="I1862" s="12" t="s">
        <v>12</v>
      </c>
      <c r="J1862" s="92"/>
      <c r="K1862" s="203">
        <v>5.6501070964059901</v>
      </c>
    </row>
    <row r="1863" spans="1:11">
      <c r="A1863" s="12" t="s">
        <v>37</v>
      </c>
      <c r="B1863" s="86">
        <v>168.2937286628256</v>
      </c>
      <c r="C1863" s="84">
        <v>1.55</v>
      </c>
      <c r="D1863" s="203"/>
      <c r="E1863" s="12">
        <v>1E-3</v>
      </c>
      <c r="F1863" s="12">
        <v>1000</v>
      </c>
      <c r="G1863" s="87"/>
      <c r="H1863" s="87"/>
      <c r="I1863" s="12" t="s">
        <v>12</v>
      </c>
      <c r="J1863" s="92"/>
      <c r="K1863" s="203">
        <v>5.6860131863035397</v>
      </c>
    </row>
    <row r="1864" spans="1:11">
      <c r="A1864" s="12" t="s">
        <v>37</v>
      </c>
      <c r="B1864" s="86">
        <v>174.85962141562621</v>
      </c>
      <c r="C1864" s="84">
        <v>1.55</v>
      </c>
      <c r="D1864" s="203"/>
      <c r="E1864" s="12">
        <v>1E-3</v>
      </c>
      <c r="F1864" s="12">
        <v>1000</v>
      </c>
      <c r="G1864" s="87"/>
      <c r="H1864" s="87"/>
      <c r="I1864" s="12" t="s">
        <v>12</v>
      </c>
      <c r="J1864" s="92"/>
      <c r="K1864" s="203">
        <v>5.6680606550033303</v>
      </c>
    </row>
    <row r="1865" spans="1:11">
      <c r="A1865" s="12" t="s">
        <v>37</v>
      </c>
      <c r="B1865" s="86">
        <v>181.0799075623932</v>
      </c>
      <c r="C1865" s="84">
        <v>1.55</v>
      </c>
      <c r="D1865" s="203"/>
      <c r="E1865" s="12">
        <v>1E-3</v>
      </c>
      <c r="F1865" s="12">
        <v>1000</v>
      </c>
      <c r="G1865" s="87"/>
      <c r="H1865" s="87"/>
      <c r="I1865" s="12" t="s">
        <v>12</v>
      </c>
      <c r="J1865" s="92"/>
      <c r="K1865" s="203">
        <v>5.7757799519931297</v>
      </c>
    </row>
    <row r="1866" spans="1:11">
      <c r="A1866" s="12" t="s">
        <v>37</v>
      </c>
      <c r="B1866" s="86">
        <v>187.30023325677541</v>
      </c>
      <c r="C1866" s="84">
        <v>1.55</v>
      </c>
      <c r="D1866" s="203"/>
      <c r="E1866" s="12">
        <v>1E-3</v>
      </c>
      <c r="F1866" s="12">
        <v>1000</v>
      </c>
      <c r="G1866" s="87"/>
      <c r="H1866" s="87"/>
      <c r="I1866" s="12" t="s">
        <v>12</v>
      </c>
      <c r="J1866" s="92"/>
      <c r="K1866" s="203">
        <v>5.7757799519931297</v>
      </c>
    </row>
    <row r="1867" spans="1:11">
      <c r="A1867" s="12" t="s">
        <v>37</v>
      </c>
      <c r="B1867" s="86">
        <v>193.17495234512398</v>
      </c>
      <c r="C1867" s="84">
        <v>1.55</v>
      </c>
      <c r="D1867" s="203"/>
      <c r="E1867" s="12">
        <v>1E-3</v>
      </c>
      <c r="F1867" s="12">
        <v>1000</v>
      </c>
      <c r="G1867" s="87"/>
      <c r="H1867" s="87"/>
      <c r="I1867" s="12" t="s">
        <v>12</v>
      </c>
      <c r="J1867" s="92"/>
      <c r="K1867" s="203">
        <v>5.8655467176827196</v>
      </c>
    </row>
    <row r="1868" spans="1:11">
      <c r="A1868" s="12" t="s">
        <v>37</v>
      </c>
      <c r="B1868" s="86">
        <v>199.04967143347201</v>
      </c>
      <c r="C1868" s="84">
        <v>1.55</v>
      </c>
      <c r="D1868" s="203"/>
      <c r="E1868" s="12">
        <v>1E-3</v>
      </c>
      <c r="F1868" s="12">
        <v>1000</v>
      </c>
      <c r="G1868" s="87"/>
      <c r="H1868" s="87"/>
      <c r="I1868" s="12" t="s">
        <v>12</v>
      </c>
      <c r="J1868" s="92"/>
      <c r="K1868" s="203">
        <v>5.7937340242390496</v>
      </c>
    </row>
    <row r="1869" spans="1:11">
      <c r="A1869" s="12" t="s">
        <v>37</v>
      </c>
      <c r="B1869" s="86">
        <v>205.2699971278542</v>
      </c>
      <c r="C1869" s="84">
        <v>1.55</v>
      </c>
      <c r="D1869" s="203"/>
      <c r="E1869" s="12">
        <v>1E-3</v>
      </c>
      <c r="F1869" s="12">
        <v>1000</v>
      </c>
      <c r="G1869" s="87"/>
      <c r="H1869" s="87"/>
      <c r="I1869" s="12" t="s">
        <v>12</v>
      </c>
      <c r="J1869" s="92"/>
      <c r="K1869" s="203">
        <v>6.0091731318672101</v>
      </c>
    </row>
    <row r="1870" spans="1:11">
      <c r="A1870" s="12" t="s">
        <v>37</v>
      </c>
      <c r="B1870" s="86">
        <v>24.694537832287981</v>
      </c>
      <c r="C1870" s="84">
        <v>0.79</v>
      </c>
      <c r="D1870" s="203"/>
      <c r="E1870" s="12">
        <v>1E-3</v>
      </c>
      <c r="F1870" s="12">
        <v>1000</v>
      </c>
      <c r="G1870" s="87"/>
      <c r="H1870" s="87"/>
      <c r="I1870" s="12" t="s">
        <v>12</v>
      </c>
      <c r="J1870" s="92"/>
      <c r="K1870" s="203">
        <v>3.4137929314618201</v>
      </c>
    </row>
    <row r="1871" spans="1:11">
      <c r="A1871" s="12" t="s">
        <v>37</v>
      </c>
      <c r="B1871" s="86">
        <v>37.427638203343918</v>
      </c>
      <c r="C1871" s="84">
        <v>0.79</v>
      </c>
      <c r="D1871" s="87"/>
      <c r="E1871" s="12">
        <v>1E-3</v>
      </c>
      <c r="F1871" s="12">
        <v>1000</v>
      </c>
      <c r="G1871" s="87"/>
      <c r="H1871" s="87"/>
      <c r="I1871" s="12" t="s">
        <v>12</v>
      </c>
      <c r="J1871" s="92"/>
      <c r="K1871" s="203">
        <v>3.6379309520332002</v>
      </c>
    </row>
    <row r="1872" spans="1:11">
      <c r="A1872" s="12" t="s">
        <v>37</v>
      </c>
      <c r="B1872" s="86">
        <v>49.774921838575978</v>
      </c>
      <c r="C1872" s="84">
        <v>0.79</v>
      </c>
      <c r="D1872" s="87"/>
      <c r="E1872" s="12">
        <v>1E-3</v>
      </c>
      <c r="F1872" s="12">
        <v>1000</v>
      </c>
      <c r="G1872" s="87"/>
      <c r="H1872" s="87"/>
      <c r="I1872" s="12" t="s">
        <v>12</v>
      </c>
      <c r="J1872" s="92"/>
      <c r="K1872" s="203">
        <v>3.8160917853439602</v>
      </c>
    </row>
    <row r="1873" spans="1:11">
      <c r="A1873" s="12" t="s">
        <v>37</v>
      </c>
      <c r="B1873" s="86">
        <v>18.52091300551788</v>
      </c>
      <c r="C1873" s="84">
        <v>0.97</v>
      </c>
      <c r="D1873" s="87"/>
      <c r="E1873" s="12">
        <v>1E-3</v>
      </c>
      <c r="F1873" s="12">
        <v>1000</v>
      </c>
      <c r="G1873" s="87"/>
      <c r="H1873" s="87"/>
      <c r="I1873" s="12" t="s">
        <v>12</v>
      </c>
      <c r="J1873" s="92"/>
      <c r="K1873" s="84">
        <v>3.8665709571681801</v>
      </c>
    </row>
    <row r="1874" spans="1:11">
      <c r="A1874" s="12" t="s">
        <v>37</v>
      </c>
      <c r="B1874" s="86">
        <v>24.69454086129732</v>
      </c>
      <c r="C1874" s="84">
        <v>0.97</v>
      </c>
      <c r="D1874" s="87"/>
      <c r="E1874" s="12">
        <v>1E-3</v>
      </c>
      <c r="F1874" s="12">
        <v>1000</v>
      </c>
      <c r="G1874" s="87"/>
      <c r="H1874" s="87"/>
      <c r="I1874" s="12" t="s">
        <v>12</v>
      </c>
      <c r="J1874" s="92"/>
      <c r="K1874" s="84">
        <v>3.8837873377359702</v>
      </c>
    </row>
    <row r="1875" spans="1:11">
      <c r="A1875" s="12" t="s">
        <v>37</v>
      </c>
      <c r="B1875" s="86">
        <v>30.86816871707676</v>
      </c>
      <c r="C1875" s="84">
        <v>0.97</v>
      </c>
      <c r="D1875" s="87"/>
      <c r="E1875" s="12">
        <v>1E-3</v>
      </c>
      <c r="F1875" s="12">
        <v>1000</v>
      </c>
      <c r="G1875" s="87"/>
      <c r="H1875" s="87"/>
      <c r="I1875" s="12" t="s">
        <v>12</v>
      </c>
      <c r="J1875" s="92"/>
      <c r="K1875" s="84">
        <v>3.9469153800101502</v>
      </c>
    </row>
    <row r="1876" spans="1:11">
      <c r="A1876" s="12" t="s">
        <v>37</v>
      </c>
      <c r="B1876" s="86">
        <v>37.041796572856143</v>
      </c>
      <c r="C1876" s="84">
        <v>0.97</v>
      </c>
      <c r="D1876" s="87"/>
      <c r="E1876" s="12">
        <v>1E-3</v>
      </c>
      <c r="F1876" s="12">
        <v>1000</v>
      </c>
      <c r="G1876" s="87"/>
      <c r="H1876" s="87"/>
      <c r="I1876" s="12" t="s">
        <v>12</v>
      </c>
      <c r="J1876" s="92"/>
      <c r="K1876" s="84">
        <v>3.9870873725101901</v>
      </c>
    </row>
    <row r="1877" spans="1:11">
      <c r="A1877" s="12" t="s">
        <v>37</v>
      </c>
      <c r="B1877" s="86">
        <v>43.98714630947034</v>
      </c>
      <c r="C1877" s="84">
        <v>0.97</v>
      </c>
      <c r="D1877" s="87"/>
      <c r="E1877" s="12">
        <v>1E-3</v>
      </c>
      <c r="F1877" s="12">
        <v>1000</v>
      </c>
      <c r="G1877" s="87"/>
      <c r="H1877" s="87"/>
      <c r="I1877" s="12" t="s">
        <v>12</v>
      </c>
      <c r="J1877" s="92"/>
      <c r="K1877" s="84">
        <v>4.0903871883634704</v>
      </c>
    </row>
    <row r="1878" spans="1:11">
      <c r="A1878" s="12" t="s">
        <v>37</v>
      </c>
      <c r="B1878" s="86">
        <v>49.389081722594703</v>
      </c>
      <c r="C1878" s="84">
        <v>0.97</v>
      </c>
      <c r="D1878" s="87"/>
      <c r="E1878" s="12">
        <v>1E-3</v>
      </c>
      <c r="F1878" s="12">
        <v>1000</v>
      </c>
      <c r="G1878" s="87"/>
      <c r="H1878" s="87"/>
      <c r="I1878" s="12" t="s">
        <v>12</v>
      </c>
      <c r="J1878" s="92"/>
      <c r="K1878" s="84">
        <v>4.14777599927318</v>
      </c>
    </row>
    <row r="1879" spans="1:11">
      <c r="A1879" s="12" t="s">
        <v>37</v>
      </c>
      <c r="B1879" s="86">
        <v>56.334402021029156</v>
      </c>
      <c r="C1879" s="84">
        <v>0.97</v>
      </c>
      <c r="D1879" s="87"/>
      <c r="E1879" s="12">
        <v>1E-3</v>
      </c>
      <c r="F1879" s="12">
        <v>1000</v>
      </c>
      <c r="G1879" s="87"/>
      <c r="H1879" s="87"/>
      <c r="I1879" s="12" t="s">
        <v>12</v>
      </c>
      <c r="J1879" s="92"/>
      <c r="K1879" s="84">
        <v>4.22238162859255</v>
      </c>
    </row>
    <row r="1880" spans="1:11">
      <c r="A1880" s="12" t="s">
        <v>37</v>
      </c>
      <c r="B1880" s="86">
        <v>61.736337434153398</v>
      </c>
      <c r="C1880" s="84">
        <v>0.97</v>
      </c>
      <c r="D1880" s="87"/>
      <c r="E1880" s="12">
        <v>1E-3</v>
      </c>
      <c r="F1880" s="12">
        <v>1000</v>
      </c>
      <c r="G1880" s="87"/>
      <c r="H1880" s="87"/>
      <c r="I1880" s="12" t="s">
        <v>12</v>
      </c>
      <c r="J1880" s="92"/>
      <c r="K1880" s="84">
        <v>4.2740314270587199</v>
      </c>
    </row>
    <row r="1881" spans="1:11">
      <c r="A1881" s="12" t="s">
        <v>37</v>
      </c>
      <c r="B1881" s="86">
        <v>68.681687170767603</v>
      </c>
      <c r="C1881" s="84">
        <v>0.97</v>
      </c>
      <c r="D1881" s="87"/>
      <c r="E1881" s="12">
        <v>1E-3</v>
      </c>
      <c r="F1881" s="12">
        <v>1000</v>
      </c>
      <c r="G1881" s="87"/>
      <c r="H1881" s="87"/>
      <c r="I1881" s="12" t="s">
        <v>12</v>
      </c>
      <c r="J1881" s="92"/>
      <c r="K1881" s="84">
        <v>4.3486368374571498</v>
      </c>
    </row>
    <row r="1882" spans="1:11">
      <c r="A1882" s="12" t="s">
        <v>37</v>
      </c>
      <c r="B1882" s="86">
        <v>74.469468805219208</v>
      </c>
      <c r="C1882" s="84">
        <v>0.97</v>
      </c>
      <c r="D1882" s="87"/>
      <c r="E1882" s="12">
        <v>1E-3</v>
      </c>
      <c r="F1882" s="12">
        <v>1000</v>
      </c>
      <c r="G1882" s="87"/>
      <c r="H1882" s="87"/>
      <c r="I1882" s="12" t="s">
        <v>12</v>
      </c>
      <c r="J1882" s="92"/>
      <c r="K1882" s="84">
        <v>4.4060256483668603</v>
      </c>
    </row>
    <row r="1883" spans="1:11">
      <c r="A1883" s="12" t="s">
        <v>37</v>
      </c>
      <c r="B1883" s="86">
        <v>81.028942882326007</v>
      </c>
      <c r="C1883" s="84">
        <v>0.97</v>
      </c>
      <c r="D1883" s="87"/>
      <c r="E1883" s="12">
        <v>1E-3</v>
      </c>
      <c r="F1883" s="12">
        <v>1000</v>
      </c>
      <c r="G1883" s="87"/>
      <c r="H1883" s="87"/>
      <c r="I1883" s="12" t="s">
        <v>12</v>
      </c>
      <c r="J1883" s="92"/>
      <c r="K1883" s="84">
        <v>4.4863696333669401</v>
      </c>
    </row>
    <row r="1884" spans="1:11">
      <c r="A1884" s="12" t="s">
        <v>37</v>
      </c>
      <c r="B1884" s="86">
        <v>87.5884463976126</v>
      </c>
      <c r="C1884" s="84">
        <v>0.97</v>
      </c>
      <c r="D1884" s="87"/>
      <c r="E1884" s="12">
        <v>1E-3</v>
      </c>
      <c r="F1884" s="12">
        <v>1000</v>
      </c>
      <c r="G1884" s="87"/>
      <c r="H1884" s="87"/>
      <c r="I1884" s="12" t="s">
        <v>12</v>
      </c>
      <c r="J1884" s="92"/>
      <c r="K1884" s="84">
        <v>4.5552366880846602</v>
      </c>
    </row>
    <row r="1885" spans="1:11">
      <c r="A1885" s="12" t="s">
        <v>37</v>
      </c>
      <c r="B1885" s="86">
        <v>93.376228032064802</v>
      </c>
      <c r="C1885" s="84">
        <v>0.97</v>
      </c>
      <c r="D1885" s="87"/>
      <c r="E1885" s="12">
        <v>1E-3</v>
      </c>
      <c r="F1885" s="12">
        <v>1000</v>
      </c>
      <c r="G1885" s="87"/>
      <c r="H1885" s="87"/>
      <c r="I1885" s="12" t="s">
        <v>12</v>
      </c>
      <c r="J1885" s="92"/>
      <c r="K1885" s="84">
        <v>4.6068864865508301</v>
      </c>
    </row>
    <row r="1886" spans="1:11">
      <c r="A1886" s="12" t="s">
        <v>37</v>
      </c>
      <c r="B1886" s="86">
        <v>99.935702109171586</v>
      </c>
      <c r="C1886" s="84">
        <v>0.97</v>
      </c>
      <c r="D1886" s="87"/>
      <c r="E1886" s="12">
        <v>1E-3</v>
      </c>
      <c r="F1886" s="12">
        <v>1000</v>
      </c>
      <c r="G1886" s="87"/>
      <c r="H1886" s="87"/>
      <c r="I1886" s="12" t="s">
        <v>12</v>
      </c>
      <c r="J1886" s="92"/>
      <c r="K1886" s="84">
        <v>4.6642752974605299</v>
      </c>
    </row>
    <row r="1887" spans="1:11">
      <c r="A1887" s="12" t="s">
        <v>37</v>
      </c>
      <c r="B1887" s="86">
        <v>104.95179130096861</v>
      </c>
      <c r="C1887" s="84">
        <v>0.97</v>
      </c>
      <c r="D1887" s="87"/>
      <c r="E1887" s="12">
        <v>1E-3</v>
      </c>
      <c r="F1887" s="12">
        <v>1000</v>
      </c>
      <c r="G1887" s="87"/>
      <c r="H1887" s="87"/>
      <c r="I1887" s="12" t="s">
        <v>12</v>
      </c>
      <c r="J1887" s="92"/>
      <c r="K1887" s="84">
        <v>4.6470586979718096</v>
      </c>
    </row>
    <row r="1888" spans="1:11">
      <c r="A1888" s="12" t="s">
        <v>37</v>
      </c>
      <c r="B1888" s="86">
        <v>112.28295782073059</v>
      </c>
      <c r="C1888" s="84">
        <v>0.97</v>
      </c>
      <c r="D1888" s="87"/>
      <c r="E1888" s="12">
        <v>1E-3</v>
      </c>
      <c r="F1888" s="12">
        <v>1000</v>
      </c>
      <c r="G1888" s="87"/>
      <c r="H1888" s="87"/>
      <c r="I1888" s="12" t="s">
        <v>12</v>
      </c>
      <c r="J1888" s="92"/>
      <c r="K1888" s="84">
        <v>4.6757531034266604</v>
      </c>
    </row>
    <row r="1889" spans="1:11">
      <c r="A1889" s="12" t="s">
        <v>37</v>
      </c>
      <c r="B1889" s="86">
        <v>118.4566151146896</v>
      </c>
      <c r="C1889" s="84">
        <v>0.97</v>
      </c>
      <c r="D1889" s="87"/>
      <c r="E1889" s="12">
        <v>1E-3</v>
      </c>
      <c r="F1889" s="12">
        <v>1000</v>
      </c>
      <c r="G1889" s="87"/>
      <c r="H1889" s="87"/>
      <c r="I1889" s="12" t="s">
        <v>12</v>
      </c>
      <c r="J1889" s="92"/>
      <c r="K1889" s="84">
        <v>4.7847919317234799</v>
      </c>
    </row>
    <row r="1890" spans="1:11">
      <c r="A1890" s="12" t="s">
        <v>37</v>
      </c>
      <c r="B1890" s="86">
        <v>124.6302429704688</v>
      </c>
      <c r="C1890" s="84">
        <v>0.97</v>
      </c>
      <c r="D1890" s="87"/>
      <c r="E1890" s="12">
        <v>1E-3</v>
      </c>
      <c r="F1890" s="12">
        <v>1000</v>
      </c>
      <c r="G1890" s="87"/>
      <c r="H1890" s="87"/>
      <c r="I1890" s="12" t="s">
        <v>12</v>
      </c>
      <c r="J1890" s="92"/>
      <c r="K1890" s="84">
        <v>4.8364417301896498</v>
      </c>
    </row>
    <row r="1891" spans="1:11">
      <c r="A1891" s="12" t="s">
        <v>37</v>
      </c>
      <c r="B1891" s="86">
        <v>130.80387082624861</v>
      </c>
      <c r="C1891" s="84">
        <v>0.97</v>
      </c>
      <c r="D1891" s="87"/>
      <c r="E1891" s="12">
        <v>1E-3</v>
      </c>
      <c r="F1891" s="12">
        <v>1000</v>
      </c>
      <c r="G1891" s="87"/>
      <c r="H1891" s="87"/>
      <c r="I1891" s="12" t="s">
        <v>12</v>
      </c>
      <c r="J1891" s="92"/>
      <c r="K1891" s="84">
        <v>4.9110473595090198</v>
      </c>
    </row>
    <row r="1892" spans="1:11">
      <c r="A1892" s="12" t="s">
        <v>37</v>
      </c>
      <c r="B1892" s="86">
        <v>136.9774986820278</v>
      </c>
      <c r="C1892" s="84">
        <v>0.97</v>
      </c>
      <c r="D1892" s="87"/>
      <c r="E1892" s="12">
        <v>1E-3</v>
      </c>
      <c r="F1892" s="12">
        <v>1000</v>
      </c>
      <c r="G1892" s="87"/>
      <c r="H1892" s="87"/>
      <c r="I1892" s="12" t="s">
        <v>12</v>
      </c>
      <c r="J1892" s="92"/>
      <c r="K1892" s="84">
        <v>5.0086081629187698</v>
      </c>
    </row>
    <row r="1893" spans="1:11">
      <c r="A1893" s="12" t="s">
        <v>37</v>
      </c>
      <c r="B1893" s="86">
        <v>144.30869463996962</v>
      </c>
      <c r="C1893" s="84">
        <v>0.97</v>
      </c>
      <c r="D1893" s="87"/>
      <c r="E1893" s="12">
        <v>1E-3</v>
      </c>
      <c r="F1893" s="12">
        <v>1000</v>
      </c>
      <c r="G1893" s="87"/>
      <c r="H1893" s="87"/>
      <c r="I1893" s="12" t="s">
        <v>12</v>
      </c>
      <c r="J1893" s="92"/>
      <c r="K1893" s="84">
        <v>5.0946913792833302</v>
      </c>
    </row>
    <row r="1894" spans="1:11">
      <c r="A1894" s="12" t="s">
        <v>37</v>
      </c>
      <c r="B1894" s="86">
        <v>148.9389081722592</v>
      </c>
      <c r="C1894" s="84">
        <v>0.97</v>
      </c>
      <c r="D1894" s="87"/>
      <c r="E1894" s="12">
        <v>1E-3</v>
      </c>
      <c r="F1894" s="12">
        <v>1000</v>
      </c>
      <c r="G1894" s="87"/>
      <c r="H1894" s="87"/>
      <c r="I1894" s="12" t="s">
        <v>12</v>
      </c>
      <c r="J1894" s="92"/>
      <c r="K1894" s="203">
        <v>5.1635579961591596</v>
      </c>
    </row>
    <row r="1895" spans="1:11">
      <c r="A1895" s="12" t="s">
        <v>37</v>
      </c>
      <c r="B1895" s="86">
        <v>155.1125654662182</v>
      </c>
      <c r="C1895" s="84">
        <v>0.97</v>
      </c>
      <c r="D1895" s="87"/>
      <c r="E1895" s="12">
        <v>1E-3</v>
      </c>
      <c r="F1895" s="12">
        <v>1000</v>
      </c>
      <c r="G1895" s="87"/>
      <c r="H1895" s="87"/>
      <c r="I1895" s="12" t="s">
        <v>12</v>
      </c>
      <c r="J1895" s="92"/>
      <c r="K1895" s="203">
        <v>5.2152080135462802</v>
      </c>
    </row>
    <row r="1896" spans="1:11">
      <c r="A1896" s="12" t="s">
        <v>37</v>
      </c>
      <c r="B1896" s="86">
        <v>161.67203954332501</v>
      </c>
      <c r="C1896" s="84">
        <v>0.97</v>
      </c>
      <c r="D1896" s="87"/>
      <c r="E1896" s="12">
        <v>1E-3</v>
      </c>
      <c r="F1896" s="12">
        <v>1000</v>
      </c>
      <c r="G1896" s="87"/>
      <c r="H1896" s="87"/>
      <c r="I1896" s="12" t="s">
        <v>12</v>
      </c>
      <c r="J1896" s="92"/>
      <c r="K1896" s="203">
        <v>5.2840746304221096</v>
      </c>
    </row>
    <row r="1897" spans="1:11">
      <c r="A1897" s="12" t="s">
        <v>37</v>
      </c>
      <c r="B1897" s="86">
        <v>168.6173892799392</v>
      </c>
      <c r="C1897" s="84">
        <v>0.97</v>
      </c>
      <c r="D1897" s="87"/>
      <c r="E1897" s="12">
        <v>1E-3</v>
      </c>
      <c r="F1897" s="12">
        <v>1000</v>
      </c>
      <c r="G1897" s="87"/>
      <c r="H1897" s="87"/>
      <c r="I1897" s="12" t="s">
        <v>12</v>
      </c>
      <c r="J1897" s="92"/>
      <c r="K1897" s="203">
        <v>5.2840746304221096</v>
      </c>
    </row>
    <row r="1898" spans="1:11">
      <c r="A1898" s="12" t="s">
        <v>37</v>
      </c>
      <c r="B1898" s="86">
        <v>174.79101713571902</v>
      </c>
      <c r="C1898" s="84">
        <v>0.97</v>
      </c>
      <c r="D1898" s="87"/>
      <c r="E1898" s="12">
        <v>1E-3</v>
      </c>
      <c r="F1898" s="12">
        <v>1000</v>
      </c>
      <c r="G1898" s="87"/>
      <c r="H1898" s="87"/>
      <c r="I1898" s="12" t="s">
        <v>12</v>
      </c>
      <c r="J1898" s="92"/>
      <c r="K1898" s="203">
        <v>5.3127690358769604</v>
      </c>
    </row>
    <row r="1899" spans="1:11">
      <c r="A1899" s="12" t="s">
        <v>37</v>
      </c>
      <c r="B1899" s="86">
        <v>180.57879877017061</v>
      </c>
      <c r="C1899" s="84">
        <v>0.97</v>
      </c>
      <c r="D1899" s="87"/>
      <c r="E1899" s="12">
        <v>1E-3</v>
      </c>
      <c r="F1899" s="12">
        <v>1000</v>
      </c>
      <c r="G1899" s="87"/>
      <c r="H1899" s="87"/>
      <c r="I1899" s="12" t="s">
        <v>12</v>
      </c>
      <c r="J1899" s="92"/>
      <c r="K1899" s="203">
        <v>5.4103298392867103</v>
      </c>
    </row>
    <row r="1900" spans="1:11">
      <c r="A1900" s="12" t="s">
        <v>37</v>
      </c>
      <c r="B1900" s="86">
        <v>186.75242662594979</v>
      </c>
      <c r="C1900" s="84">
        <v>0.97</v>
      </c>
      <c r="D1900" s="87"/>
      <c r="E1900" s="12">
        <v>1E-3</v>
      </c>
      <c r="F1900" s="12">
        <v>1000</v>
      </c>
      <c r="G1900" s="87"/>
      <c r="H1900" s="87"/>
      <c r="I1900" s="12" t="s">
        <v>12</v>
      </c>
      <c r="J1900" s="92"/>
      <c r="K1900" s="203">
        <v>5.4103298392867103</v>
      </c>
    </row>
    <row r="1901" spans="1:11">
      <c r="A1901" s="12" t="s">
        <v>37</v>
      </c>
      <c r="B1901" s="86">
        <v>193.69777636256399</v>
      </c>
      <c r="C1901" s="84">
        <v>0.97</v>
      </c>
      <c r="D1901" s="87"/>
      <c r="E1901" s="12">
        <v>1E-3</v>
      </c>
      <c r="F1901" s="12">
        <v>1000</v>
      </c>
      <c r="G1901" s="87"/>
      <c r="H1901" s="87"/>
      <c r="I1901" s="12" t="s">
        <v>12</v>
      </c>
      <c r="J1901" s="92"/>
      <c r="K1901" s="203">
        <v>5.4505020507076898</v>
      </c>
    </row>
    <row r="1902" spans="1:11">
      <c r="A1902" s="12" t="s">
        <v>37</v>
      </c>
      <c r="B1902" s="86">
        <v>198.7138361161812</v>
      </c>
      <c r="C1902" s="84">
        <v>0.97</v>
      </c>
      <c r="D1902" s="87"/>
      <c r="E1902" s="12">
        <v>1E-3</v>
      </c>
      <c r="F1902" s="12">
        <v>1000</v>
      </c>
      <c r="G1902" s="87"/>
      <c r="H1902" s="87"/>
      <c r="I1902" s="12" t="s">
        <v>12</v>
      </c>
      <c r="J1902" s="92"/>
      <c r="K1902" s="203">
        <v>5.5480630730383798</v>
      </c>
    </row>
    <row r="1903" spans="1:11">
      <c r="A1903" s="12" t="s">
        <v>37</v>
      </c>
      <c r="B1903" s="86">
        <v>206.04503207412301</v>
      </c>
      <c r="C1903" s="84">
        <v>0.97</v>
      </c>
      <c r="D1903" s="87"/>
      <c r="E1903" s="12">
        <v>1E-3</v>
      </c>
      <c r="F1903" s="12">
        <v>1000</v>
      </c>
      <c r="G1903" s="87"/>
      <c r="H1903" s="87"/>
      <c r="I1903" s="12" t="s">
        <v>12</v>
      </c>
      <c r="J1903" s="92"/>
      <c r="K1903" s="203">
        <v>5.5480630730383798</v>
      </c>
    </row>
    <row r="1904" spans="1:11">
      <c r="A1904" s="12" t="s">
        <v>37</v>
      </c>
      <c r="B1904" s="86">
        <v>24.308694639969779</v>
      </c>
      <c r="C1904" s="84">
        <v>1.19</v>
      </c>
      <c r="E1904" s="12">
        <v>1E-3</v>
      </c>
      <c r="F1904" s="12">
        <v>1000</v>
      </c>
      <c r="G1904" s="87"/>
      <c r="H1904" s="87"/>
      <c r="I1904" s="12" t="s">
        <v>12</v>
      </c>
      <c r="J1904" s="92"/>
      <c r="K1904" s="84">
        <v>4.0616927829086196</v>
      </c>
    </row>
    <row r="1905" spans="1:11">
      <c r="A1905" s="12" t="s">
        <v>37</v>
      </c>
      <c r="B1905" s="86">
        <v>30.86816871707676</v>
      </c>
      <c r="C1905" s="84">
        <v>1.19</v>
      </c>
      <c r="E1905" s="12">
        <v>1E-3</v>
      </c>
      <c r="F1905" s="12">
        <v>1000</v>
      </c>
      <c r="G1905" s="87"/>
      <c r="H1905" s="87"/>
      <c r="I1905" s="12" t="s">
        <v>12</v>
      </c>
      <c r="J1905" s="92"/>
      <c r="K1905" s="84">
        <v>4.1133423624538503</v>
      </c>
    </row>
    <row r="1906" spans="1:11">
      <c r="A1906" s="12" t="s">
        <v>37</v>
      </c>
      <c r="B1906" s="86">
        <v>37.041796572856143</v>
      </c>
      <c r="C1906" s="84">
        <v>1.19</v>
      </c>
      <c r="E1906" s="12">
        <v>1E-3</v>
      </c>
      <c r="F1906" s="12">
        <v>1000</v>
      </c>
      <c r="G1906" s="87"/>
      <c r="H1906" s="87"/>
      <c r="I1906" s="12" t="s">
        <v>12</v>
      </c>
      <c r="J1906" s="92"/>
      <c r="K1906" s="84">
        <v>4.1305593997844499</v>
      </c>
    </row>
    <row r="1907" spans="1:11">
      <c r="A1907" s="12" t="s">
        <v>37</v>
      </c>
      <c r="B1907" s="86">
        <v>43.601300088142743</v>
      </c>
      <c r="C1907" s="84">
        <v>1.19</v>
      </c>
      <c r="E1907" s="12">
        <v>1E-3</v>
      </c>
      <c r="F1907" s="12">
        <v>1000</v>
      </c>
      <c r="G1907" s="87"/>
      <c r="H1907" s="87"/>
      <c r="I1907" s="12" t="s">
        <v>12</v>
      </c>
      <c r="J1907" s="92"/>
      <c r="K1907" s="84">
        <v>4.2051648101828798</v>
      </c>
    </row>
    <row r="1908" spans="1:11">
      <c r="A1908" s="12" t="s">
        <v>37</v>
      </c>
      <c r="B1908" s="86">
        <v>49.003235501267156</v>
      </c>
      <c r="C1908" s="84">
        <v>1.19</v>
      </c>
      <c r="E1908" s="12">
        <v>1E-3</v>
      </c>
      <c r="F1908" s="12">
        <v>1000</v>
      </c>
      <c r="G1908" s="87"/>
      <c r="H1908" s="87"/>
      <c r="I1908" s="12" t="s">
        <v>12</v>
      </c>
      <c r="J1908" s="92"/>
      <c r="K1908" s="84">
        <v>4.2969870389909799</v>
      </c>
    </row>
    <row r="1909" spans="1:11">
      <c r="A1909" s="12" t="s">
        <v>37</v>
      </c>
      <c r="B1909" s="86">
        <v>56.334402021029156</v>
      </c>
      <c r="C1909" s="84">
        <v>1.19</v>
      </c>
      <c r="E1909" s="12">
        <v>1E-3</v>
      </c>
      <c r="F1909" s="12">
        <v>1000</v>
      </c>
      <c r="G1909" s="87"/>
      <c r="H1909" s="87"/>
      <c r="I1909" s="12" t="s">
        <v>12</v>
      </c>
      <c r="J1909" s="92"/>
      <c r="K1909" s="84">
        <v>4.3773312429119997</v>
      </c>
    </row>
    <row r="1910" spans="1:11">
      <c r="A1910" s="12" t="s">
        <v>37</v>
      </c>
      <c r="B1910" s="86">
        <v>61.350491212825801</v>
      </c>
      <c r="C1910" s="84">
        <v>1.19</v>
      </c>
      <c r="E1910" s="12">
        <v>1E-3</v>
      </c>
      <c r="F1910" s="12">
        <v>1000</v>
      </c>
      <c r="G1910" s="87"/>
      <c r="H1910" s="87"/>
      <c r="I1910" s="12" t="s">
        <v>12</v>
      </c>
      <c r="J1910" s="92"/>
      <c r="K1910" s="84">
        <v>4.4117646608103902</v>
      </c>
    </row>
    <row r="1911" spans="1:11">
      <c r="A1911" s="12" t="s">
        <v>37</v>
      </c>
      <c r="B1911" s="86">
        <v>68.681687170767603</v>
      </c>
      <c r="C1911" s="84">
        <v>1.19</v>
      </c>
      <c r="E1911" s="12">
        <v>1E-3</v>
      </c>
      <c r="F1911" s="12">
        <v>1000</v>
      </c>
      <c r="G1911" s="87"/>
      <c r="H1911" s="87"/>
      <c r="I1911" s="12" t="s">
        <v>12</v>
      </c>
      <c r="J1911" s="92"/>
      <c r="K1911" s="84">
        <v>4.49210886473141</v>
      </c>
    </row>
    <row r="1912" spans="1:11">
      <c r="A1912" s="12" t="s">
        <v>37</v>
      </c>
      <c r="B1912" s="86">
        <v>75.241161247874402</v>
      </c>
      <c r="C1912" s="84">
        <v>1.19</v>
      </c>
      <c r="E1912" s="12">
        <v>1E-3</v>
      </c>
      <c r="F1912" s="12">
        <v>1000</v>
      </c>
      <c r="G1912" s="87"/>
      <c r="H1912" s="87"/>
      <c r="I1912" s="12" t="s">
        <v>12</v>
      </c>
      <c r="J1912" s="92"/>
      <c r="K1912" s="84">
        <v>4.51506403882179</v>
      </c>
    </row>
    <row r="1913" spans="1:11">
      <c r="A1913" s="12" t="s">
        <v>37</v>
      </c>
      <c r="B1913" s="86">
        <v>81.414789103653604</v>
      </c>
      <c r="C1913" s="84">
        <v>1.19</v>
      </c>
      <c r="E1913" s="12">
        <v>1E-3</v>
      </c>
      <c r="F1913" s="12">
        <v>1000</v>
      </c>
      <c r="G1913" s="87"/>
      <c r="H1913" s="87"/>
      <c r="I1913" s="12" t="s">
        <v>12</v>
      </c>
      <c r="J1913" s="92"/>
      <c r="K1913" s="84">
        <v>4.6068864865508301</v>
      </c>
    </row>
    <row r="1914" spans="1:11">
      <c r="A1914" s="12" t="s">
        <v>37</v>
      </c>
      <c r="B1914" s="86">
        <v>87.202570738105806</v>
      </c>
      <c r="C1914" s="84">
        <v>1.19</v>
      </c>
      <c r="E1914" s="12">
        <v>1E-3</v>
      </c>
      <c r="F1914" s="12">
        <v>1000</v>
      </c>
      <c r="G1914" s="87"/>
      <c r="H1914" s="87"/>
      <c r="I1914" s="12" t="s">
        <v>12</v>
      </c>
      <c r="J1914" s="92"/>
      <c r="K1914" s="84">
        <v>4.6642752974605299</v>
      </c>
    </row>
    <row r="1915" spans="1:11">
      <c r="A1915" s="12" t="s">
        <v>37</v>
      </c>
      <c r="B1915" s="86">
        <v>94.147920474719996</v>
      </c>
      <c r="C1915" s="84">
        <v>1.19</v>
      </c>
      <c r="E1915" s="12">
        <v>1E-3</v>
      </c>
      <c r="F1915" s="12">
        <v>1000</v>
      </c>
      <c r="G1915" s="87"/>
      <c r="H1915" s="87"/>
      <c r="I1915" s="12" t="s">
        <v>12</v>
      </c>
      <c r="J1915" s="92"/>
      <c r="K1915" s="84">
        <v>4.7618363197912199</v>
      </c>
    </row>
    <row r="1916" spans="1:11">
      <c r="A1916" s="12" t="s">
        <v>37</v>
      </c>
      <c r="B1916" s="86">
        <v>98.392287785682001</v>
      </c>
      <c r="C1916" s="84">
        <v>1.19</v>
      </c>
      <c r="E1916" s="12">
        <v>1E-3</v>
      </c>
      <c r="F1916" s="12">
        <v>1000</v>
      </c>
      <c r="G1916" s="87"/>
      <c r="H1916" s="87"/>
      <c r="I1916" s="12" t="s">
        <v>12</v>
      </c>
      <c r="J1916" s="92"/>
      <c r="K1916" s="84">
        <v>4.83070293666706</v>
      </c>
    </row>
    <row r="1917" spans="1:11">
      <c r="A1917" s="12" t="s">
        <v>37</v>
      </c>
      <c r="B1917" s="86">
        <v>105.7234837436238</v>
      </c>
      <c r="C1917" s="84">
        <v>1.19</v>
      </c>
      <c r="E1917" s="12">
        <v>1E-3</v>
      </c>
      <c r="F1917" s="12">
        <v>1000</v>
      </c>
      <c r="G1917" s="87"/>
      <c r="H1917" s="87"/>
      <c r="I1917" s="12" t="s">
        <v>12</v>
      </c>
      <c r="J1917" s="92"/>
      <c r="K1917" s="84">
        <v>4.83070293666706</v>
      </c>
    </row>
    <row r="1918" spans="1:11">
      <c r="A1918" s="12" t="s">
        <v>37</v>
      </c>
      <c r="B1918" s="86">
        <v>111.51126537807541</v>
      </c>
      <c r="C1918" s="84">
        <v>1.19</v>
      </c>
      <c r="E1918" s="12">
        <v>1E-3</v>
      </c>
      <c r="F1918" s="12">
        <v>1000</v>
      </c>
      <c r="G1918" s="87"/>
      <c r="H1918" s="87"/>
      <c r="I1918" s="12" t="s">
        <v>12</v>
      </c>
      <c r="J1918" s="92"/>
      <c r="K1918" s="84">
        <v>4.8823529540541699</v>
      </c>
    </row>
    <row r="1919" spans="1:11">
      <c r="A1919" s="12" t="s">
        <v>37</v>
      </c>
      <c r="B1919" s="86">
        <v>118.4566151146896</v>
      </c>
      <c r="C1919" s="84">
        <v>1.19</v>
      </c>
      <c r="E1919" s="12">
        <v>1E-3</v>
      </c>
      <c r="F1919" s="12">
        <v>1000</v>
      </c>
      <c r="G1919" s="87"/>
      <c r="H1919" s="87"/>
      <c r="I1919" s="12" t="s">
        <v>12</v>
      </c>
      <c r="J1919" s="92"/>
      <c r="K1919" s="84">
        <v>4.9225249465542102</v>
      </c>
    </row>
    <row r="1920" spans="1:11">
      <c r="A1920" s="12" t="s">
        <v>37</v>
      </c>
      <c r="B1920" s="86">
        <v>125.40193541312399</v>
      </c>
      <c r="C1920" s="84">
        <v>1.19</v>
      </c>
      <c r="E1920" s="12">
        <v>1E-3</v>
      </c>
      <c r="F1920" s="12">
        <v>1000</v>
      </c>
      <c r="G1920" s="87"/>
      <c r="H1920" s="87"/>
      <c r="I1920" s="12" t="s">
        <v>12</v>
      </c>
      <c r="J1920" s="92"/>
      <c r="K1920" s="84">
        <v>4.9799137574639198</v>
      </c>
    </row>
    <row r="1921" spans="1:11">
      <c r="A1921" s="12" t="s">
        <v>37</v>
      </c>
      <c r="B1921" s="86">
        <v>130.80387082624861</v>
      </c>
      <c r="C1921" s="84">
        <v>1.19</v>
      </c>
      <c r="E1921" s="12">
        <v>1E-3</v>
      </c>
      <c r="F1921" s="12">
        <v>1000</v>
      </c>
      <c r="G1921" s="87"/>
      <c r="H1921" s="87"/>
      <c r="I1921" s="12" t="s">
        <v>12</v>
      </c>
      <c r="J1921" s="92"/>
      <c r="K1921" s="84">
        <v>5.0487803743397501</v>
      </c>
    </row>
    <row r="1922" spans="1:11">
      <c r="A1922" s="12" t="s">
        <v>37</v>
      </c>
      <c r="B1922" s="86">
        <v>136.20580623937261</v>
      </c>
      <c r="C1922" s="84">
        <v>1.19</v>
      </c>
      <c r="E1922" s="12">
        <v>1E-3</v>
      </c>
      <c r="F1922" s="12">
        <v>1000</v>
      </c>
      <c r="G1922" s="87"/>
      <c r="H1922" s="87"/>
      <c r="I1922" s="12" t="s">
        <v>12</v>
      </c>
      <c r="J1922" s="92"/>
      <c r="K1922" s="84">
        <v>5.0774747797946098</v>
      </c>
    </row>
    <row r="1923" spans="1:11">
      <c r="A1923" s="12" t="s">
        <v>37</v>
      </c>
      <c r="B1923" s="86">
        <v>144.30869463996962</v>
      </c>
      <c r="C1923" s="84">
        <v>1.19</v>
      </c>
      <c r="E1923" s="12">
        <v>1E-3</v>
      </c>
      <c r="F1923" s="12">
        <v>1000</v>
      </c>
      <c r="G1923" s="87"/>
      <c r="H1923" s="87"/>
      <c r="I1923" s="12" t="s">
        <v>12</v>
      </c>
      <c r="J1923" s="92"/>
      <c r="K1923" s="84">
        <v>5.22094680706887</v>
      </c>
    </row>
    <row r="1924" spans="1:11">
      <c r="A1924" s="12" t="s">
        <v>37</v>
      </c>
      <c r="B1924" s="86">
        <v>148.9389081722592</v>
      </c>
      <c r="C1924" s="84">
        <v>1.19</v>
      </c>
      <c r="E1924" s="12">
        <v>1E-3</v>
      </c>
      <c r="F1924" s="12">
        <v>1000</v>
      </c>
      <c r="G1924" s="87"/>
      <c r="H1924" s="87"/>
      <c r="I1924" s="12" t="s">
        <v>12</v>
      </c>
      <c r="J1924" s="92"/>
      <c r="K1924" s="84">
        <v>5.2381634065575904</v>
      </c>
    </row>
    <row r="1925" spans="1:11">
      <c r="A1925" s="12" t="s">
        <v>37</v>
      </c>
      <c r="B1925" s="86">
        <v>155.4984116875458</v>
      </c>
      <c r="C1925" s="84">
        <v>1.19</v>
      </c>
      <c r="E1925" s="12">
        <v>1E-3</v>
      </c>
      <c r="F1925" s="12">
        <v>1000</v>
      </c>
      <c r="G1925" s="87"/>
      <c r="H1925" s="87"/>
      <c r="I1925" s="12" t="s">
        <v>12</v>
      </c>
      <c r="J1925" s="92"/>
      <c r="K1925" s="84">
        <v>5.3242466229221499</v>
      </c>
    </row>
    <row r="1926" spans="1:11">
      <c r="A1926" s="12" t="s">
        <v>37</v>
      </c>
      <c r="B1926" s="86">
        <v>161.28619332199801</v>
      </c>
      <c r="C1926" s="84">
        <v>1.19</v>
      </c>
      <c r="E1926" s="12">
        <v>1E-3</v>
      </c>
      <c r="F1926" s="12">
        <v>1000</v>
      </c>
      <c r="G1926" s="87"/>
      <c r="H1926" s="87"/>
      <c r="I1926" s="12" t="s">
        <v>12</v>
      </c>
      <c r="J1926" s="92"/>
      <c r="K1926" s="84">
        <v>5.37015784678667</v>
      </c>
    </row>
    <row r="1927" spans="1:11">
      <c r="A1927" s="12" t="s">
        <v>37</v>
      </c>
      <c r="B1927" s="86">
        <v>168.23151362043239</v>
      </c>
      <c r="C1927" s="84">
        <v>1.19</v>
      </c>
      <c r="E1927" s="12">
        <v>1E-3</v>
      </c>
      <c r="F1927" s="12">
        <v>1000</v>
      </c>
      <c r="G1927" s="87"/>
      <c r="H1927" s="87"/>
      <c r="I1927" s="12" t="s">
        <v>12</v>
      </c>
      <c r="J1927" s="92"/>
      <c r="K1927" s="84">
        <v>5.4791964561625504</v>
      </c>
    </row>
    <row r="1928" spans="1:11">
      <c r="A1928" s="12" t="s">
        <v>37</v>
      </c>
      <c r="B1928" s="86">
        <v>174.40517091439139</v>
      </c>
      <c r="C1928" s="84">
        <v>1.19</v>
      </c>
      <c r="E1928" s="12">
        <v>1E-3</v>
      </c>
      <c r="F1928" s="12">
        <v>1000</v>
      </c>
      <c r="G1928" s="87"/>
      <c r="H1928" s="87"/>
      <c r="I1928" s="12" t="s">
        <v>12</v>
      </c>
      <c r="J1928" s="92"/>
      <c r="K1928" s="84">
        <v>5.4734576626399498</v>
      </c>
    </row>
    <row r="1929" spans="1:11">
      <c r="A1929" s="12" t="s">
        <v>37</v>
      </c>
      <c r="B1929" s="86">
        <v>181.3504912128258</v>
      </c>
      <c r="C1929" s="84">
        <v>1.19</v>
      </c>
      <c r="E1929" s="12">
        <v>1E-3</v>
      </c>
      <c r="F1929" s="12">
        <v>1000</v>
      </c>
      <c r="G1929" s="87"/>
      <c r="H1929" s="87"/>
      <c r="I1929" s="12" t="s">
        <v>12</v>
      </c>
      <c r="J1929" s="92"/>
      <c r="K1929" s="84">
        <v>5.4906742621286799</v>
      </c>
    </row>
    <row r="1930" spans="1:11">
      <c r="A1930" s="12" t="s">
        <v>37</v>
      </c>
      <c r="B1930" s="86">
        <v>186.36658040462279</v>
      </c>
      <c r="C1930" s="84">
        <v>1.19</v>
      </c>
      <c r="E1930" s="12">
        <v>1E-3</v>
      </c>
      <c r="F1930" s="12">
        <v>1000</v>
      </c>
      <c r="G1930" s="87"/>
      <c r="H1930" s="87"/>
      <c r="I1930" s="12" t="s">
        <v>12</v>
      </c>
      <c r="J1930" s="92"/>
      <c r="K1930" s="84">
        <v>5.5193686675835298</v>
      </c>
    </row>
    <row r="1931" spans="1:11">
      <c r="A1931" s="12" t="s">
        <v>37</v>
      </c>
      <c r="B1931" s="86">
        <v>193.69777636256399</v>
      </c>
      <c r="C1931" s="84">
        <v>1.19</v>
      </c>
      <c r="E1931" s="12">
        <v>1E-3</v>
      </c>
      <c r="F1931" s="12">
        <v>1000</v>
      </c>
      <c r="G1931" s="87"/>
      <c r="H1931" s="87"/>
      <c r="I1931" s="12" t="s">
        <v>12</v>
      </c>
      <c r="J1931" s="92"/>
      <c r="K1931" s="84">
        <v>5.5538018665609803</v>
      </c>
    </row>
    <row r="1932" spans="1:11">
      <c r="A1932" s="12" t="s">
        <v>37</v>
      </c>
      <c r="B1932" s="86">
        <v>31.639890597911457</v>
      </c>
      <c r="C1932" s="84">
        <v>1.35</v>
      </c>
      <c r="E1932" s="12">
        <v>1E-3</v>
      </c>
      <c r="F1932" s="12">
        <v>1000</v>
      </c>
      <c r="G1932" s="87"/>
      <c r="H1932" s="87"/>
      <c r="I1932" s="12" t="s">
        <v>12</v>
      </c>
      <c r="J1932" s="92"/>
      <c r="K1932" s="84">
        <v>4.3371592504119603</v>
      </c>
    </row>
    <row r="1933" spans="1:11">
      <c r="A1933" s="12" t="s">
        <v>37</v>
      </c>
      <c r="B1933" s="86">
        <v>36.655950351528602</v>
      </c>
      <c r="C1933" s="84">
        <v>1.35</v>
      </c>
      <c r="E1933" s="12">
        <v>1E-3</v>
      </c>
      <c r="F1933" s="12">
        <v>1000</v>
      </c>
      <c r="G1933" s="87"/>
      <c r="H1933" s="87"/>
      <c r="I1933" s="12" t="s">
        <v>12</v>
      </c>
      <c r="J1933" s="92"/>
      <c r="K1933" s="84">
        <v>4.3486368374571498</v>
      </c>
    </row>
    <row r="1934" spans="1:11">
      <c r="A1934" s="12" t="s">
        <v>37</v>
      </c>
      <c r="B1934" s="86">
        <v>44.372992530797816</v>
      </c>
      <c r="C1934" s="84">
        <v>1.35</v>
      </c>
      <c r="E1934" s="12">
        <v>1E-3</v>
      </c>
      <c r="F1934" s="12">
        <v>1000</v>
      </c>
      <c r="G1934" s="87"/>
      <c r="H1934" s="87"/>
      <c r="I1934" s="12" t="s">
        <v>12</v>
      </c>
      <c r="J1934" s="92"/>
      <c r="K1934" s="84">
        <v>4.4060256483668603</v>
      </c>
    </row>
    <row r="1935" spans="1:11">
      <c r="A1935" s="12" t="s">
        <v>37</v>
      </c>
      <c r="B1935" s="86">
        <v>48.617359841759935</v>
      </c>
      <c r="C1935" s="84">
        <v>1.35</v>
      </c>
      <c r="E1935" s="12">
        <v>1E-3</v>
      </c>
      <c r="F1935" s="12">
        <v>1000</v>
      </c>
      <c r="G1935" s="87"/>
      <c r="H1935" s="87"/>
      <c r="I1935" s="12" t="s">
        <v>12</v>
      </c>
      <c r="J1935" s="92"/>
      <c r="K1935" s="84">
        <v>4.4634144592765601</v>
      </c>
    </row>
    <row r="1936" spans="1:11">
      <c r="A1936" s="12" t="s">
        <v>37</v>
      </c>
      <c r="B1936" s="86">
        <v>55.948555799701623</v>
      </c>
      <c r="C1936" s="84">
        <v>1.35</v>
      </c>
      <c r="E1936" s="12">
        <v>1E-3</v>
      </c>
      <c r="F1936" s="12">
        <v>1000</v>
      </c>
      <c r="G1936" s="87"/>
      <c r="H1936" s="87"/>
      <c r="I1936" s="12" t="s">
        <v>12</v>
      </c>
      <c r="J1936" s="92"/>
      <c r="K1936" s="84">
        <v>4.5208032701862697</v>
      </c>
    </row>
    <row r="1937" spans="1:11">
      <c r="A1937" s="12" t="s">
        <v>37</v>
      </c>
      <c r="B1937" s="86">
        <v>62.893905536315408</v>
      </c>
      <c r="C1937" s="84">
        <v>1.35</v>
      </c>
      <c r="E1937" s="12">
        <v>1E-3</v>
      </c>
      <c r="F1937" s="12">
        <v>1000</v>
      </c>
      <c r="G1937" s="87"/>
      <c r="H1937" s="87"/>
      <c r="I1937" s="12" t="s">
        <v>12</v>
      </c>
      <c r="J1937" s="92"/>
      <c r="K1937" s="84">
        <v>4.6068864865508301</v>
      </c>
    </row>
    <row r="1938" spans="1:11">
      <c r="A1938" s="12" t="s">
        <v>37</v>
      </c>
      <c r="B1938" s="86">
        <v>67.524119068605003</v>
      </c>
      <c r="C1938" s="84">
        <v>1.35</v>
      </c>
      <c r="E1938" s="12">
        <v>1E-3</v>
      </c>
      <c r="F1938" s="12">
        <v>1000</v>
      </c>
      <c r="G1938" s="87"/>
      <c r="H1938" s="87"/>
      <c r="I1938" s="12" t="s">
        <v>12</v>
      </c>
      <c r="J1938" s="92"/>
      <c r="K1938" s="84">
        <v>4.5954088995056397</v>
      </c>
    </row>
    <row r="1939" spans="1:11">
      <c r="A1939" s="12" t="s">
        <v>37</v>
      </c>
      <c r="B1939" s="86">
        <v>73.697746924384802</v>
      </c>
      <c r="C1939" s="84">
        <v>1.35</v>
      </c>
      <c r="E1939" s="12">
        <v>1E-3</v>
      </c>
      <c r="F1939" s="12">
        <v>1000</v>
      </c>
      <c r="G1939" s="87"/>
      <c r="H1939" s="87"/>
      <c r="I1939" s="12" t="s">
        <v>12</v>
      </c>
      <c r="J1939" s="92"/>
      <c r="K1939" s="84">
        <v>4.7044475088815201</v>
      </c>
    </row>
    <row r="1940" spans="1:11">
      <c r="A1940" s="12" t="s">
        <v>37</v>
      </c>
      <c r="B1940" s="86">
        <v>81.800664763160995</v>
      </c>
      <c r="C1940" s="84">
        <v>1.35</v>
      </c>
      <c r="E1940" s="12">
        <v>1E-3</v>
      </c>
      <c r="F1940" s="12">
        <v>1000</v>
      </c>
      <c r="G1940" s="87"/>
      <c r="H1940" s="87"/>
      <c r="I1940" s="12" t="s">
        <v>12</v>
      </c>
      <c r="J1940" s="92"/>
      <c r="K1940" s="84">
        <v>4.7675753322347596</v>
      </c>
    </row>
    <row r="1941" spans="1:11">
      <c r="A1941" s="12" t="s">
        <v>37</v>
      </c>
      <c r="B1941" s="86">
        <v>86.430878295450597</v>
      </c>
      <c r="C1941" s="84">
        <v>1.35</v>
      </c>
      <c r="E1941" s="12">
        <v>1E-3</v>
      </c>
      <c r="F1941" s="12">
        <v>1000</v>
      </c>
      <c r="G1941" s="87"/>
      <c r="H1941" s="87"/>
      <c r="I1941" s="12" t="s">
        <v>12</v>
      </c>
      <c r="J1941" s="92"/>
      <c r="K1941" s="84">
        <v>4.8077473247347999</v>
      </c>
    </row>
    <row r="1942" spans="1:11">
      <c r="A1942" s="12" t="s">
        <v>37</v>
      </c>
      <c r="B1942" s="86">
        <v>93.762074253392399</v>
      </c>
      <c r="C1942" s="84">
        <v>1.35</v>
      </c>
      <c r="E1942" s="12">
        <v>1E-3</v>
      </c>
      <c r="F1942" s="12">
        <v>1000</v>
      </c>
      <c r="G1942" s="87"/>
      <c r="H1942" s="87"/>
      <c r="I1942" s="12" t="s">
        <v>12</v>
      </c>
      <c r="J1942" s="92"/>
      <c r="K1942" s="84">
        <v>4.8880917475767598</v>
      </c>
    </row>
    <row r="1943" spans="1:11">
      <c r="A1943" s="12" t="s">
        <v>37</v>
      </c>
      <c r="B1943" s="86">
        <v>99.164009666516407</v>
      </c>
      <c r="C1943" s="84">
        <v>1.35</v>
      </c>
      <c r="E1943" s="12">
        <v>1E-3</v>
      </c>
      <c r="F1943" s="12">
        <v>1000</v>
      </c>
      <c r="G1943" s="87"/>
      <c r="H1943" s="87"/>
      <c r="I1943" s="12" t="s">
        <v>12</v>
      </c>
      <c r="J1943" s="92"/>
      <c r="K1943" s="84">
        <v>4.9626971579751897</v>
      </c>
    </row>
    <row r="1944" spans="1:11">
      <c r="A1944" s="12" t="s">
        <v>37</v>
      </c>
      <c r="B1944" s="86">
        <v>104.95179130096861</v>
      </c>
      <c r="C1944" s="84">
        <v>1.35</v>
      </c>
      <c r="E1944" s="12">
        <v>1E-3</v>
      </c>
      <c r="F1944" s="12">
        <v>1000</v>
      </c>
      <c r="G1944" s="87"/>
      <c r="H1944" s="87"/>
      <c r="I1944" s="12" t="s">
        <v>12</v>
      </c>
      <c r="J1944" s="92"/>
      <c r="K1944" s="84">
        <v>5.0487803743397501</v>
      </c>
    </row>
    <row r="1945" spans="1:11">
      <c r="A1945" s="12" t="s">
        <v>37</v>
      </c>
      <c r="B1945" s="86">
        <v>111.897111599403</v>
      </c>
      <c r="C1945" s="84">
        <v>1.35</v>
      </c>
      <c r="E1945" s="12">
        <v>1E-3</v>
      </c>
      <c r="F1945" s="12">
        <v>1000</v>
      </c>
      <c r="G1945" s="87"/>
      <c r="H1945" s="87"/>
      <c r="I1945" s="12" t="s">
        <v>12</v>
      </c>
      <c r="J1945" s="92"/>
      <c r="K1945" s="84">
        <v>5.0946913792833302</v>
      </c>
    </row>
    <row r="1946" spans="1:11">
      <c r="A1946" s="12" t="s">
        <v>37</v>
      </c>
      <c r="B1946" s="86">
        <v>118.07073945518221</v>
      </c>
      <c r="C1946" s="84">
        <v>1.35</v>
      </c>
      <c r="E1946" s="12">
        <v>1E-3</v>
      </c>
      <c r="F1946" s="12">
        <v>1000</v>
      </c>
      <c r="G1946" s="87"/>
      <c r="H1946" s="87"/>
      <c r="I1946" s="12" t="s">
        <v>12</v>
      </c>
      <c r="J1946" s="92"/>
      <c r="K1946" s="84">
        <v>5.1233857847381801</v>
      </c>
    </row>
    <row r="1947" spans="1:11">
      <c r="A1947" s="12" t="s">
        <v>37</v>
      </c>
      <c r="B1947" s="86">
        <v>123.85852108963439</v>
      </c>
      <c r="C1947" s="84">
        <v>1.35</v>
      </c>
      <c r="E1947" s="12">
        <v>1E-3</v>
      </c>
      <c r="F1947" s="12">
        <v>1000</v>
      </c>
      <c r="G1947" s="87"/>
      <c r="H1947" s="87"/>
      <c r="I1947" s="12" t="s">
        <v>12</v>
      </c>
      <c r="J1947" s="92"/>
      <c r="K1947" s="84">
        <v>5.1635579961591596</v>
      </c>
    </row>
    <row r="1948" spans="1:11">
      <c r="A1948" s="12" t="s">
        <v>37</v>
      </c>
      <c r="B1948" s="86">
        <v>130.80387082624861</v>
      </c>
      <c r="C1948" s="84">
        <v>1.35</v>
      </c>
      <c r="E1948" s="12">
        <v>1E-3</v>
      </c>
      <c r="F1948" s="12">
        <v>1000</v>
      </c>
      <c r="G1948" s="87"/>
      <c r="H1948" s="87"/>
      <c r="I1948" s="12" t="s">
        <v>12</v>
      </c>
      <c r="J1948" s="92"/>
      <c r="K1948" s="84">
        <v>5.2037302075801497</v>
      </c>
    </row>
    <row r="1949" spans="1:11">
      <c r="A1949" s="12" t="s">
        <v>37</v>
      </c>
      <c r="B1949" s="86">
        <v>136.9774986820278</v>
      </c>
      <c r="C1949" s="84">
        <v>1.35</v>
      </c>
      <c r="E1949" s="12">
        <v>1E-3</v>
      </c>
      <c r="F1949" s="12">
        <v>1000</v>
      </c>
      <c r="G1949" s="87"/>
      <c r="H1949" s="87"/>
      <c r="I1949" s="12" t="s">
        <v>12</v>
      </c>
      <c r="J1949" s="92"/>
      <c r="K1949" s="84">
        <v>5.2840746304221096</v>
      </c>
    </row>
    <row r="1950" spans="1:11">
      <c r="A1950" s="12" t="s">
        <v>37</v>
      </c>
      <c r="B1950" s="86">
        <v>143.53700219731442</v>
      </c>
      <c r="C1950" s="84">
        <v>1.35</v>
      </c>
      <c r="E1950" s="12">
        <v>1E-3</v>
      </c>
      <c r="F1950" s="12">
        <v>1000</v>
      </c>
      <c r="G1950" s="87"/>
      <c r="H1950" s="87"/>
      <c r="I1950" s="12" t="s">
        <v>12</v>
      </c>
      <c r="J1950" s="92"/>
      <c r="K1950" s="84">
        <v>5.3414634413318201</v>
      </c>
    </row>
    <row r="1951" spans="1:11">
      <c r="A1951" s="12" t="s">
        <v>37</v>
      </c>
      <c r="B1951" s="86">
        <v>148.9389081722592</v>
      </c>
      <c r="C1951" s="84">
        <v>1.35</v>
      </c>
      <c r="E1951" s="12">
        <v>1E-3</v>
      </c>
      <c r="F1951" s="12">
        <v>1000</v>
      </c>
      <c r="G1951" s="87"/>
      <c r="H1951" s="87"/>
      <c r="I1951" s="12" t="s">
        <v>12</v>
      </c>
      <c r="J1951" s="92"/>
      <c r="K1951" s="84">
        <v>5.4045910457641204</v>
      </c>
    </row>
    <row r="1952" spans="1:11">
      <c r="A1952" s="12" t="s">
        <v>37</v>
      </c>
      <c r="B1952" s="86">
        <v>156.27010413020102</v>
      </c>
      <c r="C1952" s="84">
        <v>1.35</v>
      </c>
      <c r="E1952" s="12">
        <v>1E-3</v>
      </c>
      <c r="F1952" s="12">
        <v>1000</v>
      </c>
      <c r="G1952" s="87"/>
      <c r="H1952" s="87"/>
      <c r="I1952" s="12" t="s">
        <v>12</v>
      </c>
      <c r="J1952" s="92"/>
      <c r="K1952" s="84">
        <v>5.4791964561625504</v>
      </c>
    </row>
    <row r="1953" spans="1:11">
      <c r="A1953" s="12" t="s">
        <v>37</v>
      </c>
      <c r="B1953" s="86">
        <v>162.05788576465261</v>
      </c>
      <c r="C1953" s="84">
        <v>1.35</v>
      </c>
      <c r="E1953" s="12">
        <v>1E-3</v>
      </c>
      <c r="F1953" s="12">
        <v>1000</v>
      </c>
      <c r="G1953" s="87"/>
      <c r="H1953" s="87"/>
      <c r="I1953" s="12" t="s">
        <v>12</v>
      </c>
      <c r="J1953" s="92"/>
      <c r="K1953" s="84">
        <v>5.5365852670722502</v>
      </c>
    </row>
    <row r="1954" spans="1:11">
      <c r="A1954" s="12" t="s">
        <v>37</v>
      </c>
      <c r="B1954" s="86">
        <v>169.0032355012668</v>
      </c>
      <c r="C1954" s="84">
        <v>1.35</v>
      </c>
      <c r="E1954" s="12">
        <v>1E-3</v>
      </c>
      <c r="F1954" s="12">
        <v>1000</v>
      </c>
      <c r="G1954" s="87"/>
      <c r="H1954" s="87"/>
      <c r="I1954" s="12" t="s">
        <v>12</v>
      </c>
      <c r="J1954" s="92"/>
      <c r="K1954" s="84">
        <v>5.5538018665609803</v>
      </c>
    </row>
    <row r="1955" spans="1:11">
      <c r="A1955" s="12" t="s">
        <v>37</v>
      </c>
      <c r="B1955" s="86">
        <v>174.01929525488399</v>
      </c>
      <c r="C1955" s="84">
        <v>1.35</v>
      </c>
      <c r="E1955" s="12">
        <v>1E-3</v>
      </c>
      <c r="F1955" s="12">
        <v>1000</v>
      </c>
      <c r="G1955" s="87"/>
      <c r="H1955" s="87"/>
      <c r="I1955" s="12" t="s">
        <v>12</v>
      </c>
      <c r="J1955" s="92"/>
      <c r="K1955" s="84">
        <v>5.5824962720158302</v>
      </c>
    </row>
    <row r="1956" spans="1:11">
      <c r="A1956" s="12" t="s">
        <v>37</v>
      </c>
      <c r="B1956" s="86">
        <v>180.19295254884301</v>
      </c>
      <c r="C1956" s="84">
        <v>1.35</v>
      </c>
      <c r="E1956" s="12">
        <v>1E-3</v>
      </c>
      <c r="F1956" s="12">
        <v>1000</v>
      </c>
      <c r="G1956" s="87"/>
      <c r="H1956" s="87"/>
      <c r="I1956" s="12" t="s">
        <v>12</v>
      </c>
      <c r="J1956" s="92"/>
      <c r="K1956" s="84">
        <v>5.6111906774706801</v>
      </c>
    </row>
    <row r="1957" spans="1:11">
      <c r="A1957" s="12" t="s">
        <v>37</v>
      </c>
      <c r="B1957" s="86">
        <v>187.13827284727742</v>
      </c>
      <c r="C1957" s="84">
        <v>1.35</v>
      </c>
      <c r="E1957" s="12">
        <v>1E-3</v>
      </c>
      <c r="F1957" s="12">
        <v>1000</v>
      </c>
      <c r="G1957" s="87"/>
      <c r="H1957" s="87"/>
      <c r="I1957" s="12" t="s">
        <v>12</v>
      </c>
      <c r="J1957" s="92"/>
      <c r="K1957" s="84">
        <v>5.7431851176997597</v>
      </c>
    </row>
    <row r="1958" spans="1:11">
      <c r="A1958" s="12" t="s">
        <v>37</v>
      </c>
      <c r="B1958" s="86">
        <v>193.3119007030572</v>
      </c>
      <c r="C1958" s="84">
        <v>1.35</v>
      </c>
      <c r="E1958" s="12">
        <v>1E-3</v>
      </c>
      <c r="F1958" s="12">
        <v>1000</v>
      </c>
      <c r="G1958" s="87"/>
      <c r="H1958" s="87"/>
      <c r="I1958" s="12" t="s">
        <v>12</v>
      </c>
      <c r="J1958" s="92"/>
      <c r="K1958" s="84">
        <v>5.7202295057674997</v>
      </c>
    </row>
    <row r="1959" spans="1:11">
      <c r="A1959" s="12" t="s">
        <v>37</v>
      </c>
      <c r="B1959" s="86">
        <v>199.8714042183438</v>
      </c>
      <c r="C1959" s="84">
        <v>1.35</v>
      </c>
      <c r="E1959" s="12">
        <v>1E-3</v>
      </c>
      <c r="F1959" s="12">
        <v>1000</v>
      </c>
      <c r="G1959" s="87"/>
      <c r="H1959" s="87"/>
      <c r="I1959" s="12" t="s">
        <v>12</v>
      </c>
      <c r="J1959" s="92"/>
      <c r="K1959" s="84">
        <v>5.7546627047449501</v>
      </c>
    </row>
    <row r="1960" spans="1:11">
      <c r="A1960" s="12" t="s">
        <v>37</v>
      </c>
      <c r="B1960" s="86">
        <v>206.04503207412301</v>
      </c>
      <c r="C1960" s="84">
        <v>1.35</v>
      </c>
      <c r="E1960" s="12">
        <v>1E-3</v>
      </c>
      <c r="F1960" s="12">
        <v>1000</v>
      </c>
      <c r="G1960" s="87"/>
      <c r="H1960" s="87"/>
      <c r="I1960" s="12" t="s">
        <v>12</v>
      </c>
      <c r="J1960" s="92"/>
      <c r="K1960" s="84">
        <v>5.7776183166772102</v>
      </c>
    </row>
    <row r="1961" spans="1:11">
      <c r="A1961" s="12" t="s">
        <v>37</v>
      </c>
      <c r="B1961" s="86">
        <v>211.4469674872476</v>
      </c>
      <c r="C1961" s="84">
        <v>1.35</v>
      </c>
      <c r="E1961" s="12">
        <v>1E-3</v>
      </c>
      <c r="F1961" s="12">
        <v>1000</v>
      </c>
      <c r="G1961" s="87"/>
      <c r="H1961" s="87"/>
      <c r="I1961" s="12" t="s">
        <v>12</v>
      </c>
      <c r="J1961" s="92"/>
      <c r="K1961" s="84">
        <v>5.8866570355135597</v>
      </c>
    </row>
    <row r="1962" spans="1:11">
      <c r="A1962" s="12" t="s">
        <v>37</v>
      </c>
      <c r="B1962" s="86">
        <v>218.39228778568202</v>
      </c>
      <c r="C1962" s="84">
        <v>1.35</v>
      </c>
      <c r="E1962" s="12">
        <v>1E-3</v>
      </c>
      <c r="F1962" s="12">
        <v>1000</v>
      </c>
      <c r="G1962" s="87"/>
      <c r="H1962" s="87"/>
      <c r="I1962" s="12" t="s">
        <v>12</v>
      </c>
      <c r="J1962" s="92"/>
      <c r="K1962" s="84">
        <v>5.8981346225587403</v>
      </c>
    </row>
    <row r="1963" spans="1:11">
      <c r="A1963" s="12" t="s">
        <v>37</v>
      </c>
      <c r="B1963" s="86">
        <v>223.79422319880661</v>
      </c>
      <c r="C1963" s="84">
        <v>1.35</v>
      </c>
      <c r="E1963" s="12">
        <v>1E-3</v>
      </c>
      <c r="F1963" s="12">
        <v>1000</v>
      </c>
      <c r="G1963" s="87"/>
      <c r="H1963" s="87"/>
      <c r="I1963" s="12" t="s">
        <v>12</v>
      </c>
      <c r="J1963" s="92"/>
      <c r="K1963" s="84">
        <v>5.9555234334684499</v>
      </c>
    </row>
    <row r="1964" spans="1:11">
      <c r="A1964" s="12" t="s">
        <v>37</v>
      </c>
      <c r="B1964" s="86">
        <v>230.3537267140926</v>
      </c>
      <c r="C1964" s="84">
        <v>1.35</v>
      </c>
      <c r="E1964" s="12">
        <v>1E-3</v>
      </c>
      <c r="F1964" s="12">
        <v>1000</v>
      </c>
      <c r="G1964" s="87"/>
      <c r="H1964" s="87"/>
      <c r="I1964" s="12" t="s">
        <v>12</v>
      </c>
      <c r="J1964" s="92"/>
      <c r="K1964" s="84">
        <v>5.9727402518781103</v>
      </c>
    </row>
    <row r="1965" spans="1:11">
      <c r="A1965" s="12" t="s">
        <v>37</v>
      </c>
      <c r="B1965" s="86">
        <v>236.91323022937979</v>
      </c>
      <c r="C1965" s="84">
        <v>1.35</v>
      </c>
      <c r="E1965" s="12">
        <v>1E-3</v>
      </c>
      <c r="F1965" s="12">
        <v>1000</v>
      </c>
      <c r="G1965" s="87"/>
      <c r="H1965" s="87"/>
      <c r="I1965" s="12" t="s">
        <v>12</v>
      </c>
      <c r="J1965" s="92"/>
      <c r="K1965" s="84">
        <v>6.0530846747200799</v>
      </c>
    </row>
    <row r="1966" spans="1:11">
      <c r="A1966" s="12" t="s">
        <v>37</v>
      </c>
      <c r="B1966" s="86">
        <v>242.70101186383138</v>
      </c>
      <c r="C1966" s="84">
        <v>1.35</v>
      </c>
      <c r="E1966" s="12">
        <v>1E-3</v>
      </c>
      <c r="F1966" s="12">
        <v>1000</v>
      </c>
      <c r="G1966" s="87"/>
      <c r="H1966" s="87"/>
      <c r="I1966" s="12" t="s">
        <v>12</v>
      </c>
      <c r="J1966" s="92"/>
      <c r="K1966" s="84">
        <v>6.0989954607427199</v>
      </c>
    </row>
    <row r="1967" spans="1:11">
      <c r="A1967" s="12" t="s">
        <v>37</v>
      </c>
      <c r="B1967" s="86">
        <v>49.774927943922179</v>
      </c>
      <c r="C1967" s="84">
        <v>1.55</v>
      </c>
      <c r="E1967" s="84">
        <v>1E-3</v>
      </c>
      <c r="F1967" s="84">
        <v>1000</v>
      </c>
      <c r="G1967" s="87"/>
      <c r="H1967" s="87"/>
      <c r="I1967" s="12" t="s">
        <v>12</v>
      </c>
      <c r="J1967" s="92"/>
      <c r="K1967" s="84">
        <v>4.8134863371783299</v>
      </c>
    </row>
    <row r="1968" spans="1:11">
      <c r="A1968" s="12" t="s">
        <v>37</v>
      </c>
      <c r="B1968" s="86">
        <v>62.893905536315408</v>
      </c>
      <c r="C1968" s="84">
        <v>1.55</v>
      </c>
      <c r="E1968" s="84">
        <v>1E-3</v>
      </c>
      <c r="F1968" s="84">
        <v>1000</v>
      </c>
      <c r="G1968" s="87"/>
      <c r="H1968" s="87"/>
      <c r="I1968" s="12" t="s">
        <v>12</v>
      </c>
      <c r="J1968" s="92"/>
      <c r="K1968" s="84">
        <v>4.8995695535428903</v>
      </c>
    </row>
    <row r="1969" spans="1:11">
      <c r="A1969" s="12" t="s">
        <v>37</v>
      </c>
      <c r="B1969" s="86">
        <v>74.469468805219208</v>
      </c>
      <c r="C1969" s="84">
        <v>1.55</v>
      </c>
      <c r="E1969" s="84">
        <v>1E-3</v>
      </c>
      <c r="F1969" s="84">
        <v>1000</v>
      </c>
      <c r="G1969" s="87"/>
      <c r="H1969" s="87"/>
      <c r="I1969" s="12" t="s">
        <v>12</v>
      </c>
      <c r="J1969" s="92"/>
      <c r="K1969" s="84">
        <v>5.0258249813284301</v>
      </c>
    </row>
    <row r="1970" spans="1:11">
      <c r="A1970" s="12" t="s">
        <v>37</v>
      </c>
      <c r="B1970" s="86">
        <v>86.816724516778208</v>
      </c>
      <c r="C1970" s="84">
        <v>1.55</v>
      </c>
      <c r="E1970" s="84">
        <v>1E-3</v>
      </c>
      <c r="F1970" s="84">
        <v>1000</v>
      </c>
      <c r="G1970" s="87"/>
      <c r="H1970" s="87"/>
      <c r="I1970" s="12" t="s">
        <v>12</v>
      </c>
      <c r="J1970" s="92"/>
      <c r="K1970" s="84">
        <v>5.0373025683736197</v>
      </c>
    </row>
    <row r="1971" spans="1:11">
      <c r="A1971" s="12" t="s">
        <v>37</v>
      </c>
      <c r="B1971" s="86">
        <v>99.549855887844004</v>
      </c>
      <c r="C1971" s="84">
        <v>1.55</v>
      </c>
      <c r="E1971" s="84">
        <v>1E-3</v>
      </c>
      <c r="F1971" s="84">
        <v>1000</v>
      </c>
      <c r="G1971" s="87"/>
      <c r="H1971" s="87"/>
      <c r="I1971" s="12" t="s">
        <v>12</v>
      </c>
      <c r="J1971" s="92"/>
      <c r="K1971" s="84">
        <v>5.1578192026365697</v>
      </c>
    </row>
    <row r="1972" spans="1:11">
      <c r="A1972" s="12" t="s">
        <v>37</v>
      </c>
      <c r="B1972" s="86">
        <v>112.28295782073059</v>
      </c>
      <c r="C1972" s="84">
        <v>1.55</v>
      </c>
      <c r="E1972" s="84">
        <v>1E-3</v>
      </c>
      <c r="F1972" s="84">
        <v>1000</v>
      </c>
      <c r="G1972" s="87"/>
      <c r="H1972" s="87"/>
      <c r="I1972" s="12" t="s">
        <v>12</v>
      </c>
      <c r="J1972" s="92"/>
      <c r="K1972" s="84">
        <v>5.31850782939956</v>
      </c>
    </row>
    <row r="1973" spans="1:11">
      <c r="A1973" s="12" t="s">
        <v>37</v>
      </c>
      <c r="B1973" s="86">
        <v>124.2443967491412</v>
      </c>
      <c r="C1973" s="84">
        <v>1.55</v>
      </c>
      <c r="E1973" s="84">
        <v>1E-3</v>
      </c>
      <c r="F1973" s="84">
        <v>1000</v>
      </c>
      <c r="G1973" s="87"/>
      <c r="H1973" s="87"/>
      <c r="I1973" s="12" t="s">
        <v>12</v>
      </c>
      <c r="J1973" s="92"/>
      <c r="K1973" s="84">
        <v>5.43902424474157</v>
      </c>
    </row>
    <row r="1974" spans="1:11">
      <c r="A1974" s="12" t="s">
        <v>37</v>
      </c>
      <c r="B1974" s="86">
        <v>136.5916524607002</v>
      </c>
      <c r="C1974" s="84">
        <v>1.55</v>
      </c>
      <c r="E1974" s="84">
        <v>1E-3</v>
      </c>
      <c r="F1974" s="84">
        <v>1000</v>
      </c>
      <c r="G1974" s="87"/>
      <c r="H1974" s="87"/>
      <c r="I1974" s="12" t="s">
        <v>12</v>
      </c>
      <c r="J1974" s="92"/>
      <c r="K1974" s="84">
        <v>5.5480630730383798</v>
      </c>
    </row>
    <row r="1975" spans="1:11">
      <c r="A1975" s="12" t="s">
        <v>37</v>
      </c>
      <c r="B1975" s="86">
        <v>149.32478383176661</v>
      </c>
      <c r="C1975" s="84">
        <v>1.55</v>
      </c>
      <c r="E1975" s="84">
        <v>1E-3</v>
      </c>
      <c r="F1975" s="84">
        <v>1000</v>
      </c>
      <c r="G1975" s="87"/>
      <c r="H1975" s="87"/>
      <c r="I1975" s="12" t="s">
        <v>12</v>
      </c>
      <c r="J1975" s="92"/>
      <c r="K1975" s="84">
        <v>5.6513628888916703</v>
      </c>
    </row>
    <row r="1976" spans="1:11">
      <c r="A1976" s="12" t="s">
        <v>37</v>
      </c>
      <c r="B1976" s="86">
        <v>162.44373198598021</v>
      </c>
      <c r="C1976" s="84">
        <v>1.55</v>
      </c>
      <c r="E1976" s="84">
        <v>1E-3</v>
      </c>
      <c r="F1976" s="84">
        <v>1000</v>
      </c>
      <c r="G1976" s="87"/>
      <c r="H1976" s="87"/>
      <c r="I1976" s="12" t="s">
        <v>12</v>
      </c>
      <c r="J1976" s="92"/>
      <c r="K1976" s="84">
        <v>5.7890961226433397</v>
      </c>
    </row>
    <row r="1977" spans="1:11">
      <c r="A1977" s="12" t="s">
        <v>37</v>
      </c>
      <c r="B1977" s="86">
        <v>174.79101713571902</v>
      </c>
      <c r="C1977" s="84">
        <v>1.55</v>
      </c>
      <c r="E1977" s="84">
        <v>1E-3</v>
      </c>
      <c r="F1977" s="84">
        <v>1000</v>
      </c>
      <c r="G1977" s="87"/>
      <c r="H1977" s="87"/>
      <c r="I1977" s="12" t="s">
        <v>12</v>
      </c>
      <c r="J1977" s="92"/>
      <c r="K1977" s="84">
        <v>5.8407458116490396</v>
      </c>
    </row>
    <row r="1978" spans="1:11">
      <c r="A1978" s="12" t="s">
        <v>37</v>
      </c>
      <c r="B1978" s="86">
        <v>187.13827284727742</v>
      </c>
      <c r="C1978" s="84">
        <v>1.55</v>
      </c>
      <c r="E1978" s="84">
        <v>1E-3</v>
      </c>
      <c r="F1978" s="84">
        <v>1000</v>
      </c>
      <c r="G1978" s="87"/>
      <c r="H1978" s="87"/>
      <c r="I1978" s="12" t="s">
        <v>12</v>
      </c>
      <c r="J1978" s="92"/>
      <c r="K1978" s="84">
        <v>5.9727402518781103</v>
      </c>
    </row>
    <row r="1979" spans="1:11">
      <c r="A1979" s="12" t="s">
        <v>37</v>
      </c>
      <c r="B1979" s="86">
        <v>199.4855579970162</v>
      </c>
      <c r="C1979" s="84">
        <v>1.55</v>
      </c>
      <c r="E1979" s="84">
        <v>1E-3</v>
      </c>
      <c r="F1979" s="84">
        <v>1000</v>
      </c>
      <c r="G1979" s="87"/>
      <c r="H1979" s="87"/>
      <c r="I1979" s="12" t="s">
        <v>12</v>
      </c>
      <c r="J1979" s="92"/>
      <c r="K1979" s="84">
        <v>6.0186513662821604</v>
      </c>
    </row>
    <row r="1980" spans="1:11">
      <c r="A1980" s="12" t="s">
        <v>37</v>
      </c>
      <c r="B1980" s="86">
        <v>212.2186599299022</v>
      </c>
      <c r="C1980" s="84">
        <v>1.55</v>
      </c>
      <c r="E1980" s="84">
        <v>1E-3</v>
      </c>
      <c r="F1980" s="84">
        <v>1000</v>
      </c>
      <c r="G1980" s="87"/>
      <c r="H1980" s="87"/>
      <c r="I1980" s="12" t="s">
        <v>12</v>
      </c>
      <c r="J1980" s="92"/>
      <c r="K1980" s="84">
        <v>6.0989954607427199</v>
      </c>
    </row>
    <row r="1981" spans="1:11">
      <c r="A1981" s="12" t="s">
        <v>37</v>
      </c>
      <c r="B1981" s="86">
        <v>224.56594507964101</v>
      </c>
      <c r="C1981" s="84">
        <v>1.55</v>
      </c>
      <c r="E1981" s="84">
        <v>1E-3</v>
      </c>
      <c r="F1981" s="84">
        <v>1000</v>
      </c>
      <c r="G1981" s="87"/>
      <c r="H1981" s="87"/>
      <c r="I1981" s="12" t="s">
        <v>12</v>
      </c>
      <c r="J1981" s="92"/>
      <c r="K1981" s="84">
        <v>6.1850786771072697</v>
      </c>
    </row>
    <row r="1982" spans="1:11">
      <c r="A1982" s="12" t="s">
        <v>37</v>
      </c>
      <c r="B1982" s="86">
        <v>237.29904701252761</v>
      </c>
      <c r="C1982" s="84">
        <v>1.55</v>
      </c>
      <c r="E1982" s="84">
        <v>1E-3</v>
      </c>
      <c r="F1982" s="84">
        <v>1000</v>
      </c>
      <c r="G1982" s="87"/>
      <c r="H1982" s="87"/>
      <c r="I1982" s="12" t="s">
        <v>12</v>
      </c>
      <c r="J1982" s="92"/>
      <c r="K1982" s="84">
        <v>6.2367288039548603</v>
      </c>
    </row>
    <row r="1983" spans="1:11">
      <c r="A1983" s="12" t="s">
        <v>37</v>
      </c>
      <c r="B1983" s="86">
        <v>250.03217838359342</v>
      </c>
      <c r="C1983" s="84">
        <v>1.55</v>
      </c>
      <c r="E1983" s="84">
        <v>1E-3</v>
      </c>
      <c r="F1983" s="84">
        <v>1000</v>
      </c>
      <c r="G1983" s="87"/>
      <c r="H1983" s="87"/>
      <c r="I1983" s="12" t="s">
        <v>12</v>
      </c>
      <c r="J1983" s="92"/>
      <c r="K1983" s="84">
        <v>6.2883787118815002</v>
      </c>
    </row>
    <row r="1984" spans="1:11">
      <c r="A1984" s="12" t="s">
        <v>37</v>
      </c>
      <c r="B1984" s="86">
        <v>62.122183655481003</v>
      </c>
      <c r="C1984" s="84">
        <v>1.75</v>
      </c>
      <c r="E1984" s="84">
        <v>1E-3</v>
      </c>
      <c r="F1984" s="84">
        <v>1000</v>
      </c>
      <c r="G1984" s="87"/>
      <c r="H1984" s="87"/>
      <c r="I1984" s="12" t="s">
        <v>12</v>
      </c>
      <c r="J1984" s="92"/>
      <c r="K1984" s="84">
        <v>5.2324246130349996</v>
      </c>
    </row>
    <row r="1985" spans="1:11">
      <c r="A1985" s="12" t="s">
        <v>37</v>
      </c>
      <c r="B1985" s="86">
        <v>68.295840949440006</v>
      </c>
      <c r="C1985" s="84">
        <v>1.75</v>
      </c>
      <c r="E1985" s="84">
        <v>1E-3</v>
      </c>
      <c r="F1985" s="84">
        <v>1000</v>
      </c>
      <c r="G1985" s="87"/>
      <c r="H1985" s="87"/>
      <c r="I1985" s="12" t="s">
        <v>12</v>
      </c>
      <c r="J1985" s="92"/>
      <c r="K1985" s="84">
        <v>5.1922524016140201</v>
      </c>
    </row>
    <row r="1986" spans="1:11">
      <c r="A1986" s="12" t="s">
        <v>37</v>
      </c>
      <c r="B1986" s="86">
        <v>74.469468805219208</v>
      </c>
      <c r="C1986" s="84">
        <v>1.75</v>
      </c>
      <c r="E1986" s="84">
        <v>1E-3</v>
      </c>
      <c r="F1986" s="84">
        <v>1000</v>
      </c>
      <c r="G1986" s="87"/>
      <c r="H1986" s="87"/>
      <c r="I1986" s="12" t="s">
        <v>12</v>
      </c>
      <c r="J1986" s="92"/>
      <c r="K1986" s="84">
        <v>5.3127690358769604</v>
      </c>
    </row>
    <row r="1987" spans="1:11">
      <c r="A1987" s="12" t="s">
        <v>37</v>
      </c>
      <c r="B1987" s="86">
        <v>81.028942882326007</v>
      </c>
      <c r="C1987" s="84">
        <v>1.75</v>
      </c>
      <c r="E1987" s="84">
        <v>1E-3</v>
      </c>
      <c r="F1987" s="84">
        <v>1000</v>
      </c>
      <c r="G1987" s="87"/>
      <c r="H1987" s="87"/>
      <c r="I1987" s="12" t="s">
        <v>12</v>
      </c>
      <c r="J1987" s="92"/>
      <c r="K1987" s="84">
        <v>5.3988522522415199</v>
      </c>
    </row>
    <row r="1988" spans="1:11">
      <c r="A1988" s="12" t="s">
        <v>37</v>
      </c>
      <c r="B1988" s="86">
        <v>86.430878295450597</v>
      </c>
      <c r="C1988" s="84">
        <v>1.75</v>
      </c>
      <c r="E1988" s="84">
        <v>1E-3</v>
      </c>
      <c r="F1988" s="84">
        <v>1000</v>
      </c>
      <c r="G1988" s="87"/>
      <c r="H1988" s="87"/>
      <c r="I1988" s="12" t="s">
        <v>12</v>
      </c>
      <c r="J1988" s="92"/>
      <c r="K1988" s="84">
        <v>5.3529410283770096</v>
      </c>
    </row>
    <row r="1989" spans="1:11">
      <c r="A1989" s="12" t="s">
        <v>37</v>
      </c>
      <c r="B1989" s="86">
        <v>93.762074253392399</v>
      </c>
      <c r="C1989" s="84">
        <v>1.75</v>
      </c>
      <c r="E1989" s="84">
        <v>1E-3</v>
      </c>
      <c r="F1989" s="84">
        <v>1000</v>
      </c>
      <c r="G1989" s="87"/>
      <c r="H1989" s="87"/>
      <c r="I1989" s="12" t="s">
        <v>12</v>
      </c>
      <c r="J1989" s="92"/>
      <c r="K1989" s="84">
        <v>5.3529410283770096</v>
      </c>
    </row>
    <row r="1990" spans="1:11">
      <c r="A1990" s="12" t="s">
        <v>37</v>
      </c>
      <c r="B1990" s="86">
        <v>99.549855887844004</v>
      </c>
      <c r="C1990" s="84">
        <v>1.75</v>
      </c>
      <c r="E1990" s="84">
        <v>1E-3</v>
      </c>
      <c r="F1990" s="84">
        <v>1000</v>
      </c>
      <c r="G1990" s="87"/>
      <c r="H1990" s="87"/>
      <c r="I1990" s="12" t="s">
        <v>12</v>
      </c>
      <c r="J1990" s="92"/>
      <c r="K1990" s="84">
        <v>5.3816354338318604</v>
      </c>
    </row>
    <row r="1991" spans="1:11">
      <c r="A1991" s="12" t="s">
        <v>37</v>
      </c>
      <c r="B1991" s="86">
        <v>106.10932996495079</v>
      </c>
      <c r="C1991" s="84">
        <v>1.75</v>
      </c>
      <c r="E1991" s="84">
        <v>1E-3</v>
      </c>
      <c r="F1991" s="84">
        <v>1000</v>
      </c>
      <c r="G1991" s="87"/>
      <c r="H1991" s="87"/>
      <c r="I1991" s="12" t="s">
        <v>12</v>
      </c>
      <c r="J1991" s="92"/>
      <c r="K1991" s="84">
        <v>5.4275466576963796</v>
      </c>
    </row>
    <row r="1992" spans="1:11">
      <c r="A1992" s="12" t="s">
        <v>37</v>
      </c>
      <c r="B1992" s="86">
        <v>111.51126537807541</v>
      </c>
      <c r="C1992" s="84">
        <v>1.75</v>
      </c>
      <c r="E1992" s="84">
        <v>1E-3</v>
      </c>
      <c r="F1992" s="84">
        <v>1000</v>
      </c>
      <c r="G1992" s="87"/>
      <c r="H1992" s="87"/>
      <c r="I1992" s="12" t="s">
        <v>12</v>
      </c>
      <c r="J1992" s="92"/>
      <c r="K1992" s="84">
        <v>5.4964130556512698</v>
      </c>
    </row>
    <row r="1993" spans="1:11">
      <c r="A1993" s="12" t="s">
        <v>37</v>
      </c>
      <c r="B1993" s="86">
        <v>119.6141537786724</v>
      </c>
      <c r="C1993" s="84">
        <v>1.75</v>
      </c>
      <c r="E1993" s="84">
        <v>1E-3</v>
      </c>
      <c r="F1993" s="84">
        <v>1000</v>
      </c>
      <c r="G1993" s="87"/>
      <c r="H1993" s="87"/>
      <c r="I1993" s="12" t="s">
        <v>12</v>
      </c>
      <c r="J1993" s="92"/>
      <c r="K1993" s="84">
        <v>5.5767574784932403</v>
      </c>
    </row>
    <row r="1994" spans="1:11">
      <c r="A1994" s="12" t="s">
        <v>37</v>
      </c>
      <c r="B1994" s="86">
        <v>124.6302429704688</v>
      </c>
      <c r="C1994" s="84">
        <v>1.75</v>
      </c>
      <c r="E1994" s="84">
        <v>1E-3</v>
      </c>
      <c r="F1994" s="84">
        <v>1000</v>
      </c>
      <c r="G1994" s="87"/>
      <c r="H1994" s="87"/>
      <c r="I1994" s="12" t="s">
        <v>12</v>
      </c>
      <c r="J1994" s="92"/>
      <c r="K1994" s="84">
        <v>5.6571019013352002</v>
      </c>
    </row>
    <row r="1995" spans="1:11">
      <c r="A1995" s="12" t="s">
        <v>37</v>
      </c>
      <c r="B1995" s="86">
        <v>130.80387082624861</v>
      </c>
      <c r="C1995" s="84">
        <v>1.75</v>
      </c>
      <c r="E1995" s="84">
        <v>1E-3</v>
      </c>
      <c r="F1995" s="84">
        <v>1000</v>
      </c>
      <c r="G1995" s="87"/>
      <c r="H1995" s="87"/>
      <c r="I1995" s="12" t="s">
        <v>12</v>
      </c>
      <c r="J1995" s="92"/>
      <c r="K1995" s="84">
        <v>5.7317073117336301</v>
      </c>
    </row>
    <row r="1996" spans="1:11">
      <c r="A1996" s="12" t="s">
        <v>37</v>
      </c>
      <c r="B1996" s="86">
        <v>136.9774986820278</v>
      </c>
      <c r="C1996" s="84">
        <v>1.75</v>
      </c>
      <c r="E1996" s="84">
        <v>1E-3</v>
      </c>
      <c r="F1996" s="84">
        <v>1000</v>
      </c>
      <c r="G1996" s="87"/>
      <c r="H1996" s="87"/>
      <c r="I1996" s="12" t="s">
        <v>12</v>
      </c>
      <c r="J1996" s="92"/>
      <c r="K1996" s="84">
        <v>5.7833571101998</v>
      </c>
    </row>
    <row r="1997" spans="1:11">
      <c r="A1997" s="12" t="s">
        <v>37</v>
      </c>
      <c r="B1997" s="86">
        <v>143.92284841864199</v>
      </c>
      <c r="C1997" s="84">
        <v>1.75</v>
      </c>
      <c r="E1997" s="84">
        <v>1E-3</v>
      </c>
      <c r="F1997" s="84">
        <v>1000</v>
      </c>
      <c r="G1997" s="87"/>
      <c r="H1997" s="87"/>
      <c r="I1997" s="12" t="s">
        <v>12</v>
      </c>
      <c r="J1997" s="92"/>
      <c r="K1997" s="84">
        <v>5.7833571101998</v>
      </c>
    </row>
    <row r="1998" spans="1:11">
      <c r="A1998" s="12" t="s">
        <v>37</v>
      </c>
      <c r="B1998" s="86">
        <v>149.71063005309421</v>
      </c>
      <c r="C1998" s="84">
        <v>1.75</v>
      </c>
      <c r="E1998" s="84">
        <v>1E-3</v>
      </c>
      <c r="F1998" s="84">
        <v>1000</v>
      </c>
      <c r="G1998" s="87"/>
      <c r="H1998" s="87"/>
      <c r="I1998" s="12" t="s">
        <v>12</v>
      </c>
      <c r="J1998" s="92"/>
      <c r="K1998" s="84">
        <v>5.8694402171038904</v>
      </c>
    </row>
    <row r="1999" spans="1:11">
      <c r="A1999" s="12" t="s">
        <v>37</v>
      </c>
      <c r="B1999" s="86">
        <v>156.27010413020102</v>
      </c>
      <c r="C1999" s="84">
        <v>1.75</v>
      </c>
      <c r="E1999" s="84">
        <v>1E-3</v>
      </c>
      <c r="F1999" s="84">
        <v>1000</v>
      </c>
      <c r="G1999" s="87"/>
      <c r="H1999" s="87"/>
      <c r="I1999" s="12" t="s">
        <v>12</v>
      </c>
      <c r="J1999" s="92"/>
      <c r="K1999" s="84">
        <v>5.90387374446275</v>
      </c>
    </row>
    <row r="2000" spans="1:11">
      <c r="A2000" s="12" t="s">
        <v>37</v>
      </c>
      <c r="B2000" s="86">
        <v>162.44373198598021</v>
      </c>
      <c r="C2000" s="84">
        <v>1.75</v>
      </c>
      <c r="E2000" s="84">
        <v>1E-3</v>
      </c>
      <c r="F2000" s="84">
        <v>1000</v>
      </c>
      <c r="G2000" s="87"/>
      <c r="H2000" s="87"/>
      <c r="I2000" s="12" t="s">
        <v>12</v>
      </c>
      <c r="J2000" s="92"/>
      <c r="K2000" s="84">
        <v>5.9497847494063301</v>
      </c>
    </row>
    <row r="2001" spans="1:11">
      <c r="A2001" s="12" t="s">
        <v>37</v>
      </c>
      <c r="B2001" s="86">
        <v>169.0032355012668</v>
      </c>
      <c r="C2001" s="84">
        <v>1.75</v>
      </c>
      <c r="E2001" s="84">
        <v>1E-3</v>
      </c>
      <c r="F2001" s="84">
        <v>1000</v>
      </c>
      <c r="G2001" s="87"/>
      <c r="H2001" s="87"/>
      <c r="I2001" s="12" t="s">
        <v>12</v>
      </c>
      <c r="J2001" s="92"/>
      <c r="K2001" s="84">
        <v>5.9842178389232998</v>
      </c>
    </row>
    <row r="2002" spans="1:11">
      <c r="A2002" s="12" t="s">
        <v>37</v>
      </c>
      <c r="B2002" s="86">
        <v>174.40517091439139</v>
      </c>
      <c r="C2002" s="84">
        <v>1.75</v>
      </c>
      <c r="E2002" s="84">
        <v>1E-3</v>
      </c>
      <c r="F2002" s="84">
        <v>1000</v>
      </c>
      <c r="G2002" s="87"/>
      <c r="H2002" s="87"/>
      <c r="I2002" s="12" t="s">
        <v>12</v>
      </c>
      <c r="J2002" s="92"/>
      <c r="K2002" s="84">
        <v>6.0129122443781604</v>
      </c>
    </row>
    <row r="2003" spans="1:11">
      <c r="A2003" s="12" t="s">
        <v>37</v>
      </c>
      <c r="B2003" s="86">
        <v>180.9646449914982</v>
      </c>
      <c r="C2003" s="84">
        <v>1.75</v>
      </c>
      <c r="E2003" s="84">
        <v>1E-3</v>
      </c>
      <c r="F2003" s="84">
        <v>1000</v>
      </c>
      <c r="G2003" s="87"/>
      <c r="H2003" s="87"/>
      <c r="I2003" s="12" t="s">
        <v>12</v>
      </c>
      <c r="J2003" s="92"/>
      <c r="K2003" s="84">
        <v>6.0932567766805903</v>
      </c>
    </row>
    <row r="2004" spans="1:11">
      <c r="A2004" s="12" t="s">
        <v>37</v>
      </c>
      <c r="B2004" s="86">
        <v>185.9807341832952</v>
      </c>
      <c r="C2004" s="84">
        <v>1.75</v>
      </c>
      <c r="E2004" s="84">
        <v>1E-3</v>
      </c>
      <c r="F2004" s="84">
        <v>1000</v>
      </c>
      <c r="G2004" s="87"/>
      <c r="H2004" s="87"/>
      <c r="I2004" s="12" t="s">
        <v>12</v>
      </c>
      <c r="J2004" s="92"/>
      <c r="K2004" s="84">
        <v>6.1449066846072302</v>
      </c>
    </row>
    <row r="2005" spans="1:11">
      <c r="A2005" s="12" t="s">
        <v>37</v>
      </c>
      <c r="B2005" s="86">
        <v>192.92605448172961</v>
      </c>
      <c r="C2005" s="84">
        <v>1.75</v>
      </c>
      <c r="E2005" s="84">
        <v>1E-3</v>
      </c>
      <c r="F2005" s="84">
        <v>1000</v>
      </c>
      <c r="G2005" s="87"/>
      <c r="H2005" s="87"/>
      <c r="I2005" s="12" t="s">
        <v>12</v>
      </c>
      <c r="J2005" s="92"/>
      <c r="K2005" s="84">
        <v>6.1850786771072697</v>
      </c>
    </row>
    <row r="2006" spans="1:11">
      <c r="A2006" s="12" t="s">
        <v>37</v>
      </c>
      <c r="B2006" s="86">
        <v>199.8714042183438</v>
      </c>
      <c r="C2006" s="84">
        <v>1.75</v>
      </c>
      <c r="E2006" s="84">
        <v>1E-3</v>
      </c>
      <c r="F2006" s="84">
        <v>1000</v>
      </c>
      <c r="G2006" s="87"/>
      <c r="H2006" s="87"/>
      <c r="I2006" s="12" t="s">
        <v>12</v>
      </c>
      <c r="J2006" s="92"/>
      <c r="K2006" s="84">
        <v>6.2769010153758398</v>
      </c>
    </row>
    <row r="2007" spans="1:11">
      <c r="A2007" s="12" t="s">
        <v>37</v>
      </c>
      <c r="B2007" s="86">
        <v>206.04503207412301</v>
      </c>
      <c r="C2007" s="84">
        <v>1.75</v>
      </c>
      <c r="E2007" s="84">
        <v>1E-3</v>
      </c>
      <c r="F2007" s="84">
        <v>1000</v>
      </c>
      <c r="G2007" s="87"/>
      <c r="H2007" s="87"/>
      <c r="I2007" s="12" t="s">
        <v>12</v>
      </c>
      <c r="J2007" s="92"/>
      <c r="K2007" s="84">
        <v>6.2482066099209899</v>
      </c>
    </row>
    <row r="2008" spans="1:11">
      <c r="A2008" s="12" t="s">
        <v>37</v>
      </c>
      <c r="B2008" s="86">
        <v>212.2186599299022</v>
      </c>
      <c r="C2008" s="84">
        <v>1.75</v>
      </c>
      <c r="E2008" s="84">
        <v>1E-3</v>
      </c>
      <c r="F2008" s="84">
        <v>1000</v>
      </c>
      <c r="G2008" s="87"/>
      <c r="H2008" s="87"/>
      <c r="I2008" s="12" t="s">
        <v>12</v>
      </c>
      <c r="J2008" s="92"/>
      <c r="K2008" s="84">
        <v>6.2998562989266897</v>
      </c>
    </row>
    <row r="2009" spans="1:11">
      <c r="A2009" s="12" t="s">
        <v>37</v>
      </c>
      <c r="B2009" s="86">
        <v>219.16400966651639</v>
      </c>
      <c r="C2009" s="84">
        <v>1.75</v>
      </c>
      <c r="E2009" s="84">
        <v>1E-3</v>
      </c>
      <c r="F2009" s="84">
        <v>1000</v>
      </c>
      <c r="G2009" s="87"/>
      <c r="H2009" s="87"/>
      <c r="I2009" s="12" t="s">
        <v>12</v>
      </c>
      <c r="J2009" s="92"/>
      <c r="K2009" s="84">
        <v>6.3457675227912</v>
      </c>
    </row>
    <row r="2010" spans="1:11">
      <c r="A2010" s="12" t="s">
        <v>37</v>
      </c>
      <c r="B2010" s="86">
        <v>224.56594507964101</v>
      </c>
      <c r="C2010" s="84">
        <v>1.75</v>
      </c>
      <c r="E2010" s="84">
        <v>1E-3</v>
      </c>
      <c r="F2010" s="84">
        <v>1000</v>
      </c>
      <c r="G2010" s="87"/>
      <c r="H2010" s="87"/>
      <c r="I2010" s="12" t="s">
        <v>12</v>
      </c>
      <c r="J2010" s="92"/>
      <c r="K2010" s="84">
        <v>6.3285507043815397</v>
      </c>
    </row>
    <row r="2011" spans="1:11">
      <c r="A2011" s="12" t="s">
        <v>37</v>
      </c>
      <c r="B2011" s="86">
        <v>229.96785105458579</v>
      </c>
      <c r="C2011" s="84">
        <v>1.75</v>
      </c>
      <c r="E2011" s="84">
        <v>1E-3</v>
      </c>
      <c r="F2011" s="84">
        <v>1000</v>
      </c>
      <c r="G2011" s="87"/>
      <c r="H2011" s="87"/>
      <c r="I2011" s="12" t="s">
        <v>12</v>
      </c>
      <c r="J2011" s="92"/>
      <c r="K2011" s="84">
        <v>6.4031563337009096</v>
      </c>
    </row>
    <row r="2012" spans="1:11">
      <c r="A2012" s="12" t="s">
        <v>37</v>
      </c>
      <c r="B2012" s="86">
        <v>236.14147891036501</v>
      </c>
      <c r="C2012" s="84">
        <v>1.75</v>
      </c>
      <c r="E2012" s="84">
        <v>1E-3</v>
      </c>
      <c r="F2012" s="84">
        <v>1000</v>
      </c>
      <c r="G2012" s="87"/>
      <c r="H2012" s="87"/>
      <c r="I2012" s="12" t="s">
        <v>12</v>
      </c>
      <c r="J2012" s="92"/>
      <c r="K2012" s="84">
        <v>6.4261118361726997</v>
      </c>
    </row>
    <row r="2013" spans="1:11">
      <c r="A2013" s="12" t="s">
        <v>37</v>
      </c>
      <c r="B2013" s="86">
        <v>241.157568102162</v>
      </c>
      <c r="C2013" s="84">
        <v>1.75</v>
      </c>
      <c r="E2013" s="84">
        <v>1E-3</v>
      </c>
      <c r="F2013" s="84">
        <v>1000</v>
      </c>
      <c r="G2013" s="87"/>
      <c r="H2013" s="87"/>
      <c r="I2013" s="12" t="s">
        <v>12</v>
      </c>
      <c r="J2013" s="92"/>
      <c r="K2013" s="84">
        <v>6.4146339207461001</v>
      </c>
    </row>
    <row r="2014" spans="1:11">
      <c r="A2014" s="12" t="s">
        <v>37</v>
      </c>
      <c r="B2014" s="86">
        <v>249.64630272408601</v>
      </c>
      <c r="C2014" s="84">
        <v>1.75</v>
      </c>
      <c r="E2014" s="84">
        <v>1E-3</v>
      </c>
      <c r="F2014" s="84">
        <v>1000</v>
      </c>
      <c r="G2014" s="87"/>
      <c r="H2014" s="87"/>
      <c r="I2014" s="12" t="s">
        <v>12</v>
      </c>
      <c r="J2014" s="92"/>
      <c r="K2014" s="84">
        <v>6.4605451446106201</v>
      </c>
    </row>
    <row r="2015" spans="1:11">
      <c r="A2015" s="12" t="s">
        <v>37</v>
      </c>
      <c r="B2015" s="86">
        <v>68.681687170767603</v>
      </c>
      <c r="C2015" s="84">
        <v>2.06</v>
      </c>
      <c r="E2015" s="84">
        <v>1E-3</v>
      </c>
      <c r="F2015" s="84">
        <v>1000</v>
      </c>
      <c r="G2015" s="87"/>
      <c r="H2015" s="87"/>
      <c r="I2015" s="12" t="s">
        <v>12</v>
      </c>
      <c r="J2015" s="92"/>
      <c r="K2015" s="84">
        <v>5.3873744462753903</v>
      </c>
    </row>
    <row r="2016" spans="1:11">
      <c r="A2016" s="12" t="s">
        <v>37</v>
      </c>
      <c r="B2016" s="85">
        <v>74.083622583891596</v>
      </c>
      <c r="C2016" s="84">
        <v>2.06</v>
      </c>
      <c r="E2016" s="84">
        <v>1E-3</v>
      </c>
      <c r="F2016" s="84">
        <v>1000</v>
      </c>
      <c r="G2016" s="87"/>
      <c r="H2016" s="87"/>
      <c r="I2016" s="12" t="s">
        <v>12</v>
      </c>
      <c r="J2016" s="92"/>
      <c r="K2016" s="84">
        <v>5.4791964561625504</v>
      </c>
    </row>
    <row r="2017" spans="1:11">
      <c r="A2017" s="12" t="s">
        <v>37</v>
      </c>
      <c r="B2017" s="85">
        <v>81.028942882326007</v>
      </c>
      <c r="C2017" s="84">
        <v>2.06</v>
      </c>
      <c r="E2017" s="84">
        <v>1E-3</v>
      </c>
      <c r="F2017" s="84">
        <v>1000</v>
      </c>
      <c r="G2017" s="87"/>
      <c r="H2017" s="87"/>
      <c r="I2017" s="12" t="s">
        <v>12</v>
      </c>
      <c r="J2017" s="92"/>
      <c r="K2017" s="84">
        <v>5.5308464735496603</v>
      </c>
    </row>
    <row r="2018" spans="1:11">
      <c r="A2018" s="12" t="s">
        <v>37</v>
      </c>
      <c r="B2018" s="85">
        <v>87.5884463976126</v>
      </c>
      <c r="C2018" s="84">
        <v>2.06</v>
      </c>
      <c r="E2018" s="84">
        <v>1E-3</v>
      </c>
      <c r="F2018" s="84">
        <v>1000</v>
      </c>
      <c r="G2018" s="87"/>
      <c r="H2018" s="87"/>
      <c r="I2018" s="12" t="s">
        <v>12</v>
      </c>
      <c r="J2018" s="92"/>
      <c r="K2018" s="84">
        <v>5.4791964561625504</v>
      </c>
    </row>
    <row r="2019" spans="1:11">
      <c r="A2019" s="12" t="s">
        <v>37</v>
      </c>
      <c r="B2019" s="85">
        <v>94.147920474719996</v>
      </c>
      <c r="C2019" s="84">
        <v>2.06</v>
      </c>
      <c r="E2019" s="84">
        <v>1E-3</v>
      </c>
      <c r="F2019" s="84">
        <v>1000</v>
      </c>
      <c r="G2019" s="87"/>
      <c r="H2019" s="87"/>
      <c r="I2019" s="12" t="s">
        <v>12</v>
      </c>
      <c r="J2019" s="92"/>
      <c r="K2019" s="84">
        <v>5.4447632571850999</v>
      </c>
    </row>
    <row r="2020" spans="1:11">
      <c r="A2020" s="12" t="s">
        <v>37</v>
      </c>
      <c r="B2020" s="85">
        <v>99.935702109171586</v>
      </c>
      <c r="C2020" s="84">
        <v>2.06</v>
      </c>
      <c r="E2020" s="84">
        <v>1E-3</v>
      </c>
      <c r="F2020" s="84">
        <v>1000</v>
      </c>
      <c r="G2020" s="87"/>
      <c r="H2020" s="87"/>
      <c r="I2020" s="12" t="s">
        <v>12</v>
      </c>
      <c r="J2020" s="92"/>
      <c r="K2020" s="84">
        <v>5.5308464735496603</v>
      </c>
    </row>
    <row r="2021" spans="1:11">
      <c r="A2021" s="12" t="s">
        <v>37</v>
      </c>
      <c r="B2021" s="85">
        <v>105.7234837436238</v>
      </c>
      <c r="C2021" s="84">
        <v>2.06</v>
      </c>
      <c r="E2021" s="84">
        <v>1E-3</v>
      </c>
      <c r="F2021" s="84">
        <v>1000</v>
      </c>
      <c r="G2021" s="87"/>
      <c r="H2021" s="87"/>
      <c r="I2021" s="12" t="s">
        <v>12</v>
      </c>
      <c r="J2021" s="92"/>
      <c r="K2021" s="84">
        <v>5.5193686675835298</v>
      </c>
    </row>
    <row r="2022" spans="1:11">
      <c r="A2022" s="12" t="s">
        <v>37</v>
      </c>
      <c r="B2022" s="85">
        <v>111.51126537807541</v>
      </c>
      <c r="C2022" s="84">
        <v>2.06</v>
      </c>
      <c r="E2022" s="84">
        <v>1E-3</v>
      </c>
      <c r="F2022" s="84">
        <v>1000</v>
      </c>
      <c r="G2022" s="87"/>
      <c r="H2022" s="87"/>
      <c r="I2022" s="12" t="s">
        <v>12</v>
      </c>
      <c r="J2022" s="92"/>
      <c r="K2022" s="84">
        <v>5.5824962720158302</v>
      </c>
    </row>
    <row r="2023" spans="1:11">
      <c r="A2023" s="12" t="s">
        <v>37</v>
      </c>
      <c r="B2023" s="85">
        <v>118.4566151146896</v>
      </c>
      <c r="C2023" s="84">
        <v>2.06</v>
      </c>
      <c r="E2023" s="84">
        <v>1E-3</v>
      </c>
      <c r="F2023" s="84">
        <v>1000</v>
      </c>
      <c r="G2023" s="87"/>
      <c r="H2023" s="87"/>
      <c r="I2023" s="12" t="s">
        <v>12</v>
      </c>
      <c r="J2023" s="92"/>
      <c r="K2023" s="84">
        <v>5.6571019013352002</v>
      </c>
    </row>
    <row r="2024" spans="1:11">
      <c r="A2024" s="12" t="s">
        <v>37</v>
      </c>
      <c r="B2024" s="85">
        <v>123.85852108963439</v>
      </c>
      <c r="C2024" s="84">
        <v>2.06</v>
      </c>
      <c r="E2024" s="84">
        <v>1E-3</v>
      </c>
      <c r="F2024" s="84">
        <v>1000</v>
      </c>
      <c r="G2024" s="87"/>
      <c r="H2024" s="87"/>
      <c r="I2024" s="12" t="s">
        <v>12</v>
      </c>
      <c r="J2024" s="92"/>
      <c r="K2024" s="84">
        <v>5.7144907122449098</v>
      </c>
    </row>
    <row r="2025" spans="1:11">
      <c r="A2025" s="12" t="s">
        <v>37</v>
      </c>
      <c r="B2025" s="85">
        <v>130.80387082624861</v>
      </c>
      <c r="C2025" s="84">
        <v>2.06</v>
      </c>
      <c r="E2025" s="84">
        <v>1E-3</v>
      </c>
      <c r="F2025" s="84">
        <v>1000</v>
      </c>
      <c r="G2025" s="87"/>
      <c r="H2025" s="87"/>
      <c r="I2025" s="12" t="s">
        <v>12</v>
      </c>
      <c r="J2025" s="92"/>
      <c r="K2025" s="84">
        <v>5.8120515156546597</v>
      </c>
    </row>
    <row r="2026" spans="1:11">
      <c r="A2026" s="12" t="s">
        <v>37</v>
      </c>
      <c r="B2026" s="85">
        <v>136.5916524607002</v>
      </c>
      <c r="C2026" s="84">
        <v>2.06</v>
      </c>
      <c r="E2026" s="84">
        <v>1E-3</v>
      </c>
      <c r="F2026" s="84">
        <v>1000</v>
      </c>
      <c r="G2026" s="87"/>
      <c r="H2026" s="87"/>
      <c r="I2026" s="12" t="s">
        <v>12</v>
      </c>
      <c r="J2026" s="92"/>
      <c r="K2026" s="84">
        <v>5.9096126474458099</v>
      </c>
    </row>
    <row r="2027" spans="1:11">
      <c r="A2027" s="12" t="s">
        <v>37</v>
      </c>
      <c r="B2027" s="85">
        <v>142.76528031648002</v>
      </c>
      <c r="C2027" s="84">
        <v>2.06</v>
      </c>
      <c r="E2027" s="84">
        <v>1E-3</v>
      </c>
      <c r="F2027" s="84">
        <v>1000</v>
      </c>
      <c r="G2027" s="87"/>
      <c r="H2027" s="87"/>
      <c r="I2027" s="12" t="s">
        <v>12</v>
      </c>
      <c r="J2027" s="92"/>
      <c r="K2027" s="84">
        <v>5.9153514409684096</v>
      </c>
    </row>
    <row r="2028" spans="1:11">
      <c r="A2028" s="12" t="s">
        <v>37</v>
      </c>
      <c r="B2028" s="85">
        <v>149.32478383176661</v>
      </c>
      <c r="C2028" s="84">
        <v>2.06</v>
      </c>
      <c r="E2028" s="84">
        <v>1E-3</v>
      </c>
      <c r="F2028" s="84">
        <v>1000</v>
      </c>
      <c r="G2028" s="87"/>
      <c r="H2028" s="87"/>
      <c r="I2028" s="12" t="s">
        <v>12</v>
      </c>
      <c r="J2028" s="92"/>
      <c r="K2028" s="84">
        <v>5.9555234334684499</v>
      </c>
    </row>
    <row r="2029" spans="1:11">
      <c r="A2029" s="12" t="s">
        <v>37</v>
      </c>
      <c r="B2029" s="85">
        <v>156.65595035152859</v>
      </c>
      <c r="C2029" s="84">
        <v>2.06</v>
      </c>
      <c r="E2029" s="84">
        <v>1E-3</v>
      </c>
      <c r="F2029" s="84">
        <v>1000</v>
      </c>
      <c r="G2029" s="87"/>
      <c r="H2029" s="87"/>
      <c r="I2029" s="12" t="s">
        <v>12</v>
      </c>
      <c r="J2029" s="92"/>
      <c r="K2029" s="84">
        <v>6.0129122443781604</v>
      </c>
    </row>
    <row r="2030" spans="1:11">
      <c r="A2030" s="12" t="s">
        <v>37</v>
      </c>
      <c r="B2030" s="85">
        <v>163.21545386681521</v>
      </c>
      <c r="C2030" s="84">
        <v>2.06</v>
      </c>
      <c r="E2030" s="84">
        <v>1E-3</v>
      </c>
      <c r="F2030" s="84">
        <v>1000</v>
      </c>
      <c r="G2030" s="87"/>
      <c r="H2030" s="87"/>
      <c r="I2030" s="12" t="s">
        <v>12</v>
      </c>
      <c r="J2030" s="92"/>
      <c r="K2030" s="84">
        <v>6.0703010552878602</v>
      </c>
    </row>
    <row r="2031" spans="1:11">
      <c r="A2031" s="12" t="s">
        <v>37</v>
      </c>
      <c r="B2031" s="85">
        <v>168.6173892799392</v>
      </c>
      <c r="C2031" s="84">
        <v>2.06</v>
      </c>
      <c r="E2031" s="84">
        <v>1E-3</v>
      </c>
      <c r="F2031" s="84">
        <v>1000</v>
      </c>
      <c r="G2031" s="87"/>
      <c r="H2031" s="87"/>
      <c r="I2031" s="12" t="s">
        <v>12</v>
      </c>
      <c r="J2031" s="92"/>
      <c r="K2031" s="84">
        <v>6.1506455875902999</v>
      </c>
    </row>
    <row r="2032" spans="1:11">
      <c r="A2032" s="12" t="s">
        <v>37</v>
      </c>
      <c r="B2032" s="85">
        <v>174.79101713571902</v>
      </c>
      <c r="C2032" s="84">
        <v>2.06</v>
      </c>
      <c r="E2032" s="84">
        <v>1E-3</v>
      </c>
      <c r="F2032" s="84">
        <v>1000</v>
      </c>
      <c r="G2032" s="87"/>
      <c r="H2032" s="87"/>
      <c r="I2032" s="12" t="s">
        <v>12</v>
      </c>
      <c r="J2032" s="92"/>
      <c r="K2032" s="84">
        <v>6.1506455875902999</v>
      </c>
    </row>
    <row r="2033" spans="1:11">
      <c r="A2033" s="12" t="s">
        <v>37</v>
      </c>
      <c r="B2033" s="85">
        <v>181.3504912128258</v>
      </c>
      <c r="C2033" s="84">
        <v>2.06</v>
      </c>
      <c r="E2033" s="84">
        <v>1E-3</v>
      </c>
      <c r="F2033" s="84">
        <v>1000</v>
      </c>
      <c r="G2033" s="87"/>
      <c r="H2033" s="87"/>
      <c r="I2033" s="12" t="s">
        <v>12</v>
      </c>
      <c r="J2033" s="92"/>
      <c r="K2033" s="84">
        <v>6.2309899009717897</v>
      </c>
    </row>
    <row r="2034" spans="1:11">
      <c r="A2034" s="12" t="s">
        <v>37</v>
      </c>
      <c r="B2034" s="85">
        <v>186.75242662594979</v>
      </c>
      <c r="C2034" s="84">
        <v>2.06</v>
      </c>
      <c r="E2034" s="84">
        <v>1E-3</v>
      </c>
      <c r="F2034" s="84">
        <v>1000</v>
      </c>
      <c r="G2034" s="87"/>
      <c r="H2034" s="87"/>
      <c r="I2034" s="12" t="s">
        <v>12</v>
      </c>
      <c r="J2034" s="92"/>
      <c r="K2034" s="84">
        <v>6.2654232094097102</v>
      </c>
    </row>
    <row r="2035" spans="1:11">
      <c r="A2035" s="12" t="s">
        <v>37</v>
      </c>
      <c r="B2035" s="85">
        <v>192.92605448172961</v>
      </c>
      <c r="C2035" s="84">
        <v>2.06</v>
      </c>
      <c r="E2035" s="84">
        <v>1E-3</v>
      </c>
      <c r="F2035" s="84">
        <v>1000</v>
      </c>
      <c r="G2035" s="87"/>
      <c r="H2035" s="87"/>
      <c r="I2035" s="12" t="s">
        <v>12</v>
      </c>
      <c r="J2035" s="92"/>
      <c r="K2035" s="84">
        <v>6.3113342143532902</v>
      </c>
    </row>
    <row r="2036" spans="1:11">
      <c r="A2036" s="12" t="s">
        <v>37</v>
      </c>
      <c r="B2036" s="85">
        <v>199.0996823375088</v>
      </c>
      <c r="C2036" s="84">
        <v>2.06</v>
      </c>
      <c r="E2036" s="84">
        <v>1E-3</v>
      </c>
      <c r="F2036" s="84">
        <v>1000</v>
      </c>
      <c r="G2036" s="87"/>
      <c r="H2036" s="87"/>
      <c r="I2036" s="12" t="s">
        <v>12</v>
      </c>
      <c r="J2036" s="92"/>
      <c r="K2036" s="84">
        <v>6.3572451098363896</v>
      </c>
    </row>
    <row r="2037" spans="1:11">
      <c r="A2037" s="12" t="s">
        <v>37</v>
      </c>
      <c r="B2037" s="85">
        <v>50.628008450567101</v>
      </c>
      <c r="C2037" s="84">
        <v>1.55</v>
      </c>
      <c r="E2037" s="84">
        <v>1E-3</v>
      </c>
      <c r="F2037" s="84">
        <v>1000</v>
      </c>
      <c r="G2037" s="87"/>
      <c r="H2037" s="87"/>
      <c r="I2037" s="12" t="s">
        <v>12</v>
      </c>
      <c r="J2037" s="92"/>
      <c r="K2037" s="84">
        <v>4.8160919436281997</v>
      </c>
    </row>
    <row r="2038" spans="1:11">
      <c r="A2038" s="12" t="s">
        <v>37</v>
      </c>
      <c r="B2038" s="85">
        <v>61.835742714727203</v>
      </c>
      <c r="C2038" s="84">
        <v>1.55</v>
      </c>
      <c r="E2038" s="84">
        <v>1E-3</v>
      </c>
      <c r="F2038" s="84">
        <v>1000</v>
      </c>
      <c r="G2038" s="87"/>
      <c r="H2038" s="87"/>
      <c r="I2038" s="12" t="s">
        <v>12</v>
      </c>
      <c r="J2038" s="92"/>
      <c r="K2038" s="84">
        <v>4.9022988373449801</v>
      </c>
    </row>
    <row r="2039" spans="1:11">
      <c r="A2039" s="12" t="s">
        <v>37</v>
      </c>
      <c r="B2039" s="85">
        <v>75.362311433573993</v>
      </c>
      <c r="C2039" s="84">
        <v>1.55</v>
      </c>
      <c r="E2039" s="84">
        <v>1E-3</v>
      </c>
      <c r="F2039" s="84">
        <v>1000</v>
      </c>
      <c r="G2039" s="87"/>
      <c r="H2039" s="87"/>
      <c r="I2039" s="12" t="s">
        <v>12</v>
      </c>
      <c r="J2039" s="92"/>
      <c r="K2039" s="84">
        <v>5.02298851047202</v>
      </c>
    </row>
    <row r="2040" spans="1:11">
      <c r="A2040" s="12" t="s">
        <v>37</v>
      </c>
      <c r="B2040" s="85">
        <v>87.729477667867201</v>
      </c>
      <c r="C2040" s="84">
        <v>1.55</v>
      </c>
      <c r="E2040" s="84">
        <v>1E-3</v>
      </c>
      <c r="F2040" s="84">
        <v>1000</v>
      </c>
      <c r="G2040" s="87"/>
      <c r="H2040" s="87"/>
      <c r="I2040" s="12" t="s">
        <v>12</v>
      </c>
      <c r="J2040" s="92"/>
      <c r="K2040" s="84">
        <v>5.0402299549860201</v>
      </c>
    </row>
    <row r="2041" spans="1:11">
      <c r="A2041" s="12" t="s">
        <v>37</v>
      </c>
      <c r="B2041" s="85">
        <v>100.483081911432</v>
      </c>
      <c r="C2041" s="84">
        <v>1.55</v>
      </c>
      <c r="E2041" s="84">
        <v>1E-3</v>
      </c>
      <c r="F2041" s="84">
        <v>1000</v>
      </c>
      <c r="G2041" s="87"/>
      <c r="H2041" s="87"/>
      <c r="I2041" s="12" t="s">
        <v>12</v>
      </c>
      <c r="J2041" s="92"/>
      <c r="K2041" s="84">
        <v>5.1724138148379897</v>
      </c>
    </row>
    <row r="2042" spans="1:11">
      <c r="A2042" s="12" t="s">
        <v>37</v>
      </c>
      <c r="B2042" s="85">
        <v>112.8502481457252</v>
      </c>
      <c r="C2042" s="84">
        <v>1.55</v>
      </c>
      <c r="E2042" s="84">
        <v>1E-3</v>
      </c>
      <c r="F2042" s="84">
        <v>1000</v>
      </c>
      <c r="G2042" s="87"/>
      <c r="H2042" s="87"/>
      <c r="I2042" s="12" t="s">
        <v>12</v>
      </c>
      <c r="J2042" s="92"/>
      <c r="K2042" s="84">
        <v>5.33620693482343</v>
      </c>
    </row>
    <row r="2043" spans="1:11">
      <c r="A2043" s="12" t="s">
        <v>37</v>
      </c>
      <c r="B2043" s="85">
        <v>125.21738489443861</v>
      </c>
      <c r="C2043" s="84">
        <v>1.55</v>
      </c>
      <c r="E2043" s="84">
        <v>1E-3</v>
      </c>
      <c r="F2043" s="84">
        <v>1000</v>
      </c>
      <c r="G2043" s="87"/>
      <c r="H2043" s="87"/>
      <c r="I2043" s="12" t="s">
        <v>12</v>
      </c>
      <c r="J2043" s="92"/>
      <c r="K2043" s="84">
        <v>5.4482759405023398</v>
      </c>
    </row>
    <row r="2044" spans="1:11">
      <c r="A2044" s="12" t="s">
        <v>37</v>
      </c>
      <c r="B2044" s="85">
        <v>137.97101862358321</v>
      </c>
      <c r="C2044" s="84">
        <v>1.55</v>
      </c>
      <c r="E2044" s="84">
        <v>1E-3</v>
      </c>
      <c r="F2044" s="84">
        <v>1000</v>
      </c>
      <c r="G2044" s="87"/>
      <c r="H2044" s="87"/>
      <c r="I2044" s="12" t="s">
        <v>12</v>
      </c>
      <c r="J2044" s="92"/>
      <c r="K2044" s="84">
        <v>5.5373563534959196</v>
      </c>
    </row>
    <row r="2045" spans="1:11">
      <c r="A2045" s="12" t="s">
        <v>37</v>
      </c>
      <c r="B2045" s="86">
        <v>150.72462286714799</v>
      </c>
      <c r="C2045" s="84">
        <v>1.55</v>
      </c>
      <c r="E2045" s="84">
        <v>1E-3</v>
      </c>
      <c r="F2045" s="84">
        <v>1000</v>
      </c>
      <c r="G2045" s="87"/>
      <c r="H2045" s="87"/>
      <c r="I2045" s="12" t="s">
        <v>12</v>
      </c>
      <c r="J2045" s="92"/>
      <c r="K2045" s="84">
        <v>5.6494253591748302</v>
      </c>
    </row>
    <row r="2046" spans="1:11">
      <c r="A2046" s="12" t="s">
        <v>37</v>
      </c>
      <c r="B2046" s="85">
        <v>37.101439731720539</v>
      </c>
      <c r="C2046" s="84">
        <v>1.55</v>
      </c>
      <c r="E2046" s="84">
        <v>5.0000000000000001E-3</v>
      </c>
      <c r="F2046" s="84">
        <v>1122</v>
      </c>
      <c r="I2046" s="84" t="s">
        <v>12</v>
      </c>
      <c r="K2046" s="84">
        <v>4.5545977432010503</v>
      </c>
    </row>
    <row r="2047" spans="1:11">
      <c r="A2047" s="12" t="s">
        <v>37</v>
      </c>
      <c r="B2047" s="85">
        <v>49.855073460864965</v>
      </c>
      <c r="C2047" s="84">
        <v>1.55</v>
      </c>
      <c r="E2047" s="84">
        <v>5.0000000000000001E-3</v>
      </c>
      <c r="F2047" s="84">
        <v>1122</v>
      </c>
      <c r="I2047" s="84" t="s">
        <v>12</v>
      </c>
      <c r="K2047" s="84">
        <v>4.6522989332605</v>
      </c>
    </row>
    <row r="2048" spans="1:11">
      <c r="A2048" s="12" t="s">
        <v>37</v>
      </c>
      <c r="B2048" s="85">
        <v>62.608707190009198</v>
      </c>
      <c r="C2048" s="84">
        <v>1.55</v>
      </c>
      <c r="E2048" s="84">
        <v>5.0000000000000001E-3</v>
      </c>
      <c r="F2048" s="84">
        <v>1122</v>
      </c>
      <c r="I2048" s="84" t="s">
        <v>12</v>
      </c>
      <c r="K2048" s="84">
        <v>4.73563230770048</v>
      </c>
    </row>
    <row r="2049" spans="1:11">
      <c r="A2049" s="12" t="s">
        <v>37</v>
      </c>
      <c r="B2049" s="85">
        <v>74.589376443871799</v>
      </c>
      <c r="C2049" s="84">
        <v>1.55</v>
      </c>
      <c r="E2049" s="84">
        <v>5.0000000000000001E-3</v>
      </c>
      <c r="F2049" s="84">
        <v>1122</v>
      </c>
      <c r="I2049" s="84" t="s">
        <v>12</v>
      </c>
      <c r="K2049" s="84">
        <v>4.8448275748671303</v>
      </c>
    </row>
    <row r="2050" spans="1:11">
      <c r="A2050" s="12" t="s">
        <v>37</v>
      </c>
      <c r="B2050" s="85">
        <v>87.342980687436608</v>
      </c>
      <c r="C2050" s="84">
        <v>1.55</v>
      </c>
      <c r="E2050" s="84">
        <v>5.0000000000000001E-3</v>
      </c>
      <c r="F2050" s="84">
        <v>1122</v>
      </c>
      <c r="I2050" s="84" t="s">
        <v>12</v>
      </c>
      <c r="K2050" s="84">
        <v>4.9655173576119003</v>
      </c>
    </row>
    <row r="2051" spans="1:11">
      <c r="A2051" s="12" t="s">
        <v>37</v>
      </c>
      <c r="B2051" s="85">
        <v>99.710146921729802</v>
      </c>
      <c r="C2051" s="84">
        <v>1.55</v>
      </c>
      <c r="E2051" s="84">
        <v>5.0000000000000001E-3</v>
      </c>
      <c r="F2051" s="84">
        <v>1122</v>
      </c>
      <c r="I2051" s="84" t="s">
        <v>12</v>
      </c>
      <c r="K2051" s="84">
        <v>5.0804597729498804</v>
      </c>
    </row>
    <row r="2052" spans="1:11">
      <c r="A2052" s="12" t="s">
        <v>37</v>
      </c>
      <c r="B2052" s="85">
        <v>112.8502481457252</v>
      </c>
      <c r="C2052" s="84">
        <v>1.55</v>
      </c>
      <c r="E2052" s="84">
        <v>5.0000000000000001E-3</v>
      </c>
      <c r="F2052" s="84">
        <v>1122</v>
      </c>
      <c r="I2052" s="84" t="s">
        <v>12</v>
      </c>
      <c r="K2052" s="84">
        <v>5.1666666666666599</v>
      </c>
    </row>
    <row r="2053" spans="1:11">
      <c r="A2053" s="12" t="s">
        <v>37</v>
      </c>
      <c r="B2053" s="85">
        <v>124.8309173995878</v>
      </c>
      <c r="C2053" s="84">
        <v>1.55</v>
      </c>
      <c r="E2053" s="84">
        <v>5.0000000000000001E-3</v>
      </c>
      <c r="F2053" s="84">
        <v>1122</v>
      </c>
      <c r="I2053" s="84" t="s">
        <v>12</v>
      </c>
      <c r="K2053" s="84">
        <v>5.2327587062103804</v>
      </c>
    </row>
    <row r="2054" spans="1:11">
      <c r="A2054" s="12" t="s">
        <v>37</v>
      </c>
      <c r="B2054" s="85">
        <v>137.1980541483012</v>
      </c>
      <c r="C2054" s="84">
        <v>1.55</v>
      </c>
      <c r="E2054" s="84">
        <v>5.0000000000000001E-3</v>
      </c>
      <c r="F2054" s="84">
        <v>1122</v>
      </c>
      <c r="I2054" s="84" t="s">
        <v>12</v>
      </c>
      <c r="K2054" s="84">
        <v>5.3189655999271697</v>
      </c>
    </row>
    <row r="2055" spans="1:11">
      <c r="A2055" s="12" t="s">
        <v>37</v>
      </c>
      <c r="B2055" s="85">
        <v>149.56522038259499</v>
      </c>
      <c r="C2055" s="84">
        <v>1.55</v>
      </c>
      <c r="E2055" s="84">
        <v>5.0000000000000001E-3</v>
      </c>
      <c r="F2055" s="84">
        <v>1122</v>
      </c>
      <c r="I2055" s="84" t="s">
        <v>12</v>
      </c>
      <c r="K2055" s="84">
        <v>5.3908046780244803</v>
      </c>
    </row>
    <row r="2056" spans="1:11">
      <c r="A2056" s="12" t="s">
        <v>37</v>
      </c>
      <c r="B2056" s="86">
        <v>37.874404207002485</v>
      </c>
      <c r="C2056" s="84">
        <v>1.55</v>
      </c>
      <c r="E2056" s="84">
        <v>0.01</v>
      </c>
      <c r="F2056" s="84">
        <v>1153</v>
      </c>
      <c r="G2056" s="87"/>
      <c r="H2056" s="87"/>
      <c r="I2056" s="12" t="s">
        <v>12</v>
      </c>
      <c r="J2056" s="92"/>
      <c r="K2056" s="84">
        <v>4.6005747093362404</v>
      </c>
    </row>
    <row r="2057" spans="1:11">
      <c r="A2057" s="12" t="s">
        <v>37</v>
      </c>
      <c r="B2057" s="86">
        <v>50.241540955716118</v>
      </c>
      <c r="C2057" s="84">
        <v>1.55</v>
      </c>
      <c r="E2057" s="84">
        <v>0.01</v>
      </c>
      <c r="F2057" s="84">
        <v>1153</v>
      </c>
      <c r="G2057" s="87"/>
      <c r="H2057" s="87"/>
      <c r="I2057" s="12" t="s">
        <v>12</v>
      </c>
      <c r="J2057" s="92"/>
      <c r="K2057" s="84">
        <v>4.6494254139836997</v>
      </c>
    </row>
    <row r="2058" spans="1:11">
      <c r="A2058" s="12" t="s">
        <v>37</v>
      </c>
      <c r="B2058" s="85">
        <v>62.995174684860004</v>
      </c>
      <c r="C2058" s="84">
        <v>1.55</v>
      </c>
      <c r="E2058" s="84">
        <v>0.01</v>
      </c>
      <c r="F2058" s="84">
        <v>1153</v>
      </c>
      <c r="G2058" s="87"/>
      <c r="H2058" s="87"/>
      <c r="I2058" s="12" t="s">
        <v>12</v>
      </c>
      <c r="K2058" s="84">
        <v>4.7413793462540799</v>
      </c>
    </row>
    <row r="2059" spans="1:11">
      <c r="A2059" s="12" t="s">
        <v>37</v>
      </c>
      <c r="B2059" s="85">
        <v>74.975843938722591</v>
      </c>
      <c r="C2059" s="84">
        <v>1.55</v>
      </c>
      <c r="E2059" s="84">
        <v>0.01</v>
      </c>
      <c r="F2059" s="84">
        <v>1153</v>
      </c>
      <c r="G2059" s="87"/>
      <c r="H2059" s="87"/>
      <c r="I2059" s="12" t="s">
        <v>12</v>
      </c>
      <c r="K2059" s="84">
        <v>4.8275862399708602</v>
      </c>
    </row>
    <row r="2060" spans="1:11">
      <c r="A2060" s="12" t="s">
        <v>37</v>
      </c>
      <c r="B2060" s="85">
        <v>86.956513192585206</v>
      </c>
      <c r="C2060" s="84">
        <v>1.55</v>
      </c>
      <c r="E2060" s="84">
        <v>0.01</v>
      </c>
      <c r="F2060" s="84">
        <v>1153</v>
      </c>
      <c r="G2060" s="87"/>
      <c r="H2060" s="87"/>
      <c r="I2060" s="12" t="s">
        <v>12</v>
      </c>
      <c r="K2060" s="84">
        <v>4.9425287649265703</v>
      </c>
    </row>
    <row r="2061" spans="1:11">
      <c r="A2061" s="12" t="s">
        <v>37</v>
      </c>
      <c r="B2061" s="85">
        <v>100.8695494062828</v>
      </c>
      <c r="C2061" s="84">
        <v>1.55</v>
      </c>
      <c r="E2061" s="84">
        <v>0.01</v>
      </c>
      <c r="F2061" s="84">
        <v>1153</v>
      </c>
      <c r="G2061" s="87"/>
      <c r="H2061" s="87"/>
      <c r="I2061" s="12" t="s">
        <v>12</v>
      </c>
      <c r="K2061" s="84">
        <v>5.0660919573304204</v>
      </c>
    </row>
    <row r="2062" spans="1:11">
      <c r="A2062" s="12" t="s">
        <v>37</v>
      </c>
      <c r="B2062" s="85">
        <v>112.8502481457252</v>
      </c>
      <c r="C2062" s="84">
        <v>1.55</v>
      </c>
      <c r="E2062" s="84">
        <v>0.01</v>
      </c>
      <c r="F2062" s="84">
        <v>1153</v>
      </c>
      <c r="G2062" s="87"/>
      <c r="H2062" s="87"/>
      <c r="I2062" s="12" t="s">
        <v>12</v>
      </c>
      <c r="K2062" s="84">
        <v>5.1637929281543897</v>
      </c>
    </row>
    <row r="2063" spans="1:11">
      <c r="A2063" s="12" t="s">
        <v>37</v>
      </c>
      <c r="B2063" s="85">
        <v>125.60385238929</v>
      </c>
      <c r="C2063" s="84">
        <v>1.55</v>
      </c>
      <c r="E2063" s="84">
        <v>0.01</v>
      </c>
      <c r="F2063" s="84">
        <v>1153</v>
      </c>
      <c r="G2063" s="87"/>
      <c r="H2063" s="87"/>
      <c r="I2063" s="12" t="s">
        <v>12</v>
      </c>
      <c r="K2063" s="84">
        <v>5.2241379291445202</v>
      </c>
    </row>
    <row r="2064" spans="1:11">
      <c r="A2064" s="12" t="s">
        <v>37</v>
      </c>
      <c r="B2064" s="85">
        <v>137.58452164315261</v>
      </c>
      <c r="C2064" s="84">
        <v>1.55</v>
      </c>
      <c r="E2064" s="84">
        <v>0.01</v>
      </c>
      <c r="F2064" s="84">
        <v>1153</v>
      </c>
      <c r="G2064" s="87"/>
      <c r="H2064" s="87"/>
      <c r="I2064" s="12" t="s">
        <v>12</v>
      </c>
      <c r="K2064" s="84">
        <v>5.3247126384807597</v>
      </c>
    </row>
    <row r="2065" spans="1:11">
      <c r="A2065" s="12"/>
      <c r="B2065" s="86"/>
      <c r="G2065" s="87"/>
      <c r="H2065" s="87"/>
      <c r="I2065" s="12"/>
      <c r="J2065" s="92"/>
      <c r="K2065" s="203"/>
    </row>
    <row r="2066" spans="1:11">
      <c r="A2066" s="12" t="s">
        <v>55</v>
      </c>
      <c r="B2066" s="204">
        <v>10.958903346029221</v>
      </c>
      <c r="D2066" s="12">
        <v>2.1700000000000001E-2</v>
      </c>
      <c r="E2066" s="84" t="s">
        <v>56</v>
      </c>
      <c r="F2066" s="87"/>
      <c r="G2066" s="87"/>
      <c r="H2066" s="87"/>
      <c r="I2066" s="87"/>
      <c r="J2066" s="87"/>
      <c r="K2066" s="92">
        <v>1.56119454448218</v>
      </c>
    </row>
    <row r="2067" spans="1:11">
      <c r="A2067" s="12" t="s">
        <v>55</v>
      </c>
      <c r="B2067" s="204">
        <v>21.917806692058502</v>
      </c>
      <c r="D2067" s="12">
        <v>2.1700000000000001E-2</v>
      </c>
      <c r="E2067" s="142">
        <v>2.3999999999999998E-3</v>
      </c>
      <c r="F2067" s="87"/>
      <c r="G2067" s="87"/>
      <c r="H2067" s="87"/>
      <c r="I2067" s="87"/>
      <c r="J2067" s="142"/>
      <c r="K2067" s="92">
        <v>1.58507477574847</v>
      </c>
    </row>
    <row r="2068" spans="1:11">
      <c r="A2068" s="12" t="s">
        <v>55</v>
      </c>
      <c r="B2068" s="204">
        <v>35.06854087317204</v>
      </c>
      <c r="D2068" s="12">
        <v>2.1700000000000001E-2</v>
      </c>
      <c r="E2068" s="142">
        <v>2.3999999999999998E-3</v>
      </c>
      <c r="F2068" s="87"/>
      <c r="G2068" s="87"/>
      <c r="H2068" s="87"/>
      <c r="I2068" s="87"/>
      <c r="J2068" s="142"/>
      <c r="K2068" s="92">
        <v>1.60895591798719</v>
      </c>
    </row>
    <row r="2069" spans="1:11">
      <c r="A2069" s="12" t="s">
        <v>55</v>
      </c>
      <c r="B2069" s="205">
        <v>54.794516730146221</v>
      </c>
      <c r="D2069" s="12">
        <v>2.1700000000000001E-2</v>
      </c>
      <c r="E2069" s="142">
        <v>2.3999999999999998E-3</v>
      </c>
      <c r="F2069" s="87"/>
      <c r="G2069" s="87"/>
      <c r="H2069" s="87"/>
      <c r="I2069" s="87"/>
      <c r="J2069" s="142"/>
      <c r="K2069" s="88">
        <v>1.56119454448218</v>
      </c>
    </row>
    <row r="2070" spans="1:11">
      <c r="A2070" s="12" t="s">
        <v>55</v>
      </c>
      <c r="B2070" s="204">
        <v>109.5890334602922</v>
      </c>
      <c r="D2070" s="12">
        <v>2.1700000000000001E-2</v>
      </c>
      <c r="E2070" s="142">
        <v>2.3999999999999998E-3</v>
      </c>
      <c r="F2070" s="87"/>
      <c r="G2070" s="87"/>
      <c r="H2070" s="87"/>
      <c r="I2070" s="87"/>
      <c r="J2070" s="142"/>
      <c r="K2070" s="92">
        <v>1.7761193587961099</v>
      </c>
    </row>
    <row r="2071" spans="1:11">
      <c r="A2071" s="12" t="s">
        <v>55</v>
      </c>
      <c r="B2071" s="204">
        <v>120.5479368063216</v>
      </c>
      <c r="D2071" s="12">
        <v>2.1700000000000001E-2</v>
      </c>
      <c r="E2071" s="142">
        <v>2.3999999999999998E-3</v>
      </c>
      <c r="F2071" s="87"/>
      <c r="G2071" s="87"/>
      <c r="H2071" s="87"/>
      <c r="I2071" s="87"/>
      <c r="J2071" s="142"/>
      <c r="K2071" s="92">
        <v>1.8716421058061401</v>
      </c>
    </row>
    <row r="2072" spans="1:11">
      <c r="A2072" s="12" t="s">
        <v>55</v>
      </c>
      <c r="B2072" s="204">
        <v>152.32877323176601</v>
      </c>
      <c r="D2072" s="12">
        <v>2.1700000000000001E-2</v>
      </c>
      <c r="E2072" s="142">
        <v>2.3999999999999998E-3</v>
      </c>
      <c r="F2072" s="87"/>
      <c r="G2072" s="87"/>
      <c r="H2072" s="87"/>
      <c r="I2072" s="87"/>
      <c r="J2072" s="142"/>
      <c r="K2072" s="92">
        <v>1.9552238262106001</v>
      </c>
    </row>
    <row r="2073" spans="1:11">
      <c r="A2073" s="12" t="s">
        <v>55</v>
      </c>
      <c r="B2073" s="204">
        <v>174.24657992382419</v>
      </c>
      <c r="D2073" s="12">
        <v>2.1700000000000001E-2</v>
      </c>
      <c r="E2073" s="142">
        <v>2.3999999999999998E-3</v>
      </c>
      <c r="F2073" s="87"/>
      <c r="G2073" s="87"/>
      <c r="H2073" s="87"/>
      <c r="I2073" s="87"/>
      <c r="J2073" s="142"/>
      <c r="K2073" s="92">
        <v>2.1582094358638</v>
      </c>
    </row>
    <row r="2074" spans="1:11">
      <c r="A2074" s="12" t="s">
        <v>55</v>
      </c>
      <c r="B2074" s="204">
        <v>204.93154273662481</v>
      </c>
      <c r="D2074" s="12">
        <v>2.1700000000000001E-2</v>
      </c>
      <c r="E2074" s="142">
        <v>2.3999999999999998E-3</v>
      </c>
      <c r="F2074" s="87"/>
      <c r="G2074" s="87"/>
      <c r="H2074" s="87"/>
      <c r="I2074" s="87"/>
      <c r="J2074" s="142"/>
      <c r="K2074" s="92">
        <v>2.25373127190141</v>
      </c>
    </row>
    <row r="2075" spans="1:11">
      <c r="A2075" s="12" t="s">
        <v>55</v>
      </c>
      <c r="B2075" s="204">
        <v>272.87671003808759</v>
      </c>
      <c r="D2075" s="12">
        <v>2.1700000000000001E-2</v>
      </c>
      <c r="E2075" s="142">
        <v>2.3999999999999998E-3</v>
      </c>
      <c r="F2075" s="87"/>
      <c r="G2075" s="87"/>
      <c r="H2075" s="87"/>
      <c r="I2075" s="87"/>
      <c r="J2075" s="142"/>
      <c r="K2075" s="92">
        <v>2.5641797441978</v>
      </c>
    </row>
    <row r="2076" spans="1:11">
      <c r="A2076" s="12" t="s">
        <v>55</v>
      </c>
      <c r="B2076" s="204">
        <v>337.53425650161955</v>
      </c>
      <c r="D2076" s="12">
        <v>2.1700000000000001E-2</v>
      </c>
      <c r="E2076" s="142">
        <v>2.3999999999999998E-3</v>
      </c>
      <c r="F2076" s="87"/>
      <c r="G2076" s="87"/>
      <c r="H2076" s="87"/>
      <c r="I2076" s="87"/>
      <c r="J2076" s="142"/>
      <c r="K2076" s="92">
        <v>2.8507457077968201</v>
      </c>
    </row>
    <row r="2077" spans="1:11">
      <c r="A2077" s="12" t="s">
        <v>55</v>
      </c>
      <c r="B2077" s="204">
        <v>378.08216543800864</v>
      </c>
      <c r="D2077" s="12">
        <v>2.1700000000000001E-2</v>
      </c>
      <c r="E2077" s="142">
        <v>2.3999999999999998E-3</v>
      </c>
      <c r="F2077" s="87"/>
      <c r="G2077" s="87"/>
      <c r="H2077" s="87"/>
      <c r="I2077" s="87"/>
      <c r="J2077" s="142"/>
      <c r="K2077" s="92">
        <v>3.2328362403507298</v>
      </c>
    </row>
    <row r="2078" spans="1:11">
      <c r="A2078" s="12" t="s">
        <v>55</v>
      </c>
      <c r="B2078" s="204">
        <v>497.53422863168703</v>
      </c>
      <c r="D2078" s="12">
        <v>2.1700000000000001E-2</v>
      </c>
      <c r="E2078" s="142">
        <v>2.3999999999999998E-3</v>
      </c>
      <c r="F2078" s="87"/>
      <c r="G2078" s="87"/>
      <c r="H2078" s="87"/>
      <c r="I2078" s="87"/>
      <c r="J2078" s="142"/>
      <c r="K2078" s="92">
        <v>3.74626804486926</v>
      </c>
    </row>
    <row r="2079" spans="1:11">
      <c r="A2079" s="12" t="s">
        <v>55</v>
      </c>
      <c r="B2079" s="204">
        <v>601.64381041896002</v>
      </c>
      <c r="D2079" s="12">
        <v>2.1700000000000001E-2</v>
      </c>
      <c r="E2079" s="142">
        <v>2.3999999999999998E-3</v>
      </c>
      <c r="F2079" s="87"/>
      <c r="G2079" s="92"/>
      <c r="H2079" s="87"/>
      <c r="I2079" s="87"/>
      <c r="J2079" s="142"/>
      <c r="K2079" s="92">
        <v>4.5104481990046503</v>
      </c>
    </row>
    <row r="2080" spans="1:11">
      <c r="A2080" s="12" t="s">
        <v>55</v>
      </c>
      <c r="B2080" s="204">
        <v>601.64381041896002</v>
      </c>
      <c r="D2080" s="12">
        <v>2.1700000000000001E-2</v>
      </c>
      <c r="E2080" s="142">
        <v>2.3999999999999998E-3</v>
      </c>
      <c r="F2080" s="87"/>
      <c r="G2080" s="92"/>
      <c r="H2080" s="87"/>
      <c r="I2080" s="87"/>
      <c r="J2080" s="142"/>
      <c r="K2080" s="92">
        <v>4.5104481990046503</v>
      </c>
    </row>
    <row r="2081" spans="1:11">
      <c r="A2081" s="12" t="s">
        <v>55</v>
      </c>
      <c r="B2081" s="204">
        <v>702.46568775851392</v>
      </c>
      <c r="D2081" s="12">
        <v>2.1700000000000001E-2</v>
      </c>
      <c r="E2081" s="142">
        <v>2.3999999999999998E-3</v>
      </c>
      <c r="F2081" s="87"/>
      <c r="G2081" s="92"/>
      <c r="H2081" s="87"/>
      <c r="I2081" s="87"/>
      <c r="J2081" s="142"/>
      <c r="K2081" s="92">
        <v>4.89253736509992</v>
      </c>
    </row>
    <row r="2082" spans="1:11">
      <c r="A2082" s="12" t="s">
        <v>55</v>
      </c>
      <c r="B2082" s="85">
        <v>37.037037037036981</v>
      </c>
      <c r="C2082" s="87"/>
      <c r="D2082" s="12">
        <v>2.2700000000000001E-2</v>
      </c>
      <c r="E2082" s="12" t="s">
        <v>57</v>
      </c>
      <c r="F2082" s="87"/>
      <c r="G2082" s="88"/>
      <c r="H2082" s="87"/>
      <c r="I2082" s="87"/>
      <c r="J2082" s="142"/>
      <c r="K2082" s="88">
        <v>3.8697394789579098</v>
      </c>
    </row>
    <row r="2083" spans="1:11">
      <c r="A2083" s="12" t="s">
        <v>55</v>
      </c>
      <c r="B2083" s="85">
        <v>58.518518518518476</v>
      </c>
      <c r="C2083" s="87"/>
      <c r="D2083" s="12">
        <v>2.2700000000000001E-2</v>
      </c>
      <c r="E2083" s="87"/>
      <c r="F2083" s="203"/>
      <c r="G2083" s="92"/>
      <c r="H2083" s="87"/>
      <c r="I2083" s="87"/>
      <c r="J2083" s="142"/>
      <c r="K2083" s="92">
        <v>3.9979959919839598</v>
      </c>
    </row>
    <row r="2084" spans="1:11">
      <c r="A2084" s="12" t="s">
        <v>55</v>
      </c>
      <c r="B2084" s="85">
        <v>75.555555555555003</v>
      </c>
      <c r="C2084" s="87"/>
      <c r="D2084" s="12">
        <v>2.2700000000000001E-2</v>
      </c>
      <c r="E2084" s="87"/>
      <c r="F2084" s="87"/>
      <c r="G2084" s="92"/>
      <c r="H2084" s="87"/>
      <c r="I2084" s="87"/>
      <c r="J2084" s="142"/>
      <c r="K2084" s="92">
        <v>4.2064128256512996</v>
      </c>
    </row>
    <row r="2085" spans="1:11">
      <c r="A2085" s="12" t="s">
        <v>55</v>
      </c>
      <c r="B2085" s="85">
        <v>104.4444444444444</v>
      </c>
      <c r="C2085" s="87"/>
      <c r="D2085" s="12">
        <v>2.2700000000000001E-2</v>
      </c>
      <c r="E2085" s="87"/>
      <c r="F2085" s="87"/>
      <c r="G2085" s="92"/>
      <c r="H2085" s="87"/>
      <c r="I2085" s="87"/>
      <c r="J2085" s="142"/>
      <c r="K2085" s="92">
        <v>4.4468937875751502</v>
      </c>
    </row>
    <row r="2086" spans="1:11">
      <c r="A2086" s="12" t="s">
        <v>55</v>
      </c>
      <c r="B2086" s="85">
        <v>141.48148148148121</v>
      </c>
      <c r="C2086" s="87"/>
      <c r="D2086" s="12">
        <v>2.2700000000000001E-2</v>
      </c>
      <c r="E2086" s="87"/>
      <c r="F2086" s="87"/>
      <c r="G2086" s="92"/>
      <c r="H2086" s="87"/>
      <c r="I2086" s="87"/>
      <c r="J2086" s="142"/>
      <c r="K2086" s="92">
        <v>4.8316633266532998</v>
      </c>
    </row>
    <row r="2087" spans="1:11">
      <c r="A2087" s="12" t="s">
        <v>55</v>
      </c>
      <c r="B2087" s="85">
        <v>172.59259259259241</v>
      </c>
      <c r="C2087" s="87"/>
      <c r="D2087" s="12">
        <v>2.2700000000000001E-2</v>
      </c>
      <c r="E2087" s="87"/>
      <c r="F2087" s="87"/>
      <c r="G2087" s="92"/>
      <c r="H2087" s="87"/>
      <c r="I2087" s="87"/>
      <c r="J2087" s="142"/>
      <c r="K2087" s="92">
        <v>5.0160320641282503</v>
      </c>
    </row>
    <row r="2088" spans="1:11">
      <c r="A2088" s="12" t="s">
        <v>55</v>
      </c>
      <c r="B2088" s="85">
        <v>202.96296296296262</v>
      </c>
      <c r="C2088" s="87"/>
      <c r="D2088" s="12">
        <v>2.2700000000000001E-2</v>
      </c>
      <c r="E2088" s="87"/>
      <c r="F2088" s="87"/>
      <c r="G2088" s="92"/>
      <c r="H2088" s="87"/>
      <c r="I2088" s="87"/>
      <c r="J2088" s="142"/>
      <c r="K2088" s="92">
        <v>5.33667334669338</v>
      </c>
    </row>
    <row r="2089" spans="1:11">
      <c r="A2089" s="12" t="s">
        <v>55</v>
      </c>
      <c r="B2089" s="85">
        <v>231.111111111111</v>
      </c>
      <c r="C2089" s="87"/>
      <c r="D2089" s="12">
        <v>2.2700000000000001E-2</v>
      </c>
      <c r="E2089" s="87"/>
      <c r="F2089" s="87"/>
      <c r="G2089" s="92"/>
      <c r="H2089" s="87"/>
      <c r="I2089" s="87"/>
      <c r="J2089" s="142"/>
      <c r="K2089" s="92">
        <v>5.5210420841683296</v>
      </c>
    </row>
    <row r="2090" spans="1:11">
      <c r="A2090" s="12" t="s">
        <v>55</v>
      </c>
      <c r="B2090" s="85">
        <v>267.40740740740677</v>
      </c>
      <c r="C2090" s="87"/>
      <c r="D2090" s="12">
        <v>2.2700000000000001E-2</v>
      </c>
      <c r="E2090" s="87"/>
      <c r="F2090" s="87"/>
      <c r="G2090" s="92"/>
      <c r="H2090" s="87"/>
      <c r="I2090" s="87"/>
      <c r="J2090" s="142"/>
      <c r="K2090" s="92">
        <v>5.8016032064128202</v>
      </c>
    </row>
    <row r="2091" spans="1:11">
      <c r="A2091" s="12" t="s">
        <v>55</v>
      </c>
      <c r="B2091" s="85">
        <v>296.29629629629625</v>
      </c>
      <c r="C2091" s="87"/>
      <c r="D2091" s="12">
        <v>2.2700000000000001E-2</v>
      </c>
      <c r="E2091" s="87"/>
      <c r="F2091" s="87"/>
      <c r="G2091" s="92"/>
      <c r="H2091" s="87"/>
      <c r="I2091" s="87"/>
      <c r="J2091" s="142"/>
      <c r="K2091" s="92">
        <v>6.0180360721442803</v>
      </c>
    </row>
    <row r="2092" spans="1:11">
      <c r="A2092" s="12" t="s">
        <v>55</v>
      </c>
      <c r="B2092" s="85">
        <v>343.70370370370341</v>
      </c>
      <c r="C2092" s="87"/>
      <c r="D2092" s="12">
        <v>2.2700000000000001E-2</v>
      </c>
      <c r="E2092" s="87"/>
      <c r="F2092" s="87"/>
      <c r="G2092" s="92"/>
      <c r="H2092" s="87"/>
      <c r="I2092" s="87"/>
      <c r="J2092" s="142"/>
      <c r="K2092" s="92">
        <v>6.2344689378757501</v>
      </c>
    </row>
    <row r="2093" spans="1:11">
      <c r="A2093" s="12" t="s">
        <v>55</v>
      </c>
      <c r="B2093" s="85">
        <v>377.03703703703701</v>
      </c>
      <c r="C2093" s="87"/>
      <c r="D2093" s="12">
        <v>2.2700000000000001E-2</v>
      </c>
      <c r="E2093" s="87"/>
      <c r="F2093" s="87"/>
      <c r="G2093" s="92"/>
      <c r="H2093" s="87"/>
      <c r="I2093" s="87"/>
      <c r="J2093" s="142"/>
      <c r="K2093" s="92">
        <v>6.4188376753506997</v>
      </c>
    </row>
    <row r="2094" spans="1:11">
      <c r="A2094" s="12" t="s">
        <v>55</v>
      </c>
      <c r="B2094" s="85">
        <v>413.3333333333328</v>
      </c>
      <c r="C2094" s="87"/>
      <c r="D2094" s="12">
        <v>2.2700000000000001E-2</v>
      </c>
      <c r="E2094" s="87"/>
      <c r="F2094" s="87"/>
      <c r="G2094" s="92"/>
      <c r="H2094" s="87"/>
      <c r="I2094" s="87"/>
      <c r="J2094" s="142"/>
      <c r="K2094" s="92">
        <v>6.7074148296593101</v>
      </c>
    </row>
    <row r="2095" spans="1:11">
      <c r="A2095" s="12" t="s">
        <v>55</v>
      </c>
      <c r="B2095" s="85">
        <v>451.11111111111063</v>
      </c>
      <c r="C2095" s="87"/>
      <c r="D2095" s="12">
        <v>2.2700000000000001E-2</v>
      </c>
      <c r="E2095" s="87"/>
      <c r="F2095" s="87"/>
      <c r="G2095" s="87"/>
      <c r="H2095" s="87"/>
      <c r="I2095" s="87"/>
      <c r="J2095" s="142"/>
      <c r="K2095" s="92">
        <v>6.8997995991983903</v>
      </c>
    </row>
    <row r="2096" spans="1:11">
      <c r="A2096" s="12" t="s">
        <v>55</v>
      </c>
      <c r="B2096" s="85">
        <v>482.96296296296276</v>
      </c>
      <c r="C2096" s="87"/>
      <c r="D2096" s="12">
        <v>2.2700000000000001E-2</v>
      </c>
      <c r="E2096" s="87"/>
      <c r="F2096" s="87"/>
      <c r="G2096" s="87"/>
      <c r="H2096" s="87"/>
      <c r="I2096" s="87"/>
      <c r="J2096" s="142"/>
      <c r="K2096" s="92">
        <v>7.0280561122244398</v>
      </c>
    </row>
    <row r="2097" spans="1:11">
      <c r="A2097" s="12" t="s">
        <v>55</v>
      </c>
      <c r="B2097" s="85">
        <v>534.81481481481421</v>
      </c>
      <c r="C2097" s="87"/>
      <c r="D2097" s="12">
        <v>2.2700000000000001E-2</v>
      </c>
      <c r="E2097" s="87"/>
      <c r="F2097" s="87"/>
      <c r="G2097" s="87"/>
      <c r="H2097" s="87"/>
      <c r="I2097" s="87"/>
      <c r="J2097" s="142"/>
      <c r="K2097" s="92">
        <v>7.4128256513026001</v>
      </c>
    </row>
    <row r="2098" spans="1:11">
      <c r="A2098" s="12" t="s">
        <v>55</v>
      </c>
      <c r="B2098" s="85">
        <v>561.48148148148118</v>
      </c>
      <c r="C2098" s="87"/>
      <c r="D2098" s="12">
        <v>2.2700000000000001E-2</v>
      </c>
      <c r="E2098" s="87"/>
      <c r="F2098" s="87"/>
      <c r="G2098" s="87"/>
      <c r="H2098" s="87"/>
      <c r="I2098" s="87"/>
      <c r="J2098" s="142"/>
      <c r="K2098" s="92">
        <v>7.5490981963927801</v>
      </c>
    </row>
    <row r="2099" spans="1:11">
      <c r="A2099" s="12" t="s">
        <v>55</v>
      </c>
      <c r="B2099" s="85">
        <v>611.85185185185003</v>
      </c>
      <c r="C2099" s="87"/>
      <c r="D2099" s="12">
        <v>2.2700000000000001E-2</v>
      </c>
      <c r="E2099" s="87"/>
      <c r="F2099" s="87"/>
      <c r="G2099" s="87"/>
      <c r="H2099" s="87"/>
      <c r="I2099" s="87"/>
      <c r="J2099" s="142"/>
      <c r="K2099" s="92">
        <v>7.9979959919839603</v>
      </c>
    </row>
    <row r="2100" spans="1:11">
      <c r="A2100" s="12" t="s">
        <v>55</v>
      </c>
      <c r="B2100" s="85">
        <v>671.85185185185003</v>
      </c>
      <c r="C2100" s="87"/>
      <c r="D2100" s="12">
        <v>2.2700000000000001E-2</v>
      </c>
      <c r="E2100" s="87"/>
      <c r="F2100" s="87"/>
      <c r="G2100" s="87"/>
      <c r="H2100" s="87"/>
      <c r="I2100" s="87"/>
      <c r="J2100" s="142"/>
      <c r="K2100" s="92">
        <v>8.1503006012023995</v>
      </c>
    </row>
    <row r="2101" spans="1:11">
      <c r="A2101" s="12" t="s">
        <v>55</v>
      </c>
      <c r="B2101" s="86">
        <v>38.518518518518505</v>
      </c>
      <c r="C2101" s="87"/>
      <c r="D2101" s="12">
        <v>2.2800000000000001E-2</v>
      </c>
      <c r="E2101" s="12" t="s">
        <v>58</v>
      </c>
      <c r="F2101" s="87"/>
      <c r="G2101" s="87"/>
      <c r="H2101" s="87"/>
      <c r="I2101" s="87"/>
      <c r="J2101" s="142"/>
      <c r="K2101" s="206">
        <v>4.23847695390781</v>
      </c>
    </row>
    <row r="2102" spans="1:11">
      <c r="A2102" s="12" t="s">
        <v>55</v>
      </c>
      <c r="B2102" s="86">
        <v>51.851851851851819</v>
      </c>
      <c r="C2102" s="87"/>
      <c r="D2102" s="12">
        <v>2.2800000000000001E-2</v>
      </c>
      <c r="E2102" s="87"/>
      <c r="F2102" s="87"/>
      <c r="G2102" s="87"/>
      <c r="H2102" s="87"/>
      <c r="I2102" s="87"/>
      <c r="J2102" s="142"/>
      <c r="K2102" s="206">
        <v>4.3907815631262501</v>
      </c>
    </row>
    <row r="2103" spans="1:11">
      <c r="A2103" s="12" t="s">
        <v>55</v>
      </c>
      <c r="B2103" s="86">
        <v>77.03703703703701</v>
      </c>
      <c r="C2103" s="87"/>
      <c r="D2103" s="12">
        <v>2.2800000000000001E-2</v>
      </c>
      <c r="E2103" s="87"/>
      <c r="F2103" s="87"/>
      <c r="G2103" s="87"/>
      <c r="H2103" s="87"/>
      <c r="I2103" s="87"/>
      <c r="J2103" s="142"/>
      <c r="K2103" s="206">
        <v>4.5110220440881701</v>
      </c>
    </row>
    <row r="2104" spans="1:11">
      <c r="A2104" s="12" t="s">
        <v>55</v>
      </c>
      <c r="B2104" s="86">
        <v>105.18518518518479</v>
      </c>
      <c r="C2104" s="87"/>
      <c r="D2104" s="12">
        <v>2.2800000000000001E-2</v>
      </c>
      <c r="E2104" s="87"/>
      <c r="F2104" s="87"/>
      <c r="G2104" s="87"/>
      <c r="H2104" s="87"/>
      <c r="I2104" s="87"/>
      <c r="J2104" s="142"/>
      <c r="K2104" s="206">
        <v>4.8236472945891702</v>
      </c>
    </row>
    <row r="2105" spans="1:11">
      <c r="A2105" s="12" t="s">
        <v>55</v>
      </c>
      <c r="B2105" s="86">
        <v>142.2222222222222</v>
      </c>
      <c r="C2105" s="87"/>
      <c r="D2105" s="12">
        <v>2.2800000000000001E-2</v>
      </c>
      <c r="E2105" s="87"/>
      <c r="F2105" s="87"/>
      <c r="G2105" s="87"/>
      <c r="H2105" s="87"/>
      <c r="I2105" s="87"/>
      <c r="J2105" s="142"/>
      <c r="K2105" s="206">
        <v>5.2404809619238399</v>
      </c>
    </row>
    <row r="2106" spans="1:11">
      <c r="A2106" s="12" t="s">
        <v>55</v>
      </c>
      <c r="B2106" s="86">
        <v>176.29629629629619</v>
      </c>
      <c r="C2106" s="87"/>
      <c r="D2106" s="12">
        <v>2.2800000000000001E-2</v>
      </c>
      <c r="E2106" s="87"/>
      <c r="F2106" s="87"/>
      <c r="G2106" s="87"/>
      <c r="H2106" s="87"/>
      <c r="I2106" s="87"/>
      <c r="J2106" s="142"/>
      <c r="K2106" s="206">
        <v>5.3126252505010001</v>
      </c>
    </row>
    <row r="2107" spans="1:11">
      <c r="A2107" s="12" t="s">
        <v>55</v>
      </c>
      <c r="B2107" s="86">
        <v>202.96296296296262</v>
      </c>
      <c r="C2107" s="87"/>
      <c r="D2107" s="12">
        <v>2.2800000000000001E-2</v>
      </c>
      <c r="E2107" s="87"/>
      <c r="F2107" s="87"/>
      <c r="G2107" s="87"/>
      <c r="H2107" s="87"/>
      <c r="I2107" s="87"/>
      <c r="J2107" s="142"/>
      <c r="K2107" s="206">
        <v>5.6252505010020002</v>
      </c>
    </row>
    <row r="2108" spans="1:11">
      <c r="A2108" s="12" t="s">
        <v>55</v>
      </c>
      <c r="B2108" s="86">
        <v>232.59259259259241</v>
      </c>
      <c r="C2108" s="87"/>
      <c r="D2108" s="12">
        <v>2.2800000000000001E-2</v>
      </c>
      <c r="E2108" s="87"/>
      <c r="F2108" s="87"/>
      <c r="G2108" s="87"/>
      <c r="H2108" s="87"/>
      <c r="I2108" s="87"/>
      <c r="J2108" s="142"/>
      <c r="K2108" s="206">
        <v>5.8096192384769498</v>
      </c>
    </row>
    <row r="2109" spans="1:11">
      <c r="A2109" s="12" t="s">
        <v>55</v>
      </c>
      <c r="B2109" s="86">
        <v>271.11111111111063</v>
      </c>
      <c r="C2109" s="87"/>
      <c r="D2109" s="12">
        <v>2.2800000000000001E-2</v>
      </c>
      <c r="E2109" s="87"/>
      <c r="F2109" s="87"/>
      <c r="G2109" s="87"/>
      <c r="H2109" s="87"/>
      <c r="I2109" s="87"/>
      <c r="J2109" s="142"/>
      <c r="K2109" s="206">
        <v>6.0581162324649203</v>
      </c>
    </row>
    <row r="2110" spans="1:11">
      <c r="A2110" s="12" t="s">
        <v>55</v>
      </c>
      <c r="B2110" s="86">
        <v>302.22222222222183</v>
      </c>
      <c r="C2110" s="87"/>
      <c r="D2110" s="12">
        <v>2.2800000000000001E-2</v>
      </c>
      <c r="E2110" s="87"/>
      <c r="F2110" s="87"/>
      <c r="G2110" s="87"/>
      <c r="H2110" s="87"/>
      <c r="I2110" s="87"/>
      <c r="J2110" s="142"/>
      <c r="K2110" s="206">
        <v>6.3226452905811596</v>
      </c>
    </row>
    <row r="2111" spans="1:11">
      <c r="A2111" s="12" t="s">
        <v>55</v>
      </c>
      <c r="B2111" s="86">
        <v>343.70370370370341</v>
      </c>
      <c r="C2111" s="87"/>
      <c r="D2111" s="12">
        <v>2.2800000000000001E-2</v>
      </c>
      <c r="E2111" s="87"/>
      <c r="F2111" s="87"/>
      <c r="G2111" s="87"/>
      <c r="H2111" s="87"/>
      <c r="I2111" s="87"/>
      <c r="J2111" s="142"/>
      <c r="K2111" s="206">
        <v>6.5711422845691301</v>
      </c>
    </row>
    <row r="2112" spans="1:11">
      <c r="A2112" s="12" t="s">
        <v>55</v>
      </c>
      <c r="B2112" s="86">
        <v>378.51851851851836</v>
      </c>
      <c r="C2112" s="87"/>
      <c r="D2112" s="12">
        <v>2.2800000000000001E-2</v>
      </c>
      <c r="E2112" s="87"/>
      <c r="F2112" s="87"/>
      <c r="G2112" s="87"/>
      <c r="H2112" s="87"/>
      <c r="I2112" s="87"/>
      <c r="J2112" s="142"/>
      <c r="K2112" s="206">
        <v>6.7955911823647197</v>
      </c>
    </row>
    <row r="2113" spans="1:11">
      <c r="A2113" s="12" t="s">
        <v>55</v>
      </c>
      <c r="B2113" s="86">
        <v>413.3333333333328</v>
      </c>
      <c r="C2113" s="87"/>
      <c r="D2113" s="12">
        <v>2.2800000000000001E-2</v>
      </c>
      <c r="E2113" s="87"/>
      <c r="F2113" s="87"/>
      <c r="G2113" s="87"/>
      <c r="H2113" s="87"/>
      <c r="I2113" s="87"/>
      <c r="J2113" s="142"/>
      <c r="K2113" s="206">
        <v>7.02004008016032</v>
      </c>
    </row>
    <row r="2114" spans="1:11">
      <c r="A2114" s="12" t="s">
        <v>55</v>
      </c>
      <c r="B2114" s="86">
        <v>454.81481481481438</v>
      </c>
      <c r="C2114" s="87"/>
      <c r="D2114" s="12">
        <v>2.2800000000000001E-2</v>
      </c>
      <c r="E2114" s="87"/>
      <c r="F2114" s="87"/>
      <c r="G2114" s="87"/>
      <c r="H2114" s="87"/>
      <c r="I2114" s="87"/>
      <c r="J2114" s="142"/>
      <c r="K2114" s="206">
        <v>7.2925851703406801</v>
      </c>
    </row>
    <row r="2115" spans="1:11">
      <c r="A2115" s="12" t="s">
        <v>55</v>
      </c>
      <c r="B2115" s="86">
        <v>486.66666666666663</v>
      </c>
      <c r="C2115" s="87"/>
      <c r="D2115" s="12">
        <v>2.2800000000000001E-2</v>
      </c>
      <c r="E2115" s="87"/>
      <c r="F2115" s="87"/>
      <c r="G2115" s="87"/>
      <c r="H2115" s="87"/>
      <c r="I2115" s="87"/>
      <c r="J2115" s="142"/>
      <c r="K2115" s="206">
        <v>7.4929859719438801</v>
      </c>
    </row>
    <row r="2116" spans="1:11">
      <c r="A2116" s="12" t="s">
        <v>55</v>
      </c>
      <c r="B2116" s="86">
        <v>533.33333333333337</v>
      </c>
      <c r="C2116" s="87"/>
      <c r="D2116" s="12">
        <v>2.2800000000000001E-2</v>
      </c>
      <c r="E2116" s="87"/>
      <c r="F2116" s="87"/>
      <c r="G2116" s="87"/>
      <c r="H2116" s="87"/>
      <c r="I2116" s="87"/>
      <c r="J2116" s="142"/>
      <c r="K2116" s="206">
        <v>7.6533066132264498</v>
      </c>
    </row>
    <row r="2117" spans="1:11">
      <c r="A2117" s="12" t="s">
        <v>55</v>
      </c>
      <c r="B2117" s="86">
        <v>568.14814814814781</v>
      </c>
      <c r="C2117" s="87"/>
      <c r="D2117" s="12">
        <v>2.2800000000000001E-2</v>
      </c>
      <c r="E2117" s="87"/>
      <c r="F2117" s="87"/>
      <c r="G2117" s="87"/>
      <c r="H2117" s="87"/>
      <c r="I2117" s="87"/>
      <c r="J2117" s="142"/>
      <c r="K2117" s="206">
        <v>7.8697394789579098</v>
      </c>
    </row>
    <row r="2118" spans="1:11">
      <c r="A2118" s="12" t="s">
        <v>55</v>
      </c>
      <c r="B2118" s="86">
        <v>612.59259259258806</v>
      </c>
      <c r="C2118" s="87"/>
      <c r="D2118" s="12">
        <v>2.2800000000000001E-2</v>
      </c>
      <c r="E2118" s="87"/>
      <c r="F2118" s="87"/>
      <c r="G2118" s="87"/>
      <c r="H2118" s="87"/>
      <c r="I2118" s="87"/>
      <c r="J2118" s="142"/>
      <c r="K2118" s="206">
        <v>8.1342685370741403</v>
      </c>
    </row>
    <row r="2119" spans="1:11">
      <c r="A2119" s="12" t="s">
        <v>55</v>
      </c>
      <c r="B2119" s="86">
        <v>676.29629629629608</v>
      </c>
      <c r="C2119" s="87"/>
      <c r="D2119" s="12">
        <v>2.2800000000000001E-2</v>
      </c>
      <c r="E2119" s="87"/>
      <c r="F2119" s="87"/>
      <c r="G2119" s="87"/>
      <c r="H2119" s="87"/>
      <c r="I2119" s="87"/>
      <c r="J2119" s="142"/>
      <c r="K2119" s="206">
        <v>8.3907815631262501</v>
      </c>
    </row>
    <row r="2120" spans="1:11">
      <c r="A2120" s="12" t="s">
        <v>55</v>
      </c>
      <c r="B2120" s="86">
        <v>34.81481481481476</v>
      </c>
      <c r="C2120" s="87"/>
      <c r="D2120" s="12">
        <v>2.3800000000000002E-2</v>
      </c>
      <c r="E2120" s="12" t="s">
        <v>59</v>
      </c>
      <c r="F2120" s="87"/>
      <c r="G2120" s="87"/>
      <c r="H2120" s="87"/>
      <c r="I2120" s="87"/>
      <c r="J2120" s="142"/>
      <c r="K2120" s="88">
        <v>4.4869739478957902</v>
      </c>
    </row>
    <row r="2121" spans="1:11">
      <c r="A2121" s="12" t="s">
        <v>55</v>
      </c>
      <c r="B2121" s="86">
        <v>54.814814814814795</v>
      </c>
      <c r="C2121" s="87"/>
      <c r="D2121" s="12">
        <v>2.3800000000000002E-2</v>
      </c>
      <c r="E2121" s="87"/>
      <c r="F2121" s="87"/>
      <c r="G2121" s="87"/>
      <c r="H2121" s="87"/>
      <c r="I2121" s="87"/>
      <c r="J2121" s="142"/>
      <c r="K2121" s="92">
        <v>4.6633266533066102</v>
      </c>
    </row>
    <row r="2122" spans="1:11">
      <c r="A2122" s="12" t="s">
        <v>55</v>
      </c>
      <c r="B2122" s="86">
        <v>68.888888888888403</v>
      </c>
      <c r="C2122" s="87"/>
      <c r="D2122" s="12">
        <v>2.3800000000000002E-2</v>
      </c>
      <c r="E2122" s="87"/>
      <c r="F2122" s="87"/>
      <c r="G2122" s="87"/>
      <c r="H2122" s="87"/>
      <c r="I2122" s="87"/>
      <c r="J2122" s="142"/>
      <c r="K2122" s="92">
        <v>4.7915831663326598</v>
      </c>
    </row>
    <row r="2123" spans="1:11">
      <c r="A2123" s="12" t="s">
        <v>55</v>
      </c>
      <c r="B2123" s="86">
        <v>105.9259259259258</v>
      </c>
      <c r="C2123" s="87"/>
      <c r="D2123" s="12">
        <v>2.3800000000000002E-2</v>
      </c>
      <c r="E2123" s="87"/>
      <c r="F2123" s="87"/>
      <c r="G2123" s="87"/>
      <c r="H2123" s="87"/>
      <c r="I2123" s="87"/>
      <c r="J2123" s="142"/>
      <c r="K2123" s="92">
        <v>5.1122244488977904</v>
      </c>
    </row>
    <row r="2124" spans="1:11">
      <c r="A2124" s="12" t="s">
        <v>55</v>
      </c>
      <c r="B2124" s="86">
        <v>142.2222222222222</v>
      </c>
      <c r="C2124" s="87"/>
      <c r="D2124" s="12">
        <v>2.3800000000000002E-2</v>
      </c>
      <c r="E2124" s="87"/>
      <c r="F2124" s="87"/>
      <c r="G2124" s="87"/>
      <c r="H2124" s="87"/>
      <c r="I2124" s="87"/>
      <c r="J2124" s="142"/>
      <c r="K2124" s="92">
        <v>5.4088176352705402</v>
      </c>
    </row>
    <row r="2125" spans="1:11">
      <c r="A2125" s="12" t="s">
        <v>55</v>
      </c>
      <c r="B2125" s="86">
        <v>171.111111111111</v>
      </c>
      <c r="C2125" s="87"/>
      <c r="D2125" s="12">
        <v>2.3800000000000002E-2</v>
      </c>
      <c r="E2125" s="87"/>
      <c r="F2125" s="87"/>
      <c r="G2125" s="87"/>
      <c r="H2125" s="87"/>
      <c r="I2125" s="87"/>
      <c r="J2125" s="142"/>
      <c r="K2125" s="92">
        <v>5.5691382765531001</v>
      </c>
    </row>
    <row r="2126" spans="1:11">
      <c r="A2126" s="12" t="s">
        <v>55</v>
      </c>
      <c r="B2126" s="86">
        <v>199.9999999999998</v>
      </c>
      <c r="C2126" s="87"/>
      <c r="D2126" s="12">
        <v>2.3800000000000002E-2</v>
      </c>
      <c r="E2126" s="87"/>
      <c r="F2126" s="87"/>
      <c r="G2126" s="87"/>
      <c r="H2126" s="87"/>
      <c r="I2126" s="87"/>
      <c r="J2126" s="142"/>
      <c r="K2126" s="92">
        <v>5.8817635270541002</v>
      </c>
    </row>
    <row r="2127" spans="1:11">
      <c r="A2127" s="12" t="s">
        <v>55</v>
      </c>
      <c r="B2127" s="86">
        <v>237.03703703703661</v>
      </c>
      <c r="C2127" s="87"/>
      <c r="D2127" s="12">
        <v>2.3800000000000002E-2</v>
      </c>
      <c r="E2127" s="87"/>
      <c r="F2127" s="87"/>
      <c r="G2127" s="87"/>
      <c r="H2127" s="87"/>
      <c r="I2127" s="87"/>
      <c r="J2127" s="142"/>
      <c r="K2127" s="92">
        <v>6.1062124248496898</v>
      </c>
    </row>
    <row r="2128" spans="1:11">
      <c r="A2128" s="12" t="s">
        <v>55</v>
      </c>
      <c r="B2128" s="86">
        <v>266.6666666666664</v>
      </c>
      <c r="C2128" s="87"/>
      <c r="D2128" s="12">
        <v>2.3800000000000002E-2</v>
      </c>
      <c r="E2128" s="87"/>
      <c r="F2128" s="87"/>
      <c r="G2128" s="87"/>
      <c r="H2128" s="87"/>
      <c r="I2128" s="87"/>
      <c r="J2128" s="142"/>
      <c r="K2128" s="92">
        <v>6.3466933867735396</v>
      </c>
    </row>
    <row r="2129" spans="1:11">
      <c r="A2129" s="12" t="s">
        <v>55</v>
      </c>
      <c r="B2129" s="86">
        <v>302.22222222222183</v>
      </c>
      <c r="C2129" s="87"/>
      <c r="D2129" s="12">
        <v>2.3800000000000002E-2</v>
      </c>
      <c r="E2129" s="87"/>
      <c r="F2129" s="87"/>
      <c r="G2129" s="87"/>
      <c r="H2129" s="87"/>
      <c r="I2129" s="87"/>
      <c r="J2129" s="142"/>
      <c r="K2129" s="92">
        <v>6.5951903807615198</v>
      </c>
    </row>
    <row r="2130" spans="1:11">
      <c r="A2130" s="12" t="s">
        <v>55</v>
      </c>
      <c r="B2130" s="86">
        <v>343.70370370370341</v>
      </c>
      <c r="C2130" s="87"/>
      <c r="D2130" s="12">
        <v>2.3800000000000002E-2</v>
      </c>
      <c r="E2130" s="87"/>
      <c r="F2130" s="87"/>
      <c r="G2130" s="87"/>
      <c r="H2130" s="87"/>
      <c r="I2130" s="87"/>
      <c r="J2130" s="142"/>
      <c r="K2130" s="92">
        <v>6.8116232464929798</v>
      </c>
    </row>
    <row r="2131" spans="1:11">
      <c r="A2131" s="12" t="s">
        <v>55</v>
      </c>
      <c r="B2131" s="86">
        <v>382.96296296296259</v>
      </c>
      <c r="C2131" s="87"/>
      <c r="D2131" s="12">
        <v>2.3800000000000002E-2</v>
      </c>
      <c r="E2131" s="87"/>
      <c r="F2131" s="87"/>
      <c r="G2131" s="87"/>
      <c r="H2131" s="87"/>
      <c r="I2131" s="87"/>
      <c r="J2131" s="142"/>
      <c r="K2131" s="92">
        <v>7.0681362725450896</v>
      </c>
    </row>
    <row r="2132" spans="1:11">
      <c r="A2132" s="12" t="s">
        <v>55</v>
      </c>
      <c r="B2132" s="86">
        <v>418.51851851851796</v>
      </c>
      <c r="C2132" s="87"/>
      <c r="D2132" s="12">
        <v>2.3800000000000002E-2</v>
      </c>
      <c r="E2132" s="87"/>
      <c r="F2132" s="87"/>
      <c r="G2132" s="87"/>
      <c r="H2132" s="87"/>
      <c r="I2132" s="87"/>
      <c r="J2132" s="142"/>
      <c r="K2132" s="92">
        <v>7.19639278557114</v>
      </c>
    </row>
    <row r="2133" spans="1:11">
      <c r="A2133" s="12" t="s">
        <v>55</v>
      </c>
      <c r="B2133" s="86">
        <v>454.81481481481438</v>
      </c>
      <c r="C2133" s="87"/>
      <c r="D2133" s="12">
        <v>2.3800000000000002E-2</v>
      </c>
      <c r="E2133" s="87"/>
      <c r="F2133" s="87"/>
      <c r="G2133" s="87"/>
      <c r="H2133" s="87"/>
      <c r="I2133" s="87"/>
      <c r="J2133" s="142"/>
      <c r="K2133" s="92">
        <v>7.4368737474949898</v>
      </c>
    </row>
    <row r="2134" spans="1:11">
      <c r="A2134" s="12" t="s">
        <v>55</v>
      </c>
      <c r="B2134" s="86">
        <v>488.8888888888884</v>
      </c>
      <c r="C2134" s="87"/>
      <c r="D2134" s="12">
        <v>2.3800000000000002E-2</v>
      </c>
      <c r="E2134" s="87"/>
      <c r="F2134" s="87"/>
      <c r="G2134" s="87"/>
      <c r="H2134" s="87"/>
      <c r="I2134" s="87"/>
      <c r="J2134" s="142"/>
      <c r="K2134" s="92">
        <v>7.6212424849699296</v>
      </c>
    </row>
    <row r="2135" spans="1:11">
      <c r="A2135" s="12" t="s">
        <v>55</v>
      </c>
      <c r="B2135" s="86">
        <v>540</v>
      </c>
      <c r="C2135" s="87"/>
      <c r="D2135" s="12">
        <v>2.3800000000000002E-2</v>
      </c>
      <c r="E2135" s="87"/>
      <c r="F2135" s="87"/>
      <c r="G2135" s="87"/>
      <c r="H2135" s="87"/>
      <c r="I2135" s="87"/>
      <c r="J2135" s="142"/>
      <c r="K2135" s="92">
        <v>7.8136272545090097</v>
      </c>
    </row>
    <row r="2136" spans="1:11">
      <c r="A2136" s="12" t="s">
        <v>55</v>
      </c>
      <c r="B2136" s="86">
        <v>566.6666666666664</v>
      </c>
      <c r="C2136" s="87"/>
      <c r="D2136" s="12">
        <v>2.3800000000000002E-2</v>
      </c>
      <c r="E2136" s="87"/>
      <c r="F2136" s="87"/>
      <c r="G2136" s="87"/>
      <c r="H2136" s="87"/>
      <c r="I2136" s="87"/>
      <c r="J2136" s="142"/>
      <c r="K2136" s="92">
        <v>8.0060120240480899</v>
      </c>
    </row>
    <row r="2137" spans="1:11">
      <c r="A2137" s="12" t="s">
        <v>55</v>
      </c>
      <c r="B2137" s="86">
        <v>614.07407407407004</v>
      </c>
      <c r="C2137" s="87"/>
      <c r="D2137" s="12">
        <v>2.3800000000000002E-2</v>
      </c>
      <c r="E2137" s="87"/>
      <c r="F2137" s="87"/>
      <c r="G2137" s="87"/>
      <c r="H2137" s="87"/>
      <c r="I2137" s="87"/>
      <c r="J2137" s="142"/>
      <c r="K2137" s="92">
        <v>8.2545090180360692</v>
      </c>
    </row>
    <row r="2138" spans="1:11">
      <c r="A2138" s="12" t="s">
        <v>55</v>
      </c>
      <c r="B2138" s="86">
        <v>674.81481481481399</v>
      </c>
      <c r="C2138" s="87"/>
      <c r="D2138" s="12">
        <v>2.3800000000000002E-2</v>
      </c>
      <c r="E2138" s="87"/>
      <c r="F2138" s="87"/>
      <c r="G2138" s="87"/>
      <c r="H2138" s="87"/>
      <c r="I2138" s="87"/>
      <c r="J2138" s="142"/>
      <c r="K2138" s="92">
        <v>8.4789579158316606</v>
      </c>
    </row>
    <row r="2139" spans="1:11">
      <c r="A2139" s="12" t="s">
        <v>55</v>
      </c>
      <c r="B2139" s="85">
        <v>33.3333333333333</v>
      </c>
      <c r="D2139" s="12">
        <v>7.2999999999999995E-2</v>
      </c>
      <c r="E2139" s="87"/>
      <c r="F2139" s="87"/>
      <c r="G2139" s="87"/>
      <c r="H2139" s="87"/>
      <c r="I2139" s="87"/>
      <c r="J2139" s="142"/>
      <c r="K2139" s="206">
        <v>4.7835671342685302</v>
      </c>
    </row>
    <row r="2140" spans="1:11">
      <c r="A2140" s="12" t="s">
        <v>55</v>
      </c>
      <c r="B2140" s="85">
        <v>59.259259259259245</v>
      </c>
      <c r="D2140" s="12">
        <v>7.2999999999999995E-2</v>
      </c>
      <c r="E2140" s="87"/>
      <c r="F2140" s="87"/>
      <c r="G2140" s="87"/>
      <c r="H2140" s="87"/>
      <c r="I2140" s="87"/>
      <c r="J2140" s="142"/>
      <c r="K2140" s="206">
        <v>4.9919839679358704</v>
      </c>
    </row>
    <row r="2141" spans="1:11">
      <c r="A2141" s="12" t="s">
        <v>55</v>
      </c>
      <c r="B2141" s="85">
        <v>71.111111111110802</v>
      </c>
      <c r="D2141" s="12">
        <v>7.2999999999999995E-2</v>
      </c>
      <c r="E2141" s="87"/>
      <c r="F2141" s="87"/>
      <c r="G2141" s="87"/>
      <c r="H2141" s="87"/>
      <c r="I2141" s="87"/>
      <c r="J2141" s="142"/>
      <c r="K2141" s="206">
        <v>5.2004008016032</v>
      </c>
    </row>
    <row r="2142" spans="1:11">
      <c r="A2142" s="12" t="s">
        <v>55</v>
      </c>
      <c r="B2142" s="85">
        <v>107.40740740740721</v>
      </c>
      <c r="D2142" s="12">
        <v>7.2999999999999995E-2</v>
      </c>
      <c r="E2142" s="87"/>
      <c r="F2142" s="87"/>
      <c r="G2142" s="87"/>
      <c r="H2142" s="87"/>
      <c r="I2142" s="87"/>
      <c r="J2142" s="142"/>
      <c r="K2142" s="206">
        <v>5.3847695390781496</v>
      </c>
    </row>
    <row r="2143" spans="1:11">
      <c r="A2143" s="12" t="s">
        <v>55</v>
      </c>
      <c r="B2143" s="85">
        <v>139.9999999999998</v>
      </c>
      <c r="D2143" s="12">
        <v>7.2999999999999995E-2</v>
      </c>
      <c r="E2143" s="87"/>
      <c r="F2143" s="87"/>
      <c r="G2143" s="87"/>
      <c r="H2143" s="87"/>
      <c r="I2143" s="87"/>
      <c r="J2143" s="142"/>
      <c r="K2143" s="206">
        <v>5.7054108216432802</v>
      </c>
    </row>
    <row r="2144" spans="1:11">
      <c r="A2144" s="12" t="s">
        <v>55</v>
      </c>
      <c r="B2144" s="85">
        <v>165.92592592592581</v>
      </c>
      <c r="D2144" s="12">
        <v>7.2999999999999995E-2</v>
      </c>
      <c r="E2144" s="87"/>
      <c r="F2144" s="87"/>
      <c r="G2144" s="87"/>
      <c r="H2144" s="87"/>
      <c r="I2144" s="87"/>
      <c r="J2144" s="142"/>
      <c r="K2144" s="206">
        <v>6.0100200400801498</v>
      </c>
    </row>
    <row r="2145" spans="1:11">
      <c r="A2145" s="12" t="s">
        <v>55</v>
      </c>
      <c r="B2145" s="85">
        <v>201.48148148148121</v>
      </c>
      <c r="D2145" s="12">
        <v>7.2999999999999995E-2</v>
      </c>
      <c r="E2145" s="87"/>
      <c r="F2145" s="87"/>
      <c r="G2145" s="87"/>
      <c r="H2145" s="87"/>
      <c r="I2145" s="87"/>
      <c r="J2145" s="142"/>
      <c r="K2145" s="206">
        <v>6.1863727454909796</v>
      </c>
    </row>
    <row r="2146" spans="1:11">
      <c r="A2146" s="12" t="s">
        <v>55</v>
      </c>
      <c r="B2146" s="85">
        <v>228.14814814814758</v>
      </c>
      <c r="D2146" s="12">
        <v>7.2999999999999995E-2</v>
      </c>
      <c r="E2146" s="87"/>
      <c r="F2146" s="87"/>
      <c r="G2146" s="87"/>
      <c r="H2146" s="87"/>
      <c r="I2146" s="87"/>
      <c r="J2146" s="142"/>
      <c r="K2146" s="206">
        <v>6.4589178356713397</v>
      </c>
    </row>
    <row r="2147" spans="1:11">
      <c r="A2147" s="12" t="s">
        <v>55</v>
      </c>
      <c r="B2147" s="85">
        <v>267.40740740740677</v>
      </c>
      <c r="D2147" s="12">
        <v>7.2999999999999995E-2</v>
      </c>
      <c r="E2147" s="87"/>
      <c r="F2147" s="87"/>
      <c r="G2147" s="87"/>
      <c r="H2147" s="87"/>
      <c r="I2147" s="87"/>
      <c r="J2147" s="142"/>
      <c r="K2147" s="206">
        <v>6.7394789579158303</v>
      </c>
    </row>
    <row r="2148" spans="1:11">
      <c r="A2148" s="12" t="s">
        <v>55</v>
      </c>
      <c r="B2148" s="85">
        <v>300</v>
      </c>
      <c r="D2148" s="12">
        <v>7.2999999999999995E-2</v>
      </c>
      <c r="E2148" s="87"/>
      <c r="F2148" s="87"/>
      <c r="G2148" s="87"/>
      <c r="H2148" s="87"/>
      <c r="I2148" s="87"/>
      <c r="J2148" s="142"/>
      <c r="K2148" s="206">
        <v>6.9879759519037998</v>
      </c>
    </row>
    <row r="2149" spans="1:11">
      <c r="A2149" s="12" t="s">
        <v>55</v>
      </c>
      <c r="B2149" s="85">
        <v>338.51851851851819</v>
      </c>
      <c r="D2149" s="12">
        <v>7.2999999999999995E-2</v>
      </c>
      <c r="E2149" s="87"/>
      <c r="F2149" s="87"/>
      <c r="G2149" s="87"/>
      <c r="H2149" s="87"/>
      <c r="I2149" s="87"/>
      <c r="J2149" s="142"/>
      <c r="K2149" s="206">
        <v>7.1002004008016</v>
      </c>
    </row>
    <row r="2150" spans="1:11">
      <c r="A2150" s="12" t="s">
        <v>55</v>
      </c>
      <c r="B2150" s="85">
        <v>379.25925925925878</v>
      </c>
      <c r="D2150" s="12">
        <v>7.2999999999999995E-2</v>
      </c>
      <c r="E2150" s="87"/>
      <c r="F2150" s="87"/>
      <c r="G2150" s="87"/>
      <c r="H2150" s="87"/>
      <c r="I2150" s="87"/>
      <c r="J2150" s="142"/>
      <c r="K2150" s="206">
        <v>7.23647294589178</v>
      </c>
    </row>
    <row r="2151" spans="1:11">
      <c r="A2151" s="12" t="s">
        <v>55</v>
      </c>
      <c r="B2151" s="85">
        <v>414.07407407407379</v>
      </c>
      <c r="D2151" s="12">
        <v>7.2999999999999995E-2</v>
      </c>
      <c r="E2151" s="87"/>
      <c r="F2151" s="87"/>
      <c r="G2151" s="87"/>
      <c r="H2151" s="87"/>
      <c r="I2151" s="87"/>
      <c r="J2151" s="142"/>
      <c r="K2151" s="206">
        <v>7.5170340681362697</v>
      </c>
    </row>
    <row r="2152" spans="1:11">
      <c r="A2152" s="12" t="s">
        <v>55</v>
      </c>
      <c r="B2152" s="85">
        <v>454.07407407407402</v>
      </c>
      <c r="D2152" s="12">
        <v>7.2999999999999995E-2</v>
      </c>
      <c r="E2152" s="87"/>
      <c r="F2152" s="87"/>
      <c r="G2152" s="87"/>
      <c r="H2152" s="87"/>
      <c r="I2152" s="87"/>
      <c r="J2152" s="142"/>
      <c r="K2152" s="206">
        <v>7.7014028056112203</v>
      </c>
    </row>
    <row r="2153" spans="1:11">
      <c r="A2153" s="12" t="s">
        <v>55</v>
      </c>
      <c r="B2153" s="85">
        <v>483.70370370370324</v>
      </c>
      <c r="D2153" s="12">
        <v>7.2999999999999995E-2</v>
      </c>
      <c r="E2153" s="87"/>
      <c r="F2153" s="87"/>
      <c r="G2153" s="87"/>
      <c r="H2153" s="87"/>
      <c r="I2153" s="87"/>
      <c r="J2153" s="142"/>
      <c r="K2153" s="206">
        <v>7.8376753507014003</v>
      </c>
    </row>
    <row r="2154" spans="1:11">
      <c r="A2154" s="12" t="s">
        <v>55</v>
      </c>
      <c r="B2154" s="85">
        <v>530.37037037036998</v>
      </c>
      <c r="D2154" s="12">
        <v>7.2999999999999995E-2</v>
      </c>
      <c r="E2154" s="87"/>
      <c r="F2154" s="87"/>
      <c r="G2154" s="87"/>
      <c r="H2154" s="87"/>
      <c r="I2154" s="87"/>
      <c r="J2154" s="142"/>
      <c r="K2154" s="206">
        <v>8.0220440881763508</v>
      </c>
    </row>
    <row r="2155" spans="1:11">
      <c r="A2155" s="12" t="s">
        <v>55</v>
      </c>
      <c r="B2155" s="85">
        <v>566.6666666666664</v>
      </c>
      <c r="D2155" s="12">
        <v>7.2999999999999995E-2</v>
      </c>
      <c r="E2155" s="87"/>
      <c r="F2155" s="87"/>
      <c r="G2155" s="87"/>
      <c r="H2155" s="87"/>
      <c r="I2155" s="87"/>
      <c r="J2155" s="142"/>
      <c r="K2155" s="206">
        <v>8.1663326653306605</v>
      </c>
    </row>
    <row r="2156" spans="1:11">
      <c r="A2156" s="12" t="s">
        <v>55</v>
      </c>
      <c r="B2156" s="85">
        <v>617.77777777777203</v>
      </c>
      <c r="D2156" s="12">
        <v>7.2999999999999995E-2</v>
      </c>
      <c r="E2156" s="87"/>
      <c r="F2156" s="87"/>
      <c r="G2156" s="87"/>
      <c r="H2156" s="87"/>
      <c r="I2156" s="87"/>
      <c r="J2156" s="142"/>
      <c r="K2156" s="206">
        <v>8.3507014028056101</v>
      </c>
    </row>
    <row r="2157" spans="1:11">
      <c r="A2157" s="12" t="s">
        <v>55</v>
      </c>
      <c r="B2157" s="85">
        <v>674.07407407407004</v>
      </c>
      <c r="D2157" s="12">
        <v>7.2999999999999995E-2</v>
      </c>
      <c r="E2157" s="87"/>
      <c r="F2157" s="87"/>
      <c r="G2157" s="87"/>
      <c r="H2157" s="87"/>
      <c r="I2157" s="87"/>
      <c r="J2157" s="142"/>
      <c r="K2157" s="206">
        <v>8.6072144288577093</v>
      </c>
    </row>
    <row r="2158" spans="1:11">
      <c r="A2158" s="12" t="s">
        <v>55</v>
      </c>
      <c r="B2158" s="207">
        <v>7.0412748697325993</v>
      </c>
      <c r="C2158" s="12">
        <v>1</v>
      </c>
      <c r="D2158" s="87"/>
      <c r="E2158" s="87"/>
      <c r="F2158" s="87"/>
      <c r="G2158" s="87"/>
      <c r="H2158" s="87"/>
      <c r="I2158" s="12" t="s">
        <v>34</v>
      </c>
      <c r="J2158" s="142"/>
      <c r="K2158" s="206">
        <v>4.8480845442536298</v>
      </c>
    </row>
    <row r="2159" spans="1:11">
      <c r="A2159" s="12" t="s">
        <v>55</v>
      </c>
      <c r="B2159" s="86">
        <v>298.66943667655801</v>
      </c>
      <c r="C2159" s="12">
        <v>1</v>
      </c>
      <c r="D2159" s="87"/>
      <c r="E2159" s="87"/>
      <c r="F2159" s="87"/>
      <c r="G2159" s="87"/>
      <c r="H2159" s="87"/>
      <c r="I2159" s="12" t="s">
        <v>34</v>
      </c>
      <c r="J2159" s="142"/>
      <c r="K2159" s="206">
        <v>5.0145310435931298</v>
      </c>
    </row>
    <row r="2160" spans="1:11">
      <c r="A2160" s="12" t="s">
        <v>55</v>
      </c>
      <c r="B2160" s="86">
        <v>655.913934889914</v>
      </c>
      <c r="C2160" s="12">
        <v>1</v>
      </c>
      <c r="D2160" s="87"/>
      <c r="E2160" s="87"/>
      <c r="F2160" s="87"/>
      <c r="G2160" s="87"/>
      <c r="H2160" s="87"/>
      <c r="I2160" s="12" t="s">
        <v>34</v>
      </c>
      <c r="J2160" s="142"/>
      <c r="K2160" s="206">
        <v>7.5667107001321003</v>
      </c>
    </row>
    <row r="2161" spans="1:11">
      <c r="A2161" s="12" t="s">
        <v>55</v>
      </c>
      <c r="B2161" s="86">
        <v>1997.4034792013158</v>
      </c>
      <c r="C2161" s="12">
        <v>1</v>
      </c>
      <c r="D2161" s="87"/>
      <c r="E2161" s="87"/>
      <c r="F2161" s="87"/>
      <c r="G2161" s="87"/>
      <c r="H2161" s="87"/>
      <c r="I2161" s="12" t="s">
        <v>34</v>
      </c>
      <c r="J2161" s="142"/>
      <c r="K2161" s="206">
        <v>5.6433289299867901</v>
      </c>
    </row>
    <row r="2162" spans="1:11">
      <c r="A2162" s="12" t="s">
        <v>55</v>
      </c>
      <c r="B2162" s="86">
        <v>2296.3223450533142</v>
      </c>
      <c r="C2162" s="12">
        <v>1</v>
      </c>
      <c r="D2162" s="87"/>
      <c r="E2162" s="87"/>
      <c r="F2162" s="87"/>
      <c r="G2162" s="87"/>
      <c r="H2162" s="87"/>
      <c r="I2162" s="12" t="s">
        <v>34</v>
      </c>
      <c r="J2162" s="142"/>
      <c r="K2162" s="206">
        <v>6.7344782034346098</v>
      </c>
    </row>
    <row r="2163" spans="1:11">
      <c r="A2163" s="12" t="s">
        <v>55</v>
      </c>
      <c r="B2163" s="86">
        <v>2471.2992421374061</v>
      </c>
      <c r="C2163" s="12">
        <v>1</v>
      </c>
      <c r="D2163" s="87"/>
      <c r="E2163" s="87"/>
      <c r="F2163" s="87"/>
      <c r="G2163" s="87"/>
      <c r="H2163" s="87"/>
      <c r="I2163" s="12" t="s">
        <v>34</v>
      </c>
      <c r="J2163" s="142"/>
      <c r="K2163" s="206">
        <v>7.88110964332893</v>
      </c>
    </row>
    <row r="2164" spans="1:11">
      <c r="A2164" s="12" t="s">
        <v>55</v>
      </c>
      <c r="B2164" s="86">
        <v>3185.7882385641301</v>
      </c>
      <c r="C2164" s="12">
        <v>1</v>
      </c>
      <c r="D2164" s="87"/>
      <c r="E2164" s="87"/>
      <c r="F2164" s="87"/>
      <c r="G2164" s="87"/>
      <c r="H2164" s="87"/>
      <c r="I2164" s="12" t="s">
        <v>34</v>
      </c>
      <c r="J2164" s="142"/>
      <c r="K2164" s="206">
        <v>8.4729194187582504</v>
      </c>
    </row>
    <row r="2165" spans="1:11">
      <c r="A2165" s="12" t="s">
        <v>55</v>
      </c>
      <c r="B2165" s="86">
        <v>4002.3470916232436</v>
      </c>
      <c r="C2165" s="12">
        <v>1</v>
      </c>
      <c r="D2165" s="87"/>
      <c r="E2165" s="87"/>
      <c r="F2165" s="87"/>
      <c r="G2165" s="87"/>
      <c r="H2165" s="87"/>
      <c r="I2165" s="12" t="s">
        <v>34</v>
      </c>
      <c r="J2165" s="142"/>
      <c r="K2165" s="206">
        <v>8.8612945838837494</v>
      </c>
    </row>
    <row r="2166" spans="1:11">
      <c r="A2166" s="12" t="s">
        <v>55</v>
      </c>
      <c r="B2166" s="86">
        <v>3812.7887864488075</v>
      </c>
      <c r="C2166" s="12">
        <v>1</v>
      </c>
      <c r="D2166" s="87"/>
      <c r="E2166" s="87"/>
      <c r="F2166" s="87"/>
      <c r="G2166" s="87"/>
      <c r="H2166" s="87"/>
      <c r="I2166" s="12" t="s">
        <v>34</v>
      </c>
      <c r="J2166" s="142"/>
      <c r="K2166" s="206">
        <v>11.690885072655201</v>
      </c>
    </row>
    <row r="2167" spans="1:11">
      <c r="A2167" s="12" t="s">
        <v>55</v>
      </c>
      <c r="B2167" s="86">
        <v>4082.5448361201179</v>
      </c>
      <c r="C2167" s="12">
        <v>1</v>
      </c>
      <c r="D2167" s="87"/>
      <c r="E2167" s="87"/>
      <c r="F2167" s="87"/>
      <c r="G2167" s="87"/>
      <c r="H2167" s="87"/>
      <c r="I2167" s="12" t="s">
        <v>34</v>
      </c>
      <c r="J2167" s="142"/>
      <c r="K2167" s="206">
        <v>12.782034346103</v>
      </c>
    </row>
    <row r="2168" spans="1:11">
      <c r="A2168" s="12" t="s">
        <v>55</v>
      </c>
      <c r="B2168" s="86">
        <v>4549.1498950110417</v>
      </c>
      <c r="C2168" s="12">
        <v>1</v>
      </c>
      <c r="D2168" s="87"/>
      <c r="E2168" s="87"/>
      <c r="F2168" s="87"/>
      <c r="G2168" s="87"/>
      <c r="H2168" s="87"/>
      <c r="I2168" s="12" t="s">
        <v>34</v>
      </c>
      <c r="J2168" s="142"/>
      <c r="K2168" s="206">
        <v>14.002642007925999</v>
      </c>
    </row>
    <row r="2169" spans="1:11">
      <c r="A2169" s="12" t="s">
        <v>55</v>
      </c>
      <c r="B2169" s="86">
        <v>4293.9752534300696</v>
      </c>
      <c r="C2169" s="12">
        <v>1</v>
      </c>
      <c r="D2169" s="87"/>
      <c r="E2169" s="87"/>
      <c r="F2169" s="87"/>
      <c r="G2169" s="87"/>
      <c r="H2169" s="87"/>
      <c r="I2169" s="12" t="s">
        <v>34</v>
      </c>
      <c r="J2169" s="142"/>
      <c r="K2169" s="206">
        <v>14.816380449141301</v>
      </c>
    </row>
    <row r="2170" spans="1:11">
      <c r="A2170" s="12" t="s">
        <v>55</v>
      </c>
      <c r="B2170" s="86">
        <v>643.98327220112992</v>
      </c>
      <c r="C2170" s="12">
        <v>1</v>
      </c>
      <c r="D2170" s="87"/>
      <c r="E2170" s="87"/>
      <c r="F2170" s="87"/>
      <c r="G2170" s="87"/>
      <c r="H2170" s="87"/>
      <c r="I2170" s="203" t="s">
        <v>14</v>
      </c>
      <c r="J2170" s="142"/>
      <c r="K2170" s="206">
        <v>5.2338313177720899</v>
      </c>
    </row>
    <row r="2171" spans="1:11">
      <c r="A2171" s="12" t="s">
        <v>55</v>
      </c>
      <c r="B2171" s="86">
        <v>1830.3802645369799</v>
      </c>
      <c r="C2171" s="12">
        <v>1</v>
      </c>
      <c r="D2171" s="87"/>
      <c r="E2171" s="87"/>
      <c r="F2171" s="87"/>
      <c r="G2171" s="87"/>
      <c r="H2171" s="87"/>
      <c r="I2171" s="203" t="s">
        <v>14</v>
      </c>
      <c r="J2171" s="142"/>
      <c r="K2171" s="206">
        <v>5.6373397234137004</v>
      </c>
    </row>
    <row r="2172" spans="1:11">
      <c r="A2172" s="12" t="s">
        <v>55</v>
      </c>
      <c r="B2172" s="86">
        <v>2155.1476665569398</v>
      </c>
      <c r="C2172" s="12">
        <v>1</v>
      </c>
      <c r="D2172" s="87"/>
      <c r="E2172" s="87"/>
      <c r="F2172" s="87"/>
      <c r="G2172" s="87"/>
      <c r="H2172" s="87"/>
      <c r="I2172" s="203" t="s">
        <v>14</v>
      </c>
      <c r="J2172" s="142"/>
      <c r="K2172" s="206">
        <v>6.1417260770602402</v>
      </c>
    </row>
    <row r="2173" spans="1:11">
      <c r="A2173" s="12" t="s">
        <v>55</v>
      </c>
      <c r="B2173" s="86">
        <v>2161.7753366038623</v>
      </c>
      <c r="C2173" s="12">
        <v>1</v>
      </c>
      <c r="D2173" s="87"/>
      <c r="E2173" s="87"/>
      <c r="F2173" s="87"/>
      <c r="G2173" s="87"/>
      <c r="H2173" s="87"/>
      <c r="I2173" s="203" t="s">
        <v>14</v>
      </c>
      <c r="J2173" s="142"/>
      <c r="K2173" s="206">
        <v>8.2097070792707392</v>
      </c>
    </row>
    <row r="2174" spans="1:11">
      <c r="A2174" s="12" t="s">
        <v>55</v>
      </c>
      <c r="B2174" s="86">
        <v>1803.86780439225</v>
      </c>
      <c r="C2174" s="12">
        <v>1</v>
      </c>
      <c r="D2174" s="87"/>
      <c r="E2174" s="87"/>
      <c r="F2174" s="87"/>
      <c r="G2174" s="87"/>
      <c r="H2174" s="87"/>
      <c r="I2174" s="203" t="s">
        <v>14</v>
      </c>
      <c r="J2174" s="142"/>
      <c r="K2174" s="206">
        <v>11.0342659187619</v>
      </c>
    </row>
    <row r="2175" spans="1:11">
      <c r="A2175" s="12" t="s">
        <v>55</v>
      </c>
      <c r="B2175" s="86">
        <v>2599.2175793140977</v>
      </c>
      <c r="C2175" s="12">
        <v>1</v>
      </c>
      <c r="D2175" s="87"/>
      <c r="E2175" s="87"/>
      <c r="F2175" s="87"/>
      <c r="G2175" s="87"/>
      <c r="H2175" s="87"/>
      <c r="I2175" s="203" t="s">
        <v>14</v>
      </c>
      <c r="J2175" s="142"/>
      <c r="K2175" s="206">
        <v>9.6892377118245001</v>
      </c>
    </row>
    <row r="2176" spans="1:11">
      <c r="A2176" s="12" t="s">
        <v>55</v>
      </c>
      <c r="B2176" s="86">
        <v>3023.4044819304963</v>
      </c>
      <c r="C2176" s="12">
        <v>1</v>
      </c>
      <c r="D2176" s="87"/>
      <c r="E2176" s="87"/>
      <c r="F2176" s="87"/>
      <c r="G2176" s="87"/>
      <c r="H2176" s="87"/>
      <c r="I2176" s="203" t="s">
        <v>14</v>
      </c>
      <c r="J2176" s="142"/>
      <c r="K2176" s="206">
        <v>8.6636538945184505</v>
      </c>
    </row>
    <row r="2177" spans="1:11">
      <c r="A2177" s="12" t="s">
        <v>55</v>
      </c>
      <c r="B2177" s="86">
        <v>4083.86995851444</v>
      </c>
      <c r="C2177" s="12">
        <v>1</v>
      </c>
      <c r="D2177" s="87"/>
      <c r="E2177" s="87"/>
      <c r="F2177" s="87"/>
      <c r="G2177" s="87"/>
      <c r="H2177" s="87"/>
      <c r="I2177" s="203" t="s">
        <v>14</v>
      </c>
      <c r="J2177" s="142"/>
      <c r="K2177" s="206">
        <v>9.7564894890290095</v>
      </c>
    </row>
    <row r="2178" spans="1:11">
      <c r="A2178" s="12" t="s">
        <v>55</v>
      </c>
      <c r="B2178" s="86">
        <v>3686.1955160427719</v>
      </c>
      <c r="C2178" s="12">
        <v>1</v>
      </c>
      <c r="D2178" s="87"/>
      <c r="E2178" s="87"/>
      <c r="F2178" s="87"/>
      <c r="G2178" s="87"/>
      <c r="H2178" s="87"/>
      <c r="I2178" s="203" t="s">
        <v>14</v>
      </c>
      <c r="J2178" s="142"/>
      <c r="K2178" s="206">
        <v>11.622716288418699</v>
      </c>
    </row>
    <row r="2179" spans="1:11">
      <c r="A2179" s="12" t="s">
        <v>55</v>
      </c>
      <c r="B2179" s="87"/>
      <c r="C2179" s="12"/>
      <c r="D2179" s="87"/>
      <c r="E2179" s="87"/>
      <c r="F2179" s="87"/>
      <c r="G2179" s="87"/>
      <c r="H2179" s="87"/>
      <c r="I2179" s="12" t="s">
        <v>34</v>
      </c>
      <c r="J2179" s="88">
        <v>11.3943221408755</v>
      </c>
      <c r="K2179" s="88">
        <v>2.8910259693253701</v>
      </c>
    </row>
    <row r="2180" spans="1:11">
      <c r="A2180" s="12" t="s">
        <v>55</v>
      </c>
      <c r="B2180" s="87"/>
      <c r="C2180" s="87"/>
      <c r="D2180" s="87"/>
      <c r="E2180" s="87"/>
      <c r="F2180" s="87"/>
      <c r="G2180" s="87"/>
      <c r="H2180" s="87"/>
      <c r="I2180" s="12" t="s">
        <v>34</v>
      </c>
      <c r="J2180" s="92">
        <v>10.712934886907099</v>
      </c>
      <c r="K2180" s="92">
        <v>3.10256443914029</v>
      </c>
    </row>
    <row r="2181" spans="1:11">
      <c r="A2181" s="12" t="s">
        <v>55</v>
      </c>
      <c r="B2181" s="87"/>
      <c r="C2181" s="87"/>
      <c r="D2181" s="87"/>
      <c r="E2181" s="87"/>
      <c r="F2181" s="87"/>
      <c r="G2181" s="87"/>
      <c r="H2181" s="87"/>
      <c r="I2181" s="12" t="s">
        <v>34</v>
      </c>
      <c r="J2181" s="92">
        <v>6.2839132884398099</v>
      </c>
      <c r="K2181" s="92">
        <v>3.2948719824716401</v>
      </c>
    </row>
    <row r="2182" spans="1:11">
      <c r="A2182" s="12" t="s">
        <v>55</v>
      </c>
      <c r="B2182" s="87"/>
      <c r="C2182" s="87"/>
      <c r="D2182" s="87"/>
      <c r="E2182" s="87"/>
      <c r="H2182" s="87"/>
      <c r="I2182" s="12" t="s">
        <v>34</v>
      </c>
      <c r="J2182" s="92">
        <v>3.9369094994860498</v>
      </c>
      <c r="K2182" s="92">
        <v>3.4999995696238799</v>
      </c>
    </row>
    <row r="2183" spans="1:11">
      <c r="A2183" s="12" t="s">
        <v>55</v>
      </c>
      <c r="B2183" s="87"/>
      <c r="C2183" s="87"/>
      <c r="D2183" s="87"/>
      <c r="E2183" s="87"/>
      <c r="H2183" s="87"/>
      <c r="I2183" s="12" t="s">
        <v>34</v>
      </c>
      <c r="J2183" s="92">
        <v>2.1198751278854702</v>
      </c>
      <c r="K2183" s="92">
        <v>3.6025642239522302</v>
      </c>
    </row>
    <row r="2184" spans="1:11">
      <c r="A2184" s="12" t="s">
        <v>55</v>
      </c>
      <c r="B2184" s="87"/>
      <c r="C2184" s="87"/>
      <c r="D2184" s="87"/>
      <c r="E2184" s="87"/>
      <c r="H2184" s="87"/>
      <c r="I2184" s="12" t="s">
        <v>34</v>
      </c>
      <c r="J2184" s="92">
        <v>1.8170343716005799</v>
      </c>
      <c r="K2184" s="92">
        <v>3.7948717672835799</v>
      </c>
    </row>
    <row r="2185" spans="1:11">
      <c r="A2185" s="12" t="s">
        <v>55</v>
      </c>
      <c r="B2185" s="87"/>
      <c r="C2185" s="87"/>
      <c r="D2185" s="87"/>
      <c r="E2185" s="87"/>
      <c r="H2185" s="87"/>
      <c r="I2185" s="12" t="s">
        <v>34</v>
      </c>
      <c r="J2185" s="92">
        <v>0.189275154987158</v>
      </c>
      <c r="K2185" s="92">
        <v>4.1089740306746201</v>
      </c>
    </row>
    <row r="2186" spans="1:11">
      <c r="A2186" s="12" t="s">
        <v>55</v>
      </c>
      <c r="B2186" s="87"/>
      <c r="C2186" s="87"/>
      <c r="D2186" s="87"/>
      <c r="E2186" s="87"/>
      <c r="H2186" s="87"/>
      <c r="I2186" s="12" t="s">
        <v>14</v>
      </c>
      <c r="J2186" s="88">
        <v>11.3943221408755</v>
      </c>
      <c r="K2186" s="88">
        <v>2.8910259693253701</v>
      </c>
    </row>
    <row r="2187" spans="1:11">
      <c r="A2187" s="12" t="s">
        <v>55</v>
      </c>
      <c r="B2187" s="87"/>
      <c r="C2187" s="87"/>
      <c r="D2187" s="87"/>
      <c r="E2187" s="87"/>
      <c r="H2187" s="87"/>
      <c r="I2187" s="12" t="s">
        <v>14</v>
      </c>
      <c r="J2187" s="92">
        <v>10.712934886907099</v>
      </c>
      <c r="K2187" s="92">
        <v>3.10256443914029</v>
      </c>
    </row>
    <row r="2188" spans="1:11">
      <c r="A2188" s="12" t="s">
        <v>55</v>
      </c>
      <c r="B2188" s="87"/>
      <c r="C2188" s="87"/>
      <c r="D2188" s="87"/>
      <c r="E2188" s="87"/>
      <c r="H2188" s="87"/>
      <c r="I2188" s="12" t="s">
        <v>14</v>
      </c>
      <c r="J2188" s="92">
        <v>6.2839132884398099</v>
      </c>
      <c r="K2188" s="92">
        <v>3.2948719824716401</v>
      </c>
    </row>
    <row r="2189" spans="1:11">
      <c r="A2189" s="12" t="s">
        <v>55</v>
      </c>
      <c r="B2189" s="87"/>
      <c r="C2189" s="87"/>
      <c r="D2189" s="87"/>
      <c r="E2189" s="87"/>
      <c r="F2189" s="208"/>
      <c r="G2189" s="87"/>
      <c r="H2189" s="87"/>
      <c r="I2189" s="12" t="s">
        <v>14</v>
      </c>
      <c r="J2189" s="92">
        <v>3.9369094994860498</v>
      </c>
      <c r="K2189" s="92">
        <v>3.4999995696238799</v>
      </c>
    </row>
    <row r="2190" spans="1:11">
      <c r="A2190" s="12" t="s">
        <v>55</v>
      </c>
      <c r="B2190" s="87"/>
      <c r="C2190" s="87"/>
      <c r="D2190" s="87"/>
      <c r="E2190" s="87"/>
      <c r="F2190" s="87"/>
      <c r="G2190" s="87"/>
      <c r="H2190" s="87"/>
      <c r="I2190" s="12" t="s">
        <v>14</v>
      </c>
      <c r="J2190" s="92">
        <v>2.1198751278854702</v>
      </c>
      <c r="K2190" s="92">
        <v>3.6025642239522302</v>
      </c>
    </row>
    <row r="2191" spans="1:11">
      <c r="A2191" s="12" t="s">
        <v>55</v>
      </c>
      <c r="B2191" s="87"/>
      <c r="C2191" s="87"/>
      <c r="D2191" s="87"/>
      <c r="E2191" s="87"/>
      <c r="F2191" s="87"/>
      <c r="G2191" s="87"/>
      <c r="H2191" s="87"/>
      <c r="I2191" s="12" t="s">
        <v>14</v>
      </c>
      <c r="J2191" s="92">
        <v>1.8170343716005799</v>
      </c>
      <c r="K2191" s="92">
        <v>3.7948717672835799</v>
      </c>
    </row>
    <row r="2192" spans="1:11">
      <c r="A2192" s="12" t="s">
        <v>55</v>
      </c>
      <c r="B2192" s="87"/>
      <c r="C2192" s="87"/>
      <c r="D2192" s="87"/>
      <c r="E2192" s="87"/>
      <c r="F2192" s="87"/>
      <c r="G2192" s="87"/>
      <c r="H2192" s="87"/>
      <c r="I2192" s="12" t="s">
        <v>14</v>
      </c>
      <c r="J2192" s="92">
        <v>0.189275154987158</v>
      </c>
      <c r="K2192" s="92">
        <v>4.1089740306746201</v>
      </c>
    </row>
    <row r="2193" spans="1:11">
      <c r="A2193" s="84" t="s">
        <v>38</v>
      </c>
      <c r="B2193" s="85">
        <v>9.6742534407760203</v>
      </c>
      <c r="C2193" s="84">
        <v>1.1200000000000001</v>
      </c>
      <c r="D2193" s="84">
        <v>2.1399999999999999E-2</v>
      </c>
      <c r="E2193" s="84">
        <v>0.34799999999999998</v>
      </c>
      <c r="F2193" s="84">
        <v>976</v>
      </c>
      <c r="H2193" s="84">
        <v>9.85</v>
      </c>
      <c r="K2193" s="84">
        <v>4.3749997071150997</v>
      </c>
    </row>
    <row r="2194" spans="1:11">
      <c r="A2194" s="84" t="s">
        <v>38</v>
      </c>
      <c r="B2194" s="85">
        <v>32.540688964130759</v>
      </c>
      <c r="C2194" s="84">
        <v>1.1200000000000001</v>
      </c>
      <c r="D2194" s="84">
        <v>2.1399999999999999E-2</v>
      </c>
      <c r="E2194" s="84">
        <v>0.34799999999999998</v>
      </c>
      <c r="F2194" s="84">
        <v>976</v>
      </c>
      <c r="H2194" s="84">
        <v>9.85</v>
      </c>
      <c r="K2194" s="84">
        <v>5.40948247424061</v>
      </c>
    </row>
    <row r="2195" spans="1:11">
      <c r="A2195" s="84" t="s">
        <v>38</v>
      </c>
      <c r="B2195" s="85">
        <v>62.442981771089997</v>
      </c>
      <c r="C2195" s="84">
        <v>1.1200000000000001</v>
      </c>
      <c r="D2195" s="84">
        <v>2.1399999999999999E-2</v>
      </c>
      <c r="E2195" s="84">
        <v>0.34799999999999998</v>
      </c>
      <c r="F2195" s="84">
        <v>976</v>
      </c>
      <c r="H2195" s="84">
        <v>9.85</v>
      </c>
      <c r="K2195" s="84">
        <v>6.6249999229250198</v>
      </c>
    </row>
    <row r="2196" spans="1:11">
      <c r="A2196" s="84" t="s">
        <v>38</v>
      </c>
      <c r="B2196" s="85">
        <v>94.104205349497192</v>
      </c>
      <c r="C2196" s="84">
        <v>1.1200000000000001</v>
      </c>
      <c r="D2196" s="84">
        <v>2.1399999999999999E-2</v>
      </c>
      <c r="E2196" s="84">
        <v>0.34799999999999998</v>
      </c>
      <c r="F2196" s="84">
        <v>976</v>
      </c>
      <c r="H2196" s="84">
        <v>9.85</v>
      </c>
      <c r="K2196" s="84">
        <v>7.32327598804667</v>
      </c>
    </row>
    <row r="2197" spans="1:11">
      <c r="A2197" s="84" t="s">
        <v>38</v>
      </c>
      <c r="B2197" s="85">
        <v>126.64496141253599</v>
      </c>
      <c r="C2197" s="84">
        <v>1.1200000000000001</v>
      </c>
      <c r="D2197" s="84">
        <v>2.1399999999999999E-2</v>
      </c>
      <c r="E2197" s="84">
        <v>0.34799999999999998</v>
      </c>
      <c r="F2197" s="84">
        <v>976</v>
      </c>
      <c r="H2197" s="84">
        <v>9.85</v>
      </c>
      <c r="K2197" s="84">
        <v>7.9051725445547802</v>
      </c>
    </row>
    <row r="2198" spans="1:11">
      <c r="A2198" s="84" t="s">
        <v>38</v>
      </c>
      <c r="B2198" s="85">
        <v>194.36480259687661</v>
      </c>
      <c r="C2198" s="84">
        <v>1.1200000000000001</v>
      </c>
      <c r="D2198" s="84">
        <v>2.1399999999999999E-2</v>
      </c>
      <c r="E2198" s="84">
        <v>0.34799999999999998</v>
      </c>
      <c r="F2198" s="84">
        <v>976</v>
      </c>
      <c r="H2198" s="84">
        <v>9.85</v>
      </c>
      <c r="K2198" s="84">
        <v>8.8491379709008395</v>
      </c>
    </row>
    <row r="2199" spans="1:11">
      <c r="A2199" s="84" t="s">
        <v>38</v>
      </c>
      <c r="B2199" s="85">
        <v>255.04885359651959</v>
      </c>
      <c r="C2199" s="84">
        <v>1.1200000000000001</v>
      </c>
      <c r="D2199" s="84">
        <v>2.1399999999999999E-2</v>
      </c>
      <c r="E2199" s="84">
        <v>0.34799999999999998</v>
      </c>
      <c r="F2199" s="84">
        <v>976</v>
      </c>
      <c r="H2199" s="84">
        <v>9.85</v>
      </c>
      <c r="K2199" s="84">
        <v>9.4698275325201902</v>
      </c>
    </row>
    <row r="2200" spans="1:11">
      <c r="A2200" s="84" t="s">
        <v>38</v>
      </c>
      <c r="B2200" s="85">
        <v>320.13029862368938</v>
      </c>
      <c r="C2200" s="84">
        <v>1.1200000000000001</v>
      </c>
      <c r="D2200" s="84">
        <v>2.1399999999999999E-2</v>
      </c>
      <c r="E2200" s="84">
        <v>0.34799999999999998</v>
      </c>
      <c r="F2200" s="84">
        <v>976</v>
      </c>
      <c r="H2200" s="84">
        <v>9.85</v>
      </c>
      <c r="K2200" s="84">
        <v>10.1034481780565</v>
      </c>
    </row>
    <row r="2201" spans="1:11">
      <c r="A2201" s="84" t="s">
        <v>38</v>
      </c>
      <c r="B2201" s="85">
        <v>38.697080862012179</v>
      </c>
      <c r="C2201" s="84">
        <v>2.5</v>
      </c>
      <c r="D2201" s="84">
        <v>2.1399999999999999E-2</v>
      </c>
      <c r="E2201" s="84">
        <v>0.34799999999999998</v>
      </c>
      <c r="F2201" s="84">
        <v>976</v>
      </c>
      <c r="H2201" s="84">
        <v>9.85</v>
      </c>
      <c r="K2201" s="84">
        <v>6.2887932209211597</v>
      </c>
    </row>
    <row r="2202" spans="1:11">
      <c r="A2202" s="84" t="s">
        <v>38</v>
      </c>
      <c r="B2202" s="85">
        <v>65.960910412893</v>
      </c>
      <c r="C2202" s="84">
        <v>2.5</v>
      </c>
      <c r="D2202" s="84">
        <v>2.1399999999999999E-2</v>
      </c>
      <c r="E2202" s="84">
        <v>0.34799999999999998</v>
      </c>
      <c r="F2202" s="84">
        <v>976</v>
      </c>
      <c r="H2202" s="84">
        <v>9.85</v>
      </c>
      <c r="K2202" s="84">
        <v>7.1293104692106404</v>
      </c>
    </row>
    <row r="2203" spans="1:11">
      <c r="A2203" s="84" t="s">
        <v>38</v>
      </c>
      <c r="B2203" s="85">
        <v>102.01952801882639</v>
      </c>
      <c r="C2203" s="84">
        <v>2.5</v>
      </c>
      <c r="D2203" s="84">
        <v>2.1399999999999999E-2</v>
      </c>
      <c r="E2203" s="84">
        <v>0.34799999999999998</v>
      </c>
      <c r="F2203" s="84">
        <v>976</v>
      </c>
      <c r="H2203" s="84">
        <v>9.85</v>
      </c>
      <c r="K2203" s="84">
        <v>7.9051725445547802</v>
      </c>
    </row>
    <row r="2204" spans="1:11">
      <c r="A2204" s="84" t="s">
        <v>38</v>
      </c>
      <c r="B2204" s="85">
        <v>144.23453752264081</v>
      </c>
      <c r="C2204" s="84">
        <v>2.5</v>
      </c>
      <c r="D2204" s="84">
        <v>2.1399999999999999E-2</v>
      </c>
      <c r="E2204" s="84">
        <v>0.34799999999999998</v>
      </c>
      <c r="F2204" s="84">
        <v>976</v>
      </c>
      <c r="H2204" s="84">
        <v>9.85</v>
      </c>
      <c r="K2204" s="84">
        <v>8.7456895462043391</v>
      </c>
    </row>
    <row r="2205" spans="1:11">
      <c r="A2205" s="84" t="s">
        <v>38</v>
      </c>
      <c r="B2205" s="85">
        <v>216.35177273450759</v>
      </c>
      <c r="C2205" s="84">
        <v>2.5</v>
      </c>
      <c r="D2205" s="84">
        <v>2.1399999999999999E-2</v>
      </c>
      <c r="E2205" s="84">
        <v>0.34799999999999998</v>
      </c>
      <c r="F2205" s="84">
        <v>976</v>
      </c>
      <c r="H2205" s="84">
        <v>9.85</v>
      </c>
      <c r="K2205" s="84">
        <v>9.6379308835221202</v>
      </c>
    </row>
    <row r="2206" spans="1:11">
      <c r="A2206" s="84" t="s">
        <v>38</v>
      </c>
      <c r="B2206" s="85">
        <v>276.15635834842737</v>
      </c>
      <c r="C2206" s="84">
        <v>2.5</v>
      </c>
      <c r="D2206" s="84">
        <v>2.1399999999999999E-2</v>
      </c>
      <c r="E2206" s="84">
        <v>0.34799999999999998</v>
      </c>
      <c r="F2206" s="84">
        <v>976</v>
      </c>
      <c r="H2206" s="84">
        <v>9.85</v>
      </c>
      <c r="K2206" s="84">
        <v>10.232758523947201</v>
      </c>
    </row>
    <row r="2207" spans="1:11">
      <c r="A2207" s="84" t="s">
        <v>38</v>
      </c>
      <c r="B2207" s="85">
        <v>294.62539984425541</v>
      </c>
      <c r="C2207" s="84">
        <v>2.5</v>
      </c>
      <c r="D2207" s="84">
        <v>2.1399999999999999E-2</v>
      </c>
      <c r="E2207" s="84">
        <v>0.34799999999999998</v>
      </c>
      <c r="F2207" s="84">
        <v>976</v>
      </c>
      <c r="H2207" s="84">
        <v>9.85</v>
      </c>
      <c r="K2207" s="84">
        <v>10.387931037672001</v>
      </c>
    </row>
    <row r="2208" spans="1:11">
      <c r="A2208" s="84" t="s">
        <v>38</v>
      </c>
      <c r="B2208" s="85">
        <v>3.6082476118814339</v>
      </c>
      <c r="C2208" s="84">
        <v>1.1200000000000001</v>
      </c>
      <c r="D2208" s="84">
        <v>1.9400000000000001E-2</v>
      </c>
      <c r="E2208" s="84">
        <v>0.38</v>
      </c>
      <c r="F2208" s="84">
        <v>976</v>
      </c>
      <c r="H2208" s="84">
        <v>9.85</v>
      </c>
      <c r="K2208" s="84">
        <v>3.2725401230153901</v>
      </c>
    </row>
    <row r="2209" spans="1:11">
      <c r="A2209" s="84" t="s">
        <v>38</v>
      </c>
      <c r="B2209" s="85">
        <v>9.3814107563980791</v>
      </c>
      <c r="C2209" s="84">
        <v>1.1200000000000001</v>
      </c>
      <c r="D2209" s="84">
        <v>1.9400000000000001E-2</v>
      </c>
      <c r="E2209" s="84">
        <v>0.38</v>
      </c>
      <c r="F2209" s="84">
        <v>976</v>
      </c>
      <c r="H2209" s="84">
        <v>9.85</v>
      </c>
      <c r="K2209" s="84">
        <v>3.9897527298244801</v>
      </c>
    </row>
    <row r="2210" spans="1:11">
      <c r="A2210" s="84" t="s">
        <v>38</v>
      </c>
      <c r="B2210" s="85">
        <v>13.71135193664718</v>
      </c>
      <c r="C2210" s="84">
        <v>1.1200000000000001</v>
      </c>
      <c r="D2210" s="84">
        <v>1.9400000000000001E-2</v>
      </c>
      <c r="E2210" s="84">
        <v>0.38</v>
      </c>
      <c r="F2210" s="84">
        <v>976</v>
      </c>
      <c r="H2210" s="84">
        <v>9.85</v>
      </c>
      <c r="K2210" s="84">
        <v>4.4774589878005102</v>
      </c>
    </row>
    <row r="2211" spans="1:11">
      <c r="A2211" s="84" t="s">
        <v>38</v>
      </c>
      <c r="B2211" s="85">
        <v>28.86598089505128</v>
      </c>
      <c r="C2211" s="84">
        <v>1.1200000000000001</v>
      </c>
      <c r="D2211" s="84">
        <v>1.9400000000000001E-2</v>
      </c>
      <c r="E2211" s="84">
        <v>0.38</v>
      </c>
      <c r="F2211" s="84">
        <v>976</v>
      </c>
      <c r="H2211" s="84">
        <v>9.85</v>
      </c>
      <c r="K2211" s="84">
        <v>5.3668028610074696</v>
      </c>
    </row>
    <row r="2212" spans="1:11">
      <c r="A2212" s="84" t="s">
        <v>38</v>
      </c>
      <c r="B2212" s="85">
        <v>41.855639263330801</v>
      </c>
      <c r="C2212" s="84">
        <v>1.1200000000000001</v>
      </c>
      <c r="D2212" s="84">
        <v>1.9400000000000001E-2</v>
      </c>
      <c r="E2212" s="84">
        <v>0.38</v>
      </c>
      <c r="F2212" s="84">
        <v>976</v>
      </c>
      <c r="H2212" s="84">
        <v>9.85</v>
      </c>
      <c r="K2212" s="84">
        <v>5.7971307534070498</v>
      </c>
    </row>
    <row r="2213" spans="1:11">
      <c r="A2213" s="84" t="s">
        <v>38</v>
      </c>
      <c r="B2213" s="85">
        <v>57.010323279224039</v>
      </c>
      <c r="C2213" s="84">
        <v>1.1200000000000001</v>
      </c>
      <c r="D2213" s="84">
        <v>1.9400000000000001E-2</v>
      </c>
      <c r="E2213" s="84">
        <v>0.38</v>
      </c>
      <c r="F2213" s="84">
        <v>976</v>
      </c>
      <c r="H2213" s="84">
        <v>9.85</v>
      </c>
      <c r="K2213" s="84">
        <v>6.3709012766064896</v>
      </c>
    </row>
    <row r="2214" spans="1:11">
      <c r="A2214" s="84" t="s">
        <v>38</v>
      </c>
      <c r="B2214" s="85">
        <v>89.484551786156402</v>
      </c>
      <c r="C2214" s="84">
        <v>1.1200000000000001</v>
      </c>
      <c r="D2214" s="84">
        <v>1.9400000000000001E-2</v>
      </c>
      <c r="E2214" s="84">
        <v>0.38</v>
      </c>
      <c r="F2214" s="84">
        <v>976</v>
      </c>
      <c r="H2214" s="84">
        <v>9.85</v>
      </c>
      <c r="K2214" s="84">
        <v>6.97336043540394</v>
      </c>
    </row>
    <row r="2215" spans="1:11">
      <c r="A2215" s="84" t="s">
        <v>38</v>
      </c>
      <c r="B2215" s="85">
        <v>108.247428356442</v>
      </c>
      <c r="C2215" s="84">
        <v>1.1200000000000001</v>
      </c>
      <c r="D2215" s="84">
        <v>1.9400000000000001E-2</v>
      </c>
      <c r="E2215" s="84">
        <v>0.38</v>
      </c>
      <c r="F2215" s="84">
        <v>976</v>
      </c>
      <c r="H2215" s="84">
        <v>9.85</v>
      </c>
      <c r="K2215" s="84">
        <v>7.1024590219999002</v>
      </c>
    </row>
    <row r="2216" spans="1:11">
      <c r="A2216" s="84" t="s">
        <v>38</v>
      </c>
      <c r="B2216" s="85">
        <v>1.443277021756878</v>
      </c>
      <c r="C2216" s="84">
        <v>2.5</v>
      </c>
      <c r="D2216" s="84">
        <v>1.9400000000000001E-2</v>
      </c>
      <c r="E2216" s="84">
        <v>0.38</v>
      </c>
      <c r="F2216" s="84">
        <v>976</v>
      </c>
      <c r="H2216" s="84">
        <v>9.85</v>
      </c>
      <c r="K2216" s="84">
        <v>4.1475404992086604</v>
      </c>
    </row>
    <row r="2217" spans="1:11">
      <c r="A2217" s="84" t="s">
        <v>38</v>
      </c>
      <c r="B2217" s="85">
        <v>18.041238059407018</v>
      </c>
      <c r="C2217" s="84">
        <v>2.5</v>
      </c>
      <c r="D2217" s="84">
        <v>1.9400000000000001E-2</v>
      </c>
      <c r="E2217" s="84">
        <v>0.38</v>
      </c>
      <c r="F2217" s="84">
        <v>976</v>
      </c>
      <c r="H2217" s="84">
        <v>9.85</v>
      </c>
      <c r="K2217" s="84">
        <v>5.2233602302076099</v>
      </c>
    </row>
    <row r="2218" spans="1:11">
      <c r="A2218" s="84" t="s">
        <v>38</v>
      </c>
      <c r="B2218" s="85">
        <v>28.86598089505128</v>
      </c>
      <c r="C2218" s="84">
        <v>2.5</v>
      </c>
      <c r="D2218" s="84">
        <v>1.9400000000000001E-2</v>
      </c>
      <c r="E2218" s="84">
        <v>0.38</v>
      </c>
      <c r="F2218" s="84">
        <v>976</v>
      </c>
      <c r="H2218" s="84">
        <v>9.85</v>
      </c>
      <c r="K2218" s="84">
        <v>5.8114753448011598</v>
      </c>
    </row>
    <row r="2219" spans="1:11">
      <c r="A2219" s="84" t="s">
        <v>38</v>
      </c>
      <c r="B2219" s="85">
        <v>71.44331372674921</v>
      </c>
      <c r="C2219" s="84">
        <v>2.5</v>
      </c>
      <c r="D2219" s="84">
        <v>1.9400000000000001E-2</v>
      </c>
      <c r="E2219" s="84">
        <v>0.38</v>
      </c>
      <c r="F2219" s="84">
        <v>976</v>
      </c>
      <c r="H2219" s="84">
        <v>9.85</v>
      </c>
      <c r="K2219" s="84">
        <v>7.28893433260167</v>
      </c>
    </row>
    <row r="2220" spans="1:11">
      <c r="A2220" s="84" t="s">
        <v>38</v>
      </c>
      <c r="B2220" s="85">
        <v>96.701047009919392</v>
      </c>
      <c r="C2220" s="84">
        <v>2.5</v>
      </c>
      <c r="D2220" s="84">
        <v>1.9400000000000001E-2</v>
      </c>
      <c r="E2220" s="84">
        <v>0.38</v>
      </c>
      <c r="F2220" s="84">
        <v>976</v>
      </c>
      <c r="H2220" s="84">
        <v>9.85</v>
      </c>
      <c r="K2220" s="84">
        <v>7.8483608115972103</v>
      </c>
    </row>
    <row r="2221" spans="1:11">
      <c r="A2221" s="84" t="s">
        <v>38</v>
      </c>
      <c r="B2221" s="85">
        <v>141.44329537425301</v>
      </c>
      <c r="C2221" s="84">
        <v>2.5</v>
      </c>
      <c r="D2221" s="84">
        <v>1.9400000000000001E-2</v>
      </c>
      <c r="E2221" s="84">
        <v>0.38</v>
      </c>
      <c r="F2221" s="84">
        <v>976</v>
      </c>
      <c r="H2221" s="84">
        <v>9.85</v>
      </c>
      <c r="K2221" s="84">
        <v>8.5368853299984906</v>
      </c>
    </row>
    <row r="2222" spans="1:11">
      <c r="A2222" s="84" t="s">
        <v>38</v>
      </c>
      <c r="B2222" s="85">
        <v>189.79379135046841</v>
      </c>
      <c r="C2222" s="84">
        <v>2.5</v>
      </c>
      <c r="D2222" s="84">
        <v>1.9400000000000001E-2</v>
      </c>
      <c r="E2222" s="84">
        <v>0.38</v>
      </c>
      <c r="F2222" s="84">
        <v>976</v>
      </c>
      <c r="H2222" s="84">
        <v>9.85</v>
      </c>
      <c r="K2222" s="84">
        <v>9.0532788555970107</v>
      </c>
    </row>
    <row r="2223" spans="1:11">
      <c r="A2223" s="84" t="s">
        <v>38</v>
      </c>
      <c r="B2223" s="86">
        <v>211.44327702175681</v>
      </c>
      <c r="C2223" s="84">
        <v>2.5</v>
      </c>
      <c r="D2223" s="84">
        <v>1.9400000000000001E-2</v>
      </c>
      <c r="E2223" s="84">
        <v>0.38</v>
      </c>
      <c r="F2223" s="84">
        <v>976</v>
      </c>
      <c r="H2223" s="84">
        <v>9.85</v>
      </c>
      <c r="I2223" s="12"/>
      <c r="J2223" s="92"/>
      <c r="K2223" s="84">
        <v>9.02458967280878</v>
      </c>
    </row>
    <row r="2224" spans="1:11">
      <c r="A2224" s="84" t="s">
        <v>38</v>
      </c>
      <c r="B2224" s="86">
        <v>313.19590372280339</v>
      </c>
      <c r="C2224" s="84">
        <v>2.5</v>
      </c>
      <c r="D2224" s="84">
        <v>1.9400000000000001E-2</v>
      </c>
      <c r="E2224" s="84">
        <v>0.38</v>
      </c>
      <c r="F2224" s="84">
        <v>976</v>
      </c>
      <c r="H2224" s="84">
        <v>9.85</v>
      </c>
      <c r="I2224" s="12"/>
      <c r="J2224" s="92"/>
      <c r="K2224" s="84">
        <v>9.6987704206012708</v>
      </c>
    </row>
    <row r="2225" spans="1:11">
      <c r="A2225" s="84" t="s">
        <v>38</v>
      </c>
      <c r="B2225" s="86">
        <v>457.5257531405706</v>
      </c>
      <c r="C2225" s="84">
        <v>2.5</v>
      </c>
      <c r="D2225" s="84">
        <v>1.9400000000000001E-2</v>
      </c>
      <c r="E2225" s="84">
        <v>0.38</v>
      </c>
      <c r="F2225" s="84">
        <v>976</v>
      </c>
      <c r="H2225" s="84">
        <v>9.85</v>
      </c>
      <c r="I2225" s="12"/>
      <c r="J2225" s="92"/>
      <c r="K2225" s="84">
        <v>10.473360845796501</v>
      </c>
    </row>
    <row r="2226" spans="1:11">
      <c r="A2226" s="84" t="s">
        <v>38</v>
      </c>
      <c r="B2226" s="86">
        <v>46.461066864337319</v>
      </c>
      <c r="C2226" s="84">
        <v>1.1200000000000001</v>
      </c>
      <c r="D2226" s="84">
        <v>1.2500000000000001E-2</v>
      </c>
      <c r="E2226" s="84">
        <v>3.9800000000000002E-2</v>
      </c>
      <c r="F2226" s="84">
        <v>860</v>
      </c>
      <c r="G2226" s="87"/>
      <c r="H2226" s="12">
        <v>199.85</v>
      </c>
      <c r="I2226" s="12"/>
      <c r="J2226" s="92"/>
      <c r="K2226" s="84">
        <v>3.62035004228408</v>
      </c>
    </row>
    <row r="2227" spans="1:11">
      <c r="A2227" s="84" t="s">
        <v>38</v>
      </c>
      <c r="B2227" s="86">
        <v>60.487027861533605</v>
      </c>
      <c r="C2227" s="84">
        <v>1.1200000000000001</v>
      </c>
      <c r="D2227" s="84">
        <v>1.2500000000000001E-2</v>
      </c>
      <c r="E2227" s="84">
        <v>3.9800000000000002E-2</v>
      </c>
      <c r="F2227" s="84">
        <v>860</v>
      </c>
      <c r="G2227" s="87"/>
      <c r="H2227" s="12">
        <v>199.85</v>
      </c>
      <c r="I2227" s="12"/>
      <c r="J2227" s="92"/>
      <c r="K2227" s="84">
        <v>3.8435453832617599</v>
      </c>
    </row>
    <row r="2228" spans="1:11">
      <c r="A2228" s="84" t="s">
        <v>38</v>
      </c>
      <c r="B2228" s="86">
        <v>87.662339833800004</v>
      </c>
      <c r="C2228" s="84">
        <v>1.1200000000000001</v>
      </c>
      <c r="D2228" s="84">
        <v>1.2500000000000001E-2</v>
      </c>
      <c r="E2228" s="84">
        <v>3.9800000000000002E-2</v>
      </c>
      <c r="F2228" s="84">
        <v>860</v>
      </c>
      <c r="G2228" s="87"/>
      <c r="H2228" s="12">
        <v>199.85</v>
      </c>
      <c r="I2228" s="12"/>
      <c r="J2228" s="92"/>
      <c r="K2228" s="84">
        <v>4.3030634647278703</v>
      </c>
    </row>
    <row r="2229" spans="1:11">
      <c r="A2229" s="84" t="s">
        <v>38</v>
      </c>
      <c r="B2229" s="86">
        <v>141.136353756207</v>
      </c>
      <c r="C2229" s="84">
        <v>1.1200000000000001</v>
      </c>
      <c r="D2229" s="84">
        <v>1.2500000000000001E-2</v>
      </c>
      <c r="E2229" s="84">
        <v>3.9800000000000002E-2</v>
      </c>
      <c r="F2229" s="84">
        <v>860</v>
      </c>
      <c r="G2229" s="87"/>
      <c r="H2229" s="12">
        <v>199.85</v>
      </c>
      <c r="I2229" s="12"/>
      <c r="J2229" s="92"/>
      <c r="K2229" s="84">
        <v>5.07767970212808</v>
      </c>
    </row>
    <row r="2230" spans="1:11">
      <c r="A2230" s="84" t="s">
        <v>38</v>
      </c>
      <c r="B2230" s="86">
        <v>198.99348467030399</v>
      </c>
      <c r="C2230" s="84">
        <v>1.1200000000000001</v>
      </c>
      <c r="D2230" s="84">
        <v>1.2500000000000001E-2</v>
      </c>
      <c r="E2230" s="84">
        <v>3.9800000000000002E-2</v>
      </c>
      <c r="F2230" s="84">
        <v>860</v>
      </c>
      <c r="G2230" s="87"/>
      <c r="H2230" s="12">
        <v>199.85</v>
      </c>
      <c r="I2230" s="12"/>
      <c r="J2230" s="92"/>
      <c r="K2230" s="84">
        <v>5.60284479785809</v>
      </c>
    </row>
    <row r="2231" spans="1:11">
      <c r="A2231" s="84" t="s">
        <v>38</v>
      </c>
      <c r="B2231" s="86">
        <v>276.13637047647182</v>
      </c>
      <c r="C2231" s="84">
        <v>1.1200000000000001</v>
      </c>
      <c r="D2231" s="84">
        <v>1.2500000000000001E-2</v>
      </c>
      <c r="E2231" s="84">
        <v>3.9800000000000002E-2</v>
      </c>
      <c r="F2231" s="84">
        <v>860</v>
      </c>
      <c r="G2231" s="87"/>
      <c r="H2231" s="12">
        <v>199.85</v>
      </c>
      <c r="I2231" s="12"/>
      <c r="J2231" s="92"/>
      <c r="K2231" s="84">
        <v>6.1936544036744596</v>
      </c>
    </row>
    <row r="2232" spans="1:11">
      <c r="A2232" s="84" t="s">
        <v>38</v>
      </c>
      <c r="B2232" s="86">
        <v>359.41559331858241</v>
      </c>
      <c r="C2232" s="84">
        <v>1.1200000000000001</v>
      </c>
      <c r="D2232" s="84">
        <v>1.2500000000000001E-2</v>
      </c>
      <c r="E2232" s="84">
        <v>3.9800000000000002E-2</v>
      </c>
      <c r="F2232" s="84">
        <v>860</v>
      </c>
      <c r="G2232" s="87"/>
      <c r="H2232" s="12">
        <v>199.85</v>
      </c>
      <c r="I2232" s="12"/>
      <c r="J2232" s="92"/>
      <c r="K2232" s="84">
        <v>6.6400440839588102</v>
      </c>
    </row>
    <row r="2233" spans="1:11">
      <c r="A2233" s="84" t="s">
        <v>38</v>
      </c>
      <c r="B2233" s="86">
        <v>425.16234819393236</v>
      </c>
      <c r="C2233" s="84">
        <v>1.1200000000000001</v>
      </c>
      <c r="D2233" s="84">
        <v>1.2500000000000001E-2</v>
      </c>
      <c r="E2233" s="84">
        <v>3.9800000000000002E-2</v>
      </c>
      <c r="F2233" s="84">
        <v>860</v>
      </c>
      <c r="G2233" s="87"/>
      <c r="H2233" s="12">
        <v>199.85</v>
      </c>
      <c r="I2233" s="12"/>
      <c r="J2233" s="92"/>
      <c r="K2233" s="84">
        <v>7.1389498731477499</v>
      </c>
    </row>
    <row r="2234" spans="1:11">
      <c r="A2234" s="84" t="s">
        <v>38</v>
      </c>
      <c r="B2234" s="86">
        <v>24.5454819058872</v>
      </c>
      <c r="C2234" s="84">
        <v>2.5</v>
      </c>
      <c r="G2234" s="87"/>
      <c r="H2234" s="12">
        <v>199.85</v>
      </c>
      <c r="I2234" s="12"/>
      <c r="J2234" s="92"/>
      <c r="K2234" s="84">
        <v>3.9879653087937799</v>
      </c>
    </row>
    <row r="2235" spans="1:11">
      <c r="A2235" s="84" t="s">
        <v>38</v>
      </c>
      <c r="B2235" s="86">
        <v>69.253261844913609</v>
      </c>
      <c r="C2235" s="84">
        <v>2.5</v>
      </c>
      <c r="G2235" s="87"/>
      <c r="H2235" s="12">
        <v>199.85</v>
      </c>
      <c r="I2235" s="12"/>
      <c r="J2235" s="92"/>
      <c r="K2235" s="84">
        <v>4.6050332194801999</v>
      </c>
    </row>
    <row r="2236" spans="1:11">
      <c r="A2236" s="84" t="s">
        <v>38</v>
      </c>
      <c r="B2236" s="86">
        <v>137.62984678664341</v>
      </c>
      <c r="C2236" s="84">
        <v>2.5</v>
      </c>
      <c r="G2236" s="87"/>
      <c r="H2236" s="12">
        <v>199.85</v>
      </c>
      <c r="I2236" s="12"/>
      <c r="J2236" s="92"/>
      <c r="K2236" s="84">
        <v>5.5765864929880404</v>
      </c>
    </row>
    <row r="2237" spans="1:11">
      <c r="A2237" s="84" t="s">
        <v>38</v>
      </c>
      <c r="B2237" s="86">
        <v>234.058420603824</v>
      </c>
      <c r="C2237" s="84">
        <v>2.5</v>
      </c>
      <c r="G2237" s="87"/>
      <c r="H2237" s="12">
        <v>199.85</v>
      </c>
      <c r="I2237" s="12"/>
      <c r="J2237" s="92"/>
      <c r="K2237" s="84">
        <v>6.4431075486866796</v>
      </c>
    </row>
    <row r="2238" spans="1:11">
      <c r="A2238" s="84" t="s">
        <v>38</v>
      </c>
      <c r="B2238" s="86">
        <v>287.53250140728841</v>
      </c>
      <c r="C2238" s="84">
        <v>2.5</v>
      </c>
      <c r="G2238" s="87"/>
      <c r="H2238" s="12">
        <v>199.85</v>
      </c>
      <c r="I2238" s="12"/>
      <c r="J2238" s="92"/>
      <c r="K2238" s="84">
        <v>6.9288839350228502</v>
      </c>
    </row>
    <row r="2239" spans="1:11">
      <c r="A2239" s="84" t="s">
        <v>38</v>
      </c>
      <c r="B2239" s="86">
        <v>457.5973871800158</v>
      </c>
      <c r="C2239" s="84">
        <v>2.5</v>
      </c>
      <c r="G2239" s="87"/>
      <c r="H2239" s="12">
        <v>199.85</v>
      </c>
      <c r="I2239" s="12"/>
      <c r="J2239" s="92"/>
      <c r="K2239" s="84">
        <v>7.9529543191062997</v>
      </c>
    </row>
    <row r="2240" spans="1:11">
      <c r="A2240" s="84" t="s">
        <v>38</v>
      </c>
      <c r="B2240" s="86"/>
      <c r="C2240" s="84">
        <v>1.1200000000000001</v>
      </c>
      <c r="D2240" s="84">
        <v>3.1E-2</v>
      </c>
      <c r="E2240" s="84">
        <v>0.41799999999999998</v>
      </c>
      <c r="F2240" s="84">
        <v>880</v>
      </c>
      <c r="G2240" s="87"/>
      <c r="H2240" s="86">
        <v>19.850000000000023</v>
      </c>
      <c r="J2240" s="92"/>
      <c r="K2240" s="12">
        <v>6.6506022453630997</v>
      </c>
    </row>
    <row r="2241" spans="1:11">
      <c r="A2241" s="84" t="s">
        <v>38</v>
      </c>
      <c r="B2241" s="86"/>
      <c r="C2241" s="84">
        <v>1.1200000000000001</v>
      </c>
      <c r="D2241" s="84">
        <v>3.1E-2</v>
      </c>
      <c r="E2241" s="84">
        <v>0.41799999999999998</v>
      </c>
      <c r="F2241" s="84">
        <v>880</v>
      </c>
      <c r="G2241" s="87"/>
      <c r="H2241" s="86">
        <v>19.850000000000023</v>
      </c>
      <c r="J2241" s="92"/>
      <c r="K2241" s="12">
        <v>7.3574296844207199</v>
      </c>
    </row>
    <row r="2242" spans="1:11">
      <c r="A2242" s="84" t="s">
        <v>38</v>
      </c>
      <c r="B2242" s="86"/>
      <c r="C2242" s="84">
        <v>1.1200000000000001</v>
      </c>
      <c r="D2242" s="84">
        <v>3.1E-2</v>
      </c>
      <c r="E2242" s="84">
        <v>0.41799999999999998</v>
      </c>
      <c r="F2242" s="84">
        <v>880</v>
      </c>
      <c r="G2242" s="87"/>
      <c r="H2242" s="86">
        <v>19.850000000000023</v>
      </c>
      <c r="J2242" s="92"/>
      <c r="K2242" s="12">
        <v>7.9518071956914103</v>
      </c>
    </row>
    <row r="2243" spans="1:11">
      <c r="A2243" s="84" t="s">
        <v>38</v>
      </c>
      <c r="B2243" s="86"/>
      <c r="C2243" s="84">
        <v>1.1200000000000001</v>
      </c>
      <c r="D2243" s="84">
        <v>1.6500000000000001E-2</v>
      </c>
      <c r="E2243" s="84">
        <v>9.9400000000000002E-2</v>
      </c>
      <c r="F2243" s="84">
        <v>921</v>
      </c>
      <c r="G2243" s="87"/>
      <c r="H2243" s="86">
        <v>99.850000000000023</v>
      </c>
      <c r="J2243" s="92"/>
      <c r="K2243" s="12">
        <v>4.6265059964095103</v>
      </c>
    </row>
    <row r="2244" spans="1:11">
      <c r="A2244" s="84" t="s">
        <v>38</v>
      </c>
      <c r="B2244" s="86"/>
      <c r="C2244" s="84">
        <v>1.1200000000000001</v>
      </c>
      <c r="D2244" s="84">
        <v>1.6500000000000001E-2</v>
      </c>
      <c r="E2244" s="84">
        <v>9.9400000000000002E-2</v>
      </c>
      <c r="F2244" s="84">
        <v>921</v>
      </c>
      <c r="G2244" s="87"/>
      <c r="H2244" s="86">
        <v>99.850000000000023</v>
      </c>
      <c r="J2244" s="92"/>
      <c r="K2244" s="12">
        <v>5.1566257713990398</v>
      </c>
    </row>
    <row r="2245" spans="1:11">
      <c r="A2245" s="84" t="s">
        <v>38</v>
      </c>
      <c r="B2245" s="86"/>
      <c r="C2245" s="84">
        <v>1.1200000000000001</v>
      </c>
      <c r="D2245" s="84">
        <v>1.6500000000000001E-2</v>
      </c>
      <c r="E2245" s="84">
        <v>9.9400000000000002E-2</v>
      </c>
      <c r="F2245" s="84">
        <v>921</v>
      </c>
      <c r="G2245" s="87"/>
      <c r="H2245" s="86">
        <v>99.850000000000023</v>
      </c>
      <c r="J2245" s="92"/>
      <c r="K2245" s="12">
        <v>5.6867467719941898</v>
      </c>
    </row>
    <row r="2246" spans="1:11">
      <c r="A2246" s="84" t="s">
        <v>38</v>
      </c>
      <c r="B2246" s="86"/>
      <c r="C2246" s="84">
        <v>1.1200000000000001</v>
      </c>
      <c r="D2246" s="84">
        <v>1.43E-2</v>
      </c>
      <c r="E2246" s="84">
        <v>5.96E-2</v>
      </c>
      <c r="F2246" s="84">
        <v>890</v>
      </c>
      <c r="G2246" s="87"/>
      <c r="H2246" s="86">
        <v>149.85000000000002</v>
      </c>
      <c r="J2246" s="92"/>
      <c r="K2246" s="12">
        <v>5.0763044819516301</v>
      </c>
    </row>
    <row r="2247" spans="1:11">
      <c r="A2247" s="84" t="s">
        <v>38</v>
      </c>
      <c r="B2247" s="86"/>
      <c r="C2247" s="84">
        <v>1.1200000000000001</v>
      </c>
      <c r="D2247" s="84">
        <v>1.43E-2</v>
      </c>
      <c r="E2247" s="84">
        <v>5.96E-2</v>
      </c>
      <c r="F2247" s="84">
        <v>890</v>
      </c>
      <c r="G2247" s="87"/>
      <c r="H2247" s="86">
        <v>149.85000000000002</v>
      </c>
      <c r="J2247" s="92"/>
      <c r="K2247" s="12">
        <v>4.6746980347145897</v>
      </c>
    </row>
    <row r="2248" spans="1:11">
      <c r="A2248" s="84" t="s">
        <v>38</v>
      </c>
      <c r="B2248" s="86"/>
      <c r="C2248" s="84">
        <v>1.1200000000000001</v>
      </c>
      <c r="D2248" s="84">
        <v>1.43E-2</v>
      </c>
      <c r="E2248" s="84">
        <v>5.96E-2</v>
      </c>
      <c r="F2248" s="84">
        <v>890</v>
      </c>
      <c r="G2248" s="87"/>
      <c r="H2248" s="86">
        <v>149.85000000000002</v>
      </c>
      <c r="J2248" s="92"/>
      <c r="K2248" s="12">
        <v>4.1445779533236502</v>
      </c>
    </row>
    <row r="2249" spans="1:11">
      <c r="A2249" s="84" t="s">
        <v>38</v>
      </c>
      <c r="B2249" s="86"/>
      <c r="C2249" s="84">
        <v>1.1200000000000001</v>
      </c>
      <c r="D2249" s="84">
        <v>1.2500000000000001E-2</v>
      </c>
      <c r="E2249" s="84">
        <v>3.9800000000000002E-2</v>
      </c>
      <c r="F2249" s="84">
        <v>860</v>
      </c>
      <c r="G2249" s="87"/>
      <c r="H2249" s="86">
        <v>199.85000000000002</v>
      </c>
      <c r="J2249" s="92"/>
      <c r="K2249" s="12">
        <v>3.7911641571944901</v>
      </c>
    </row>
    <row r="2250" spans="1:11">
      <c r="A2250" s="84" t="s">
        <v>38</v>
      </c>
      <c r="B2250" s="86"/>
      <c r="C2250" s="84">
        <v>1.1200000000000001</v>
      </c>
      <c r="D2250" s="84">
        <v>1.2500000000000001E-2</v>
      </c>
      <c r="E2250" s="84">
        <v>3.9800000000000002E-2</v>
      </c>
      <c r="F2250" s="84">
        <v>860</v>
      </c>
      <c r="G2250" s="87"/>
      <c r="H2250" s="86">
        <v>199.85000000000002</v>
      </c>
      <c r="J2250" s="92"/>
      <c r="K2250" s="12">
        <v>4.2891565194501098</v>
      </c>
    </row>
    <row r="2251" spans="1:11">
      <c r="A2251" s="84" t="s">
        <v>38</v>
      </c>
      <c r="B2251" s="86"/>
      <c r="C2251" s="84">
        <v>1.1200000000000001</v>
      </c>
      <c r="D2251" s="84">
        <v>1.2500000000000001E-2</v>
      </c>
      <c r="E2251" s="84">
        <v>3.9800000000000002E-2</v>
      </c>
      <c r="F2251" s="84">
        <v>860</v>
      </c>
      <c r="G2251" s="87"/>
      <c r="H2251" s="86">
        <v>199.85000000000002</v>
      </c>
      <c r="J2251" s="92"/>
      <c r="K2251" s="12">
        <v>4.7550193241619896</v>
      </c>
    </row>
    <row r="2252" spans="1:11">
      <c r="A2252" s="84" t="s">
        <v>38</v>
      </c>
      <c r="B2252" s="86"/>
      <c r="C2252" s="84">
        <v>2.5</v>
      </c>
      <c r="D2252" s="84">
        <v>3.1E-2</v>
      </c>
      <c r="E2252" s="84">
        <v>0.41799999999999998</v>
      </c>
      <c r="F2252" s="84">
        <v>880</v>
      </c>
      <c r="G2252" s="87"/>
      <c r="H2252" s="86">
        <v>19.850000000000023</v>
      </c>
      <c r="J2252" s="92"/>
      <c r="K2252" s="12">
        <v>10.3348213487437</v>
      </c>
    </row>
    <row r="2253" spans="1:11">
      <c r="A2253" s="84" t="s">
        <v>38</v>
      </c>
      <c r="B2253" s="86"/>
      <c r="C2253" s="84">
        <v>2.5</v>
      </c>
      <c r="D2253" s="84">
        <v>3.1E-2</v>
      </c>
      <c r="E2253" s="84">
        <v>0.41799999999999998</v>
      </c>
      <c r="F2253" s="84">
        <v>880</v>
      </c>
      <c r="G2253" s="87"/>
      <c r="H2253" s="86">
        <v>19.850000000000023</v>
      </c>
      <c r="J2253" s="92"/>
      <c r="K2253" s="12">
        <v>8.7053567703281995</v>
      </c>
    </row>
    <row r="2254" spans="1:11">
      <c r="A2254" s="84" t="s">
        <v>38</v>
      </c>
      <c r="B2254" s="86"/>
      <c r="C2254" s="84">
        <v>2.5</v>
      </c>
      <c r="D2254" s="84">
        <v>1.6500000000000001E-2</v>
      </c>
      <c r="E2254" s="84">
        <v>9.9400000000000002E-2</v>
      </c>
      <c r="F2254" s="84">
        <v>921</v>
      </c>
      <c r="G2254" s="87"/>
      <c r="H2254" s="86">
        <v>99.850000000000023</v>
      </c>
      <c r="J2254" s="92"/>
      <c r="K2254" s="12">
        <v>7.7232146582432204</v>
      </c>
    </row>
    <row r="2255" spans="1:11">
      <c r="A2255" s="84" t="s">
        <v>38</v>
      </c>
      <c r="B2255" s="86"/>
      <c r="C2255" s="84">
        <v>2.5</v>
      </c>
      <c r="D2255" s="84">
        <v>1.43E-2</v>
      </c>
      <c r="E2255" s="84">
        <v>5.96E-2</v>
      </c>
      <c r="F2255" s="84">
        <v>890</v>
      </c>
      <c r="G2255" s="87"/>
      <c r="H2255" s="86">
        <v>149.85000000000002</v>
      </c>
      <c r="J2255" s="92"/>
      <c r="K2255" s="12">
        <v>7.1428579943518598</v>
      </c>
    </row>
    <row r="2256" spans="1:11">
      <c r="A2256" s="84" t="s">
        <v>38</v>
      </c>
      <c r="B2256" s="86"/>
      <c r="C2256" s="84">
        <v>2.5</v>
      </c>
      <c r="D2256" s="84">
        <v>1.2500000000000001E-2</v>
      </c>
      <c r="E2256" s="84">
        <v>3.9800000000000002E-2</v>
      </c>
      <c r="F2256" s="84">
        <v>860</v>
      </c>
      <c r="G2256" s="87"/>
      <c r="H2256" s="86">
        <v>199.85000000000002</v>
      </c>
      <c r="J2256" s="92"/>
      <c r="K2256" s="12">
        <v>6.8526788109114598</v>
      </c>
    </row>
    <row r="2257" spans="1:11">
      <c r="A2257" s="84" t="s">
        <v>38</v>
      </c>
      <c r="B2257" s="86"/>
      <c r="C2257" s="84">
        <v>1.1200000000000001</v>
      </c>
      <c r="G2257" s="87"/>
      <c r="H2257" s="86">
        <v>19.850000000000023</v>
      </c>
      <c r="J2257" s="92"/>
      <c r="K2257" s="12">
        <v>5.4705883437197604</v>
      </c>
    </row>
    <row r="2258" spans="1:11">
      <c r="A2258" s="84" t="s">
        <v>38</v>
      </c>
      <c r="B2258" s="86"/>
      <c r="C2258" s="84">
        <v>1.1200000000000001</v>
      </c>
      <c r="G2258" s="87"/>
      <c r="H2258" s="86">
        <v>19.850000000000023</v>
      </c>
      <c r="J2258" s="92"/>
      <c r="K2258" s="12">
        <v>6.3949580842109599</v>
      </c>
    </row>
    <row r="2259" spans="1:11">
      <c r="A2259" s="84" t="s">
        <v>38</v>
      </c>
      <c r="B2259" s="86"/>
      <c r="C2259" s="84">
        <v>1.1200000000000001</v>
      </c>
      <c r="G2259" s="87"/>
      <c r="H2259" s="86">
        <v>19.850000000000023</v>
      </c>
      <c r="J2259" s="92"/>
      <c r="K2259" s="12">
        <v>7.0504201997194302</v>
      </c>
    </row>
    <row r="2260" spans="1:11">
      <c r="A2260" s="84" t="s">
        <v>38</v>
      </c>
      <c r="B2260" s="86"/>
      <c r="C2260" s="84">
        <v>1.1200000000000001</v>
      </c>
      <c r="G2260" s="87"/>
      <c r="H2260" s="86">
        <v>99.850000000000023</v>
      </c>
      <c r="J2260" s="92"/>
      <c r="K2260" s="12">
        <v>5.0336128520676002</v>
      </c>
    </row>
    <row r="2261" spans="1:11">
      <c r="A2261" s="84" t="s">
        <v>38</v>
      </c>
      <c r="B2261" s="86"/>
      <c r="C2261" s="84">
        <v>1.1200000000000001</v>
      </c>
      <c r="G2261" s="87"/>
      <c r="H2261" s="86">
        <v>99.850000000000023</v>
      </c>
      <c r="J2261" s="92"/>
      <c r="K2261" s="12">
        <v>4.41176463045581</v>
      </c>
    </row>
    <row r="2262" spans="1:11">
      <c r="A2262" s="84" t="s">
        <v>38</v>
      </c>
      <c r="B2262" s="86"/>
      <c r="C2262" s="84">
        <v>1.1200000000000001</v>
      </c>
      <c r="G2262" s="87"/>
      <c r="H2262" s="86">
        <v>99.850000000000023</v>
      </c>
      <c r="J2262" s="92"/>
      <c r="K2262" s="12">
        <v>3.7563025149473401</v>
      </c>
    </row>
    <row r="2263" spans="1:11">
      <c r="A2263" s="84" t="s">
        <v>38</v>
      </c>
      <c r="B2263" s="86"/>
      <c r="C2263" s="84">
        <v>1.1200000000000001</v>
      </c>
      <c r="G2263" s="87"/>
      <c r="H2263" s="86">
        <v>149.85000000000002</v>
      </c>
      <c r="J2263" s="92"/>
      <c r="K2263" s="12">
        <v>3.3865544905257399</v>
      </c>
    </row>
    <row r="2264" spans="1:11">
      <c r="A2264" s="84" t="s">
        <v>38</v>
      </c>
      <c r="B2264" s="86"/>
      <c r="C2264" s="84">
        <v>1.1200000000000001</v>
      </c>
      <c r="G2264" s="87"/>
      <c r="H2264" s="86">
        <v>149.85000000000002</v>
      </c>
      <c r="J2264" s="92"/>
      <c r="K2264" s="12">
        <v>3.9747901004920201</v>
      </c>
    </row>
    <row r="2265" spans="1:11">
      <c r="A2265" s="84" t="s">
        <v>38</v>
      </c>
      <c r="B2265" s="86"/>
      <c r="C2265" s="84">
        <v>1.1200000000000001</v>
      </c>
      <c r="G2265" s="87"/>
      <c r="H2265" s="86">
        <v>149.85000000000002</v>
      </c>
      <c r="J2265" s="92"/>
      <c r="K2265" s="12">
        <v>4.46218499045664</v>
      </c>
    </row>
    <row r="2266" spans="1:11">
      <c r="A2266" s="84" t="s">
        <v>38</v>
      </c>
      <c r="B2266" s="86"/>
      <c r="C2266" s="84">
        <v>1.1200000000000001</v>
      </c>
      <c r="G2266" s="87"/>
      <c r="H2266" s="86">
        <v>199.85000000000002</v>
      </c>
      <c r="J2266" s="92"/>
      <c r="K2266" s="12">
        <v>4.1092431115763999</v>
      </c>
    </row>
    <row r="2267" spans="1:11">
      <c r="A2267" s="84" t="s">
        <v>38</v>
      </c>
      <c r="B2267" s="86"/>
      <c r="C2267" s="84">
        <v>1.1200000000000001</v>
      </c>
      <c r="G2267" s="87"/>
      <c r="H2267" s="86">
        <v>199.85000000000002</v>
      </c>
      <c r="J2267" s="92"/>
      <c r="K2267" s="12">
        <v>3.4705881032976702</v>
      </c>
    </row>
    <row r="2268" spans="1:11">
      <c r="A2268" s="84" t="s">
        <v>38</v>
      </c>
      <c r="B2268" s="86"/>
      <c r="C2268" s="84">
        <v>1.1200000000000001</v>
      </c>
      <c r="G2268" s="87"/>
      <c r="H2268" s="86">
        <v>199.85000000000002</v>
      </c>
      <c r="J2268" s="92"/>
      <c r="K2268" s="12">
        <v>3.1848736916479998</v>
      </c>
    </row>
    <row r="2269" spans="1:11">
      <c r="A2269" s="84" t="s">
        <v>38</v>
      </c>
      <c r="B2269" s="86"/>
      <c r="C2269" s="84">
        <v>2.5</v>
      </c>
      <c r="G2269" s="87"/>
      <c r="H2269" s="86">
        <v>19.850000000000023</v>
      </c>
      <c r="J2269" s="92"/>
      <c r="K2269" s="12">
        <v>9.6930691498703503</v>
      </c>
    </row>
    <row r="2270" spans="1:11">
      <c r="A2270" s="84" t="s">
        <v>38</v>
      </c>
      <c r="B2270" s="86"/>
      <c r="C2270" s="84">
        <v>2.5</v>
      </c>
      <c r="G2270" s="87"/>
      <c r="H2270" s="86">
        <v>19.850000000000023</v>
      </c>
      <c r="J2270" s="92"/>
      <c r="K2270" s="12">
        <v>8.4851481782936204</v>
      </c>
    </row>
    <row r="2271" spans="1:11">
      <c r="A2271" s="84" t="s">
        <v>38</v>
      </c>
      <c r="B2271" s="86"/>
      <c r="C2271" s="84">
        <v>2.5</v>
      </c>
      <c r="G2271" s="87"/>
      <c r="H2271" s="86">
        <v>19.850000000000023</v>
      </c>
      <c r="J2271" s="92"/>
      <c r="K2271" s="12">
        <v>7.2970296356587196</v>
      </c>
    </row>
    <row r="2272" spans="1:11">
      <c r="A2272" s="84" t="s">
        <v>38</v>
      </c>
      <c r="B2272" s="86"/>
      <c r="C2272" s="84">
        <v>2.5</v>
      </c>
      <c r="G2272" s="87"/>
      <c r="H2272" s="86">
        <v>99.850000000000023</v>
      </c>
      <c r="J2272" s="92"/>
      <c r="K2272" s="12">
        <v>5.1188130628801698</v>
      </c>
    </row>
    <row r="2273" spans="1:11">
      <c r="A2273" s="84" t="s">
        <v>38</v>
      </c>
      <c r="B2273" s="86"/>
      <c r="C2273" s="84">
        <v>2.5</v>
      </c>
      <c r="G2273" s="87"/>
      <c r="H2273" s="86">
        <v>99.850000000000023</v>
      </c>
      <c r="J2273" s="92"/>
      <c r="K2273" s="12">
        <v>6.0297036434127502</v>
      </c>
    </row>
    <row r="2274" spans="1:11">
      <c r="A2274" s="84" t="s">
        <v>38</v>
      </c>
      <c r="B2274" s="86"/>
      <c r="C2274" s="84">
        <v>2.5</v>
      </c>
      <c r="G2274" s="87"/>
      <c r="H2274" s="86">
        <v>99.850000000000023</v>
      </c>
      <c r="J2274" s="92"/>
      <c r="K2274" s="12">
        <v>7.1584164099929897</v>
      </c>
    </row>
    <row r="2275" spans="1:11">
      <c r="A2275" s="84" t="s">
        <v>38</v>
      </c>
      <c r="B2275" s="86"/>
      <c r="C2275" s="84">
        <v>2.5</v>
      </c>
      <c r="G2275" s="87"/>
      <c r="H2275" s="86">
        <v>149.85000000000002</v>
      </c>
      <c r="J2275" s="92"/>
      <c r="K2275" s="12">
        <v>6.4653465047372096</v>
      </c>
    </row>
    <row r="2276" spans="1:11">
      <c r="A2276" s="84" t="s">
        <v>38</v>
      </c>
      <c r="B2276" s="86"/>
      <c r="C2276" s="84">
        <v>2.5</v>
      </c>
      <c r="G2276" s="87"/>
      <c r="H2276" s="86">
        <v>149.85000000000002</v>
      </c>
      <c r="J2276" s="92"/>
      <c r="K2276" s="12">
        <v>5.3168328199859802</v>
      </c>
    </row>
    <row r="2277" spans="1:11">
      <c r="A2277" s="84" t="s">
        <v>38</v>
      </c>
      <c r="B2277" s="86"/>
      <c r="C2277" s="84">
        <v>2.5</v>
      </c>
      <c r="G2277" s="87"/>
      <c r="H2277" s="86">
        <v>149.85000000000002</v>
      </c>
      <c r="J2277" s="92"/>
      <c r="K2277" s="12">
        <v>4.7227735486685303</v>
      </c>
    </row>
    <row r="2278" spans="1:11">
      <c r="A2278" s="84" t="s">
        <v>38</v>
      </c>
      <c r="B2278" s="86"/>
      <c r="C2278" s="84">
        <v>2.5</v>
      </c>
      <c r="G2278" s="87"/>
      <c r="H2278" s="86">
        <v>199.85000000000002</v>
      </c>
      <c r="J2278" s="92"/>
      <c r="K2278" s="12">
        <v>4.4653472601226296</v>
      </c>
    </row>
    <row r="2279" spans="1:11">
      <c r="A2279" s="84" t="s">
        <v>38</v>
      </c>
      <c r="B2279" s="86"/>
      <c r="C2279" s="84">
        <v>2.5</v>
      </c>
      <c r="G2279" s="87"/>
      <c r="H2279" s="86">
        <v>199.85000000000002</v>
      </c>
      <c r="J2279" s="92"/>
      <c r="K2279" s="12">
        <v>5.1584164099929897</v>
      </c>
    </row>
    <row r="2280" spans="1:11">
      <c r="A2280" s="84" t="s">
        <v>38</v>
      </c>
      <c r="B2280" s="86"/>
      <c r="C2280" s="84">
        <v>2.5</v>
      </c>
      <c r="G2280" s="87"/>
      <c r="H2280" s="86">
        <v>199.85000000000002</v>
      </c>
      <c r="J2280" s="92"/>
      <c r="K2280" s="12">
        <v>6.2277234005185704</v>
      </c>
    </row>
    <row r="2281" spans="1:11">
      <c r="A2281" s="84" t="s">
        <v>38</v>
      </c>
      <c r="B2281" s="86"/>
      <c r="C2281" s="84">
        <v>2.5</v>
      </c>
      <c r="D2281" s="84">
        <v>1.55E-2</v>
      </c>
      <c r="E2281" s="84">
        <v>2.5999999999999998E-4</v>
      </c>
      <c r="F2281" s="84">
        <v>669.6</v>
      </c>
      <c r="G2281" s="87"/>
      <c r="H2281" s="86">
        <v>149.85000000000002</v>
      </c>
      <c r="J2281" s="92"/>
      <c r="K2281" s="88">
        <v>4.5056603807535502</v>
      </c>
    </row>
    <row r="2282" spans="1:11">
      <c r="A2282" s="84" t="s">
        <v>38</v>
      </c>
      <c r="B2282" s="86"/>
      <c r="C2282" s="84">
        <v>1.1200000000000001</v>
      </c>
      <c r="D2282" s="84">
        <v>1.9599999999999999E-2</v>
      </c>
      <c r="E2282" s="85">
        <f t="shared" ref="E2282:E2283" si="1">0.69/1000</f>
        <v>6.8999999999999997E-4</v>
      </c>
      <c r="F2282" s="84">
        <v>706.9</v>
      </c>
      <c r="G2282" s="87"/>
      <c r="H2282" s="86">
        <v>99.850000000000023</v>
      </c>
      <c r="J2282" s="92"/>
      <c r="K2282" s="12">
        <v>3.7220339415916501</v>
      </c>
    </row>
    <row r="2283" spans="1:11">
      <c r="A2283" s="84" t="s">
        <v>38</v>
      </c>
      <c r="B2283" s="86"/>
      <c r="C2283" s="84">
        <v>1.1200000000000001</v>
      </c>
      <c r="D2283" s="84">
        <v>1.9599999999999999E-2</v>
      </c>
      <c r="E2283" s="85">
        <f t="shared" si="1"/>
        <v>6.8999999999999997E-4</v>
      </c>
      <c r="F2283" s="84">
        <v>706.9</v>
      </c>
      <c r="G2283" s="87"/>
      <c r="H2283" s="86">
        <v>99.850000000000023</v>
      </c>
      <c r="J2283" s="92"/>
      <c r="K2283" s="12">
        <v>3.2338983045368099</v>
      </c>
    </row>
    <row r="2284" spans="1:11">
      <c r="A2284" s="84" t="s">
        <v>38</v>
      </c>
      <c r="B2284" s="86"/>
      <c r="C2284" s="84">
        <v>1.1200000000000001</v>
      </c>
      <c r="D2284" s="84">
        <v>1.55E-2</v>
      </c>
      <c r="E2284" s="84">
        <v>2.5999999999999998E-4</v>
      </c>
      <c r="F2284" s="84">
        <v>669.6</v>
      </c>
      <c r="G2284" s="87"/>
      <c r="H2284" s="86">
        <v>149.85000000000002</v>
      </c>
      <c r="J2284" s="92"/>
      <c r="K2284" s="12">
        <v>3.1118644599289902</v>
      </c>
    </row>
    <row r="2285" spans="1:11">
      <c r="A2285" s="84" t="s">
        <v>38</v>
      </c>
      <c r="B2285" s="86"/>
      <c r="C2285" s="84">
        <v>1.1200000000000001</v>
      </c>
      <c r="D2285" s="84">
        <v>1.55E-2</v>
      </c>
      <c r="E2285" s="84">
        <v>2.5999999999999998E-4</v>
      </c>
      <c r="F2285" s="84">
        <v>669.6</v>
      </c>
      <c r="G2285" s="87"/>
      <c r="H2285" s="86">
        <v>149.85000000000002</v>
      </c>
      <c r="J2285" s="92"/>
      <c r="K2285" s="12">
        <v>3.64745738712476</v>
      </c>
    </row>
    <row r="2286" spans="1:11">
      <c r="A2286" s="84" t="s">
        <v>38</v>
      </c>
      <c r="B2286" s="86"/>
      <c r="C2286" s="84">
        <v>1.1200000000000001</v>
      </c>
      <c r="D2286" s="84">
        <v>2.6599999999999999E-2</v>
      </c>
      <c r="E2286" s="85">
        <f t="shared" ref="E2286:E2288" si="2">2.32/1000</f>
        <v>2.32E-3</v>
      </c>
      <c r="F2286" s="84">
        <v>762.2</v>
      </c>
      <c r="G2286" s="87"/>
      <c r="H2286" s="86">
        <v>19.850000000000023</v>
      </c>
      <c r="J2286" s="92"/>
      <c r="K2286" s="12">
        <v>3.3694915226840698</v>
      </c>
    </row>
    <row r="2287" spans="1:11">
      <c r="A2287" s="84" t="s">
        <v>38</v>
      </c>
      <c r="B2287" s="86"/>
      <c r="C2287" s="84">
        <v>1.1200000000000001</v>
      </c>
      <c r="D2287" s="84">
        <v>2.6599999999999999E-2</v>
      </c>
      <c r="E2287" s="85">
        <f t="shared" si="2"/>
        <v>2.32E-3</v>
      </c>
      <c r="F2287" s="84">
        <v>762.2</v>
      </c>
      <c r="G2287" s="87"/>
      <c r="H2287" s="86">
        <v>19.850000000000023</v>
      </c>
      <c r="J2287" s="92"/>
      <c r="K2287" s="12">
        <v>3.7694914903561298</v>
      </c>
    </row>
    <row r="2288" spans="1:11">
      <c r="A2288" s="84" t="s">
        <v>38</v>
      </c>
      <c r="B2288" s="86"/>
      <c r="C2288" s="84">
        <v>1.1200000000000001</v>
      </c>
      <c r="D2288" s="84">
        <v>2.6599999999999999E-2</v>
      </c>
      <c r="E2288" s="85">
        <f t="shared" si="2"/>
        <v>2.32E-3</v>
      </c>
      <c r="F2288" s="84">
        <v>762.2</v>
      </c>
      <c r="G2288" s="87"/>
      <c r="H2288" s="86">
        <v>19.850000000000023</v>
      </c>
      <c r="J2288" s="92"/>
      <c r="K2288" s="12">
        <v>4.6101694816626599</v>
      </c>
    </row>
    <row r="2289" spans="1:11">
      <c r="A2289" s="84" t="s">
        <v>38</v>
      </c>
      <c r="B2289" s="86"/>
      <c r="C2289" s="84">
        <v>1.1200000000000001</v>
      </c>
      <c r="D2289" s="84">
        <v>1.17E-2</v>
      </c>
      <c r="E2289" s="85">
        <f t="shared" ref="E2289:E2290" si="3">0.26/1000</f>
        <v>2.6000000000000003E-4</v>
      </c>
      <c r="F2289" s="84">
        <v>629.29999999999995</v>
      </c>
      <c r="G2289" s="87"/>
      <c r="H2289" s="86">
        <v>199.85000000000002</v>
      </c>
      <c r="J2289" s="92"/>
      <c r="K2289" s="12">
        <v>3.8372880994297498</v>
      </c>
    </row>
    <row r="2290" spans="1:11">
      <c r="A2290" s="84" t="s">
        <v>38</v>
      </c>
      <c r="B2290" s="86"/>
      <c r="C2290" s="84">
        <v>1.1200000000000001</v>
      </c>
      <c r="D2290" s="84">
        <v>1.17E-2</v>
      </c>
      <c r="E2290" s="85">
        <f t="shared" si="3"/>
        <v>2.6000000000000003E-4</v>
      </c>
      <c r="F2290" s="84">
        <v>629.29999999999995</v>
      </c>
      <c r="G2290" s="87"/>
      <c r="H2290" s="86">
        <v>199.85000000000002</v>
      </c>
      <c r="J2290" s="92"/>
      <c r="K2290" s="12">
        <v>3.30847447106839</v>
      </c>
    </row>
    <row r="2291" spans="1:11">
      <c r="A2291" s="84" t="s">
        <v>38</v>
      </c>
      <c r="B2291" s="86"/>
      <c r="C2291" s="84">
        <v>2.5</v>
      </c>
      <c r="D2291" s="84">
        <v>2.6599999999999999E-2</v>
      </c>
      <c r="E2291" s="85">
        <f t="shared" ref="E2291:E2292" si="4">2.32/1000</f>
        <v>2.32E-3</v>
      </c>
      <c r="F2291" s="84">
        <v>762.2</v>
      </c>
      <c r="G2291" s="87"/>
      <c r="H2291" s="85">
        <v>19.850000000000023</v>
      </c>
      <c r="J2291" s="92"/>
      <c r="K2291" s="84">
        <v>4.6568722486950902</v>
      </c>
    </row>
    <row r="2292" spans="1:11">
      <c r="A2292" s="84" t="s">
        <v>38</v>
      </c>
      <c r="B2292" s="86"/>
      <c r="C2292" s="84">
        <v>2.5</v>
      </c>
      <c r="D2292" s="84">
        <v>2.6599999999999999E-2</v>
      </c>
      <c r="E2292" s="85">
        <f t="shared" si="4"/>
        <v>2.32E-3</v>
      </c>
      <c r="F2292" s="84">
        <v>762.2</v>
      </c>
      <c r="G2292" s="87"/>
      <c r="H2292" s="85">
        <v>19.850000000000023</v>
      </c>
      <c r="J2292" s="92"/>
      <c r="K2292" s="84">
        <v>5.4388626851958399</v>
      </c>
    </row>
    <row r="2293" spans="1:11">
      <c r="A2293" s="84" t="s">
        <v>38</v>
      </c>
      <c r="B2293" s="86"/>
      <c r="C2293" s="84">
        <v>2.5</v>
      </c>
      <c r="D2293" s="84">
        <v>1.9599999999999999E-2</v>
      </c>
      <c r="E2293" s="85">
        <f t="shared" ref="E2293:E2294" si="5">0.69/1000</f>
        <v>6.8999999999999997E-4</v>
      </c>
      <c r="F2293" s="84">
        <v>706.9</v>
      </c>
      <c r="G2293" s="87"/>
      <c r="H2293" s="85">
        <v>99.850000000000023</v>
      </c>
      <c r="J2293" s="92"/>
      <c r="K2293" s="84">
        <v>4.59526073633773</v>
      </c>
    </row>
    <row r="2294" spans="1:11">
      <c r="A2294" s="84" t="s">
        <v>38</v>
      </c>
      <c r="B2294" s="86"/>
      <c r="C2294" s="84">
        <v>2.5</v>
      </c>
      <c r="D2294" s="84">
        <v>1.9599999999999999E-2</v>
      </c>
      <c r="E2294" s="85">
        <f t="shared" si="5"/>
        <v>6.8999999999999997E-4</v>
      </c>
      <c r="F2294" s="84">
        <v>706.9</v>
      </c>
      <c r="G2294" s="87"/>
      <c r="H2294" s="85">
        <v>99.850000000000023</v>
      </c>
      <c r="J2294" s="92"/>
      <c r="K2294" s="84">
        <v>5.4199052689641496</v>
      </c>
    </row>
    <row r="2295" spans="1:11">
      <c r="A2295" s="84" t="s">
        <v>38</v>
      </c>
      <c r="B2295" s="86"/>
      <c r="C2295" s="84">
        <v>2.5</v>
      </c>
      <c r="D2295" s="84">
        <v>1.55E-2</v>
      </c>
      <c r="E2295" s="84">
        <v>2.5999999999999998E-4</v>
      </c>
      <c r="F2295" s="84">
        <v>669.6</v>
      </c>
      <c r="G2295" s="87"/>
      <c r="H2295" s="85">
        <v>149.85000000000002</v>
      </c>
      <c r="J2295" s="92"/>
      <c r="K2295" s="84">
        <v>5.3819902557094297</v>
      </c>
    </row>
    <row r="2296" spans="1:11">
      <c r="A2296" s="84" t="s">
        <v>38</v>
      </c>
      <c r="B2296" s="86"/>
      <c r="C2296" s="84">
        <v>2.5</v>
      </c>
      <c r="D2296" s="84">
        <v>1.55E-2</v>
      </c>
      <c r="E2296" s="84">
        <v>2.5999999999999998E-4</v>
      </c>
      <c r="F2296" s="84">
        <v>669.6</v>
      </c>
      <c r="G2296" s="87"/>
      <c r="H2296" s="85">
        <v>149.85000000000002</v>
      </c>
      <c r="J2296" s="92"/>
      <c r="K2296" s="84">
        <v>4.50521328042415</v>
      </c>
    </row>
    <row r="2297" spans="1:11">
      <c r="A2297" s="84" t="s">
        <v>38</v>
      </c>
      <c r="B2297" s="86"/>
      <c r="C2297" s="84">
        <v>2.5</v>
      </c>
      <c r="D2297" s="84">
        <v>1.17E-2</v>
      </c>
      <c r="E2297" s="85">
        <f t="shared" ref="E2297:E2298" si="6">0.26/1000</f>
        <v>2.6000000000000003E-4</v>
      </c>
      <c r="F2297" s="84">
        <v>629.29999999999995</v>
      </c>
      <c r="G2297" s="87"/>
      <c r="H2297" s="85">
        <v>199.85000000000002</v>
      </c>
      <c r="J2297" s="92"/>
      <c r="K2297" s="84">
        <v>4.6047396252448998</v>
      </c>
    </row>
    <row r="2298" spans="1:11">
      <c r="A2298" s="84" t="s">
        <v>38</v>
      </c>
      <c r="B2298" s="86"/>
      <c r="C2298" s="84">
        <v>2.5</v>
      </c>
      <c r="D2298" s="84">
        <v>1.17E-2</v>
      </c>
      <c r="E2298" s="85">
        <f t="shared" si="6"/>
        <v>2.6000000000000003E-4</v>
      </c>
      <c r="F2298" s="84">
        <v>629.29999999999995</v>
      </c>
      <c r="G2298" s="87"/>
      <c r="H2298" s="85">
        <v>199.85000000000002</v>
      </c>
      <c r="J2298" s="92"/>
      <c r="K2298" s="84">
        <v>5.7137441358075396</v>
      </c>
    </row>
    <row r="2299" spans="1:11">
      <c r="A2299" s="84" t="s">
        <v>38</v>
      </c>
      <c r="B2299" s="86">
        <v>1.4621183925958201</v>
      </c>
      <c r="C2299" s="84">
        <v>1.1200000000000001</v>
      </c>
      <c r="D2299" s="84">
        <v>2.6599999999999999E-2</v>
      </c>
      <c r="E2299" s="85">
        <f t="shared" ref="E2299:E2325" si="7">2.32/1000</f>
        <v>2.32E-3</v>
      </c>
      <c r="F2299" s="84">
        <v>762.2</v>
      </c>
      <c r="G2299" s="87"/>
      <c r="H2299" s="85">
        <v>19.850000000000023</v>
      </c>
      <c r="I2299" s="12" t="s">
        <v>14</v>
      </c>
      <c r="J2299" s="92">
        <v>1.2250000000000001</v>
      </c>
      <c r="K2299" s="84">
        <v>2.75536461240445</v>
      </c>
    </row>
    <row r="2300" spans="1:11">
      <c r="A2300" s="84" t="s">
        <v>38</v>
      </c>
      <c r="B2300" s="86">
        <v>14.3466961451697</v>
      </c>
      <c r="C2300" s="84">
        <v>1.1200000000000001</v>
      </c>
      <c r="D2300" s="84">
        <v>2.6599999999999999E-2</v>
      </c>
      <c r="E2300" s="85">
        <f t="shared" si="7"/>
        <v>2.32E-3</v>
      </c>
      <c r="F2300" s="84">
        <v>762.2</v>
      </c>
      <c r="G2300" s="87"/>
      <c r="H2300" s="85">
        <v>19.850000000000023</v>
      </c>
      <c r="I2300" s="12" t="s">
        <v>14</v>
      </c>
      <c r="J2300" s="92">
        <v>1.2250000000000001</v>
      </c>
      <c r="K2300" s="84">
        <v>3.10300370160701</v>
      </c>
    </row>
    <row r="2301" spans="1:11">
      <c r="A2301" s="84" t="s">
        <v>38</v>
      </c>
      <c r="B2301" s="86">
        <v>27.849519579406142</v>
      </c>
      <c r="C2301" s="84">
        <v>1.1200000000000001</v>
      </c>
      <c r="D2301" s="84">
        <v>2.6599999999999999E-2</v>
      </c>
      <c r="E2301" s="85">
        <f t="shared" si="7"/>
        <v>2.32E-3</v>
      </c>
      <c r="F2301" s="84">
        <v>762.2</v>
      </c>
      <c r="G2301" s="87"/>
      <c r="H2301" s="85">
        <v>19.850000000000023</v>
      </c>
      <c r="I2301" s="12" t="s">
        <v>14</v>
      </c>
      <c r="J2301" s="92">
        <v>1.2250000000000001</v>
      </c>
      <c r="K2301" s="84">
        <v>3.3605139379500102</v>
      </c>
    </row>
    <row r="2302" spans="1:11">
      <c r="A2302" s="84" t="s">
        <v>38</v>
      </c>
      <c r="B2302" s="86">
        <v>38.801687305738319</v>
      </c>
      <c r="C2302" s="84">
        <v>1.1200000000000001</v>
      </c>
      <c r="D2302" s="84">
        <v>2.6599999999999999E-2</v>
      </c>
      <c r="E2302" s="85">
        <f t="shared" si="7"/>
        <v>2.32E-3</v>
      </c>
      <c r="F2302" s="84">
        <v>762.2</v>
      </c>
      <c r="G2302" s="87"/>
      <c r="H2302" s="85">
        <v>19.850000000000023</v>
      </c>
      <c r="I2302" s="12" t="s">
        <v>14</v>
      </c>
      <c r="J2302" s="92">
        <v>1.2250000000000001</v>
      </c>
      <c r="K2302" s="84">
        <v>3.5793991368879099</v>
      </c>
    </row>
    <row r="2303" spans="1:11">
      <c r="A2303" s="84" t="s">
        <v>38</v>
      </c>
      <c r="B2303" s="86">
        <v>59.434111323372726</v>
      </c>
      <c r="C2303" s="84">
        <v>1.1200000000000001</v>
      </c>
      <c r="D2303" s="84">
        <v>2.6599999999999999E-2</v>
      </c>
      <c r="E2303" s="85">
        <f t="shared" si="7"/>
        <v>2.32E-3</v>
      </c>
      <c r="F2303" s="84">
        <v>762.2</v>
      </c>
      <c r="G2303" s="87"/>
      <c r="H2303" s="85">
        <v>19.850000000000023</v>
      </c>
      <c r="I2303" s="12" t="s">
        <v>14</v>
      </c>
      <c r="J2303" s="92">
        <v>1.2250000000000001</v>
      </c>
      <c r="K2303" s="84">
        <v>3.79828335350033</v>
      </c>
    </row>
    <row r="2304" spans="1:11">
      <c r="A2304" s="84" t="s">
        <v>38</v>
      </c>
      <c r="B2304" s="86">
        <v>86.825002845287401</v>
      </c>
      <c r="C2304" s="84">
        <v>1.1200000000000001</v>
      </c>
      <c r="D2304" s="84">
        <v>2.6599999999999999E-2</v>
      </c>
      <c r="E2304" s="85">
        <f t="shared" si="7"/>
        <v>2.32E-3</v>
      </c>
      <c r="F2304" s="84">
        <v>762.2</v>
      </c>
      <c r="G2304" s="87"/>
      <c r="H2304" s="85">
        <v>19.850000000000023</v>
      </c>
      <c r="I2304" s="12" t="s">
        <v>14</v>
      </c>
      <c r="J2304" s="92">
        <v>1.2250000000000001</v>
      </c>
      <c r="K2304" s="84">
        <v>4.2231759556522599</v>
      </c>
    </row>
    <row r="2305" spans="1:11">
      <c r="A2305" s="84" t="s">
        <v>38</v>
      </c>
      <c r="B2305" s="86">
        <v>115.3723080377742</v>
      </c>
      <c r="C2305" s="84">
        <v>1.1200000000000001</v>
      </c>
      <c r="D2305" s="84">
        <v>2.6599999999999999E-2</v>
      </c>
      <c r="E2305" s="85">
        <f t="shared" si="7"/>
        <v>2.32E-3</v>
      </c>
      <c r="F2305" s="84">
        <v>762.2</v>
      </c>
      <c r="G2305" s="87"/>
      <c r="H2305" s="85">
        <v>19.850000000000023</v>
      </c>
      <c r="I2305" s="12" t="s">
        <v>14</v>
      </c>
      <c r="J2305" s="92">
        <v>1.2250000000000001</v>
      </c>
      <c r="K2305" s="84">
        <v>4.5965662158379397</v>
      </c>
    </row>
    <row r="2306" spans="1:11">
      <c r="A2306" s="84" t="s">
        <v>38</v>
      </c>
      <c r="B2306" s="86">
        <v>149.0091256448124</v>
      </c>
      <c r="C2306" s="84">
        <v>1.1200000000000001</v>
      </c>
      <c r="D2306" s="84">
        <v>2.6599999999999999E-2</v>
      </c>
      <c r="E2306" s="85">
        <f t="shared" si="7"/>
        <v>2.32E-3</v>
      </c>
      <c r="F2306" s="84">
        <v>762.2</v>
      </c>
      <c r="G2306" s="87"/>
      <c r="H2306" s="85">
        <v>19.850000000000023</v>
      </c>
      <c r="I2306" s="12" t="s">
        <v>14</v>
      </c>
      <c r="J2306" s="92">
        <v>1.2250000000000001</v>
      </c>
      <c r="K2306" s="84">
        <v>4.7124452573551503</v>
      </c>
    </row>
    <row r="2307" spans="1:11">
      <c r="A2307" s="84" t="s">
        <v>38</v>
      </c>
      <c r="B2307" s="86">
        <v>221.84631807986219</v>
      </c>
      <c r="C2307" s="84">
        <v>1.1200000000000001</v>
      </c>
      <c r="D2307" s="84">
        <v>2.6599999999999999E-2</v>
      </c>
      <c r="E2307" s="85">
        <f t="shared" si="7"/>
        <v>2.32E-3</v>
      </c>
      <c r="F2307" s="84">
        <v>762.2</v>
      </c>
      <c r="G2307" s="87"/>
      <c r="H2307" s="85">
        <v>19.850000000000023</v>
      </c>
      <c r="I2307" s="12" t="s">
        <v>14</v>
      </c>
      <c r="J2307" s="92">
        <v>1.2250000000000001</v>
      </c>
      <c r="K2307" s="84">
        <v>5.4592272512147098</v>
      </c>
    </row>
    <row r="2308" spans="1:11">
      <c r="A2308" s="84" t="s">
        <v>38</v>
      </c>
      <c r="B2308" s="86">
        <v>286.52544573887883</v>
      </c>
      <c r="C2308" s="84">
        <v>1.1200000000000001</v>
      </c>
      <c r="D2308" s="84">
        <v>2.6599999999999999E-2</v>
      </c>
      <c r="E2308" s="85">
        <f t="shared" si="7"/>
        <v>2.32E-3</v>
      </c>
      <c r="F2308" s="84">
        <v>762.2</v>
      </c>
      <c r="G2308" s="87"/>
      <c r="H2308" s="85">
        <v>19.850000000000023</v>
      </c>
      <c r="I2308" s="12" t="s">
        <v>14</v>
      </c>
      <c r="J2308" s="92">
        <v>1.2250000000000001</v>
      </c>
      <c r="K2308" s="84">
        <v>5.8841198533666397</v>
      </c>
    </row>
    <row r="2309" spans="1:11">
      <c r="A2309" s="84" t="s">
        <v>38</v>
      </c>
      <c r="B2309" s="86">
        <v>27.069000409497779</v>
      </c>
      <c r="C2309" s="84">
        <v>2.5</v>
      </c>
      <c r="D2309" s="84">
        <v>2.6599999999999999E-2</v>
      </c>
      <c r="E2309" s="85">
        <f t="shared" si="7"/>
        <v>2.32E-3</v>
      </c>
      <c r="F2309" s="84">
        <v>762.2</v>
      </c>
      <c r="G2309" s="87"/>
      <c r="H2309" s="85">
        <v>19.850000000000023</v>
      </c>
      <c r="I2309" s="12" t="s">
        <v>14</v>
      </c>
      <c r="J2309" s="92">
        <v>1.2250000000000001</v>
      </c>
      <c r="K2309" s="84">
        <v>4.1845494447589404</v>
      </c>
    </row>
    <row r="2310" spans="1:11">
      <c r="A2310" s="84" t="s">
        <v>38</v>
      </c>
      <c r="B2310" s="86">
        <v>64.114713441155999</v>
      </c>
      <c r="C2310" s="84">
        <v>2.5</v>
      </c>
      <c r="D2310" s="84">
        <v>2.6599999999999999E-2</v>
      </c>
      <c r="E2310" s="85">
        <f t="shared" si="7"/>
        <v>2.32E-3</v>
      </c>
      <c r="F2310" s="84">
        <v>762.2</v>
      </c>
      <c r="G2310" s="87"/>
      <c r="H2310" s="85">
        <v>19.850000000000023</v>
      </c>
      <c r="I2310" s="12" t="s">
        <v>14</v>
      </c>
      <c r="J2310" s="92">
        <v>1.2250000000000001</v>
      </c>
      <c r="K2310" s="84">
        <v>4.7253215795908101</v>
      </c>
    </row>
    <row r="2311" spans="1:11">
      <c r="A2311" s="84" t="s">
        <v>38</v>
      </c>
      <c r="B2311" s="86">
        <v>130.49673386783158</v>
      </c>
      <c r="C2311" s="84">
        <v>2.5</v>
      </c>
      <c r="D2311" s="84">
        <v>2.6599999999999999E-2</v>
      </c>
      <c r="E2311" s="85">
        <f t="shared" si="7"/>
        <v>2.32E-3</v>
      </c>
      <c r="F2311" s="84">
        <v>762.2</v>
      </c>
      <c r="G2311" s="87"/>
      <c r="H2311" s="85">
        <v>19.850000000000023</v>
      </c>
      <c r="I2311" s="12" t="s">
        <v>14</v>
      </c>
      <c r="J2311" s="92">
        <v>1.2250000000000001</v>
      </c>
      <c r="K2311" s="84">
        <v>5.3948495693382803</v>
      </c>
    </row>
    <row r="2312" spans="1:11">
      <c r="A2312" s="84" t="s">
        <v>38</v>
      </c>
      <c r="B2312" s="86">
        <v>205.65074782000198</v>
      </c>
      <c r="C2312" s="84">
        <v>2.5</v>
      </c>
      <c r="D2312" s="84">
        <v>2.6599999999999999E-2</v>
      </c>
      <c r="E2312" s="85">
        <f t="shared" si="7"/>
        <v>2.32E-3</v>
      </c>
      <c r="F2312" s="84">
        <v>762.2</v>
      </c>
      <c r="G2312" s="87"/>
      <c r="H2312" s="85">
        <v>19.850000000000023</v>
      </c>
      <c r="I2312" s="12" t="s">
        <v>14</v>
      </c>
      <c r="J2312" s="92">
        <v>1.2250000000000001</v>
      </c>
      <c r="K2312" s="84">
        <v>5.9613733663159998</v>
      </c>
    </row>
    <row r="2313" spans="1:11">
      <c r="A2313" s="84" t="s">
        <v>38</v>
      </c>
      <c r="B2313" s="86">
        <v>270.6898084036884</v>
      </c>
      <c r="C2313" s="84">
        <v>2.5</v>
      </c>
      <c r="D2313" s="84">
        <v>2.6599999999999999E-2</v>
      </c>
      <c r="E2313" s="85">
        <f t="shared" si="7"/>
        <v>2.32E-3</v>
      </c>
      <c r="F2313" s="84">
        <v>762.2</v>
      </c>
      <c r="G2313" s="87"/>
      <c r="H2313" s="85">
        <v>19.850000000000023</v>
      </c>
      <c r="I2313" s="12" t="s">
        <v>14</v>
      </c>
      <c r="J2313" s="92">
        <v>1.2250000000000001</v>
      </c>
      <c r="K2313" s="84">
        <v>6.5021459923106004</v>
      </c>
    </row>
    <row r="2314" spans="1:11">
      <c r="A2314" s="84" t="s">
        <v>38</v>
      </c>
      <c r="B2314" s="86">
        <v>414.6265104401262</v>
      </c>
      <c r="C2314" s="84">
        <v>2.5</v>
      </c>
      <c r="D2314" s="84">
        <v>2.6599999999999999E-2</v>
      </c>
      <c r="E2314" s="85">
        <f t="shared" si="7"/>
        <v>2.32E-3</v>
      </c>
      <c r="F2314" s="84">
        <v>762.2</v>
      </c>
      <c r="G2314" s="87"/>
      <c r="H2314" s="85">
        <v>19.850000000000023</v>
      </c>
      <c r="I2314" s="12" t="s">
        <v>14</v>
      </c>
      <c r="J2314" s="92">
        <v>1.2250000000000001</v>
      </c>
      <c r="K2314" s="84">
        <v>7.4291842184010699</v>
      </c>
    </row>
    <row r="2315" spans="1:11">
      <c r="A2315" s="84" t="s">
        <v>38</v>
      </c>
      <c r="B2315" s="86">
        <v>566.83889700860095</v>
      </c>
      <c r="C2315" s="84">
        <v>2.5</v>
      </c>
      <c r="D2315" s="84">
        <v>2.6599999999999999E-2</v>
      </c>
      <c r="E2315" s="85">
        <f t="shared" si="7"/>
        <v>2.32E-3</v>
      </c>
      <c r="F2315" s="84">
        <v>762.2</v>
      </c>
      <c r="G2315" s="87"/>
      <c r="H2315" s="85">
        <v>19.850000000000023</v>
      </c>
      <c r="I2315" s="12" t="s">
        <v>14</v>
      </c>
      <c r="J2315" s="92">
        <v>1.2250000000000001</v>
      </c>
      <c r="K2315" s="84">
        <v>8.3819741066374007</v>
      </c>
    </row>
    <row r="2316" spans="1:11">
      <c r="A2316" s="84" t="s">
        <v>38</v>
      </c>
      <c r="B2316" s="86">
        <v>6.6091568473174194</v>
      </c>
      <c r="C2316" s="84">
        <v>1.1200000000000001</v>
      </c>
      <c r="D2316" s="84">
        <v>2.6599999999999999E-2</v>
      </c>
      <c r="E2316" s="85">
        <f t="shared" si="7"/>
        <v>2.32E-3</v>
      </c>
      <c r="F2316" s="84">
        <v>762.2</v>
      </c>
      <c r="G2316" s="87"/>
      <c r="H2316" s="85">
        <v>19.850000000000023</v>
      </c>
      <c r="I2316" s="12" t="s">
        <v>14</v>
      </c>
      <c r="J2316" s="92">
        <v>1.2250000000000001</v>
      </c>
      <c r="K2316" s="84">
        <v>2.90987164199215</v>
      </c>
    </row>
    <row r="2317" spans="1:11">
      <c r="A2317" s="84" t="s">
        <v>38</v>
      </c>
      <c r="B2317" s="86">
        <v>12.771306282260459</v>
      </c>
      <c r="C2317" s="84">
        <v>1.1200000000000001</v>
      </c>
      <c r="D2317" s="84">
        <v>2.6599999999999999E-2</v>
      </c>
      <c r="E2317" s="85">
        <f t="shared" si="7"/>
        <v>2.32E-3</v>
      </c>
      <c r="F2317" s="84">
        <v>762.2</v>
      </c>
      <c r="G2317" s="87"/>
      <c r="H2317" s="85">
        <v>19.850000000000023</v>
      </c>
      <c r="I2317" s="12" t="s">
        <v>14</v>
      </c>
      <c r="J2317" s="92">
        <v>1.2250000000000001</v>
      </c>
      <c r="K2317" s="84">
        <v>2.9613739818503899</v>
      </c>
    </row>
    <row r="2318" spans="1:11">
      <c r="A2318" s="84" t="s">
        <v>38</v>
      </c>
      <c r="B2318" s="86">
        <v>29.944288487097779</v>
      </c>
      <c r="C2318" s="84">
        <v>1.1200000000000001</v>
      </c>
      <c r="D2318" s="84">
        <v>2.6599999999999999E-2</v>
      </c>
      <c r="E2318" s="85">
        <f t="shared" si="7"/>
        <v>2.32E-3</v>
      </c>
      <c r="F2318" s="84">
        <v>762.2</v>
      </c>
      <c r="G2318" s="87"/>
      <c r="H2318" s="85">
        <v>19.850000000000023</v>
      </c>
      <c r="I2318" s="12" t="s">
        <v>14</v>
      </c>
      <c r="J2318" s="92">
        <v>1.2250000000000001</v>
      </c>
      <c r="K2318" s="84">
        <v>3.1287558496455898</v>
      </c>
    </row>
    <row r="2319" spans="1:11">
      <c r="A2319" s="84" t="s">
        <v>38</v>
      </c>
      <c r="B2319" s="86">
        <v>85.188759161873406</v>
      </c>
      <c r="C2319" s="84">
        <v>1.1200000000000001</v>
      </c>
      <c r="D2319" s="84">
        <v>2.6599999999999999E-2</v>
      </c>
      <c r="E2319" s="85">
        <f t="shared" si="7"/>
        <v>2.32E-3</v>
      </c>
      <c r="F2319" s="84">
        <v>762.2</v>
      </c>
      <c r="G2319" s="87"/>
      <c r="H2319" s="85">
        <v>19.850000000000023</v>
      </c>
      <c r="I2319" s="12" t="s">
        <v>14</v>
      </c>
      <c r="J2319" s="92">
        <v>1.2250000000000001</v>
      </c>
      <c r="K2319" s="84">
        <v>3.5793996043356899</v>
      </c>
    </row>
    <row r="2320" spans="1:11">
      <c r="A2320" s="84" t="s">
        <v>38</v>
      </c>
      <c r="B2320" s="86">
        <v>117.3518054313204</v>
      </c>
      <c r="C2320" s="84">
        <v>1.1200000000000001</v>
      </c>
      <c r="D2320" s="84">
        <v>2.6599999999999999E-2</v>
      </c>
      <c r="E2320" s="85">
        <f t="shared" si="7"/>
        <v>2.32E-3</v>
      </c>
      <c r="F2320" s="84">
        <v>762.2</v>
      </c>
      <c r="G2320" s="87"/>
      <c r="H2320" s="85">
        <v>19.850000000000023</v>
      </c>
      <c r="I2320" s="12" t="s">
        <v>14</v>
      </c>
      <c r="J2320" s="92">
        <v>1.2250000000000001</v>
      </c>
      <c r="K2320" s="84">
        <v>3.68240379288945</v>
      </c>
    </row>
    <row r="2321" spans="1:11">
      <c r="A2321" s="84" t="s">
        <v>38</v>
      </c>
      <c r="B2321" s="86">
        <v>29.763867770550238</v>
      </c>
      <c r="C2321" s="84">
        <v>2.5</v>
      </c>
      <c r="D2321" s="84">
        <v>2.6599999999999999E-2</v>
      </c>
      <c r="E2321" s="85">
        <f t="shared" si="7"/>
        <v>2.32E-3</v>
      </c>
      <c r="F2321" s="84">
        <v>762.2</v>
      </c>
      <c r="G2321" s="87"/>
      <c r="H2321" s="85">
        <v>19.850000000000023</v>
      </c>
      <c r="I2321" s="12" t="s">
        <v>14</v>
      </c>
      <c r="J2321" s="92">
        <v>1.2250000000000001</v>
      </c>
      <c r="K2321" s="84">
        <v>3.9914163585507398</v>
      </c>
    </row>
    <row r="2322" spans="1:11">
      <c r="A2322" s="84" t="s">
        <v>38</v>
      </c>
      <c r="B2322" s="86">
        <v>73.686873536801997</v>
      </c>
      <c r="C2322" s="84">
        <v>2.5</v>
      </c>
      <c r="D2322" s="84">
        <v>2.6599999999999999E-2</v>
      </c>
      <c r="E2322" s="85">
        <f t="shared" si="7"/>
        <v>2.32E-3</v>
      </c>
      <c r="F2322" s="84">
        <v>762.2</v>
      </c>
      <c r="G2322" s="87"/>
      <c r="H2322" s="85">
        <v>19.850000000000023</v>
      </c>
      <c r="I2322" s="12" t="s">
        <v>14</v>
      </c>
      <c r="J2322" s="92">
        <v>1.2250000000000001</v>
      </c>
      <c r="K2322" s="84">
        <v>4.5708154717237202</v>
      </c>
    </row>
    <row r="2323" spans="1:11">
      <c r="A2323" s="84" t="s">
        <v>38</v>
      </c>
      <c r="B2323" s="86">
        <v>142.38996783722402</v>
      </c>
      <c r="C2323" s="84">
        <v>2.5</v>
      </c>
      <c r="D2323" s="84">
        <v>2.6599999999999999E-2</v>
      </c>
      <c r="E2323" s="85">
        <f t="shared" si="7"/>
        <v>2.32E-3</v>
      </c>
      <c r="F2323" s="84">
        <v>762.2</v>
      </c>
      <c r="G2323" s="87"/>
      <c r="H2323" s="85">
        <v>19.850000000000023</v>
      </c>
      <c r="I2323" s="12" t="s">
        <v>14</v>
      </c>
      <c r="J2323" s="92">
        <v>1.2250000000000001</v>
      </c>
      <c r="K2323" s="84">
        <v>5.3047211133087</v>
      </c>
    </row>
    <row r="2324" spans="1:11">
      <c r="A2324" s="84" t="s">
        <v>38</v>
      </c>
      <c r="B2324" s="86">
        <v>209.63231206709997</v>
      </c>
      <c r="C2324" s="84">
        <v>2.5</v>
      </c>
      <c r="D2324" s="84">
        <v>2.6599999999999999E-2</v>
      </c>
      <c r="E2324" s="85">
        <f t="shared" si="7"/>
        <v>2.32E-3</v>
      </c>
      <c r="F2324" s="84">
        <v>762.2</v>
      </c>
      <c r="G2324" s="87"/>
      <c r="H2324" s="85">
        <v>19.850000000000023</v>
      </c>
      <c r="I2324" s="12" t="s">
        <v>14</v>
      </c>
      <c r="J2324" s="92">
        <v>1.2250000000000001</v>
      </c>
      <c r="K2324" s="84">
        <v>5.7296136980696701</v>
      </c>
    </row>
    <row r="2325" spans="1:11">
      <c r="A2325" s="84" t="s">
        <v>38</v>
      </c>
      <c r="B2325" s="86">
        <v>327.85663296090956</v>
      </c>
      <c r="C2325" s="84">
        <v>2.5</v>
      </c>
      <c r="D2325" s="84">
        <v>2.6599999999999999E-2</v>
      </c>
      <c r="E2325" s="85">
        <f t="shared" si="7"/>
        <v>2.32E-3</v>
      </c>
      <c r="F2325" s="84">
        <v>762.2</v>
      </c>
      <c r="G2325" s="87"/>
      <c r="H2325" s="85">
        <v>19.850000000000023</v>
      </c>
      <c r="I2325" s="12" t="s">
        <v>14</v>
      </c>
      <c r="J2325" s="92">
        <v>1.2250000000000001</v>
      </c>
      <c r="K2325" s="84">
        <v>6.077253264206</v>
      </c>
    </row>
    <row r="2326" spans="1:11">
      <c r="A2326" s="84" t="s">
        <v>38</v>
      </c>
      <c r="B2326" s="86">
        <v>4.7347158677425147</v>
      </c>
      <c r="C2326" s="84">
        <v>1.1200000000000001</v>
      </c>
      <c r="D2326" s="84">
        <v>1.17E-2</v>
      </c>
      <c r="E2326" s="85">
        <f t="shared" ref="E2326:E2368" si="8">0.26/1000</f>
        <v>2.6000000000000003E-4</v>
      </c>
      <c r="F2326" s="84">
        <v>629.29999999999995</v>
      </c>
      <c r="G2326" s="87"/>
      <c r="H2326" s="86">
        <v>199.85000000000002</v>
      </c>
      <c r="I2326" s="12" t="s">
        <v>14</v>
      </c>
      <c r="J2326" s="92">
        <v>1.2250000000000001</v>
      </c>
      <c r="K2326" s="84">
        <v>2.5499995095389201</v>
      </c>
    </row>
    <row r="2327" spans="1:11">
      <c r="A2327" s="84" t="s">
        <v>38</v>
      </c>
      <c r="B2327" s="86">
        <v>20.131003252491841</v>
      </c>
      <c r="C2327" s="84">
        <v>1.1200000000000001</v>
      </c>
      <c r="D2327" s="84">
        <v>1.17E-2</v>
      </c>
      <c r="E2327" s="85">
        <f t="shared" si="8"/>
        <v>2.6000000000000003E-4</v>
      </c>
      <c r="F2327" s="84">
        <v>629.29999999999995</v>
      </c>
      <c r="G2327" s="87"/>
      <c r="H2327" s="86">
        <v>199.85000000000002</v>
      </c>
      <c r="I2327" s="12" t="s">
        <v>14</v>
      </c>
      <c r="J2327" s="92">
        <v>1.2250000000000001</v>
      </c>
      <c r="K2327" s="84">
        <v>2.8499982016427099</v>
      </c>
    </row>
    <row r="2328" spans="1:11">
      <c r="A2328" s="84" t="s">
        <v>38</v>
      </c>
      <c r="B2328" s="86">
        <v>40.96726474097202</v>
      </c>
      <c r="C2328" s="84">
        <v>1.1200000000000001</v>
      </c>
      <c r="D2328" s="84">
        <v>1.17E-2</v>
      </c>
      <c r="E2328" s="85">
        <f t="shared" si="8"/>
        <v>2.6000000000000003E-4</v>
      </c>
      <c r="F2328" s="84">
        <v>629.29999999999995</v>
      </c>
      <c r="G2328" s="87"/>
      <c r="H2328" s="86">
        <v>199.85000000000002</v>
      </c>
      <c r="I2328" s="12" t="s">
        <v>14</v>
      </c>
      <c r="J2328" s="92">
        <v>1.2250000000000001</v>
      </c>
      <c r="K2328" s="84">
        <v>3.3642858777727298</v>
      </c>
    </row>
    <row r="2329" spans="1:11">
      <c r="A2329" s="84" t="s">
        <v>38</v>
      </c>
      <c r="B2329" s="86">
        <v>59.999984942288705</v>
      </c>
      <c r="C2329" s="84">
        <v>1.1200000000000001</v>
      </c>
      <c r="D2329" s="84">
        <v>1.17E-2</v>
      </c>
      <c r="E2329" s="85">
        <f t="shared" si="8"/>
        <v>2.6000000000000003E-4</v>
      </c>
      <c r="F2329" s="84">
        <v>629.29999999999995</v>
      </c>
      <c r="G2329" s="87"/>
      <c r="H2329" s="86">
        <v>199.85000000000002</v>
      </c>
      <c r="I2329" s="12" t="s">
        <v>14</v>
      </c>
      <c r="J2329" s="92">
        <v>1.2250000000000001</v>
      </c>
      <c r="K2329" s="84">
        <v>3.7499999999999898</v>
      </c>
    </row>
    <row r="2330" spans="1:11">
      <c r="A2330" s="84" t="s">
        <v>38</v>
      </c>
      <c r="B2330" s="86">
        <v>74.059379931026996</v>
      </c>
      <c r="C2330" s="84">
        <v>1.1200000000000001</v>
      </c>
      <c r="D2330" s="84">
        <v>1.17E-2</v>
      </c>
      <c r="E2330" s="85">
        <f t="shared" si="8"/>
        <v>2.6000000000000003E-4</v>
      </c>
      <c r="F2330" s="84">
        <v>629.29999999999995</v>
      </c>
      <c r="G2330" s="87"/>
      <c r="H2330" s="86">
        <v>199.85000000000002</v>
      </c>
      <c r="I2330" s="12" t="s">
        <v>14</v>
      </c>
      <c r="J2330" s="92">
        <v>1.2250000000000001</v>
      </c>
      <c r="K2330" s="84">
        <v>3.8357137952531999</v>
      </c>
    </row>
    <row r="2331" spans="1:11">
      <c r="A2331" s="84" t="s">
        <v>38</v>
      </c>
      <c r="B2331" s="86">
        <v>104.2680926393538</v>
      </c>
      <c r="C2331" s="84">
        <v>1.1200000000000001</v>
      </c>
      <c r="D2331" s="84">
        <v>1.17E-2</v>
      </c>
      <c r="E2331" s="85">
        <f t="shared" si="8"/>
        <v>2.6000000000000003E-4</v>
      </c>
      <c r="F2331" s="84">
        <v>629.29999999999995</v>
      </c>
      <c r="G2331" s="87"/>
      <c r="H2331" s="86">
        <v>199.85000000000002</v>
      </c>
      <c r="I2331" s="12" t="s">
        <v>14</v>
      </c>
      <c r="J2331" s="92">
        <v>1.2250000000000001</v>
      </c>
      <c r="K2331" s="84">
        <v>4.1142858777727396</v>
      </c>
    </row>
    <row r="2332" spans="1:11">
      <c r="A2332" s="84" t="s">
        <v>38</v>
      </c>
      <c r="B2332" s="86">
        <v>144.880050123459</v>
      </c>
      <c r="C2332" s="84">
        <v>1.1200000000000001</v>
      </c>
      <c r="D2332" s="84">
        <v>1.17E-2</v>
      </c>
      <c r="E2332" s="85">
        <f t="shared" si="8"/>
        <v>2.6000000000000003E-4</v>
      </c>
      <c r="F2332" s="84">
        <v>629.29999999999995</v>
      </c>
      <c r="G2332" s="87"/>
      <c r="H2332" s="86">
        <v>199.85000000000002</v>
      </c>
      <c r="I2332" s="12" t="s">
        <v>14</v>
      </c>
      <c r="J2332" s="92">
        <v>1.2250000000000001</v>
      </c>
      <c r="K2332" s="84">
        <v>4.8857141222272604</v>
      </c>
    </row>
    <row r="2333" spans="1:11">
      <c r="A2333" s="84" t="s">
        <v>38</v>
      </c>
      <c r="B2333" s="86">
        <v>226.61800407848099</v>
      </c>
      <c r="C2333" s="84">
        <v>1.1200000000000001</v>
      </c>
      <c r="D2333" s="84">
        <v>1.17E-2</v>
      </c>
      <c r="E2333" s="85">
        <f t="shared" si="8"/>
        <v>2.6000000000000003E-4</v>
      </c>
      <c r="F2333" s="84">
        <v>629.29999999999995</v>
      </c>
      <c r="G2333" s="87"/>
      <c r="H2333" s="86">
        <v>199.85000000000002</v>
      </c>
      <c r="I2333" s="12" t="s">
        <v>14</v>
      </c>
      <c r="J2333" s="92">
        <v>1.2250000000000001</v>
      </c>
      <c r="K2333" s="84">
        <v>5.4000001634870198</v>
      </c>
    </row>
    <row r="2334" spans="1:11">
      <c r="A2334" s="84" t="s">
        <v>38</v>
      </c>
      <c r="B2334" s="86">
        <v>223.65559916359621</v>
      </c>
      <c r="C2334" s="84">
        <v>1.1200000000000001</v>
      </c>
      <c r="D2334" s="84">
        <v>1.17E-2</v>
      </c>
      <c r="E2334" s="85">
        <f t="shared" si="8"/>
        <v>2.6000000000000003E-4</v>
      </c>
      <c r="F2334" s="84">
        <v>629.29999999999995</v>
      </c>
      <c r="G2334" s="87"/>
      <c r="H2334" s="86">
        <v>199.85000000000002</v>
      </c>
      <c r="I2334" s="12" t="s">
        <v>14</v>
      </c>
      <c r="J2334" s="92">
        <v>1.2250000000000001</v>
      </c>
      <c r="K2334" s="84">
        <v>5.7428569793701101</v>
      </c>
    </row>
    <row r="2335" spans="1:11">
      <c r="A2335" s="84" t="s">
        <v>38</v>
      </c>
      <c r="B2335" s="86">
        <v>18.602863019087099</v>
      </c>
      <c r="C2335" s="84">
        <v>2.5</v>
      </c>
      <c r="D2335" s="84">
        <v>1.17E-2</v>
      </c>
      <c r="E2335" s="85">
        <f t="shared" si="8"/>
        <v>2.6000000000000003E-4</v>
      </c>
      <c r="F2335" s="84">
        <v>629.29999999999995</v>
      </c>
      <c r="G2335" s="87"/>
      <c r="H2335" s="86">
        <v>199.85000000000002</v>
      </c>
      <c r="I2335" s="12" t="s">
        <v>14</v>
      </c>
      <c r="J2335" s="92">
        <v>1.2250000000000001</v>
      </c>
      <c r="K2335" s="84">
        <v>3.5999982016427099</v>
      </c>
    </row>
    <row r="2336" spans="1:11">
      <c r="A2336" s="84" t="s">
        <v>38</v>
      </c>
      <c r="B2336" s="86">
        <v>34.075079087350922</v>
      </c>
      <c r="C2336" s="84">
        <v>2.5</v>
      </c>
      <c r="D2336" s="84">
        <v>1.17E-2</v>
      </c>
      <c r="E2336" s="85">
        <f t="shared" si="8"/>
        <v>2.6000000000000003E-4</v>
      </c>
      <c r="F2336" s="84">
        <v>629.29999999999995</v>
      </c>
      <c r="G2336" s="87"/>
      <c r="H2336" s="86">
        <v>199.85000000000002</v>
      </c>
      <c r="I2336" s="12" t="s">
        <v>14</v>
      </c>
      <c r="J2336" s="92">
        <v>1.2250000000000001</v>
      </c>
      <c r="K2336" s="84">
        <v>3.8357137952531999</v>
      </c>
    </row>
    <row r="2337" spans="1:11">
      <c r="A2337" s="84" t="s">
        <v>38</v>
      </c>
      <c r="B2337" s="86">
        <v>87.875039321323797</v>
      </c>
      <c r="C2337" s="84">
        <v>2.5</v>
      </c>
      <c r="D2337" s="84">
        <v>1.17E-2</v>
      </c>
      <c r="E2337" s="85">
        <f t="shared" si="8"/>
        <v>2.6000000000000003E-4</v>
      </c>
      <c r="F2337" s="84">
        <v>629.29999999999995</v>
      </c>
      <c r="G2337" s="87"/>
      <c r="H2337" s="86">
        <v>199.85000000000002</v>
      </c>
      <c r="I2337" s="12" t="s">
        <v>14</v>
      </c>
      <c r="J2337" s="92">
        <v>1.2250000000000001</v>
      </c>
      <c r="K2337" s="84">
        <v>4.6714284079415398</v>
      </c>
    </row>
    <row r="2338" spans="1:11">
      <c r="A2338" s="84" t="s">
        <v>38</v>
      </c>
      <c r="B2338" s="86">
        <v>169.6601510084148</v>
      </c>
      <c r="C2338" s="84">
        <v>2.5</v>
      </c>
      <c r="D2338" s="84">
        <v>1.17E-2</v>
      </c>
      <c r="E2338" s="85">
        <f t="shared" si="8"/>
        <v>2.6000000000000003E-4</v>
      </c>
      <c r="F2338" s="84">
        <v>629.29999999999995</v>
      </c>
      <c r="G2338" s="87"/>
      <c r="H2338" s="86">
        <v>199.85000000000002</v>
      </c>
      <c r="I2338" s="12" t="s">
        <v>14</v>
      </c>
      <c r="J2338" s="92">
        <v>1.2250000000000001</v>
      </c>
      <c r="K2338" s="84">
        <v>5.6999996730259399</v>
      </c>
    </row>
    <row r="2339" spans="1:11">
      <c r="A2339" s="84" t="s">
        <v>38</v>
      </c>
      <c r="B2339" s="86">
        <v>248.48160304484043</v>
      </c>
      <c r="C2339" s="84">
        <v>2.5</v>
      </c>
      <c r="D2339" s="84">
        <v>1.17E-2</v>
      </c>
      <c r="E2339" s="85">
        <f t="shared" si="8"/>
        <v>2.6000000000000003E-4</v>
      </c>
      <c r="F2339" s="84">
        <v>629.29999999999995</v>
      </c>
      <c r="G2339" s="87"/>
      <c r="H2339" s="86">
        <v>199.85000000000002</v>
      </c>
      <c r="I2339" s="12" t="s">
        <v>14</v>
      </c>
      <c r="J2339" s="92">
        <v>1.2250000000000001</v>
      </c>
      <c r="K2339" s="84">
        <v>6.21428571428571</v>
      </c>
    </row>
    <row r="2340" spans="1:11">
      <c r="A2340" s="84" t="s">
        <v>38</v>
      </c>
      <c r="B2340" s="86">
        <v>368.7421896760506</v>
      </c>
      <c r="C2340" s="84">
        <v>2.5</v>
      </c>
      <c r="D2340" s="84">
        <v>1.17E-2</v>
      </c>
      <c r="E2340" s="85">
        <f t="shared" si="8"/>
        <v>2.6000000000000003E-4</v>
      </c>
      <c r="F2340" s="84">
        <v>629.29999999999995</v>
      </c>
      <c r="G2340" s="87"/>
      <c r="H2340" s="86">
        <v>199.85000000000002</v>
      </c>
      <c r="I2340" s="12" t="s">
        <v>14</v>
      </c>
      <c r="J2340" s="92">
        <v>1.2250000000000001</v>
      </c>
      <c r="K2340" s="84">
        <v>7.5642855507986804</v>
      </c>
    </row>
    <row r="2341" spans="1:11">
      <c r="A2341" s="84" t="s">
        <v>38</v>
      </c>
      <c r="B2341" s="86">
        <v>640.80026410350001</v>
      </c>
      <c r="C2341" s="84">
        <v>2.5</v>
      </c>
      <c r="D2341" s="84">
        <v>1.17E-2</v>
      </c>
      <c r="E2341" s="85">
        <f t="shared" si="8"/>
        <v>2.6000000000000003E-4</v>
      </c>
      <c r="F2341" s="84">
        <v>629.29999999999995</v>
      </c>
      <c r="G2341" s="87"/>
      <c r="H2341" s="86">
        <v>199.85000000000002</v>
      </c>
      <c r="I2341" s="12" t="s">
        <v>14</v>
      </c>
      <c r="J2341" s="92">
        <v>1.2250000000000001</v>
      </c>
      <c r="K2341" s="84">
        <v>8.7642848151070698</v>
      </c>
    </row>
    <row r="2342" spans="1:11">
      <c r="A2342" s="84" t="s">
        <v>38</v>
      </c>
      <c r="B2342" s="86">
        <v>7.2189250134040197</v>
      </c>
      <c r="C2342" s="84">
        <v>1.1200000000000001</v>
      </c>
      <c r="D2342" s="84">
        <v>1.17E-2</v>
      </c>
      <c r="E2342" s="85">
        <f t="shared" si="8"/>
        <v>2.6000000000000003E-4</v>
      </c>
      <c r="F2342" s="84">
        <v>629.29999999999995</v>
      </c>
      <c r="G2342" s="87"/>
      <c r="H2342" s="86">
        <v>199.85000000000002</v>
      </c>
      <c r="I2342" s="12" t="s">
        <v>14</v>
      </c>
      <c r="J2342" s="92">
        <v>1.2250000000000001</v>
      </c>
      <c r="K2342" s="84">
        <v>2.3937278798224102</v>
      </c>
    </row>
    <row r="2343" spans="1:11">
      <c r="A2343" s="84" t="s">
        <v>38</v>
      </c>
      <c r="B2343" s="86">
        <v>13.290245409880621</v>
      </c>
      <c r="C2343" s="84">
        <v>1.1200000000000001</v>
      </c>
      <c r="D2343" s="84">
        <v>1.17E-2</v>
      </c>
      <c r="E2343" s="85">
        <f t="shared" si="8"/>
        <v>2.6000000000000003E-4</v>
      </c>
      <c r="F2343" s="84">
        <v>629.29999999999995</v>
      </c>
      <c r="G2343" s="87"/>
      <c r="H2343" s="86">
        <v>199.85000000000002</v>
      </c>
      <c r="I2343" s="12" t="s">
        <v>14</v>
      </c>
      <c r="J2343" s="92">
        <v>1.2250000000000001</v>
      </c>
      <c r="K2343" s="84">
        <v>2.58188151642862</v>
      </c>
    </row>
    <row r="2344" spans="1:11">
      <c r="A2344" s="84" t="s">
        <v>38</v>
      </c>
      <c r="B2344" s="86">
        <v>15.267712052622299</v>
      </c>
      <c r="C2344" s="84">
        <v>1.1200000000000001</v>
      </c>
      <c r="D2344" s="84">
        <v>1.17E-2</v>
      </c>
      <c r="E2344" s="85">
        <f t="shared" si="8"/>
        <v>2.6000000000000003E-4</v>
      </c>
      <c r="F2344" s="84">
        <v>629.29999999999995</v>
      </c>
      <c r="G2344" s="87"/>
      <c r="H2344" s="86">
        <v>199.85000000000002</v>
      </c>
      <c r="I2344" s="12" t="s">
        <v>14</v>
      </c>
      <c r="J2344" s="92">
        <v>1.2250000000000001</v>
      </c>
      <c r="K2344" s="84">
        <v>2.66550473464426</v>
      </c>
    </row>
    <row r="2345" spans="1:11">
      <c r="A2345" s="84" t="s">
        <v>38</v>
      </c>
      <c r="B2345" s="86">
        <v>23.579188076430661</v>
      </c>
      <c r="C2345" s="84">
        <v>1.1200000000000001</v>
      </c>
      <c r="D2345" s="84">
        <v>1.17E-2</v>
      </c>
      <c r="E2345" s="85">
        <f t="shared" si="8"/>
        <v>2.6000000000000003E-4</v>
      </c>
      <c r="F2345" s="84">
        <v>629.29999999999995</v>
      </c>
      <c r="G2345" s="87"/>
      <c r="H2345" s="86">
        <v>199.85000000000002</v>
      </c>
      <c r="I2345" s="12" t="s">
        <v>14</v>
      </c>
      <c r="J2345" s="92">
        <v>1.2250000000000001</v>
      </c>
      <c r="K2345" s="84">
        <v>2.72822314517814</v>
      </c>
    </row>
    <row r="2346" spans="1:11">
      <c r="A2346" s="84" t="s">
        <v>38</v>
      </c>
      <c r="B2346" s="86">
        <v>29.987927317475759</v>
      </c>
      <c r="C2346" s="84">
        <v>1.1200000000000001</v>
      </c>
      <c r="D2346" s="84">
        <v>1.17E-2</v>
      </c>
      <c r="E2346" s="85">
        <f t="shared" si="8"/>
        <v>2.6000000000000003E-4</v>
      </c>
      <c r="F2346" s="84">
        <v>629.29999999999995</v>
      </c>
      <c r="G2346" s="87"/>
      <c r="H2346" s="86">
        <v>199.85000000000002</v>
      </c>
      <c r="I2346" s="12" t="s">
        <v>14</v>
      </c>
      <c r="J2346" s="92">
        <v>1.2250000000000001</v>
      </c>
      <c r="K2346" s="84">
        <v>2.7491271553621899</v>
      </c>
    </row>
    <row r="2347" spans="1:11">
      <c r="A2347" s="84" t="s">
        <v>38</v>
      </c>
      <c r="B2347" s="86">
        <v>46.743114341708882</v>
      </c>
      <c r="C2347" s="84">
        <v>1.1200000000000001</v>
      </c>
      <c r="D2347" s="84">
        <v>1.17E-2</v>
      </c>
      <c r="E2347" s="85">
        <f t="shared" si="8"/>
        <v>2.6000000000000003E-4</v>
      </c>
      <c r="F2347" s="84">
        <v>629.29999999999995</v>
      </c>
      <c r="G2347" s="87"/>
      <c r="H2347" s="86">
        <v>199.85000000000002</v>
      </c>
      <c r="I2347" s="12" t="s">
        <v>14</v>
      </c>
      <c r="J2347" s="92">
        <v>1.2250000000000001</v>
      </c>
      <c r="K2347" s="84">
        <v>3</v>
      </c>
    </row>
    <row r="2348" spans="1:11">
      <c r="A2348" s="84" t="s">
        <v>38</v>
      </c>
      <c r="B2348" s="86">
        <v>54.700413618543656</v>
      </c>
      <c r="C2348" s="84">
        <v>1.1200000000000001</v>
      </c>
      <c r="D2348" s="84">
        <v>1.17E-2</v>
      </c>
      <c r="E2348" s="85">
        <f t="shared" si="8"/>
        <v>2.6000000000000003E-4</v>
      </c>
      <c r="F2348" s="84">
        <v>629.29999999999995</v>
      </c>
      <c r="G2348" s="87"/>
      <c r="H2348" s="86">
        <v>199.85000000000002</v>
      </c>
      <c r="I2348" s="12" t="s">
        <v>14</v>
      </c>
      <c r="J2348" s="92">
        <v>1.2250000000000001</v>
      </c>
      <c r="K2348" s="84">
        <v>3.1045296208928401</v>
      </c>
    </row>
    <row r="2349" spans="1:11">
      <c r="A2349" s="84" t="s">
        <v>38</v>
      </c>
      <c r="B2349" s="86">
        <v>96.154753766451009</v>
      </c>
      <c r="C2349" s="84">
        <v>1.1200000000000001</v>
      </c>
      <c r="D2349" s="84">
        <v>1.17E-2</v>
      </c>
      <c r="E2349" s="85">
        <f t="shared" si="8"/>
        <v>2.6000000000000003E-4</v>
      </c>
      <c r="F2349" s="84">
        <v>629.29999999999995</v>
      </c>
      <c r="G2349" s="87"/>
      <c r="H2349" s="86">
        <v>199.85000000000002</v>
      </c>
      <c r="I2349" s="12" t="s">
        <v>14</v>
      </c>
      <c r="J2349" s="92">
        <v>1.2250000000000001</v>
      </c>
      <c r="K2349" s="84">
        <v>3.29268246000133</v>
      </c>
    </row>
    <row r="2350" spans="1:11">
      <c r="A2350" s="84" t="s">
        <v>38</v>
      </c>
      <c r="B2350" s="86">
        <v>114.624045215517</v>
      </c>
      <c r="C2350" s="84">
        <v>1.1200000000000001</v>
      </c>
      <c r="D2350" s="84">
        <v>1.17E-2</v>
      </c>
      <c r="E2350" s="85">
        <f t="shared" si="8"/>
        <v>2.6000000000000003E-4</v>
      </c>
      <c r="F2350" s="84">
        <v>629.29999999999995</v>
      </c>
      <c r="G2350" s="87"/>
      <c r="H2350" s="86">
        <v>199.85000000000002</v>
      </c>
      <c r="I2350" s="12" t="s">
        <v>14</v>
      </c>
      <c r="J2350" s="92">
        <v>1.2250000000000001</v>
      </c>
      <c r="K2350" s="84">
        <v>3.29268246000133</v>
      </c>
    </row>
    <row r="2351" spans="1:11">
      <c r="A2351" s="84" t="s">
        <v>38</v>
      </c>
      <c r="B2351" s="86">
        <v>22.722940393243441</v>
      </c>
      <c r="C2351" s="84">
        <v>2.5</v>
      </c>
      <c r="D2351" s="84">
        <v>1.17E-2</v>
      </c>
      <c r="E2351" s="85">
        <f t="shared" si="8"/>
        <v>2.6000000000000003E-4</v>
      </c>
      <c r="F2351" s="84">
        <v>629.29999999999995</v>
      </c>
      <c r="G2351" s="87"/>
      <c r="H2351" s="86">
        <v>199.85000000000002</v>
      </c>
      <c r="I2351" s="12" t="s">
        <v>14</v>
      </c>
      <c r="J2351" s="92">
        <v>1.2250000000000001</v>
      </c>
      <c r="K2351" s="84">
        <v>3.4808345016121098</v>
      </c>
    </row>
    <row r="2352" spans="1:11">
      <c r="A2352" s="84" t="s">
        <v>38</v>
      </c>
      <c r="B2352" s="86">
        <v>36.753613301542202</v>
      </c>
      <c r="C2352" s="84">
        <v>2.5</v>
      </c>
      <c r="D2352" s="84">
        <v>1.17E-2</v>
      </c>
      <c r="E2352" s="85">
        <f t="shared" si="8"/>
        <v>2.6000000000000003E-4</v>
      </c>
      <c r="F2352" s="84">
        <v>629.29999999999995</v>
      </c>
      <c r="G2352" s="87"/>
      <c r="H2352" s="86">
        <v>199.85000000000002</v>
      </c>
      <c r="I2352" s="12" t="s">
        <v>14</v>
      </c>
      <c r="J2352" s="92">
        <v>1.2250000000000001</v>
      </c>
      <c r="K2352" s="84">
        <v>3.7317073462499102</v>
      </c>
    </row>
    <row r="2353" spans="1:11">
      <c r="A2353" s="84" t="s">
        <v>38</v>
      </c>
      <c r="B2353" s="86">
        <v>73.536767610942604</v>
      </c>
      <c r="C2353" s="84">
        <v>2.5</v>
      </c>
      <c r="D2353" s="84">
        <v>1.17E-2</v>
      </c>
      <c r="E2353" s="85">
        <f t="shared" si="8"/>
        <v>2.6000000000000003E-4</v>
      </c>
      <c r="F2353" s="84">
        <v>629.29999999999995</v>
      </c>
      <c r="G2353" s="87"/>
      <c r="H2353" s="86">
        <v>199.85000000000002</v>
      </c>
      <c r="I2353" s="12" t="s">
        <v>14</v>
      </c>
      <c r="J2353" s="92">
        <v>1.2250000000000001</v>
      </c>
      <c r="K2353" s="84">
        <v>4.3170714687548699</v>
      </c>
    </row>
    <row r="2354" spans="1:11">
      <c r="A2354" s="84" t="s">
        <v>38</v>
      </c>
      <c r="B2354" s="86">
        <v>129.26611180164599</v>
      </c>
      <c r="C2354" s="84">
        <v>2.5</v>
      </c>
      <c r="D2354" s="84">
        <v>1.17E-2</v>
      </c>
      <c r="E2354" s="85">
        <f t="shared" si="8"/>
        <v>2.6000000000000003E-4</v>
      </c>
      <c r="F2354" s="84">
        <v>629.29999999999995</v>
      </c>
      <c r="G2354" s="87"/>
      <c r="H2354" s="86">
        <v>199.85000000000002</v>
      </c>
      <c r="I2354" s="12" t="s">
        <v>14</v>
      </c>
      <c r="J2354" s="92">
        <v>1.2250000000000001</v>
      </c>
      <c r="K2354" s="84">
        <v>5.0487804100002203</v>
      </c>
    </row>
    <row r="2355" spans="1:11">
      <c r="A2355" s="84" t="s">
        <v>38</v>
      </c>
      <c r="B2355" s="86">
        <v>209.08356277979698</v>
      </c>
      <c r="C2355" s="84">
        <v>2.5</v>
      </c>
      <c r="D2355" s="84">
        <v>1.17E-2</v>
      </c>
      <c r="E2355" s="85">
        <f t="shared" si="8"/>
        <v>2.6000000000000003E-4</v>
      </c>
      <c r="F2355" s="84">
        <v>629.29999999999995</v>
      </c>
      <c r="G2355" s="87"/>
      <c r="H2355" s="86">
        <v>199.85000000000002</v>
      </c>
      <c r="I2355" s="12" t="s">
        <v>14</v>
      </c>
      <c r="J2355" s="92">
        <v>1.2250000000000001</v>
      </c>
      <c r="K2355" s="84">
        <v>5.6968637405367701</v>
      </c>
    </row>
    <row r="2356" spans="1:11">
      <c r="A2356" s="84" t="s">
        <v>38</v>
      </c>
      <c r="B2356" s="86">
        <v>270.87555036261961</v>
      </c>
      <c r="C2356" s="84">
        <v>2.5</v>
      </c>
      <c r="D2356" s="84">
        <v>1.17E-2</v>
      </c>
      <c r="E2356" s="85">
        <f t="shared" si="8"/>
        <v>2.6000000000000003E-4</v>
      </c>
      <c r="F2356" s="84">
        <v>629.29999999999995</v>
      </c>
      <c r="G2356" s="87"/>
      <c r="H2356" s="86">
        <v>199.85000000000002</v>
      </c>
      <c r="I2356" s="12" t="s">
        <v>14</v>
      </c>
      <c r="J2356" s="92">
        <v>1.2250000000000001</v>
      </c>
      <c r="K2356" s="84">
        <v>5.9477349901791401</v>
      </c>
    </row>
    <row r="2357" spans="1:11">
      <c r="A2357" s="84" t="s">
        <v>38</v>
      </c>
      <c r="B2357" s="86">
        <v>17.5222237390815</v>
      </c>
      <c r="C2357" s="84">
        <v>1.1200000000000001</v>
      </c>
      <c r="D2357" s="84">
        <v>1.17E-2</v>
      </c>
      <c r="E2357" s="85">
        <f t="shared" si="8"/>
        <v>2.6000000000000003E-4</v>
      </c>
      <c r="F2357" s="84">
        <v>629.29999999999995</v>
      </c>
      <c r="G2357" s="87"/>
      <c r="H2357" s="86">
        <v>199.85000000000002</v>
      </c>
      <c r="I2357" s="12" t="s">
        <v>34</v>
      </c>
      <c r="J2357" s="92"/>
      <c r="K2357" s="84">
        <v>2.78217775636343</v>
      </c>
    </row>
    <row r="2358" spans="1:11">
      <c r="A2358" s="84" t="s">
        <v>38</v>
      </c>
      <c r="B2358" s="86">
        <v>34.924349749303744</v>
      </c>
      <c r="C2358" s="84">
        <v>1.1200000000000001</v>
      </c>
      <c r="D2358" s="84">
        <v>1.17E-2</v>
      </c>
      <c r="E2358" s="85">
        <f t="shared" si="8"/>
        <v>2.6000000000000003E-4</v>
      </c>
      <c r="F2358" s="84">
        <v>629.29999999999995</v>
      </c>
      <c r="G2358" s="87"/>
      <c r="H2358" s="86">
        <v>199.85000000000002</v>
      </c>
      <c r="I2358" s="12" t="s">
        <v>34</v>
      </c>
      <c r="J2358" s="92"/>
      <c r="K2358" s="84">
        <v>3.1782177529747702</v>
      </c>
    </row>
    <row r="2359" spans="1:11">
      <c r="A2359" s="84" t="s">
        <v>38</v>
      </c>
      <c r="B2359" s="86">
        <v>64.970088010456806</v>
      </c>
      <c r="C2359" s="84">
        <v>1.1200000000000001</v>
      </c>
      <c r="D2359" s="84">
        <v>1.17E-2</v>
      </c>
      <c r="E2359" s="85">
        <f t="shared" si="8"/>
        <v>2.6000000000000003E-4</v>
      </c>
      <c r="F2359" s="84">
        <v>629.29999999999995</v>
      </c>
      <c r="G2359" s="87"/>
      <c r="H2359" s="86">
        <v>199.85000000000002</v>
      </c>
      <c r="I2359" s="12" t="s">
        <v>34</v>
      </c>
      <c r="J2359" s="92"/>
      <c r="K2359" s="84">
        <v>3.6435640030497898</v>
      </c>
    </row>
    <row r="2360" spans="1:11">
      <c r="A2360" s="84" t="s">
        <v>38</v>
      </c>
      <c r="B2360" s="86">
        <v>78.643477872191994</v>
      </c>
      <c r="C2360" s="84">
        <v>1.1200000000000001</v>
      </c>
      <c r="D2360" s="84">
        <v>1.17E-2</v>
      </c>
      <c r="E2360" s="85">
        <f t="shared" si="8"/>
        <v>2.6000000000000003E-4</v>
      </c>
      <c r="F2360" s="84">
        <v>629.29999999999995</v>
      </c>
      <c r="G2360" s="87"/>
      <c r="H2360" s="86">
        <v>199.85000000000002</v>
      </c>
      <c r="I2360" s="12" t="s">
        <v>34</v>
      </c>
      <c r="J2360" s="92"/>
      <c r="K2360" s="84">
        <v>3.8514850295977001</v>
      </c>
    </row>
    <row r="2361" spans="1:11">
      <c r="A2361" s="84" t="s">
        <v>38</v>
      </c>
      <c r="B2361" s="86">
        <v>124.11363407287259</v>
      </c>
      <c r="C2361" s="84">
        <v>1.1200000000000001</v>
      </c>
      <c r="D2361" s="84">
        <v>1.17E-2</v>
      </c>
      <c r="E2361" s="85">
        <f t="shared" si="8"/>
        <v>2.6000000000000003E-4</v>
      </c>
      <c r="F2361" s="84">
        <v>629.29999999999995</v>
      </c>
      <c r="G2361" s="87"/>
      <c r="H2361" s="86">
        <v>199.85000000000002</v>
      </c>
      <c r="I2361" s="12" t="s">
        <v>34</v>
      </c>
      <c r="J2361" s="92"/>
      <c r="K2361" s="84">
        <v>4.5544552021009697</v>
      </c>
    </row>
    <row r="2362" spans="1:11">
      <c r="A2362" s="84" t="s">
        <v>38</v>
      </c>
      <c r="B2362" s="86">
        <v>155.9185210501158</v>
      </c>
      <c r="C2362" s="84">
        <v>1.1200000000000001</v>
      </c>
      <c r="D2362" s="84">
        <v>1.17E-2</v>
      </c>
      <c r="E2362" s="85">
        <f t="shared" si="8"/>
        <v>2.6000000000000003E-4</v>
      </c>
      <c r="F2362" s="84">
        <v>629.29999999999995</v>
      </c>
      <c r="G2362" s="87"/>
      <c r="H2362" s="86">
        <v>199.85000000000002</v>
      </c>
      <c r="I2362" s="12" t="s">
        <v>34</v>
      </c>
      <c r="J2362" s="92"/>
      <c r="K2362" s="84">
        <v>4.9108910857433301</v>
      </c>
    </row>
    <row r="2363" spans="1:11">
      <c r="A2363" s="84" t="s">
        <v>38</v>
      </c>
      <c r="B2363" s="86">
        <v>238.35785307862858</v>
      </c>
      <c r="C2363" s="84">
        <v>1.1200000000000001</v>
      </c>
      <c r="D2363" s="84">
        <v>1.17E-2</v>
      </c>
      <c r="E2363" s="85">
        <f t="shared" si="8"/>
        <v>2.6000000000000003E-4</v>
      </c>
      <c r="F2363" s="84">
        <v>629.29999999999995</v>
      </c>
      <c r="G2363" s="87"/>
      <c r="H2363" s="86">
        <v>199.85000000000002</v>
      </c>
      <c r="I2363" s="12" t="s">
        <v>34</v>
      </c>
      <c r="J2363" s="92"/>
      <c r="K2363" s="84">
        <v>5.6336633147310797</v>
      </c>
    </row>
    <row r="2364" spans="1:11">
      <c r="A2364" s="84" t="s">
        <v>38</v>
      </c>
      <c r="B2364" s="86">
        <v>25.673656937958299</v>
      </c>
      <c r="C2364" s="84">
        <v>2.5</v>
      </c>
      <c r="D2364" s="84">
        <v>1.17E-2</v>
      </c>
      <c r="E2364" s="85">
        <f t="shared" si="8"/>
        <v>2.6000000000000003E-4</v>
      </c>
      <c r="F2364" s="84">
        <v>629.29999999999995</v>
      </c>
      <c r="G2364" s="87"/>
      <c r="H2364" s="86">
        <v>199.85000000000002</v>
      </c>
      <c r="I2364" s="12" t="s">
        <v>34</v>
      </c>
      <c r="J2364" s="92"/>
      <c r="K2364" s="84">
        <v>3.5841574559035099</v>
      </c>
    </row>
    <row r="2365" spans="1:11">
      <c r="A2365" s="84" t="s">
        <v>38</v>
      </c>
      <c r="B2365" s="86">
        <v>79.905233037394794</v>
      </c>
      <c r="C2365" s="84">
        <v>2.5</v>
      </c>
      <c r="D2365" s="84">
        <v>1.17E-2</v>
      </c>
      <c r="E2365" s="85">
        <f t="shared" si="8"/>
        <v>2.6000000000000003E-4</v>
      </c>
      <c r="F2365" s="84">
        <v>629.29999999999995</v>
      </c>
      <c r="G2365" s="87"/>
      <c r="H2365" s="86">
        <v>199.85000000000002</v>
      </c>
      <c r="I2365" s="12" t="s">
        <v>34</v>
      </c>
      <c r="J2365" s="92"/>
      <c r="K2365" s="84">
        <v>4.5346531456164803</v>
      </c>
    </row>
    <row r="2366" spans="1:11">
      <c r="A2366" s="84" t="s">
        <v>38</v>
      </c>
      <c r="B2366" s="86">
        <v>172.4552954454108</v>
      </c>
      <c r="C2366" s="84">
        <v>2.5</v>
      </c>
      <c r="D2366" s="84">
        <v>1.17E-2</v>
      </c>
      <c r="E2366" s="85">
        <f t="shared" si="8"/>
        <v>2.6000000000000003E-4</v>
      </c>
      <c r="F2366" s="84">
        <v>629.29999999999995</v>
      </c>
      <c r="G2366" s="87"/>
      <c r="H2366" s="86">
        <v>199.85000000000002</v>
      </c>
      <c r="I2366" s="12" t="s">
        <v>34</v>
      </c>
      <c r="J2366" s="92"/>
      <c r="K2366" s="84">
        <v>5.6336633147310797</v>
      </c>
    </row>
    <row r="2367" spans="1:11">
      <c r="A2367" s="84" t="s">
        <v>38</v>
      </c>
      <c r="B2367" s="86">
        <v>347.39524154995502</v>
      </c>
      <c r="C2367" s="84">
        <v>2.5</v>
      </c>
      <c r="D2367" s="84">
        <v>1.17E-2</v>
      </c>
      <c r="E2367" s="85">
        <f t="shared" si="8"/>
        <v>2.6000000000000003E-4</v>
      </c>
      <c r="F2367" s="84">
        <v>629.29999999999995</v>
      </c>
      <c r="G2367" s="87"/>
      <c r="H2367" s="86">
        <v>199.85000000000002</v>
      </c>
      <c r="I2367" s="12" t="s">
        <v>34</v>
      </c>
      <c r="J2367" s="92"/>
      <c r="K2367" s="84">
        <v>7.0891088009488197</v>
      </c>
    </row>
    <row r="2368" spans="1:11">
      <c r="A2368" s="84" t="s">
        <v>38</v>
      </c>
      <c r="B2368" s="86">
        <v>443.41947873326524</v>
      </c>
      <c r="C2368" s="84">
        <v>2.5</v>
      </c>
      <c r="D2368" s="84">
        <v>1.17E-2</v>
      </c>
      <c r="E2368" s="85">
        <f t="shared" si="8"/>
        <v>2.6000000000000003E-4</v>
      </c>
      <c r="F2368" s="84">
        <v>629.29999999999995</v>
      </c>
      <c r="G2368" s="87"/>
      <c r="H2368" s="86">
        <v>199.85000000000002</v>
      </c>
      <c r="I2368" s="12" t="s">
        <v>34</v>
      </c>
      <c r="J2368" s="92"/>
      <c r="K2368" s="84">
        <v>7.8217822470252196</v>
      </c>
    </row>
    <row r="2369" spans="1:11">
      <c r="A2369" s="84" t="s">
        <v>38</v>
      </c>
      <c r="B2369" s="86"/>
      <c r="C2369" s="84">
        <v>1.1200000000000001</v>
      </c>
      <c r="D2369" s="84">
        <v>7.2800000000000004E-2</v>
      </c>
      <c r="E2369" s="84">
        <v>1E-3</v>
      </c>
      <c r="F2369" s="84">
        <v>998</v>
      </c>
      <c r="G2369" s="87"/>
      <c r="H2369" s="86">
        <v>19.850000000000023</v>
      </c>
      <c r="J2369" s="92"/>
      <c r="K2369" s="12">
        <v>3.92</v>
      </c>
    </row>
    <row r="2370" spans="1:11">
      <c r="A2370" s="84" t="s">
        <v>38</v>
      </c>
      <c r="B2370" s="86"/>
      <c r="C2370" s="84">
        <v>1.1200000000000001</v>
      </c>
      <c r="D2370" s="84">
        <v>7.2800000000000004E-2</v>
      </c>
      <c r="E2370" s="84">
        <v>1E-3</v>
      </c>
      <c r="F2370" s="84">
        <v>998</v>
      </c>
      <c r="G2370" s="87"/>
      <c r="H2370" s="86">
        <v>19.850000000000023</v>
      </c>
      <c r="J2370" s="92"/>
      <c r="K2370" s="12">
        <v>4.29</v>
      </c>
    </row>
    <row r="2371" spans="1:11">
      <c r="A2371" s="84" t="s">
        <v>38</v>
      </c>
      <c r="B2371" s="86"/>
      <c r="C2371" s="84">
        <v>1.1200000000000001</v>
      </c>
      <c r="D2371" s="84">
        <v>7.2800000000000004E-2</v>
      </c>
      <c r="E2371" s="84">
        <v>1E-3</v>
      </c>
      <c r="F2371" s="84">
        <v>998</v>
      </c>
      <c r="G2371" s="87"/>
      <c r="H2371" s="86">
        <v>19.850000000000023</v>
      </c>
      <c r="J2371" s="92"/>
      <c r="K2371" s="12">
        <v>4.8</v>
      </c>
    </row>
    <row r="2372" spans="1:11">
      <c r="A2372" s="84" t="s">
        <v>38</v>
      </c>
      <c r="B2372" s="86"/>
      <c r="C2372" s="84">
        <v>1.1200000000000001</v>
      </c>
      <c r="D2372" s="84">
        <v>6.6199999999999995E-2</v>
      </c>
      <c r="E2372" s="84">
        <v>4.66E-4</v>
      </c>
      <c r="F2372" s="84">
        <v>988</v>
      </c>
      <c r="G2372" s="87"/>
      <c r="H2372" s="86">
        <v>49.850000000000023</v>
      </c>
      <c r="J2372" s="92"/>
      <c r="K2372" s="12">
        <v>3.93</v>
      </c>
    </row>
    <row r="2373" spans="1:11">
      <c r="A2373" s="84" t="s">
        <v>38</v>
      </c>
      <c r="B2373" s="86"/>
      <c r="C2373" s="84">
        <v>1.1200000000000001</v>
      </c>
      <c r="D2373" s="84">
        <v>6.6199999999999995E-2</v>
      </c>
      <c r="E2373" s="84">
        <v>4.66E-4</v>
      </c>
      <c r="F2373" s="84">
        <v>988</v>
      </c>
      <c r="G2373" s="87"/>
      <c r="H2373" s="86">
        <v>49.850000000000023</v>
      </c>
      <c r="J2373" s="92"/>
      <c r="K2373" s="12">
        <v>4.29</v>
      </c>
    </row>
    <row r="2374" spans="1:11">
      <c r="A2374" s="84" t="s">
        <v>38</v>
      </c>
      <c r="B2374" s="86"/>
      <c r="C2374" s="84">
        <v>1.1200000000000001</v>
      </c>
      <c r="D2374" s="84">
        <v>6.6199999999999995E-2</v>
      </c>
      <c r="E2374" s="84">
        <v>4.66E-4</v>
      </c>
      <c r="F2374" s="84">
        <v>988</v>
      </c>
      <c r="G2374" s="87"/>
      <c r="H2374" s="86">
        <v>49.850000000000023</v>
      </c>
      <c r="J2374" s="92"/>
      <c r="K2374" s="12">
        <v>5.08</v>
      </c>
    </row>
    <row r="2375" spans="1:11">
      <c r="A2375" s="84" t="s">
        <v>38</v>
      </c>
      <c r="B2375" s="86"/>
      <c r="C2375" s="84">
        <v>1.1200000000000001</v>
      </c>
      <c r="D2375" s="84">
        <v>6.2700000000000006E-2</v>
      </c>
      <c r="E2375" s="84">
        <v>3.5399999999999999E-4</v>
      </c>
      <c r="F2375" s="84">
        <v>971</v>
      </c>
      <c r="G2375" s="87"/>
      <c r="H2375" s="86">
        <v>79.850000000000023</v>
      </c>
      <c r="J2375" s="92"/>
      <c r="K2375" s="12">
        <v>4.1500000000000004</v>
      </c>
    </row>
    <row r="2376" spans="1:11">
      <c r="A2376" s="84" t="s">
        <v>38</v>
      </c>
      <c r="B2376" s="86"/>
      <c r="C2376" s="84">
        <v>1.1200000000000001</v>
      </c>
      <c r="D2376" s="84">
        <v>6.2700000000000006E-2</v>
      </c>
      <c r="E2376" s="84">
        <v>3.5399999999999999E-4</v>
      </c>
      <c r="F2376" s="84">
        <v>971</v>
      </c>
      <c r="G2376" s="87"/>
      <c r="H2376" s="86">
        <v>79.850000000000023</v>
      </c>
      <c r="J2376" s="92"/>
      <c r="K2376" s="12">
        <v>4.72</v>
      </c>
    </row>
    <row r="2377" spans="1:11">
      <c r="A2377" s="84" t="s">
        <v>38</v>
      </c>
      <c r="B2377" s="86"/>
      <c r="C2377" s="84">
        <v>1.1200000000000001</v>
      </c>
      <c r="D2377" s="84">
        <v>6.2700000000000006E-2</v>
      </c>
      <c r="E2377" s="84">
        <v>3.5399999999999999E-4</v>
      </c>
      <c r="F2377" s="84">
        <v>971</v>
      </c>
      <c r="G2377" s="87"/>
      <c r="H2377" s="86">
        <v>79.850000000000023</v>
      </c>
      <c r="J2377" s="92"/>
      <c r="K2377" s="12">
        <v>5.8</v>
      </c>
    </row>
    <row r="2378" spans="1:11">
      <c r="A2378" s="84" t="s">
        <v>38</v>
      </c>
      <c r="B2378" s="86"/>
      <c r="C2378" s="84">
        <v>1.1200000000000001</v>
      </c>
      <c r="D2378" s="84">
        <v>6.08E-2</v>
      </c>
      <c r="E2378" s="84">
        <v>3.1399999999999999E-4</v>
      </c>
      <c r="F2378" s="84">
        <v>963</v>
      </c>
      <c r="G2378" s="87"/>
      <c r="H2378" s="86">
        <v>89.850000000000023</v>
      </c>
      <c r="J2378" s="92"/>
      <c r="K2378" s="84">
        <v>4.3899999999999997</v>
      </c>
    </row>
    <row r="2379" spans="1:11">
      <c r="A2379" s="84" t="s">
        <v>38</v>
      </c>
      <c r="B2379" s="86"/>
      <c r="C2379" s="84">
        <v>1.1200000000000001</v>
      </c>
      <c r="D2379" s="84">
        <v>6.08E-2</v>
      </c>
      <c r="E2379" s="84">
        <v>3.1399999999999999E-4</v>
      </c>
      <c r="F2379" s="84">
        <v>963</v>
      </c>
      <c r="G2379" s="87"/>
      <c r="H2379" s="86">
        <v>89.850000000000023</v>
      </c>
      <c r="J2379" s="92"/>
      <c r="K2379" s="84">
        <v>5.12</v>
      </c>
    </row>
    <row r="2380" spans="1:11">
      <c r="A2380" s="84" t="s">
        <v>38</v>
      </c>
      <c r="B2380" s="86"/>
      <c r="C2380" s="84">
        <v>1.1200000000000001</v>
      </c>
      <c r="D2380" s="84">
        <v>6.08E-2</v>
      </c>
      <c r="E2380" s="84">
        <v>3.1399999999999999E-4</v>
      </c>
      <c r="F2380" s="84">
        <v>963</v>
      </c>
      <c r="G2380" s="87"/>
      <c r="H2380" s="86">
        <v>89.850000000000023</v>
      </c>
      <c r="J2380" s="92"/>
      <c r="K2380" s="84">
        <v>5.18</v>
      </c>
    </row>
    <row r="2381" spans="1:11">
      <c r="A2381" s="84" t="s">
        <v>38</v>
      </c>
      <c r="B2381" s="86"/>
      <c r="C2381" s="84">
        <v>1.1200000000000001</v>
      </c>
      <c r="D2381" s="84">
        <v>7.2800000000000004E-2</v>
      </c>
      <c r="E2381" s="84">
        <v>1E-3</v>
      </c>
      <c r="F2381" s="84">
        <v>998</v>
      </c>
      <c r="G2381" s="87"/>
      <c r="H2381" s="86">
        <v>19.850000000000023</v>
      </c>
      <c r="J2381" s="92"/>
      <c r="K2381" s="12">
        <v>3.75</v>
      </c>
    </row>
    <row r="2382" spans="1:11">
      <c r="A2382" s="84" t="s">
        <v>38</v>
      </c>
      <c r="B2382" s="86"/>
      <c r="C2382" s="84">
        <v>1.1200000000000001</v>
      </c>
      <c r="D2382" s="84">
        <v>6.6199999999999995E-2</v>
      </c>
      <c r="E2382" s="84">
        <v>4.66E-4</v>
      </c>
      <c r="F2382" s="84">
        <v>988</v>
      </c>
      <c r="G2382" s="87"/>
      <c r="H2382" s="86">
        <v>49.850000000000023</v>
      </c>
      <c r="J2382" s="92"/>
      <c r="K2382" s="12">
        <v>3.7</v>
      </c>
    </row>
    <row r="2383" spans="1:11">
      <c r="A2383" s="84" t="s">
        <v>38</v>
      </c>
      <c r="B2383" s="86"/>
      <c r="C2383" s="84">
        <v>1.1200000000000001</v>
      </c>
      <c r="D2383" s="84">
        <v>6.2700000000000006E-2</v>
      </c>
      <c r="E2383" s="84">
        <v>3.5399999999999999E-4</v>
      </c>
      <c r="F2383" s="84">
        <v>971</v>
      </c>
      <c r="G2383" s="87"/>
      <c r="H2383" s="86">
        <v>79.850000000000023</v>
      </c>
      <c r="J2383" s="92"/>
      <c r="K2383" s="12">
        <v>3.7</v>
      </c>
    </row>
    <row r="2384" spans="1:11">
      <c r="A2384" s="84" t="s">
        <v>38</v>
      </c>
      <c r="B2384" s="86"/>
      <c r="C2384" s="84">
        <v>1.1200000000000001</v>
      </c>
      <c r="D2384" s="84">
        <v>6.2700000000000006E-2</v>
      </c>
      <c r="E2384" s="84">
        <v>3.5399999999999999E-4</v>
      </c>
      <c r="F2384" s="84">
        <v>971</v>
      </c>
      <c r="G2384" s="87"/>
      <c r="H2384" s="86">
        <v>79.850000000000023</v>
      </c>
      <c r="J2384" s="92"/>
      <c r="K2384" s="12">
        <v>3.75</v>
      </c>
    </row>
    <row r="2385" spans="1:11">
      <c r="A2385" s="84" t="s">
        <v>38</v>
      </c>
      <c r="B2385" s="86"/>
      <c r="C2385" s="89">
        <v>1.1200000000000001</v>
      </c>
      <c r="D2385" s="90">
        <v>6.2700000000000006E-2</v>
      </c>
      <c r="E2385" s="90">
        <v>3.5399999999999999E-4</v>
      </c>
      <c r="F2385" s="90">
        <v>971</v>
      </c>
      <c r="G2385" s="91"/>
      <c r="H2385" s="86">
        <v>79.850000000000023</v>
      </c>
      <c r="I2385" s="12"/>
      <c r="J2385" s="92"/>
      <c r="K2385" s="12">
        <v>4.0599999999999996</v>
      </c>
    </row>
    <row r="2386" spans="1:11">
      <c r="A2386" s="84" t="s">
        <v>38</v>
      </c>
      <c r="B2386" s="86"/>
      <c r="C2386" s="84">
        <v>1.1200000000000001</v>
      </c>
      <c r="G2386" s="87"/>
      <c r="H2386" s="86">
        <v>119.85000000000002</v>
      </c>
      <c r="J2386" s="92"/>
      <c r="K2386" s="12">
        <v>3.6</v>
      </c>
    </row>
    <row r="2387" spans="1:11">
      <c r="A2387" s="84" t="s">
        <v>38</v>
      </c>
      <c r="B2387" s="86"/>
      <c r="C2387" s="84"/>
      <c r="D2387" s="84"/>
      <c r="E2387" s="84"/>
      <c r="F2387" s="84"/>
      <c r="G2387" s="87"/>
      <c r="H2387" s="86">
        <v>119.85000000000002</v>
      </c>
      <c r="I2387" s="12"/>
      <c r="J2387" s="92"/>
      <c r="K2387" s="12">
        <v>3.61</v>
      </c>
    </row>
    <row r="2388" spans="1:11">
      <c r="A2388" s="84" t="s">
        <v>38</v>
      </c>
      <c r="B2388" s="86"/>
      <c r="C2388" s="84"/>
      <c r="D2388" s="84"/>
      <c r="E2388" s="84"/>
      <c r="F2388" s="84"/>
      <c r="G2388" s="87"/>
      <c r="H2388" s="86">
        <v>119.85000000000002</v>
      </c>
      <c r="I2388" s="12"/>
      <c r="J2388" s="92"/>
      <c r="K2388" s="12">
        <v>4</v>
      </c>
    </row>
    <row r="2389" spans="1:11">
      <c r="A2389" s="84" t="s">
        <v>38</v>
      </c>
      <c r="B2389" s="86"/>
      <c r="C2389" s="84">
        <v>1.1200000000000001</v>
      </c>
      <c r="D2389" s="84">
        <v>7.2800000000000004E-2</v>
      </c>
      <c r="E2389" s="84">
        <v>1E-3</v>
      </c>
      <c r="F2389" s="84">
        <v>998</v>
      </c>
      <c r="G2389" s="87"/>
      <c r="H2389" s="86">
        <v>19.850000000000023</v>
      </c>
      <c r="I2389" s="12"/>
      <c r="J2389" s="92"/>
      <c r="K2389" s="12">
        <v>3.91</v>
      </c>
    </row>
    <row r="2390" spans="1:11">
      <c r="A2390" s="84" t="s">
        <v>38</v>
      </c>
      <c r="B2390" s="86"/>
      <c r="C2390" s="84">
        <v>1.1200000000000001</v>
      </c>
      <c r="D2390" s="84">
        <v>7.2800000000000004E-2</v>
      </c>
      <c r="E2390" s="84">
        <v>1E-3</v>
      </c>
      <c r="F2390" s="84">
        <v>998</v>
      </c>
      <c r="G2390" s="87"/>
      <c r="H2390" s="86">
        <v>19.850000000000023</v>
      </c>
      <c r="I2390" s="12"/>
      <c r="J2390" s="92"/>
      <c r="K2390" s="12">
        <v>4.13</v>
      </c>
    </row>
    <row r="2391" spans="1:11">
      <c r="A2391" s="84" t="s">
        <v>38</v>
      </c>
      <c r="B2391" s="86"/>
      <c r="C2391" s="84">
        <v>1.1200000000000001</v>
      </c>
      <c r="D2391" s="84">
        <v>6.6199999999999995E-2</v>
      </c>
      <c r="E2391" s="84">
        <v>4.66E-4</v>
      </c>
      <c r="F2391" s="84">
        <v>988</v>
      </c>
      <c r="G2391" s="87"/>
      <c r="H2391" s="86">
        <v>49.850000000000023</v>
      </c>
      <c r="I2391" s="12"/>
      <c r="J2391" s="92"/>
      <c r="K2391" s="12">
        <v>3.82</v>
      </c>
    </row>
    <row r="2392" spans="1:11">
      <c r="A2392" s="84" t="s">
        <v>38</v>
      </c>
      <c r="B2392" s="86"/>
      <c r="C2392" s="84">
        <v>1.1200000000000001</v>
      </c>
      <c r="D2392" s="84">
        <v>6.6199999999999995E-2</v>
      </c>
      <c r="E2392" s="84">
        <v>4.66E-4</v>
      </c>
      <c r="F2392" s="84">
        <v>988</v>
      </c>
      <c r="G2392" s="87"/>
      <c r="H2392" s="86">
        <v>49.850000000000023</v>
      </c>
      <c r="I2392" s="12"/>
      <c r="J2392" s="92"/>
      <c r="K2392" s="12">
        <v>4.13</v>
      </c>
    </row>
    <row r="2393" spans="1:11">
      <c r="A2393" s="84" t="s">
        <v>38</v>
      </c>
      <c r="B2393" s="86">
        <v>6.1451409257628606</v>
      </c>
      <c r="C2393" s="84">
        <v>1.1200000000000001</v>
      </c>
      <c r="D2393" s="84">
        <v>7.2800000000000004E-2</v>
      </c>
      <c r="E2393" s="84">
        <v>1E-3</v>
      </c>
      <c r="F2393" s="84">
        <v>998</v>
      </c>
      <c r="G2393" s="87"/>
      <c r="H2393" s="86">
        <v>19.850000000000023</v>
      </c>
      <c r="I2393" s="84" t="s">
        <v>14</v>
      </c>
      <c r="J2393" s="84">
        <v>1.2250000000000001</v>
      </c>
      <c r="K2393" s="84">
        <v>3.7094346276972501</v>
      </c>
    </row>
    <row r="2394" spans="1:11">
      <c r="A2394" s="84" t="s">
        <v>38</v>
      </c>
      <c r="B2394" s="86">
        <v>7.8043740590986204</v>
      </c>
      <c r="C2394" s="84">
        <v>1.1200000000000001</v>
      </c>
      <c r="D2394" s="84">
        <v>7.2800000000000004E-2</v>
      </c>
      <c r="E2394" s="84">
        <v>1E-3</v>
      </c>
      <c r="F2394" s="84">
        <v>998</v>
      </c>
      <c r="G2394" s="87"/>
      <c r="H2394" s="86">
        <v>19.850000000000023</v>
      </c>
      <c r="I2394" s="84" t="s">
        <v>14</v>
      </c>
      <c r="J2394" s="84">
        <v>1.2250000000000001</v>
      </c>
      <c r="K2394" s="84">
        <v>3.67924525857438</v>
      </c>
    </row>
    <row r="2395" spans="1:11">
      <c r="A2395" s="84" t="s">
        <v>38</v>
      </c>
      <c r="B2395" s="86">
        <v>11.623808852705881</v>
      </c>
      <c r="C2395" s="84">
        <v>1.1200000000000001</v>
      </c>
      <c r="D2395" s="84">
        <v>7.2800000000000004E-2</v>
      </c>
      <c r="E2395" s="84">
        <v>1E-3</v>
      </c>
      <c r="F2395" s="84">
        <v>998</v>
      </c>
      <c r="G2395" s="87"/>
      <c r="H2395" s="86">
        <v>19.850000000000023</v>
      </c>
      <c r="I2395" s="84" t="s">
        <v>14</v>
      </c>
      <c r="J2395" s="84">
        <v>1.2250000000000001</v>
      </c>
      <c r="K2395" s="84">
        <v>3.8000004318524998</v>
      </c>
    </row>
    <row r="2396" spans="1:11">
      <c r="A2396" s="84" t="s">
        <v>38</v>
      </c>
      <c r="B2396" s="86">
        <v>24.386410350823439</v>
      </c>
      <c r="C2396" s="84">
        <v>1.1200000000000001</v>
      </c>
      <c r="D2396" s="84">
        <v>7.2800000000000004E-2</v>
      </c>
      <c r="E2396" s="84">
        <v>1E-3</v>
      </c>
      <c r="F2396" s="84">
        <v>998</v>
      </c>
      <c r="G2396" s="87"/>
      <c r="H2396" s="86">
        <v>19.850000000000023</v>
      </c>
      <c r="I2396" s="84" t="s">
        <v>14</v>
      </c>
      <c r="J2396" s="84">
        <v>1.2250000000000001</v>
      </c>
      <c r="K2396" s="84">
        <v>3.8603780184915601</v>
      </c>
    </row>
    <row r="2397" spans="1:11">
      <c r="A2397" s="84" t="s">
        <v>38</v>
      </c>
      <c r="B2397" s="86">
        <v>36.321038737392357</v>
      </c>
      <c r="C2397" s="84">
        <v>1.1200000000000001</v>
      </c>
      <c r="D2397" s="84">
        <v>7.2800000000000004E-2</v>
      </c>
      <c r="E2397" s="84">
        <v>1E-3</v>
      </c>
      <c r="F2397" s="84">
        <v>998</v>
      </c>
      <c r="G2397" s="87"/>
      <c r="H2397" s="86">
        <v>19.850000000000023</v>
      </c>
      <c r="I2397" s="84" t="s">
        <v>14</v>
      </c>
      <c r="J2397" s="84">
        <v>1.2250000000000001</v>
      </c>
      <c r="K2397" s="84">
        <v>3.9811326159663398</v>
      </c>
    </row>
    <row r="2398" spans="1:11">
      <c r="A2398" s="84" t="s">
        <v>38</v>
      </c>
      <c r="B2398" s="86">
        <v>59.051491953359822</v>
      </c>
      <c r="C2398" s="84">
        <v>1.1200000000000001</v>
      </c>
      <c r="D2398" s="84">
        <v>7.2800000000000004E-2</v>
      </c>
      <c r="E2398" s="84">
        <v>1E-3</v>
      </c>
      <c r="F2398" s="84">
        <v>998</v>
      </c>
      <c r="G2398" s="87"/>
      <c r="H2398" s="86">
        <v>19.850000000000023</v>
      </c>
      <c r="I2398" s="84" t="s">
        <v>14</v>
      </c>
      <c r="J2398" s="84">
        <v>1.2250000000000001</v>
      </c>
      <c r="K2398" s="84">
        <v>4.31320761507114</v>
      </c>
    </row>
    <row r="2399" spans="1:11">
      <c r="A2399" s="84" t="s">
        <v>38</v>
      </c>
      <c r="B2399" s="86">
        <v>119.04996009816061</v>
      </c>
      <c r="C2399" s="84">
        <v>1.1200000000000001</v>
      </c>
      <c r="D2399" s="84">
        <v>7.2800000000000004E-2</v>
      </c>
      <c r="E2399" s="84">
        <v>1E-3</v>
      </c>
      <c r="F2399" s="84">
        <v>998</v>
      </c>
      <c r="G2399" s="87"/>
      <c r="H2399" s="86">
        <v>19.850000000000023</v>
      </c>
      <c r="I2399" s="84" t="s">
        <v>14</v>
      </c>
      <c r="J2399" s="84">
        <v>1.2250000000000001</v>
      </c>
      <c r="K2399" s="84">
        <v>4.8113212653350299</v>
      </c>
    </row>
    <row r="2400" spans="1:11">
      <c r="A2400" s="84" t="s">
        <v>38</v>
      </c>
      <c r="B2400" s="86">
        <v>174.50949565335779</v>
      </c>
      <c r="C2400" s="84">
        <v>1.1200000000000001</v>
      </c>
      <c r="D2400" s="84">
        <v>7.2800000000000004E-2</v>
      </c>
      <c r="E2400" s="84">
        <v>1E-3</v>
      </c>
      <c r="F2400" s="84">
        <v>998</v>
      </c>
      <c r="G2400" s="87"/>
      <c r="H2400" s="86">
        <v>19.850000000000023</v>
      </c>
      <c r="I2400" s="84" t="s">
        <v>14</v>
      </c>
      <c r="J2400" s="84">
        <v>1.2250000000000001</v>
      </c>
      <c r="K2400" s="84">
        <v>5.3396231331151096</v>
      </c>
    </row>
    <row r="2401" spans="1:11">
      <c r="A2401" s="84" t="s">
        <v>38</v>
      </c>
      <c r="B2401" s="86">
        <v>236.21477563265401</v>
      </c>
      <c r="C2401" s="84">
        <v>1.1200000000000001</v>
      </c>
      <c r="D2401" s="84">
        <v>7.2800000000000004E-2</v>
      </c>
      <c r="E2401" s="84">
        <v>1E-3</v>
      </c>
      <c r="F2401" s="84">
        <v>998</v>
      </c>
      <c r="G2401" s="87"/>
      <c r="H2401" s="86">
        <v>19.850000000000023</v>
      </c>
      <c r="I2401" s="84" t="s">
        <v>14</v>
      </c>
      <c r="J2401" s="84">
        <v>1.2250000000000001</v>
      </c>
      <c r="K2401" s="84">
        <v>5.8377362075756603</v>
      </c>
    </row>
    <row r="2402" spans="1:11">
      <c r="A2402" s="84" t="s">
        <v>38</v>
      </c>
      <c r="B2402" s="86">
        <v>338.07760616240097</v>
      </c>
      <c r="C2402" s="84">
        <v>1.1200000000000001</v>
      </c>
      <c r="D2402" s="84">
        <v>7.2800000000000004E-2</v>
      </c>
      <c r="E2402" s="84">
        <v>1E-3</v>
      </c>
      <c r="F2402" s="84">
        <v>998</v>
      </c>
      <c r="G2402" s="87"/>
      <c r="H2402" s="86">
        <v>19.850000000000023</v>
      </c>
      <c r="I2402" s="84" t="s">
        <v>14</v>
      </c>
      <c r="J2402" s="84">
        <v>1.2250000000000001</v>
      </c>
      <c r="K2402" s="84">
        <v>6.33584928203621</v>
      </c>
    </row>
    <row r="2403" spans="1:11">
      <c r="A2403" s="84" t="s">
        <v>38</v>
      </c>
      <c r="B2403" s="86">
        <v>483.86671613737553</v>
      </c>
      <c r="C2403" s="84">
        <v>1.1200000000000001</v>
      </c>
      <c r="D2403" s="84">
        <v>7.2800000000000004E-2</v>
      </c>
      <c r="E2403" s="84">
        <v>1E-3</v>
      </c>
      <c r="F2403" s="84">
        <v>998</v>
      </c>
      <c r="G2403" s="87"/>
      <c r="H2403" s="86">
        <v>19.850000000000023</v>
      </c>
      <c r="I2403" s="84" t="s">
        <v>14</v>
      </c>
      <c r="J2403" s="84">
        <v>1.2250000000000001</v>
      </c>
      <c r="K2403" s="84">
        <v>7.0603774426882202</v>
      </c>
    </row>
    <row r="2404" spans="1:11">
      <c r="A2404" s="84" t="s">
        <v>38</v>
      </c>
      <c r="B2404" s="86">
        <v>571.99213504029899</v>
      </c>
      <c r="C2404" s="84">
        <v>1.1200000000000001</v>
      </c>
      <c r="D2404" s="84">
        <v>7.2800000000000004E-2</v>
      </c>
      <c r="E2404" s="84">
        <v>1E-3</v>
      </c>
      <c r="F2404" s="84">
        <v>998</v>
      </c>
      <c r="G2404" s="87"/>
      <c r="H2404" s="86">
        <v>19.850000000000023</v>
      </c>
      <c r="I2404" s="84" t="s">
        <v>14</v>
      </c>
      <c r="J2404" s="84">
        <v>1.2250000000000001</v>
      </c>
      <c r="K2404" s="84">
        <v>7.5886793104682999</v>
      </c>
    </row>
    <row r="2405" spans="1:11">
      <c r="A2405" s="84" t="s">
        <v>38</v>
      </c>
      <c r="B2405" s="86">
        <v>698.06401155932406</v>
      </c>
      <c r="C2405" s="84">
        <v>1.1200000000000001</v>
      </c>
      <c r="D2405" s="84">
        <v>7.2800000000000004E-2</v>
      </c>
      <c r="E2405" s="84">
        <v>1E-3</v>
      </c>
      <c r="F2405" s="84">
        <v>998</v>
      </c>
      <c r="G2405" s="87"/>
      <c r="H2405" s="86">
        <v>19.850000000000023</v>
      </c>
      <c r="I2405" s="84" t="s">
        <v>14</v>
      </c>
      <c r="J2405" s="84">
        <v>1.2250000000000001</v>
      </c>
      <c r="K2405" s="84">
        <v>8.2226416669650604</v>
      </c>
    </row>
    <row r="2406" spans="1:11">
      <c r="A2406" s="84" t="s">
        <v>38</v>
      </c>
      <c r="B2406" s="86">
        <v>9.4489404793662608</v>
      </c>
      <c r="C2406" s="84">
        <v>2.5</v>
      </c>
      <c r="D2406" s="84">
        <v>7.2800000000000004E-2</v>
      </c>
      <c r="E2406" s="84">
        <v>1E-3</v>
      </c>
      <c r="F2406" s="84">
        <v>998</v>
      </c>
      <c r="G2406" s="87"/>
      <c r="H2406" s="86">
        <v>19.850000000000023</v>
      </c>
      <c r="I2406" s="84" t="s">
        <v>14</v>
      </c>
      <c r="J2406" s="84">
        <v>1.2250000000000001</v>
      </c>
      <c r="K2406" s="84">
        <v>4.5849061791435703</v>
      </c>
    </row>
    <row r="2407" spans="1:11">
      <c r="A2407" s="84" t="s">
        <v>38</v>
      </c>
      <c r="B2407" s="86">
        <v>18.74825790331608</v>
      </c>
      <c r="C2407" s="84">
        <v>2.5</v>
      </c>
      <c r="D2407" s="84">
        <v>7.2800000000000004E-2</v>
      </c>
      <c r="E2407" s="84">
        <v>1E-3</v>
      </c>
      <c r="F2407" s="84">
        <v>998</v>
      </c>
      <c r="G2407" s="87"/>
      <c r="H2407" s="86">
        <v>19.850000000000023</v>
      </c>
      <c r="I2407" s="84" t="s">
        <v>14</v>
      </c>
      <c r="J2407" s="84">
        <v>1.2250000000000001</v>
      </c>
      <c r="K2407" s="84">
        <v>4.7207548853764401</v>
      </c>
    </row>
    <row r="2408" spans="1:11">
      <c r="A2408" s="84" t="s">
        <v>38</v>
      </c>
      <c r="B2408" s="86">
        <v>35.463168188014322</v>
      </c>
      <c r="C2408" s="84">
        <v>2.5</v>
      </c>
      <c r="D2408" s="84">
        <v>7.2800000000000004E-2</v>
      </c>
      <c r="E2408" s="84">
        <v>1E-3</v>
      </c>
      <c r="F2408" s="84">
        <v>998</v>
      </c>
      <c r="G2408" s="87"/>
      <c r="H2408" s="86">
        <v>19.850000000000023</v>
      </c>
      <c r="I2408" s="84" t="s">
        <v>14</v>
      </c>
      <c r="J2408" s="84">
        <v>1.2250000000000001</v>
      </c>
      <c r="K2408" s="84">
        <v>4.8867929607321896</v>
      </c>
    </row>
    <row r="2409" spans="1:11">
      <c r="A2409" s="84" t="s">
        <v>38</v>
      </c>
      <c r="B2409" s="86">
        <v>70.36478054967661</v>
      </c>
      <c r="C2409" s="84">
        <v>2.5</v>
      </c>
      <c r="D2409" s="84">
        <v>7.2800000000000004E-2</v>
      </c>
      <c r="E2409" s="84">
        <v>1E-3</v>
      </c>
      <c r="F2409" s="84">
        <v>998</v>
      </c>
      <c r="G2409" s="87"/>
      <c r="H2409" s="86">
        <v>19.850000000000023</v>
      </c>
      <c r="I2409" s="84" t="s">
        <v>14</v>
      </c>
      <c r="J2409" s="84">
        <v>1.2250000000000001</v>
      </c>
      <c r="K2409" s="84">
        <v>5.3094343397955797</v>
      </c>
    </row>
    <row r="2410" spans="1:11">
      <c r="A2410" s="84" t="s">
        <v>38</v>
      </c>
      <c r="B2410" s="86">
        <v>109.0603177662132</v>
      </c>
      <c r="C2410" s="84">
        <v>2.5</v>
      </c>
      <c r="D2410" s="84">
        <v>7.2800000000000004E-2</v>
      </c>
      <c r="E2410" s="84">
        <v>1E-3</v>
      </c>
      <c r="F2410" s="84">
        <v>998</v>
      </c>
      <c r="G2410" s="87"/>
      <c r="H2410" s="86">
        <v>19.850000000000023</v>
      </c>
      <c r="I2410" s="84" t="s">
        <v>14</v>
      </c>
      <c r="J2410" s="84">
        <v>1.2250000000000001</v>
      </c>
      <c r="K2410" s="84">
        <v>5.7471698276170704</v>
      </c>
    </row>
    <row r="2411" spans="1:11">
      <c r="A2411" s="84" t="s">
        <v>38</v>
      </c>
      <c r="B2411" s="86">
        <v>144.1365181543392</v>
      </c>
      <c r="C2411" s="84">
        <v>2.5</v>
      </c>
      <c r="D2411" s="84">
        <v>7.2800000000000004E-2</v>
      </c>
      <c r="E2411" s="84">
        <v>1E-3</v>
      </c>
      <c r="F2411" s="84">
        <v>998</v>
      </c>
      <c r="G2411" s="87"/>
      <c r="H2411" s="86">
        <v>19.850000000000023</v>
      </c>
      <c r="I2411" s="84" t="s">
        <v>14</v>
      </c>
      <c r="J2411" s="84">
        <v>1.2250000000000001</v>
      </c>
      <c r="K2411" s="84">
        <v>5.89811321841138</v>
      </c>
    </row>
    <row r="2412" spans="1:11">
      <c r="A2412" s="84" t="s">
        <v>38</v>
      </c>
      <c r="B2412" s="86">
        <v>180.1606527973548</v>
      </c>
      <c r="C2412" s="84">
        <v>2.5</v>
      </c>
      <c r="D2412" s="84">
        <v>7.2800000000000004E-2</v>
      </c>
      <c r="E2412" s="84">
        <v>1E-3</v>
      </c>
      <c r="F2412" s="84">
        <v>998</v>
      </c>
      <c r="G2412" s="87"/>
      <c r="H2412" s="86">
        <v>19.850000000000023</v>
      </c>
      <c r="I2412" s="84" t="s">
        <v>14</v>
      </c>
      <c r="J2412" s="84">
        <v>1.2250000000000001</v>
      </c>
      <c r="K2412" s="84">
        <v>6.1849058912419004</v>
      </c>
    </row>
    <row r="2413" spans="1:11">
      <c r="A2413" s="84" t="s">
        <v>38</v>
      </c>
      <c r="B2413" s="86">
        <v>351.81750379298285</v>
      </c>
      <c r="C2413" s="84">
        <v>2.5</v>
      </c>
      <c r="D2413" s="84">
        <v>7.2800000000000004E-2</v>
      </c>
      <c r="E2413" s="84">
        <v>1E-3</v>
      </c>
      <c r="F2413" s="84">
        <v>998</v>
      </c>
      <c r="G2413" s="87"/>
      <c r="H2413" s="86">
        <v>19.850000000000023</v>
      </c>
      <c r="I2413" s="84" t="s">
        <v>14</v>
      </c>
      <c r="J2413" s="84">
        <v>1.2250000000000001</v>
      </c>
      <c r="K2413" s="84">
        <v>7.2566037355601498</v>
      </c>
    </row>
    <row r="2414" spans="1:11">
      <c r="A2414" s="84" t="s">
        <v>38</v>
      </c>
      <c r="B2414" s="86">
        <v>732.24504547791605</v>
      </c>
      <c r="C2414" s="84">
        <v>2.5</v>
      </c>
      <c r="D2414" s="84">
        <v>7.2800000000000004E-2</v>
      </c>
      <c r="E2414" s="84">
        <v>1E-3</v>
      </c>
      <c r="F2414" s="84">
        <v>998</v>
      </c>
      <c r="G2414" s="87"/>
      <c r="H2414" s="86">
        <v>19.850000000000023</v>
      </c>
      <c r="I2414" s="84" t="s">
        <v>14</v>
      </c>
      <c r="J2414" s="84">
        <v>1.2250000000000001</v>
      </c>
      <c r="K2414" s="84">
        <v>9.2188675279844894</v>
      </c>
    </row>
    <row r="2415" spans="1:11">
      <c r="A2415" s="84" t="s">
        <v>38</v>
      </c>
      <c r="B2415" s="86">
        <v>1108.1215439546399</v>
      </c>
      <c r="C2415" s="84">
        <v>2.5</v>
      </c>
      <c r="D2415" s="84">
        <v>7.2800000000000004E-2</v>
      </c>
      <c r="E2415" s="84">
        <v>1E-3</v>
      </c>
      <c r="F2415" s="84">
        <v>998</v>
      </c>
      <c r="G2415" s="87"/>
      <c r="H2415" s="86">
        <v>19.850000000000023</v>
      </c>
      <c r="I2415" s="84" t="s">
        <v>14</v>
      </c>
      <c r="J2415" s="84">
        <v>1.2250000000000001</v>
      </c>
      <c r="K2415" s="84">
        <v>10.6075474142561</v>
      </c>
    </row>
    <row r="2416" spans="1:11">
      <c r="A2416" s="84" t="s">
        <v>38</v>
      </c>
      <c r="B2416" s="86">
        <v>1476.2327006923681</v>
      </c>
      <c r="C2416" s="84">
        <v>2.5</v>
      </c>
      <c r="D2416" s="84">
        <v>7.2800000000000004E-2</v>
      </c>
      <c r="E2416" s="84">
        <v>1E-3</v>
      </c>
      <c r="F2416" s="84">
        <v>998</v>
      </c>
      <c r="G2416" s="87"/>
      <c r="H2416" s="86">
        <v>19.850000000000023</v>
      </c>
      <c r="I2416" s="84" t="s">
        <v>14</v>
      </c>
      <c r="J2416" s="84">
        <v>1.2250000000000001</v>
      </c>
      <c r="K2416" s="84">
        <v>11.558490661099601</v>
      </c>
    </row>
    <row r="2417" spans="1:11">
      <c r="A2417" s="84" t="s">
        <v>38</v>
      </c>
      <c r="B2417" s="86">
        <v>1.0305728039356981</v>
      </c>
      <c r="C2417" s="84">
        <v>1.1200000000000001</v>
      </c>
      <c r="D2417" s="84">
        <v>7.2800000000000004E-2</v>
      </c>
      <c r="E2417" s="84">
        <v>1E-3</v>
      </c>
      <c r="F2417" s="84">
        <v>998</v>
      </c>
      <c r="G2417" s="87"/>
      <c r="H2417" s="86">
        <v>19.850000000000023</v>
      </c>
      <c r="I2417" s="12" t="s">
        <v>34</v>
      </c>
      <c r="J2417" s="92"/>
      <c r="K2417" s="84">
        <v>3.64179081411943</v>
      </c>
    </row>
    <row r="2418" spans="1:11">
      <c r="A2418" s="84" t="s">
        <v>38</v>
      </c>
      <c r="B2418" s="86">
        <v>4.3329071311495619</v>
      </c>
      <c r="C2418" s="84">
        <v>1.1200000000000001</v>
      </c>
      <c r="D2418" s="84">
        <v>7.2800000000000004E-2</v>
      </c>
      <c r="E2418" s="84">
        <v>1E-3</v>
      </c>
      <c r="F2418" s="84">
        <v>998</v>
      </c>
      <c r="G2418" s="87"/>
      <c r="H2418" s="86">
        <v>19.850000000000023</v>
      </c>
      <c r="I2418" s="12" t="s">
        <v>34</v>
      </c>
      <c r="J2418" s="92"/>
      <c r="K2418" s="84">
        <v>3.6865673893728599</v>
      </c>
    </row>
    <row r="2419" spans="1:11">
      <c r="A2419" s="84" t="s">
        <v>38</v>
      </c>
      <c r="B2419" s="86">
        <v>6.0577243561191603</v>
      </c>
      <c r="C2419" s="84">
        <v>1.1200000000000001</v>
      </c>
      <c r="D2419" s="84">
        <v>7.2800000000000004E-2</v>
      </c>
      <c r="E2419" s="84">
        <v>1E-3</v>
      </c>
      <c r="F2419" s="84">
        <v>998</v>
      </c>
      <c r="G2419" s="87"/>
      <c r="H2419" s="86">
        <v>19.850000000000023</v>
      </c>
      <c r="I2419" s="12" t="s">
        <v>34</v>
      </c>
      <c r="J2419" s="92"/>
      <c r="K2419" s="84">
        <v>3.7313428259106698</v>
      </c>
    </row>
    <row r="2420" spans="1:11">
      <c r="A2420" s="84" t="s">
        <v>38</v>
      </c>
      <c r="B2420" s="86">
        <v>11.727663720836521</v>
      </c>
      <c r="C2420" s="84">
        <v>1.1200000000000001</v>
      </c>
      <c r="D2420" s="84">
        <v>7.2800000000000004E-2</v>
      </c>
      <c r="E2420" s="84">
        <v>1E-3</v>
      </c>
      <c r="F2420" s="84">
        <v>998</v>
      </c>
      <c r="G2420" s="87"/>
      <c r="H2420" s="86">
        <v>19.850000000000023</v>
      </c>
      <c r="I2420" s="12" t="s">
        <v>34</v>
      </c>
      <c r="J2420" s="92"/>
      <c r="K2420" s="84">
        <v>3.7761194011641002</v>
      </c>
    </row>
    <row r="2421" spans="1:11">
      <c r="A2421" s="84" t="s">
        <v>38</v>
      </c>
      <c r="B2421" s="86">
        <v>16.713131458576438</v>
      </c>
      <c r="C2421" s="84">
        <v>1.1200000000000001</v>
      </c>
      <c r="D2421" s="84">
        <v>7.2800000000000004E-2</v>
      </c>
      <c r="E2421" s="84">
        <v>1E-3</v>
      </c>
      <c r="F2421" s="84">
        <v>998</v>
      </c>
      <c r="G2421" s="87"/>
      <c r="H2421" s="86">
        <v>19.850000000000023</v>
      </c>
      <c r="I2421" s="12" t="s">
        <v>34</v>
      </c>
      <c r="J2421" s="92"/>
      <c r="K2421" s="84">
        <v>3.8507462674427302</v>
      </c>
    </row>
    <row r="2422" spans="1:11">
      <c r="A2422" s="84" t="s">
        <v>38</v>
      </c>
      <c r="B2422" s="86">
        <v>22.06175197970844</v>
      </c>
      <c r="C2422" s="84">
        <v>1.1200000000000001</v>
      </c>
      <c r="D2422" s="84">
        <v>7.2800000000000004E-2</v>
      </c>
      <c r="E2422" s="84">
        <v>1E-3</v>
      </c>
      <c r="F2422" s="84">
        <v>998</v>
      </c>
      <c r="G2422" s="87"/>
      <c r="H2422" s="86">
        <v>19.850000000000023</v>
      </c>
      <c r="I2422" s="12" t="s">
        <v>34</v>
      </c>
      <c r="J2422" s="92"/>
      <c r="K2422" s="84">
        <v>3.9104479882087602</v>
      </c>
    </row>
    <row r="2423" spans="1:11">
      <c r="A2423" s="84" t="s">
        <v>38</v>
      </c>
      <c r="B2423" s="86">
        <v>51.725186737068718</v>
      </c>
      <c r="C2423" s="84">
        <v>1.1200000000000001</v>
      </c>
      <c r="D2423" s="84">
        <v>7.2800000000000004E-2</v>
      </c>
      <c r="E2423" s="84">
        <v>1E-3</v>
      </c>
      <c r="F2423" s="84">
        <v>998</v>
      </c>
      <c r="G2423" s="87"/>
      <c r="H2423" s="86">
        <v>19.850000000000023</v>
      </c>
      <c r="I2423" s="12" t="s">
        <v>34</v>
      </c>
      <c r="J2423" s="92"/>
      <c r="K2423" s="84">
        <v>4.2537314592189102</v>
      </c>
    </row>
    <row r="2424" spans="1:11">
      <c r="A2424" s="84" t="s">
        <v>38</v>
      </c>
      <c r="B2424" s="86">
        <v>100.13926078358161</v>
      </c>
      <c r="C2424" s="84">
        <v>1.1200000000000001</v>
      </c>
      <c r="D2424" s="84">
        <v>7.2800000000000004E-2</v>
      </c>
      <c r="E2424" s="84">
        <v>1E-3</v>
      </c>
      <c r="F2424" s="84">
        <v>998</v>
      </c>
      <c r="G2424" s="87"/>
      <c r="H2424" s="86">
        <v>19.850000000000023</v>
      </c>
      <c r="I2424" s="12" t="s">
        <v>34</v>
      </c>
      <c r="J2424" s="92"/>
      <c r="K2424" s="84">
        <v>4.7611938082989296</v>
      </c>
    </row>
    <row r="2425" spans="1:11">
      <c r="A2425" s="84" t="s">
        <v>38</v>
      </c>
      <c r="B2425" s="86">
        <v>154.06874485361581</v>
      </c>
      <c r="C2425" s="84">
        <v>1.1200000000000001</v>
      </c>
      <c r="D2425" s="84">
        <v>7.2800000000000004E-2</v>
      </c>
      <c r="E2425" s="84">
        <v>1E-3</v>
      </c>
      <c r="F2425" s="84">
        <v>998</v>
      </c>
      <c r="G2425" s="87"/>
      <c r="H2425" s="86">
        <v>19.850000000000023</v>
      </c>
      <c r="I2425" s="12" t="s">
        <v>34</v>
      </c>
      <c r="J2425" s="92"/>
      <c r="K2425" s="84">
        <v>5.2537310118663498</v>
      </c>
    </row>
    <row r="2426" spans="1:11">
      <c r="A2426" s="84" t="s">
        <v>38</v>
      </c>
      <c r="B2426" s="86">
        <v>207.30634448968681</v>
      </c>
      <c r="C2426" s="84">
        <v>1.1200000000000001</v>
      </c>
      <c r="D2426" s="84">
        <v>7.2800000000000004E-2</v>
      </c>
      <c r="E2426" s="84">
        <v>1E-3</v>
      </c>
      <c r="F2426" s="84">
        <v>998</v>
      </c>
      <c r="G2426" s="87"/>
      <c r="H2426" s="86">
        <v>19.850000000000023</v>
      </c>
      <c r="I2426" s="12" t="s">
        <v>34</v>
      </c>
      <c r="J2426" s="92"/>
      <c r="K2426" s="84">
        <v>5.7313430699211603</v>
      </c>
    </row>
    <row r="2427" spans="1:11">
      <c r="A2427" s="84" t="s">
        <v>38</v>
      </c>
      <c r="B2427" s="86">
        <v>255.91094694560698</v>
      </c>
      <c r="C2427" s="84">
        <v>1.1200000000000001</v>
      </c>
      <c r="D2427" s="84">
        <v>7.2800000000000004E-2</v>
      </c>
      <c r="E2427" s="84">
        <v>1E-3</v>
      </c>
      <c r="F2427" s="84">
        <v>998</v>
      </c>
      <c r="G2427" s="87"/>
      <c r="H2427" s="86">
        <v>19.850000000000023</v>
      </c>
      <c r="I2427" s="12" t="s">
        <v>34</v>
      </c>
      <c r="J2427" s="92"/>
      <c r="K2427" s="84">
        <v>6.1044774013143197</v>
      </c>
    </row>
    <row r="2428" spans="1:11">
      <c r="A2428" s="84" t="s">
        <v>38</v>
      </c>
      <c r="B2428" s="86">
        <v>301.14440492242858</v>
      </c>
      <c r="C2428" s="84">
        <v>1.1200000000000001</v>
      </c>
      <c r="D2428" s="84">
        <v>7.2800000000000004E-2</v>
      </c>
      <c r="E2428" s="84">
        <v>1E-3</v>
      </c>
      <c r="F2428" s="84">
        <v>998</v>
      </c>
      <c r="G2428" s="87"/>
      <c r="H2428" s="86">
        <v>19.850000000000023</v>
      </c>
      <c r="I2428" s="12" t="s">
        <v>34</v>
      </c>
      <c r="J2428" s="92"/>
      <c r="K2428" s="84">
        <v>6.4626865871948898</v>
      </c>
    </row>
    <row r="2429" spans="1:11">
      <c r="A2429" s="84" t="s">
        <v>38</v>
      </c>
      <c r="B2429" s="86">
        <v>350.99650600100762</v>
      </c>
      <c r="C2429" s="84">
        <v>1.1200000000000001</v>
      </c>
      <c r="D2429" s="84">
        <v>7.2800000000000004E-2</v>
      </c>
      <c r="E2429" s="84">
        <v>1E-3</v>
      </c>
      <c r="F2429" s="84">
        <v>998</v>
      </c>
      <c r="G2429" s="87"/>
      <c r="H2429" s="86">
        <v>19.850000000000023</v>
      </c>
      <c r="I2429" s="12" t="s">
        <v>34</v>
      </c>
      <c r="J2429" s="92"/>
      <c r="K2429" s="84">
        <v>6.8507460641006599</v>
      </c>
    </row>
    <row r="2430" spans="1:11">
      <c r="A2430" s="84" t="s">
        <v>38</v>
      </c>
      <c r="B2430" s="86">
        <v>421.02213160604521</v>
      </c>
      <c r="C2430" s="84">
        <v>1.1200000000000001</v>
      </c>
      <c r="D2430" s="84">
        <v>7.2800000000000004E-2</v>
      </c>
      <c r="E2430" s="84">
        <v>1E-3</v>
      </c>
      <c r="F2430" s="84">
        <v>998</v>
      </c>
      <c r="G2430" s="87"/>
      <c r="H2430" s="86">
        <v>19.850000000000023</v>
      </c>
      <c r="I2430" s="12" t="s">
        <v>34</v>
      </c>
      <c r="J2430" s="92"/>
      <c r="K2430" s="84">
        <v>7.1343283837025799</v>
      </c>
    </row>
    <row r="2431" spans="1:11">
      <c r="A2431" s="84" t="s">
        <v>38</v>
      </c>
      <c r="B2431" s="86">
        <v>534.87834624074162</v>
      </c>
      <c r="C2431" s="84">
        <v>1.1200000000000001</v>
      </c>
      <c r="D2431" s="84">
        <v>7.2800000000000004E-2</v>
      </c>
      <c r="E2431" s="84">
        <v>1E-3</v>
      </c>
      <c r="F2431" s="84">
        <v>998</v>
      </c>
      <c r="G2431" s="87"/>
      <c r="H2431" s="86">
        <v>19.850000000000023</v>
      </c>
      <c r="I2431" s="12" t="s">
        <v>34</v>
      </c>
      <c r="J2431" s="92"/>
      <c r="K2431" s="84">
        <v>7.3582089825384802</v>
      </c>
    </row>
    <row r="2432" spans="1:11">
      <c r="A2432" s="84" t="s">
        <v>38</v>
      </c>
      <c r="B2432" s="86">
        <v>571.95417202713782</v>
      </c>
      <c r="C2432" s="84">
        <v>1.1200000000000001</v>
      </c>
      <c r="D2432" s="84">
        <v>7.2800000000000004E-2</v>
      </c>
      <c r="E2432" s="84">
        <v>1E-3</v>
      </c>
      <c r="F2432" s="84">
        <v>998</v>
      </c>
      <c r="G2432" s="87"/>
      <c r="H2432" s="86">
        <v>19.850000000000023</v>
      </c>
      <c r="I2432" s="12" t="s">
        <v>34</v>
      </c>
      <c r="J2432" s="92"/>
      <c r="K2432" s="84">
        <v>7.5522387209913697</v>
      </c>
    </row>
    <row r="2433" spans="1:11">
      <c r="A2433" s="84" t="s">
        <v>38</v>
      </c>
      <c r="B2433" s="86">
        <v>7.5499382735645399</v>
      </c>
      <c r="C2433" s="84">
        <v>2.5</v>
      </c>
      <c r="D2433" s="84">
        <v>7.2800000000000004E-2</v>
      </c>
      <c r="E2433" s="84">
        <v>1E-3</v>
      </c>
      <c r="F2433" s="84">
        <v>998</v>
      </c>
      <c r="G2433" s="87"/>
      <c r="H2433" s="86">
        <v>19.850000000000023</v>
      </c>
      <c r="I2433" s="12" t="s">
        <v>34</v>
      </c>
      <c r="J2433" s="92"/>
      <c r="K2433" s="84">
        <v>4.6567160816372803</v>
      </c>
    </row>
    <row r="2434" spans="1:11">
      <c r="A2434" s="84" t="s">
        <v>38</v>
      </c>
      <c r="B2434" s="86">
        <v>10.5553716206316</v>
      </c>
      <c r="C2434" s="84">
        <v>2.5</v>
      </c>
      <c r="D2434" s="84">
        <v>7.2800000000000004E-2</v>
      </c>
      <c r="E2434" s="84">
        <v>1E-3</v>
      </c>
      <c r="F2434" s="84">
        <v>998</v>
      </c>
      <c r="G2434" s="87"/>
      <c r="H2434" s="86">
        <v>19.850000000000023</v>
      </c>
      <c r="I2434" s="12" t="s">
        <v>34</v>
      </c>
      <c r="J2434" s="92"/>
      <c r="K2434" s="84">
        <v>4.6716417965076902</v>
      </c>
    </row>
    <row r="2435" spans="1:11">
      <c r="A2435" s="84" t="s">
        <v>38</v>
      </c>
      <c r="B2435" s="86">
        <v>14.75718953090634</v>
      </c>
      <c r="C2435" s="84">
        <v>2.5</v>
      </c>
      <c r="D2435" s="84">
        <v>7.2800000000000004E-2</v>
      </c>
      <c r="E2435" s="84">
        <v>1E-3</v>
      </c>
      <c r="F2435" s="84">
        <v>998</v>
      </c>
      <c r="G2435" s="87"/>
      <c r="H2435" s="86">
        <v>19.850000000000023</v>
      </c>
      <c r="I2435" s="12" t="s">
        <v>34</v>
      </c>
      <c r="J2435" s="92"/>
      <c r="K2435" s="84">
        <v>4.7164166636877001</v>
      </c>
    </row>
    <row r="2436" spans="1:11">
      <c r="A2436" s="84" t="s">
        <v>38</v>
      </c>
      <c r="B2436" s="86">
        <v>31.1406780919155</v>
      </c>
      <c r="C2436" s="84">
        <v>2.5</v>
      </c>
      <c r="D2436" s="84">
        <v>7.2800000000000004E-2</v>
      </c>
      <c r="E2436" s="84">
        <v>1E-3</v>
      </c>
      <c r="F2436" s="84">
        <v>998</v>
      </c>
      <c r="G2436" s="87"/>
      <c r="H2436" s="86">
        <v>19.850000000000023</v>
      </c>
      <c r="I2436" s="12" t="s">
        <v>34</v>
      </c>
      <c r="J2436" s="92"/>
      <c r="K2436" s="84">
        <v>4.9253732557266101</v>
      </c>
    </row>
    <row r="2437" spans="1:11">
      <c r="A2437" s="84" t="s">
        <v>38</v>
      </c>
      <c r="B2437" s="86">
        <v>45.236632752150662</v>
      </c>
      <c r="C2437" s="84">
        <v>2.5</v>
      </c>
      <c r="D2437" s="84">
        <v>7.2800000000000004E-2</v>
      </c>
      <c r="E2437" s="84">
        <v>1E-3</v>
      </c>
      <c r="F2437" s="84">
        <v>998</v>
      </c>
      <c r="G2437" s="87"/>
      <c r="H2437" s="86">
        <v>19.850000000000023</v>
      </c>
      <c r="I2437" s="12" t="s">
        <v>34</v>
      </c>
      <c r="J2437" s="92"/>
      <c r="K2437" s="84">
        <v>5.0895509950808702</v>
      </c>
    </row>
    <row r="2438" spans="1:11">
      <c r="A2438" s="84" t="s">
        <v>38</v>
      </c>
      <c r="B2438" s="86">
        <v>62.044630090132202</v>
      </c>
      <c r="C2438" s="84">
        <v>2.5</v>
      </c>
      <c r="D2438" s="84">
        <v>7.2800000000000004E-2</v>
      </c>
      <c r="E2438" s="84">
        <v>1E-3</v>
      </c>
      <c r="F2438" s="84">
        <v>998</v>
      </c>
      <c r="G2438" s="87"/>
      <c r="H2438" s="86">
        <v>19.850000000000023</v>
      </c>
      <c r="I2438" s="12" t="s">
        <v>34</v>
      </c>
      <c r="J2438" s="92"/>
      <c r="K2438" s="84">
        <v>5.22388072084114</v>
      </c>
    </row>
    <row r="2439" spans="1:11">
      <c r="A2439" s="84" t="s">
        <v>38</v>
      </c>
      <c r="B2439" s="86">
        <v>75.861637424807398</v>
      </c>
      <c r="C2439" s="84">
        <v>2.5</v>
      </c>
      <c r="D2439" s="84">
        <v>7.2800000000000004E-2</v>
      </c>
      <c r="E2439" s="84">
        <v>1E-3</v>
      </c>
      <c r="F2439" s="84">
        <v>998</v>
      </c>
      <c r="G2439" s="87"/>
      <c r="H2439" s="86">
        <v>19.850000000000023</v>
      </c>
      <c r="I2439" s="12" t="s">
        <v>34</v>
      </c>
      <c r="J2439" s="92"/>
      <c r="K2439" s="84">
        <v>5.3731344533984</v>
      </c>
    </row>
    <row r="2440" spans="1:11">
      <c r="A2440" s="84" t="s">
        <v>38</v>
      </c>
      <c r="B2440" s="86">
        <v>151.14669809857202</v>
      </c>
      <c r="C2440" s="84">
        <v>2.5</v>
      </c>
      <c r="D2440" s="84">
        <v>7.2800000000000004E-2</v>
      </c>
      <c r="E2440" s="84">
        <v>1E-3</v>
      </c>
      <c r="F2440" s="84">
        <v>998</v>
      </c>
      <c r="G2440" s="87"/>
      <c r="H2440" s="86">
        <v>19.850000000000023</v>
      </c>
      <c r="I2440" s="12" t="s">
        <v>34</v>
      </c>
      <c r="J2440" s="92"/>
      <c r="K2440" s="84">
        <v>6.1194031161847304</v>
      </c>
    </row>
    <row r="2441" spans="1:11">
      <c r="A2441" s="84" t="s">
        <v>38</v>
      </c>
      <c r="B2441" s="86">
        <v>289.8295888146672</v>
      </c>
      <c r="C2441" s="84">
        <v>2.5</v>
      </c>
      <c r="D2441" s="84">
        <v>7.2800000000000004E-2</v>
      </c>
      <c r="E2441" s="84">
        <v>1E-3</v>
      </c>
      <c r="F2441" s="84">
        <v>998</v>
      </c>
      <c r="G2441" s="87"/>
      <c r="H2441" s="86">
        <v>19.850000000000023</v>
      </c>
      <c r="I2441" s="12" t="s">
        <v>34</v>
      </c>
      <c r="J2441" s="92"/>
      <c r="K2441" s="84">
        <v>7.0597015174239504</v>
      </c>
    </row>
    <row r="2442" spans="1:11">
      <c r="A2442" s="84" t="s">
        <v>38</v>
      </c>
      <c r="B2442" s="86">
        <v>433.29039661777324</v>
      </c>
      <c r="C2442" s="84">
        <v>2.5</v>
      </c>
      <c r="D2442" s="84">
        <v>7.2800000000000004E-2</v>
      </c>
      <c r="E2442" s="84">
        <v>1E-3</v>
      </c>
      <c r="F2442" s="84">
        <v>998</v>
      </c>
      <c r="G2442" s="87"/>
      <c r="H2442" s="86">
        <v>19.850000000000023</v>
      </c>
      <c r="I2442" s="12" t="s">
        <v>34</v>
      </c>
      <c r="J2442" s="92"/>
      <c r="K2442" s="84">
        <v>7.6865673080360297</v>
      </c>
    </row>
    <row r="2443" spans="1:11">
      <c r="A2443" s="84" t="s">
        <v>38</v>
      </c>
      <c r="B2443" s="86">
        <v>830.85155546979001</v>
      </c>
      <c r="C2443" s="84">
        <v>2.5</v>
      </c>
      <c r="D2443" s="84">
        <v>7.2800000000000004E-2</v>
      </c>
      <c r="E2443" s="84">
        <v>1E-3</v>
      </c>
      <c r="F2443" s="84">
        <v>998</v>
      </c>
      <c r="G2443" s="87"/>
      <c r="H2443" s="86">
        <v>19.850000000000023</v>
      </c>
      <c r="I2443" s="12" t="s">
        <v>34</v>
      </c>
      <c r="J2443" s="92"/>
      <c r="K2443" s="84">
        <v>9.9253730117161201</v>
      </c>
    </row>
    <row r="2444" spans="1:11">
      <c r="A2444" s="84" t="s">
        <v>38</v>
      </c>
      <c r="B2444" s="86">
        <v>1006.1981392861859</v>
      </c>
      <c r="C2444" s="84">
        <v>2.5</v>
      </c>
      <c r="D2444" s="84">
        <v>7.2800000000000004E-2</v>
      </c>
      <c r="E2444" s="84">
        <v>1E-3</v>
      </c>
      <c r="F2444" s="84">
        <v>998</v>
      </c>
      <c r="G2444" s="87"/>
      <c r="H2444" s="86">
        <v>19.850000000000023</v>
      </c>
      <c r="I2444" s="12" t="s">
        <v>34</v>
      </c>
      <c r="J2444" s="92"/>
      <c r="K2444" s="84">
        <v>10.402984500413099</v>
      </c>
    </row>
    <row r="2445" spans="1:11">
      <c r="A2445" s="84" t="s">
        <v>38</v>
      </c>
      <c r="B2445" s="86">
        <v>4.6076572942448459</v>
      </c>
      <c r="C2445" s="84">
        <v>1.1200000000000001</v>
      </c>
      <c r="D2445" s="84">
        <v>7.2800000000000004E-2</v>
      </c>
      <c r="E2445" s="84">
        <v>1E-3</v>
      </c>
      <c r="F2445" s="84">
        <v>998</v>
      </c>
      <c r="G2445" s="87"/>
      <c r="H2445" s="86">
        <v>19.850000000000023</v>
      </c>
      <c r="I2445" s="12" t="s">
        <v>14</v>
      </c>
      <c r="J2445" s="92">
        <v>1.2250000000000001</v>
      </c>
      <c r="K2445" s="84">
        <v>3.4863731532956099</v>
      </c>
    </row>
    <row r="2446" spans="1:11">
      <c r="A2446" s="84" t="s">
        <v>38</v>
      </c>
      <c r="B2446" s="86">
        <v>11.43099106478466</v>
      </c>
      <c r="C2446" s="84">
        <v>1.1200000000000001</v>
      </c>
      <c r="D2446" s="84">
        <v>7.2800000000000004E-2</v>
      </c>
      <c r="E2446" s="84">
        <v>1E-3</v>
      </c>
      <c r="F2446" s="84">
        <v>998</v>
      </c>
      <c r="G2446" s="87"/>
      <c r="H2446" s="86">
        <v>19.850000000000023</v>
      </c>
      <c r="I2446" s="12" t="s">
        <v>14</v>
      </c>
      <c r="J2446" s="92">
        <v>1.2250000000000001</v>
      </c>
      <c r="K2446" s="84">
        <v>3.6037729036288599</v>
      </c>
    </row>
    <row r="2447" spans="1:11">
      <c r="A2447" s="84" t="s">
        <v>38</v>
      </c>
      <c r="B2447" s="86">
        <v>16.3390636568862</v>
      </c>
      <c r="C2447" s="84">
        <v>1.1200000000000001</v>
      </c>
      <c r="D2447" s="84">
        <v>7.2800000000000004E-2</v>
      </c>
      <c r="E2447" s="84">
        <v>1E-3</v>
      </c>
      <c r="F2447" s="84">
        <v>998</v>
      </c>
      <c r="G2447" s="87"/>
      <c r="H2447" s="86">
        <v>19.850000000000023</v>
      </c>
      <c r="I2447" s="12" t="s">
        <v>14</v>
      </c>
      <c r="J2447" s="92">
        <v>1.2250000000000001</v>
      </c>
      <c r="K2447" s="84">
        <v>3.6624733386043302</v>
      </c>
    </row>
    <row r="2448" spans="1:11">
      <c r="A2448" s="84" t="s">
        <v>38</v>
      </c>
      <c r="B2448" s="86">
        <v>28.57986030230418</v>
      </c>
      <c r="C2448" s="84">
        <v>1.1200000000000001</v>
      </c>
      <c r="D2448" s="84">
        <v>7.2800000000000004E-2</v>
      </c>
      <c r="E2448" s="84">
        <v>1E-3</v>
      </c>
      <c r="F2448" s="84">
        <v>998</v>
      </c>
      <c r="G2448" s="87"/>
      <c r="H2448" s="86">
        <v>19.850000000000023</v>
      </c>
      <c r="I2448" s="12" t="s">
        <v>14</v>
      </c>
      <c r="J2448" s="92">
        <v>1.2250000000000001</v>
      </c>
      <c r="K2448" s="84">
        <v>3.6918241159009</v>
      </c>
    </row>
    <row r="2449" spans="1:11">
      <c r="A2449" s="84" t="s">
        <v>38</v>
      </c>
      <c r="B2449" s="86">
        <v>38.390351337184981</v>
      </c>
      <c r="C2449" s="84">
        <v>1.1200000000000001</v>
      </c>
      <c r="D2449" s="84">
        <v>7.2800000000000004E-2</v>
      </c>
      <c r="E2449" s="84">
        <v>1E-3</v>
      </c>
      <c r="F2449" s="84">
        <v>998</v>
      </c>
      <c r="G2449" s="87"/>
      <c r="H2449" s="86">
        <v>19.850000000000023</v>
      </c>
      <c r="I2449" s="12" t="s">
        <v>14</v>
      </c>
      <c r="J2449" s="92">
        <v>1.2250000000000001</v>
      </c>
      <c r="K2449" s="84">
        <v>3.9266247361850799</v>
      </c>
    </row>
    <row r="2450" spans="1:11">
      <c r="A2450" s="84" t="s">
        <v>38</v>
      </c>
      <c r="B2450" s="86">
        <v>48.839943128142181</v>
      </c>
      <c r="C2450" s="84">
        <v>1.1200000000000001</v>
      </c>
      <c r="D2450" s="84">
        <v>7.2800000000000004E-2</v>
      </c>
      <c r="E2450" s="84">
        <v>1E-3</v>
      </c>
      <c r="F2450" s="84">
        <v>998</v>
      </c>
      <c r="G2450" s="87"/>
      <c r="H2450" s="86">
        <v>19.850000000000023</v>
      </c>
      <c r="I2450" s="12" t="s">
        <v>14</v>
      </c>
      <c r="J2450" s="92">
        <v>1.2250000000000001</v>
      </c>
      <c r="K2450" s="84">
        <v>3.9853251711605502</v>
      </c>
    </row>
    <row r="2451" spans="1:11">
      <c r="A2451" s="84" t="s">
        <v>38</v>
      </c>
      <c r="B2451" s="86">
        <v>63.106446956676592</v>
      </c>
      <c r="C2451" s="84">
        <v>1.1200000000000001</v>
      </c>
      <c r="D2451" s="84">
        <v>7.2800000000000004E-2</v>
      </c>
      <c r="E2451" s="84">
        <v>1E-3</v>
      </c>
      <c r="F2451" s="84">
        <v>998</v>
      </c>
      <c r="G2451" s="87"/>
      <c r="H2451" s="86">
        <v>19.850000000000023</v>
      </c>
      <c r="I2451" s="12" t="s">
        <v>14</v>
      </c>
      <c r="J2451" s="92">
        <v>1.2250000000000001</v>
      </c>
      <c r="K2451" s="84">
        <v>4</v>
      </c>
    </row>
    <row r="2452" spans="1:11">
      <c r="A2452" s="84" t="s">
        <v>38</v>
      </c>
      <c r="B2452" s="86">
        <v>132.9998232949026</v>
      </c>
      <c r="C2452" s="84">
        <v>1.1200000000000001</v>
      </c>
      <c r="D2452" s="84">
        <v>7.2800000000000004E-2</v>
      </c>
      <c r="E2452" s="84">
        <v>1E-3</v>
      </c>
      <c r="F2452" s="84">
        <v>998</v>
      </c>
      <c r="G2452" s="87"/>
      <c r="H2452" s="86">
        <v>19.850000000000023</v>
      </c>
      <c r="I2452" s="12" t="s">
        <v>14</v>
      </c>
      <c r="J2452" s="92">
        <v>1.2250000000000001</v>
      </c>
      <c r="K2452" s="84">
        <v>4.2054504027964503</v>
      </c>
    </row>
    <row r="2453" spans="1:11">
      <c r="A2453" s="84" t="s">
        <v>38</v>
      </c>
      <c r="B2453" s="86">
        <v>3.3511986104784541</v>
      </c>
      <c r="C2453" s="84">
        <v>2.5</v>
      </c>
      <c r="D2453" s="84">
        <v>7.2800000000000004E-2</v>
      </c>
      <c r="E2453" s="84">
        <v>1E-3</v>
      </c>
      <c r="F2453" s="84">
        <v>998</v>
      </c>
      <c r="G2453" s="87"/>
      <c r="H2453" s="86">
        <v>19.850000000000023</v>
      </c>
      <c r="I2453" s="12" t="s">
        <v>14</v>
      </c>
      <c r="J2453" s="92">
        <v>1.2250000000000001</v>
      </c>
      <c r="K2453" s="84">
        <v>4.4255761942411898</v>
      </c>
    </row>
    <row r="2454" spans="1:11">
      <c r="A2454" s="84" t="s">
        <v>38</v>
      </c>
      <c r="B2454" s="86">
        <v>8.57619268405608</v>
      </c>
      <c r="C2454" s="84">
        <v>2.5</v>
      </c>
      <c r="D2454" s="84">
        <v>7.2800000000000004E-2</v>
      </c>
      <c r="E2454" s="84">
        <v>1E-3</v>
      </c>
      <c r="F2454" s="84">
        <v>998</v>
      </c>
      <c r="G2454" s="87"/>
      <c r="H2454" s="86">
        <v>19.850000000000023</v>
      </c>
      <c r="I2454" s="12" t="s">
        <v>14</v>
      </c>
      <c r="J2454" s="92">
        <v>1.2250000000000001</v>
      </c>
      <c r="K2454" s="84">
        <v>4.4696018003772</v>
      </c>
    </row>
    <row r="2455" spans="1:11">
      <c r="A2455" s="84" t="s">
        <v>38</v>
      </c>
      <c r="B2455" s="86">
        <v>17.79617244904092</v>
      </c>
      <c r="C2455" s="84">
        <v>2.5</v>
      </c>
      <c r="D2455" s="84">
        <v>7.2800000000000004E-2</v>
      </c>
      <c r="E2455" s="84">
        <v>1E-3</v>
      </c>
      <c r="F2455" s="84">
        <v>998</v>
      </c>
      <c r="G2455" s="87"/>
      <c r="H2455" s="86">
        <v>19.850000000000023</v>
      </c>
      <c r="I2455" s="12" t="s">
        <v>14</v>
      </c>
      <c r="J2455" s="92">
        <v>1.2250000000000001</v>
      </c>
      <c r="K2455" s="84">
        <v>4.55765077341389</v>
      </c>
    </row>
    <row r="2456" spans="1:11">
      <c r="A2456" s="84" t="s">
        <v>38</v>
      </c>
      <c r="B2456" s="86">
        <v>33.642372158557265</v>
      </c>
      <c r="C2456" s="84">
        <v>2.5</v>
      </c>
      <c r="D2456" s="84">
        <v>7.2800000000000004E-2</v>
      </c>
      <c r="E2456" s="84">
        <v>1E-3</v>
      </c>
      <c r="F2456" s="84">
        <v>998</v>
      </c>
      <c r="G2456" s="87"/>
      <c r="H2456" s="86">
        <v>19.850000000000023</v>
      </c>
      <c r="I2456" s="12" t="s">
        <v>14</v>
      </c>
      <c r="J2456" s="92">
        <v>1.2250000000000001</v>
      </c>
      <c r="K2456" s="84">
        <v>4.71907724950084</v>
      </c>
    </row>
    <row r="2457" spans="1:11">
      <c r="A2457" s="84" t="s">
        <v>38</v>
      </c>
      <c r="B2457" s="86">
        <v>65.0975291798526</v>
      </c>
      <c r="C2457" s="84">
        <v>2.5</v>
      </c>
      <c r="D2457" s="84">
        <v>7.2800000000000004E-2</v>
      </c>
      <c r="E2457" s="84">
        <v>1E-3</v>
      </c>
      <c r="F2457" s="84">
        <v>998</v>
      </c>
      <c r="G2457" s="87"/>
      <c r="H2457" s="86">
        <v>19.850000000000023</v>
      </c>
      <c r="I2457" s="12" t="s">
        <v>14</v>
      </c>
      <c r="J2457" s="92">
        <v>1.2250000000000001</v>
      </c>
      <c r="K2457" s="84">
        <v>5.0125783047604902</v>
      </c>
    </row>
    <row r="2458" spans="1:11">
      <c r="A2458" s="84" t="s">
        <v>38</v>
      </c>
      <c r="B2458" s="86">
        <v>101.34614301817381</v>
      </c>
      <c r="C2458" s="84">
        <v>2.5</v>
      </c>
      <c r="D2458" s="84">
        <v>7.2800000000000004E-2</v>
      </c>
      <c r="E2458" s="84">
        <v>1E-3</v>
      </c>
      <c r="F2458" s="84">
        <v>998</v>
      </c>
      <c r="G2458" s="87"/>
      <c r="H2458" s="86">
        <v>19.850000000000023</v>
      </c>
      <c r="I2458" s="12" t="s">
        <v>14</v>
      </c>
      <c r="J2458" s="92">
        <v>1.2250000000000001</v>
      </c>
      <c r="K2458" s="84">
        <v>5.3060793600201404</v>
      </c>
    </row>
    <row r="2459" spans="1:11">
      <c r="A2459" s="84" t="s">
        <v>38</v>
      </c>
      <c r="B2459" s="86">
        <v>130.95009103225081</v>
      </c>
      <c r="C2459" s="84">
        <v>2.5</v>
      </c>
      <c r="D2459" s="84">
        <v>7.2800000000000004E-2</v>
      </c>
      <c r="E2459" s="84">
        <v>1E-3</v>
      </c>
      <c r="F2459" s="84">
        <v>998</v>
      </c>
      <c r="G2459" s="87"/>
      <c r="H2459" s="86">
        <v>19.850000000000023</v>
      </c>
      <c r="I2459" s="12" t="s">
        <v>14</v>
      </c>
      <c r="J2459" s="92">
        <v>1.2250000000000001</v>
      </c>
      <c r="K2459" s="84">
        <v>5.5555553689526098</v>
      </c>
    </row>
    <row r="2460" spans="1:11">
      <c r="A2460" s="84" t="s">
        <v>38</v>
      </c>
      <c r="B2460" s="86">
        <v>166.59381266056261</v>
      </c>
      <c r="C2460" s="84">
        <v>2.5</v>
      </c>
      <c r="D2460" s="84">
        <v>7.2800000000000004E-2</v>
      </c>
      <c r="E2460" s="84">
        <v>1E-3</v>
      </c>
      <c r="F2460" s="84">
        <v>998</v>
      </c>
      <c r="G2460" s="87"/>
      <c r="H2460" s="86">
        <v>19.850000000000023</v>
      </c>
      <c r="I2460" s="12" t="s">
        <v>14</v>
      </c>
      <c r="J2460" s="92">
        <v>1.2250000000000001</v>
      </c>
      <c r="K2460" s="84">
        <v>5.6729556790947004</v>
      </c>
    </row>
    <row r="2461" spans="1:11">
      <c r="A2461" s="84" t="s">
        <v>38</v>
      </c>
      <c r="B2461" s="86">
        <v>188.63475564490079</v>
      </c>
      <c r="C2461" s="84">
        <v>2.5</v>
      </c>
      <c r="D2461" s="84">
        <v>7.2800000000000004E-2</v>
      </c>
      <c r="E2461" s="84">
        <v>1E-3</v>
      </c>
      <c r="F2461" s="84">
        <v>998</v>
      </c>
      <c r="G2461" s="87"/>
      <c r="H2461" s="86">
        <v>19.850000000000023</v>
      </c>
      <c r="I2461" s="12" t="s">
        <v>14</v>
      </c>
      <c r="J2461" s="92">
        <v>1.2250000000000001</v>
      </c>
      <c r="K2461" s="84">
        <v>5.84905642421226</v>
      </c>
    </row>
    <row r="2462" spans="1:11">
      <c r="A2462" s="84" t="s">
        <v>38</v>
      </c>
      <c r="B2462" s="86">
        <v>327.402522411669</v>
      </c>
      <c r="C2462" s="84">
        <v>2.5</v>
      </c>
      <c r="D2462" s="84">
        <v>7.2800000000000004E-2</v>
      </c>
      <c r="E2462" s="84">
        <v>1E-3</v>
      </c>
      <c r="F2462" s="84">
        <v>998</v>
      </c>
      <c r="G2462" s="87"/>
      <c r="H2462" s="86">
        <v>19.850000000000023</v>
      </c>
      <c r="I2462" s="12" t="s">
        <v>14</v>
      </c>
      <c r="J2462" s="92">
        <v>1.2250000000000001</v>
      </c>
      <c r="K2462" s="84">
        <v>6.4360585347315498</v>
      </c>
    </row>
    <row r="2463" spans="1:11">
      <c r="A2463" s="84" t="s">
        <v>38</v>
      </c>
      <c r="B2463" s="86">
        <v>400.65602536914423</v>
      </c>
      <c r="C2463" s="84">
        <v>2.5</v>
      </c>
      <c r="D2463" s="84">
        <v>7.2800000000000004E-2</v>
      </c>
      <c r="E2463" s="84">
        <v>1E-3</v>
      </c>
      <c r="F2463" s="84">
        <v>998</v>
      </c>
      <c r="G2463" s="87"/>
      <c r="H2463" s="86">
        <v>19.850000000000023</v>
      </c>
      <c r="I2463" s="12" t="s">
        <v>14</v>
      </c>
      <c r="J2463" s="92">
        <v>1.2250000000000001</v>
      </c>
      <c r="K2463" s="84">
        <v>6.6855345436640299</v>
      </c>
    </row>
    <row r="2502" spans="1:11">
      <c r="A2502" s="12"/>
      <c r="B2502" s="86"/>
      <c r="G2502" s="87"/>
      <c r="H2502" s="87"/>
      <c r="I2502" s="12"/>
      <c r="J2502" s="92"/>
      <c r="K2502" s="203"/>
    </row>
    <row r="2503" spans="1:11">
      <c r="A2503" s="12"/>
      <c r="B2503" s="86"/>
      <c r="G2503" s="87"/>
      <c r="H2503" s="87"/>
      <c r="I2503" s="12"/>
      <c r="J2503" s="92"/>
      <c r="K2503" s="203"/>
    </row>
    <row r="2504" spans="1:11">
      <c r="A2504" s="12"/>
      <c r="B2504" s="86"/>
      <c r="G2504" s="87"/>
      <c r="H2504" s="87"/>
      <c r="I2504" s="12"/>
      <c r="J2504" s="92"/>
      <c r="K2504" s="203"/>
    </row>
    <row r="2505" spans="1:11">
      <c r="A2505" s="12"/>
      <c r="B2505" s="86"/>
      <c r="G2505" s="87"/>
      <c r="H2505" s="87"/>
      <c r="I2505" s="12"/>
      <c r="J2505" s="92"/>
      <c r="K2505" s="203"/>
    </row>
    <row r="2506" spans="1:11">
      <c r="A2506" s="12"/>
      <c r="B2506" s="86"/>
      <c r="G2506" s="87"/>
      <c r="H2506" s="87"/>
      <c r="I2506" s="12"/>
      <c r="J2506" s="92"/>
      <c r="K2506" s="203"/>
    </row>
    <row r="2507" spans="1:11">
      <c r="A2507" s="12"/>
      <c r="B2507" s="86"/>
      <c r="G2507" s="87"/>
      <c r="H2507" s="87"/>
      <c r="I2507" s="12"/>
      <c r="J2507" s="92"/>
      <c r="K2507" s="203"/>
    </row>
    <row r="2508" spans="1:11">
      <c r="A2508" s="12"/>
      <c r="B2508" s="86"/>
      <c r="G2508" s="87"/>
      <c r="H2508" s="87"/>
      <c r="I2508" s="12"/>
      <c r="J2508" s="92"/>
      <c r="K2508" s="203"/>
    </row>
    <row r="2509" spans="1:11">
      <c r="A2509" s="12"/>
      <c r="B2509" s="86"/>
      <c r="G2509" s="87"/>
      <c r="H2509" s="87"/>
      <c r="I2509" s="12"/>
      <c r="J2509" s="92"/>
      <c r="K2509" s="203"/>
    </row>
    <row r="2510" spans="1:11">
      <c r="A2510" s="12"/>
      <c r="B2510" s="86"/>
      <c r="G2510" s="87"/>
      <c r="H2510" s="87"/>
      <c r="I2510" s="12"/>
      <c r="J2510" s="92"/>
      <c r="K2510" s="203"/>
    </row>
    <row r="2511" spans="1:11">
      <c r="A2511" s="12"/>
      <c r="B2511" s="86"/>
      <c r="G2511" s="87"/>
      <c r="H2511" s="87"/>
      <c r="I2511" s="12"/>
      <c r="J2511" s="92"/>
      <c r="K2511" s="203"/>
    </row>
    <row r="2512" spans="1:11">
      <c r="A2512" s="12"/>
      <c r="B2512" s="86"/>
      <c r="G2512" s="87"/>
      <c r="H2512" s="87"/>
      <c r="I2512" s="12"/>
      <c r="J2512" s="92"/>
      <c r="K2512" s="203"/>
    </row>
    <row r="2513" spans="1:11">
      <c r="A2513" s="12"/>
      <c r="B2513" s="86"/>
      <c r="G2513" s="87"/>
      <c r="H2513" s="87"/>
      <c r="I2513" s="12"/>
      <c r="J2513" s="92"/>
      <c r="K2513" s="203"/>
    </row>
    <row r="2514" spans="1:11">
      <c r="A2514" s="12"/>
      <c r="B2514" s="86"/>
      <c r="G2514" s="87"/>
      <c r="H2514" s="87"/>
      <c r="I2514" s="12"/>
      <c r="J2514" s="92"/>
      <c r="K2514" s="203"/>
    </row>
    <row r="2515" spans="1:11">
      <c r="A2515" s="12"/>
      <c r="B2515" s="86"/>
      <c r="G2515" s="87"/>
      <c r="H2515" s="87"/>
      <c r="I2515" s="12"/>
      <c r="J2515" s="92"/>
      <c r="K2515" s="203"/>
    </row>
    <row r="2516" spans="1:11">
      <c r="A2516" s="12"/>
      <c r="B2516" s="86"/>
      <c r="G2516" s="87"/>
      <c r="H2516" s="87"/>
      <c r="I2516" s="12"/>
      <c r="J2516" s="92"/>
      <c r="K2516" s="203"/>
    </row>
    <row r="2517" spans="1:11">
      <c r="A2517" s="12"/>
      <c r="B2517" s="86"/>
      <c r="G2517" s="87"/>
      <c r="H2517" s="87"/>
      <c r="I2517" s="12"/>
      <c r="J2517" s="92"/>
      <c r="K2517" s="203"/>
    </row>
    <row r="2518" spans="1:11">
      <c r="A2518" s="12"/>
      <c r="B2518" s="86"/>
      <c r="G2518" s="87"/>
      <c r="H2518" s="87"/>
      <c r="I2518" s="12"/>
      <c r="J2518" s="92"/>
      <c r="K2518" s="203"/>
    </row>
    <row r="2519" spans="1:11">
      <c r="A2519" s="12"/>
      <c r="B2519" s="86"/>
      <c r="G2519" s="87"/>
      <c r="H2519" s="87"/>
      <c r="I2519" s="12"/>
      <c r="J2519" s="92"/>
      <c r="K2519" s="203"/>
    </row>
    <row r="2520" spans="1:11">
      <c r="A2520" s="12"/>
      <c r="B2520" s="86"/>
      <c r="G2520" s="87"/>
      <c r="H2520" s="87"/>
      <c r="I2520" s="12"/>
      <c r="J2520" s="92"/>
      <c r="K2520" s="203"/>
    </row>
    <row r="2521" spans="1:11">
      <c r="A2521" s="12"/>
      <c r="B2521" s="86"/>
      <c r="G2521" s="87"/>
      <c r="H2521" s="87"/>
      <c r="I2521" s="12"/>
      <c r="J2521" s="92"/>
      <c r="K2521" s="203"/>
    </row>
    <row r="2522" spans="1:11">
      <c r="A2522" s="12"/>
      <c r="B2522" s="86"/>
      <c r="G2522" s="87"/>
      <c r="H2522" s="87"/>
      <c r="I2522" s="12"/>
      <c r="J2522" s="92"/>
      <c r="K2522" s="203"/>
    </row>
    <row r="2523" spans="1:11">
      <c r="A2523" s="12"/>
      <c r="B2523" s="86"/>
      <c r="G2523" s="87"/>
      <c r="H2523" s="87"/>
      <c r="I2523" s="12"/>
      <c r="J2523" s="92"/>
      <c r="K2523" s="203"/>
    </row>
    <row r="2524" spans="1:11">
      <c r="A2524" s="12"/>
      <c r="B2524" s="86"/>
      <c r="G2524" s="87"/>
      <c r="H2524" s="87"/>
      <c r="I2524" s="12"/>
      <c r="J2524" s="92"/>
      <c r="K2524" s="203"/>
    </row>
    <row r="2525" spans="1:11">
      <c r="A2525" s="12"/>
      <c r="B2525" s="86"/>
      <c r="G2525" s="87"/>
      <c r="H2525" s="87"/>
      <c r="I2525" s="12"/>
      <c r="J2525" s="92"/>
      <c r="K2525" s="203"/>
    </row>
    <row r="2526" spans="1:11">
      <c r="A2526" s="12"/>
      <c r="B2526" s="86"/>
      <c r="G2526" s="87"/>
      <c r="H2526" s="87"/>
      <c r="I2526" s="12"/>
      <c r="J2526" s="92"/>
      <c r="K2526" s="203"/>
    </row>
    <row r="2527" spans="1:11">
      <c r="A2527" s="12"/>
      <c r="B2527" s="86"/>
      <c r="G2527" s="87"/>
      <c r="H2527" s="87"/>
      <c r="I2527" s="12"/>
      <c r="J2527" s="92"/>
      <c r="K2527" s="203"/>
    </row>
    <row r="2528" spans="1:11">
      <c r="A2528" s="12"/>
      <c r="B2528" s="86"/>
      <c r="G2528" s="87"/>
      <c r="H2528" s="87"/>
      <c r="I2528" s="12"/>
      <c r="J2528" s="92"/>
      <c r="K2528" s="203"/>
    </row>
    <row r="2529" spans="1:11">
      <c r="A2529" s="12"/>
      <c r="B2529" s="86"/>
      <c r="G2529" s="87"/>
      <c r="H2529" s="87"/>
      <c r="I2529" s="12"/>
      <c r="J2529" s="92"/>
      <c r="K2529" s="203"/>
    </row>
    <row r="2530" spans="1:11">
      <c r="A2530" s="12"/>
      <c r="B2530" s="86"/>
      <c r="G2530" s="87"/>
      <c r="H2530" s="87"/>
      <c r="I2530" s="12"/>
      <c r="J2530" s="92"/>
      <c r="K2530" s="203"/>
    </row>
    <row r="2531" spans="1:11">
      <c r="A2531" s="12"/>
      <c r="B2531" s="86"/>
      <c r="G2531" s="87"/>
      <c r="H2531" s="87"/>
      <c r="I2531" s="12"/>
      <c r="J2531" s="92"/>
      <c r="K2531" s="203"/>
    </row>
    <row r="2532" spans="1:11">
      <c r="A2532" s="12"/>
      <c r="B2532" s="86"/>
      <c r="G2532" s="87"/>
      <c r="H2532" s="87"/>
      <c r="I2532" s="12"/>
      <c r="J2532" s="92"/>
      <c r="K2532" s="203"/>
    </row>
    <row r="2533" spans="1:11">
      <c r="A2533" s="12"/>
      <c r="B2533" s="86"/>
      <c r="G2533" s="87"/>
      <c r="H2533" s="87"/>
      <c r="I2533" s="12"/>
      <c r="J2533" s="92"/>
      <c r="K2533" s="203"/>
    </row>
    <row r="2534" spans="1:11">
      <c r="A2534" s="12"/>
      <c r="B2534" s="86"/>
      <c r="G2534" s="87"/>
      <c r="H2534" s="87"/>
      <c r="I2534" s="12"/>
      <c r="J2534" s="92"/>
      <c r="K2534" s="203"/>
    </row>
    <row r="2535" spans="1:11">
      <c r="A2535" s="12"/>
      <c r="B2535" s="86"/>
      <c r="G2535" s="87"/>
      <c r="H2535" s="87"/>
      <c r="I2535" s="12"/>
      <c r="J2535" s="92"/>
      <c r="K2535" s="203"/>
    </row>
    <row r="2536" spans="1:11">
      <c r="A2536" s="12"/>
      <c r="B2536" s="86"/>
      <c r="G2536" s="87"/>
      <c r="H2536" s="87"/>
      <c r="I2536" s="12"/>
      <c r="J2536" s="92"/>
      <c r="K2536" s="203"/>
    </row>
    <row r="2537" spans="1:11">
      <c r="A2537" s="12"/>
      <c r="B2537" s="86"/>
      <c r="G2537" s="87"/>
      <c r="H2537" s="87"/>
      <c r="I2537" s="12"/>
      <c r="J2537" s="92"/>
      <c r="K2537" s="203"/>
    </row>
    <row r="2538" spans="1:11">
      <c r="A2538" s="12"/>
      <c r="B2538" s="86"/>
      <c r="G2538" s="87"/>
      <c r="H2538" s="87"/>
      <c r="I2538" s="12"/>
      <c r="J2538" s="92"/>
      <c r="K2538" s="203"/>
    </row>
    <row r="2539" spans="1:11">
      <c r="A2539" s="12"/>
      <c r="B2539" s="86"/>
      <c r="G2539" s="87"/>
      <c r="H2539" s="87"/>
      <c r="I2539" s="12"/>
      <c r="J2539" s="92"/>
      <c r="K2539" s="203"/>
    </row>
    <row r="2540" spans="1:11">
      <c r="A2540" s="12"/>
      <c r="B2540" s="86"/>
      <c r="G2540" s="87"/>
      <c r="H2540" s="87"/>
      <c r="I2540" s="12"/>
      <c r="J2540" s="92"/>
      <c r="K2540" s="203"/>
    </row>
    <row r="2541" spans="1:11">
      <c r="A2541" s="12"/>
      <c r="B2541" s="86"/>
      <c r="G2541" s="87"/>
      <c r="H2541" s="87"/>
      <c r="I2541" s="12"/>
      <c r="J2541" s="92"/>
      <c r="K2541" s="203"/>
    </row>
    <row r="2542" spans="1:11">
      <c r="A2542" s="12"/>
      <c r="B2542" s="86"/>
      <c r="G2542" s="87"/>
      <c r="H2542" s="87"/>
      <c r="I2542" s="12"/>
      <c r="J2542" s="92"/>
      <c r="K2542" s="203"/>
    </row>
    <row r="2543" spans="1:11">
      <c r="A2543" s="12"/>
      <c r="B2543" s="86"/>
      <c r="G2543" s="87"/>
      <c r="H2543" s="87"/>
      <c r="I2543" s="12"/>
      <c r="J2543" s="92"/>
      <c r="K2543" s="203"/>
    </row>
    <row r="2544" spans="1:11">
      <c r="A2544" s="12"/>
      <c r="B2544" s="86"/>
      <c r="G2544" s="87"/>
      <c r="H2544" s="87"/>
      <c r="I2544" s="12"/>
      <c r="J2544" s="92"/>
      <c r="K2544" s="203"/>
    </row>
    <row r="2545" spans="1:11">
      <c r="A2545" s="12"/>
      <c r="B2545" s="86"/>
      <c r="G2545" s="87"/>
      <c r="H2545" s="87"/>
      <c r="I2545" s="12"/>
      <c r="J2545" s="92"/>
      <c r="K2545" s="203"/>
    </row>
    <row r="2546" spans="1:11">
      <c r="A2546" s="12"/>
      <c r="B2546" s="86"/>
      <c r="G2546" s="87"/>
      <c r="H2546" s="87"/>
      <c r="I2546" s="12"/>
      <c r="J2546" s="92"/>
      <c r="K2546" s="203"/>
    </row>
    <row r="2547" spans="1:11">
      <c r="A2547" s="12"/>
      <c r="B2547" s="86"/>
      <c r="G2547" s="87"/>
      <c r="H2547" s="87"/>
      <c r="I2547" s="12"/>
      <c r="J2547" s="92"/>
      <c r="K2547" s="203"/>
    </row>
    <row r="2548" spans="1:11">
      <c r="A2548" s="12"/>
      <c r="B2548" s="86"/>
      <c r="G2548" s="87"/>
      <c r="H2548" s="87"/>
      <c r="I2548" s="12"/>
      <c r="J2548" s="92"/>
      <c r="K2548" s="203"/>
    </row>
    <row r="2549" spans="1:11">
      <c r="A2549" s="12"/>
      <c r="B2549" s="86"/>
      <c r="G2549" s="87"/>
      <c r="H2549" s="87"/>
      <c r="I2549" s="12"/>
      <c r="J2549" s="92"/>
      <c r="K2549" s="203"/>
    </row>
    <row r="2550" spans="1:11">
      <c r="A2550" s="12"/>
      <c r="B2550" s="86"/>
      <c r="G2550" s="87"/>
      <c r="H2550" s="87"/>
      <c r="I2550" s="12"/>
      <c r="J2550" s="92"/>
      <c r="K2550" s="203"/>
    </row>
    <row r="2551" spans="1:11">
      <c r="A2551" s="12"/>
      <c r="B2551" s="86"/>
      <c r="G2551" s="87"/>
      <c r="H2551" s="87"/>
      <c r="I2551" s="12"/>
      <c r="J2551" s="92"/>
      <c r="K2551" s="203"/>
    </row>
    <row r="2552" spans="1:11">
      <c r="A2552" s="12"/>
      <c r="B2552" s="86"/>
      <c r="G2552" s="87"/>
      <c r="H2552" s="87"/>
      <c r="I2552" s="12"/>
      <c r="J2552" s="92"/>
      <c r="K2552" s="203"/>
    </row>
    <row r="2553" spans="1:11">
      <c r="A2553" s="12"/>
      <c r="B2553" s="86"/>
      <c r="G2553" s="87"/>
      <c r="H2553" s="87"/>
      <c r="I2553" s="12"/>
      <c r="J2553" s="92"/>
      <c r="K2553" s="203"/>
    </row>
    <row r="2554" spans="1:11">
      <c r="A2554" s="12"/>
      <c r="B2554" s="86"/>
      <c r="G2554" s="87"/>
      <c r="H2554" s="87"/>
      <c r="I2554" s="12"/>
      <c r="J2554" s="92"/>
      <c r="K2554" s="203"/>
    </row>
    <row r="2555" spans="1:11">
      <c r="A2555" s="12"/>
      <c r="B2555" s="86"/>
      <c r="G2555" s="87"/>
      <c r="H2555" s="87"/>
      <c r="I2555" s="12"/>
      <c r="J2555" s="92"/>
      <c r="K2555" s="203"/>
    </row>
    <row r="2556" spans="1:11">
      <c r="A2556" s="12"/>
      <c r="B2556" s="86"/>
      <c r="G2556" s="87"/>
      <c r="H2556" s="87"/>
      <c r="I2556" s="12"/>
      <c r="J2556" s="92"/>
      <c r="K2556" s="203"/>
    </row>
    <row r="2557" spans="1:11">
      <c r="A2557" s="12"/>
      <c r="B2557" s="86"/>
      <c r="G2557" s="87"/>
      <c r="H2557" s="87"/>
      <c r="I2557" s="12"/>
      <c r="J2557" s="92"/>
      <c r="K2557" s="203"/>
    </row>
    <row r="2558" spans="1:11">
      <c r="A2558" s="12"/>
      <c r="B2558" s="86"/>
      <c r="G2558" s="87"/>
      <c r="H2558" s="87"/>
      <c r="I2558" s="12"/>
      <c r="J2558" s="92"/>
      <c r="K2558" s="203"/>
    </row>
    <row r="2559" spans="1:11">
      <c r="A2559" s="12"/>
      <c r="B2559" s="86"/>
      <c r="G2559" s="87"/>
      <c r="H2559" s="87"/>
      <c r="I2559" s="12"/>
      <c r="J2559" s="92"/>
      <c r="K2559" s="203"/>
    </row>
    <row r="2560" spans="1:11">
      <c r="A2560" s="12"/>
      <c r="B2560" s="86"/>
      <c r="G2560" s="87"/>
      <c r="H2560" s="87"/>
      <c r="I2560" s="12"/>
      <c r="J2560" s="92"/>
      <c r="K2560" s="203"/>
    </row>
    <row r="2561" spans="1:11">
      <c r="A2561" s="12"/>
      <c r="B2561" s="86"/>
      <c r="G2561" s="87"/>
      <c r="H2561" s="87"/>
      <c r="I2561" s="12"/>
      <c r="J2561" s="92"/>
      <c r="K2561" s="203"/>
    </row>
    <row r="2562" spans="1:11">
      <c r="A2562" s="12"/>
      <c r="B2562" s="86"/>
      <c r="G2562" s="87"/>
      <c r="H2562" s="87"/>
      <c r="I2562" s="12"/>
      <c r="J2562" s="92"/>
      <c r="K2562" s="203"/>
    </row>
    <row r="2563" spans="1:11">
      <c r="A2563" s="12"/>
      <c r="B2563" s="86"/>
      <c r="G2563" s="87"/>
      <c r="H2563" s="87"/>
      <c r="I2563" s="12"/>
      <c r="J2563" s="92"/>
      <c r="K2563" s="203"/>
    </row>
    <row r="2564" spans="1:11">
      <c r="A2564" s="12"/>
      <c r="B2564" s="86"/>
      <c r="G2564" s="87"/>
      <c r="H2564" s="87"/>
      <c r="I2564" s="12"/>
      <c r="J2564" s="92"/>
      <c r="K2564" s="203"/>
    </row>
    <row r="2565" spans="1:11">
      <c r="A2565" s="12"/>
      <c r="B2565" s="86"/>
      <c r="G2565" s="87"/>
      <c r="H2565" s="87"/>
      <c r="I2565" s="12"/>
      <c r="J2565" s="92"/>
      <c r="K2565" s="203"/>
    </row>
    <row r="2566" spans="1:11">
      <c r="A2566" s="12"/>
      <c r="B2566" s="86"/>
      <c r="G2566" s="87"/>
      <c r="H2566" s="87"/>
      <c r="I2566" s="12"/>
      <c r="J2566" s="92"/>
      <c r="K2566" s="203"/>
    </row>
    <row r="2567" spans="1:11">
      <c r="A2567" s="12"/>
      <c r="B2567" s="86"/>
      <c r="G2567" s="87"/>
      <c r="H2567" s="87"/>
      <c r="I2567" s="12"/>
      <c r="J2567" s="92"/>
      <c r="K2567" s="203"/>
    </row>
    <row r="2568" spans="1:11">
      <c r="A2568" s="12"/>
      <c r="B2568" s="86"/>
      <c r="G2568" s="87"/>
      <c r="H2568" s="87"/>
      <c r="I2568" s="12"/>
      <c r="J2568" s="92"/>
      <c r="K2568" s="203"/>
    </row>
    <row r="2569" spans="1:11">
      <c r="A2569" s="12"/>
      <c r="B2569" s="86"/>
      <c r="G2569" s="87"/>
      <c r="H2569" s="87"/>
      <c r="I2569" s="12"/>
      <c r="J2569" s="92"/>
      <c r="K2569" s="203"/>
    </row>
    <row r="2570" spans="1:11">
      <c r="A2570" s="12"/>
      <c r="B2570" s="86"/>
      <c r="G2570" s="87"/>
      <c r="H2570" s="87"/>
      <c r="I2570" s="12"/>
      <c r="J2570" s="92"/>
      <c r="K2570" s="203"/>
    </row>
    <row r="2571" spans="1:11">
      <c r="A2571" s="12"/>
      <c r="B2571" s="86"/>
      <c r="G2571" s="87"/>
      <c r="H2571" s="87"/>
      <c r="I2571" s="12"/>
      <c r="J2571" s="92"/>
      <c r="K2571" s="203"/>
    </row>
    <row r="2572" spans="1:11">
      <c r="A2572" s="12"/>
      <c r="B2572" s="86"/>
      <c r="G2572" s="87"/>
      <c r="H2572" s="87"/>
      <c r="I2572" s="12"/>
      <c r="J2572" s="92"/>
      <c r="K2572" s="203"/>
    </row>
    <row r="2573" spans="1:11">
      <c r="A2573" s="12"/>
      <c r="B2573" s="86"/>
      <c r="G2573" s="87"/>
      <c r="H2573" s="87"/>
      <c r="I2573" s="12"/>
      <c r="J2573" s="92"/>
      <c r="K2573" s="203"/>
    </row>
    <row r="2574" spans="1:11">
      <c r="A2574" s="12"/>
      <c r="B2574" s="86"/>
      <c r="G2574" s="87"/>
      <c r="H2574" s="87"/>
      <c r="I2574" s="12"/>
      <c r="J2574" s="92"/>
      <c r="K2574" s="203"/>
    </row>
    <row r="2575" spans="1:11">
      <c r="A2575" s="12"/>
      <c r="B2575" s="86"/>
      <c r="G2575" s="87"/>
      <c r="H2575" s="87"/>
      <c r="I2575" s="12"/>
      <c r="J2575" s="92"/>
      <c r="K2575" s="203"/>
    </row>
    <row r="2576" spans="1:11">
      <c r="A2576" s="12"/>
      <c r="B2576" s="86"/>
      <c r="G2576" s="87"/>
      <c r="H2576" s="87"/>
      <c r="I2576" s="12"/>
      <c r="J2576" s="92"/>
      <c r="K2576" s="203"/>
    </row>
    <row r="2577" spans="1:11">
      <c r="A2577" s="12"/>
      <c r="B2577" s="86"/>
      <c r="G2577" s="87"/>
      <c r="H2577" s="87"/>
      <c r="I2577" s="12"/>
      <c r="J2577" s="92"/>
      <c r="K2577" s="203"/>
    </row>
    <row r="2578" spans="1:11">
      <c r="A2578" s="12"/>
      <c r="B2578" s="86"/>
      <c r="G2578" s="87"/>
      <c r="H2578" s="87"/>
      <c r="I2578" s="12"/>
      <c r="J2578" s="92"/>
      <c r="K2578" s="203"/>
    </row>
    <row r="2579" spans="1:11">
      <c r="A2579" s="12"/>
      <c r="B2579" s="86"/>
      <c r="G2579" s="87"/>
      <c r="H2579" s="87"/>
      <c r="I2579" s="12"/>
      <c r="J2579" s="92"/>
      <c r="K2579" s="203"/>
    </row>
    <row r="2580" spans="1:11">
      <c r="A2580" s="12"/>
      <c r="B2580" s="86"/>
      <c r="G2580" s="87"/>
      <c r="H2580" s="87"/>
      <c r="I2580" s="12"/>
      <c r="J2580" s="92"/>
      <c r="K2580" s="203"/>
    </row>
    <row r="2581" spans="1:11">
      <c r="A2581" s="12"/>
      <c r="B2581" s="86"/>
      <c r="G2581" s="87"/>
      <c r="H2581" s="87"/>
      <c r="I2581" s="12"/>
      <c r="J2581" s="92"/>
      <c r="K2581" s="203"/>
    </row>
    <row r="2582" spans="1:11">
      <c r="A2582" s="12"/>
      <c r="B2582" s="86"/>
      <c r="G2582" s="87"/>
      <c r="H2582" s="87"/>
      <c r="I2582" s="12"/>
      <c r="J2582" s="92"/>
      <c r="K2582" s="203"/>
    </row>
    <row r="2583" spans="1:11">
      <c r="A2583" s="12"/>
      <c r="B2583" s="86"/>
      <c r="G2583" s="87"/>
      <c r="H2583" s="87"/>
      <c r="I2583" s="12"/>
      <c r="J2583" s="92"/>
      <c r="K2583" s="203"/>
    </row>
    <row r="2584" spans="1:11">
      <c r="A2584" s="12"/>
      <c r="B2584" s="86"/>
      <c r="G2584" s="87"/>
      <c r="H2584" s="87"/>
      <c r="I2584" s="12"/>
      <c r="J2584" s="92"/>
      <c r="K2584" s="203"/>
    </row>
    <row r="2585" spans="1:11">
      <c r="A2585" s="12"/>
      <c r="B2585" s="86"/>
      <c r="G2585" s="87"/>
      <c r="H2585" s="87"/>
      <c r="I2585" s="12"/>
      <c r="J2585" s="92"/>
      <c r="K2585" s="203"/>
    </row>
    <row r="2586" spans="1:11">
      <c r="A2586" s="12"/>
      <c r="B2586" s="86"/>
      <c r="G2586" s="87"/>
      <c r="H2586" s="87"/>
      <c r="I2586" s="12"/>
      <c r="J2586" s="92"/>
      <c r="K2586" s="203"/>
    </row>
    <row r="2587" spans="1:11">
      <c r="A2587" s="12"/>
      <c r="B2587" s="86"/>
      <c r="G2587" s="87"/>
      <c r="H2587" s="87"/>
      <c r="I2587" s="12"/>
      <c r="J2587" s="92"/>
      <c r="K2587" s="203"/>
    </row>
    <row r="2588" spans="1:11">
      <c r="A2588" s="12"/>
      <c r="B2588" s="86"/>
      <c r="G2588" s="87"/>
      <c r="H2588" s="87"/>
      <c r="I2588" s="12"/>
      <c r="J2588" s="92"/>
      <c r="K2588" s="203"/>
    </row>
    <row r="2589" spans="1:11">
      <c r="A2589" s="12"/>
      <c r="B2589" s="86"/>
      <c r="G2589" s="87"/>
      <c r="H2589" s="87"/>
      <c r="I2589" s="12"/>
      <c r="J2589" s="92"/>
      <c r="K2589" s="203"/>
    </row>
    <row r="2590" spans="1:11">
      <c r="A2590" s="12"/>
      <c r="B2590" s="86"/>
      <c r="G2590" s="87"/>
      <c r="H2590" s="87"/>
      <c r="I2590" s="12"/>
      <c r="J2590" s="92"/>
      <c r="K2590" s="203"/>
    </row>
    <row r="2591" spans="1:11">
      <c r="A2591" s="12"/>
      <c r="B2591" s="86"/>
      <c r="G2591" s="87"/>
      <c r="H2591" s="87"/>
      <c r="I2591" s="12"/>
      <c r="J2591" s="92"/>
      <c r="K2591" s="203"/>
    </row>
    <row r="2592" spans="1:11">
      <c r="A2592" s="12"/>
      <c r="B2592" s="86"/>
      <c r="G2592" s="87"/>
      <c r="H2592" s="87"/>
      <c r="I2592" s="12"/>
      <c r="J2592" s="92"/>
      <c r="K2592" s="203"/>
    </row>
    <row r="2593" spans="1:11">
      <c r="A2593" s="12"/>
      <c r="B2593" s="86"/>
      <c r="G2593" s="87"/>
      <c r="H2593" s="87"/>
      <c r="I2593" s="12"/>
      <c r="J2593" s="92"/>
      <c r="K2593" s="203"/>
    </row>
    <row r="2594" spans="1:11">
      <c r="A2594" s="12"/>
      <c r="B2594" s="86"/>
      <c r="G2594" s="87"/>
      <c r="H2594" s="87"/>
      <c r="I2594" s="12"/>
      <c r="J2594" s="92"/>
      <c r="K2594" s="203"/>
    </row>
    <row r="2595" spans="1:11">
      <c r="A2595" s="12"/>
      <c r="B2595" s="86"/>
      <c r="G2595" s="87"/>
      <c r="H2595" s="87"/>
      <c r="I2595" s="12"/>
      <c r="J2595" s="92"/>
      <c r="K2595" s="203"/>
    </row>
    <row r="2596" spans="1:11">
      <c r="A2596" s="12"/>
      <c r="B2596" s="86"/>
      <c r="G2596" s="87"/>
      <c r="H2596" s="87"/>
      <c r="I2596" s="12"/>
      <c r="J2596" s="92"/>
      <c r="K2596" s="203"/>
    </row>
    <row r="2597" spans="1:11">
      <c r="A2597" s="12"/>
      <c r="B2597" s="86"/>
      <c r="G2597" s="87"/>
      <c r="H2597" s="87"/>
      <c r="I2597" s="12"/>
      <c r="J2597" s="92"/>
      <c r="K2597" s="203"/>
    </row>
    <row r="2598" spans="1:11">
      <c r="A2598" s="12"/>
      <c r="B2598" s="86"/>
      <c r="G2598" s="87"/>
      <c r="H2598" s="87"/>
      <c r="I2598" s="12"/>
      <c r="J2598" s="92"/>
      <c r="K2598" s="203"/>
    </row>
    <row r="2599" spans="1:11">
      <c r="A2599" s="12"/>
      <c r="B2599" s="86"/>
      <c r="G2599" s="87"/>
      <c r="H2599" s="87"/>
      <c r="I2599" s="12"/>
      <c r="J2599" s="92"/>
      <c r="K2599" s="203"/>
    </row>
    <row r="2600" spans="1:11">
      <c r="A2600" s="12"/>
      <c r="B2600" s="86"/>
      <c r="G2600" s="87"/>
      <c r="H2600" s="87"/>
      <c r="I2600" s="12"/>
      <c r="J2600" s="92"/>
      <c r="K2600" s="203"/>
    </row>
    <row r="2601" spans="1:11">
      <c r="A2601" s="12"/>
      <c r="B2601" s="86"/>
      <c r="G2601" s="87"/>
      <c r="H2601" s="87"/>
      <c r="I2601" s="12"/>
      <c r="J2601" s="92"/>
      <c r="K2601" s="203"/>
    </row>
    <row r="2602" spans="1:11">
      <c r="A2602" s="12"/>
      <c r="B2602" s="86"/>
      <c r="G2602" s="87"/>
      <c r="H2602" s="87"/>
      <c r="I2602" s="12"/>
      <c r="J2602" s="92"/>
      <c r="K2602" s="203"/>
    </row>
    <row r="2603" spans="1:11">
      <c r="A2603" s="12"/>
      <c r="B2603" s="86"/>
      <c r="G2603" s="87"/>
      <c r="H2603" s="87"/>
      <c r="I2603" s="12"/>
      <c r="J2603" s="92"/>
      <c r="K2603" s="203"/>
    </row>
    <row r="2604" spans="1:11">
      <c r="A2604" s="12"/>
      <c r="B2604" s="86"/>
      <c r="G2604" s="87"/>
      <c r="H2604" s="87"/>
      <c r="I2604" s="12"/>
      <c r="J2604" s="92"/>
      <c r="K2604" s="203"/>
    </row>
    <row r="2605" spans="1:11">
      <c r="A2605" s="12"/>
      <c r="B2605" s="86"/>
      <c r="G2605" s="87"/>
      <c r="H2605" s="87"/>
      <c r="I2605" s="12"/>
      <c r="J2605" s="92"/>
      <c r="K2605" s="203"/>
    </row>
    <row r="2606" spans="1:11">
      <c r="A2606" s="12"/>
      <c r="B2606" s="86"/>
      <c r="G2606" s="87"/>
      <c r="H2606" s="87"/>
      <c r="I2606" s="12"/>
      <c r="J2606" s="92"/>
      <c r="K2606" s="203"/>
    </row>
    <row r="2607" spans="1:11">
      <c r="A2607" s="12"/>
      <c r="B2607" s="86"/>
      <c r="G2607" s="87"/>
      <c r="H2607" s="87"/>
      <c r="I2607" s="12"/>
      <c r="J2607" s="92"/>
      <c r="K2607" s="203"/>
    </row>
    <row r="2608" spans="1:11">
      <c r="A2608" s="12"/>
      <c r="B2608" s="86"/>
      <c r="G2608" s="87"/>
      <c r="H2608" s="87"/>
      <c r="I2608" s="12"/>
      <c r="J2608" s="92"/>
      <c r="K2608" s="203"/>
    </row>
    <row r="2609" spans="1:11">
      <c r="A2609" s="12"/>
      <c r="B2609" s="86"/>
      <c r="G2609" s="87"/>
      <c r="H2609" s="87"/>
      <c r="I2609" s="12"/>
      <c r="J2609" s="92"/>
      <c r="K2609" s="203"/>
    </row>
    <row r="2610" spans="1:11">
      <c r="A2610" s="12"/>
      <c r="B2610" s="86"/>
      <c r="G2610" s="87"/>
      <c r="H2610" s="87"/>
      <c r="I2610" s="12"/>
      <c r="J2610" s="92"/>
      <c r="K2610" s="203"/>
    </row>
    <row r="2611" spans="1:11">
      <c r="A2611" s="12"/>
      <c r="B2611" s="86"/>
      <c r="G2611" s="87"/>
      <c r="H2611" s="87"/>
      <c r="I2611" s="12"/>
      <c r="J2611" s="92"/>
      <c r="K2611" s="203"/>
    </row>
    <row r="2612" spans="1:11">
      <c r="A2612" s="12"/>
      <c r="B2612" s="86"/>
      <c r="G2612" s="87"/>
      <c r="H2612" s="87"/>
      <c r="I2612" s="12"/>
      <c r="J2612" s="92"/>
      <c r="K2612" s="203"/>
    </row>
    <row r="2613" spans="1:11">
      <c r="A2613" s="12"/>
      <c r="B2613" s="86"/>
      <c r="G2613" s="87"/>
      <c r="H2613" s="87"/>
      <c r="I2613" s="12"/>
      <c r="J2613" s="92"/>
      <c r="K2613" s="203"/>
    </row>
    <row r="2614" spans="1:11">
      <c r="A2614" s="12"/>
      <c r="B2614" s="86"/>
      <c r="G2614" s="87"/>
      <c r="H2614" s="87"/>
      <c r="I2614" s="12"/>
      <c r="J2614" s="92"/>
      <c r="K2614" s="203"/>
    </row>
    <row r="2615" spans="1:11">
      <c r="A2615" s="12"/>
      <c r="B2615" s="86"/>
      <c r="G2615" s="87"/>
      <c r="H2615" s="87"/>
      <c r="I2615" s="12"/>
      <c r="J2615" s="92"/>
      <c r="K2615" s="203"/>
    </row>
    <row r="2616" spans="1:11">
      <c r="A2616" s="12"/>
      <c r="B2616" s="86"/>
      <c r="G2616" s="87"/>
      <c r="H2616" s="87"/>
      <c r="I2616" s="12"/>
      <c r="J2616" s="92"/>
      <c r="K2616" s="203"/>
    </row>
    <row r="2617" spans="1:11">
      <c r="A2617" s="12"/>
      <c r="B2617" s="86"/>
      <c r="G2617" s="87"/>
      <c r="H2617" s="87"/>
      <c r="I2617" s="12"/>
      <c r="J2617" s="92"/>
      <c r="K2617" s="203"/>
    </row>
    <row r="2618" spans="1:11">
      <c r="A2618" s="12"/>
      <c r="B2618" s="86"/>
      <c r="G2618" s="87"/>
      <c r="H2618" s="87"/>
      <c r="I2618" s="12"/>
      <c r="J2618" s="92"/>
      <c r="K2618" s="203"/>
    </row>
    <row r="2619" spans="1:11">
      <c r="A2619" s="12"/>
      <c r="B2619" s="86"/>
      <c r="G2619" s="87"/>
      <c r="H2619" s="87"/>
      <c r="I2619" s="12"/>
      <c r="J2619" s="92"/>
      <c r="K2619" s="203"/>
    </row>
    <row r="2620" spans="1:11">
      <c r="A2620" s="12"/>
      <c r="B2620" s="86"/>
      <c r="G2620" s="87"/>
      <c r="H2620" s="87"/>
      <c r="I2620" s="12"/>
      <c r="J2620" s="92"/>
      <c r="K2620" s="203"/>
    </row>
    <row r="2621" spans="1:11">
      <c r="A2621" s="12"/>
      <c r="B2621" s="86"/>
      <c r="G2621" s="87"/>
      <c r="H2621" s="87"/>
      <c r="I2621" s="12"/>
      <c r="J2621" s="92"/>
      <c r="K2621" s="203"/>
    </row>
    <row r="2622" spans="1:11">
      <c r="A2622" s="12"/>
      <c r="B2622" s="86"/>
      <c r="G2622" s="87"/>
      <c r="H2622" s="87"/>
      <c r="I2622" s="12"/>
      <c r="J2622" s="92"/>
      <c r="K2622" s="203"/>
    </row>
    <row r="2623" spans="1:11">
      <c r="A2623" s="12"/>
      <c r="B2623" s="86"/>
      <c r="G2623" s="87"/>
      <c r="H2623" s="87"/>
      <c r="I2623" s="12"/>
      <c r="J2623" s="92"/>
      <c r="K2623" s="203"/>
    </row>
    <row r="2624" spans="1:11">
      <c r="A2624" s="12"/>
      <c r="B2624" s="86"/>
      <c r="G2624" s="87"/>
      <c r="H2624" s="87"/>
      <c r="I2624" s="12"/>
      <c r="J2624" s="92"/>
      <c r="K2624" s="203"/>
    </row>
    <row r="2625" spans="1:11">
      <c r="A2625" s="12"/>
      <c r="B2625" s="86"/>
      <c r="G2625" s="87"/>
      <c r="H2625" s="87"/>
      <c r="I2625" s="12"/>
      <c r="J2625" s="92"/>
      <c r="K2625" s="203"/>
    </row>
    <row r="2626" spans="1:11">
      <c r="A2626" s="12"/>
      <c r="B2626" s="86"/>
      <c r="G2626" s="87"/>
      <c r="H2626" s="87"/>
      <c r="I2626" s="12"/>
      <c r="J2626" s="92"/>
      <c r="K2626" s="203"/>
    </row>
    <row r="2627" spans="1:11">
      <c r="A2627" s="12"/>
      <c r="B2627" s="86"/>
      <c r="G2627" s="87"/>
      <c r="H2627" s="87"/>
      <c r="I2627" s="12"/>
      <c r="J2627" s="92"/>
      <c r="K2627" s="203"/>
    </row>
    <row r="2628" spans="1:11">
      <c r="A2628" s="12"/>
      <c r="B2628" s="86"/>
      <c r="G2628" s="87"/>
      <c r="H2628" s="87"/>
      <c r="I2628" s="12"/>
      <c r="J2628" s="92"/>
      <c r="K2628" s="203"/>
    </row>
    <row r="2629" spans="1:11">
      <c r="A2629" s="12"/>
      <c r="B2629" s="86"/>
      <c r="G2629" s="87"/>
      <c r="H2629" s="87"/>
      <c r="I2629" s="12"/>
      <c r="J2629" s="92"/>
      <c r="K2629" s="203"/>
    </row>
    <row r="2630" spans="1:11">
      <c r="A2630" s="12"/>
      <c r="B2630" s="86"/>
      <c r="G2630" s="87"/>
      <c r="H2630" s="87"/>
      <c r="I2630" s="12"/>
      <c r="J2630" s="92"/>
      <c r="K2630" s="203"/>
    </row>
    <row r="2631" spans="1:11">
      <c r="A2631" s="12"/>
      <c r="B2631" s="86"/>
      <c r="G2631" s="87"/>
      <c r="H2631" s="87"/>
      <c r="I2631" s="12"/>
      <c r="J2631" s="92"/>
      <c r="K2631" s="203"/>
    </row>
    <row r="2632" spans="1:11">
      <c r="A2632" s="12"/>
      <c r="B2632" s="86"/>
      <c r="G2632" s="87"/>
      <c r="H2632" s="87"/>
      <c r="I2632" s="12"/>
      <c r="J2632" s="92"/>
      <c r="K2632" s="203"/>
    </row>
    <row r="2633" spans="1:11">
      <c r="A2633" s="12"/>
      <c r="B2633" s="86"/>
      <c r="G2633" s="87"/>
      <c r="H2633" s="87"/>
      <c r="I2633" s="12"/>
      <c r="J2633" s="92"/>
      <c r="K2633" s="203"/>
    </row>
    <row r="2634" spans="1:11">
      <c r="A2634" s="12"/>
      <c r="B2634" s="86"/>
      <c r="G2634" s="87"/>
      <c r="H2634" s="87"/>
      <c r="I2634" s="12"/>
      <c r="J2634" s="92"/>
      <c r="K2634" s="203"/>
    </row>
    <row r="2635" spans="1:11">
      <c r="A2635" s="12"/>
      <c r="B2635" s="86"/>
      <c r="G2635" s="87"/>
      <c r="H2635" s="87"/>
      <c r="I2635" s="12"/>
      <c r="J2635" s="92"/>
      <c r="K2635" s="203"/>
    </row>
    <row r="2636" spans="1:11">
      <c r="A2636" s="12"/>
      <c r="B2636" s="86"/>
      <c r="G2636" s="87"/>
      <c r="H2636" s="87"/>
      <c r="I2636" s="12"/>
      <c r="J2636" s="92"/>
      <c r="K2636" s="203"/>
    </row>
    <row r="2637" spans="1:11">
      <c r="A2637" s="12"/>
      <c r="B2637" s="86"/>
      <c r="G2637" s="87"/>
      <c r="H2637" s="87"/>
      <c r="I2637" s="12"/>
      <c r="J2637" s="92"/>
      <c r="K2637" s="203"/>
    </row>
    <row r="2638" spans="1:11">
      <c r="A2638" s="12"/>
      <c r="B2638" s="86"/>
      <c r="G2638" s="87"/>
      <c r="H2638" s="87"/>
      <c r="I2638" s="12"/>
      <c r="J2638" s="92"/>
      <c r="K2638" s="203"/>
    </row>
    <row r="2639" spans="1:11">
      <c r="A2639" s="12"/>
      <c r="B2639" s="86"/>
      <c r="G2639" s="87"/>
      <c r="H2639" s="87"/>
      <c r="I2639" s="12"/>
      <c r="J2639" s="92"/>
      <c r="K2639" s="203"/>
    </row>
    <row r="2640" spans="1:11">
      <c r="A2640" s="12"/>
      <c r="B2640" s="86"/>
      <c r="G2640" s="87"/>
      <c r="H2640" s="87"/>
      <c r="I2640" s="12"/>
      <c r="J2640" s="92"/>
      <c r="K2640" s="203"/>
    </row>
    <row r="2641" spans="1:11">
      <c r="A2641" s="12"/>
      <c r="B2641" s="86"/>
      <c r="G2641" s="87"/>
      <c r="H2641" s="87"/>
      <c r="I2641" s="12"/>
      <c r="J2641" s="92"/>
      <c r="K2641" s="203"/>
    </row>
    <row r="2642" spans="1:11">
      <c r="A2642" s="12"/>
      <c r="B2642" s="86"/>
      <c r="G2642" s="87"/>
      <c r="H2642" s="87"/>
      <c r="I2642" s="12"/>
      <c r="J2642" s="92"/>
      <c r="K2642" s="203"/>
    </row>
    <row r="2643" spans="1:11">
      <c r="A2643" s="12"/>
      <c r="B2643" s="86"/>
      <c r="G2643" s="87"/>
      <c r="H2643" s="87"/>
      <c r="I2643" s="12"/>
      <c r="J2643" s="92"/>
      <c r="K2643" s="203"/>
    </row>
    <row r="2644" spans="1:11">
      <c r="A2644" s="12"/>
      <c r="B2644" s="86"/>
      <c r="G2644" s="87"/>
      <c r="H2644" s="87"/>
      <c r="I2644" s="12"/>
      <c r="J2644" s="92"/>
      <c r="K2644" s="203"/>
    </row>
    <row r="2645" spans="1:11">
      <c r="A2645" s="12"/>
      <c r="B2645" s="86"/>
      <c r="G2645" s="87"/>
      <c r="H2645" s="87"/>
      <c r="I2645" s="12"/>
      <c r="J2645" s="92"/>
      <c r="K2645" s="203"/>
    </row>
    <row r="2646" spans="1:11">
      <c r="A2646" s="12"/>
      <c r="B2646" s="86"/>
      <c r="G2646" s="87"/>
      <c r="H2646" s="87"/>
      <c r="I2646" s="12"/>
      <c r="J2646" s="92"/>
      <c r="K2646" s="203"/>
    </row>
    <row r="2647" spans="1:11">
      <c r="A2647" s="12"/>
      <c r="B2647" s="86"/>
      <c r="G2647" s="87"/>
      <c r="H2647" s="87"/>
      <c r="I2647" s="12"/>
      <c r="J2647" s="92"/>
      <c r="K2647" s="203"/>
    </row>
    <row r="2648" spans="1:11">
      <c r="A2648" s="12"/>
      <c r="B2648" s="86"/>
      <c r="G2648" s="87"/>
      <c r="H2648" s="87"/>
      <c r="I2648" s="12"/>
      <c r="J2648" s="92"/>
      <c r="K2648" s="203"/>
    </row>
    <row r="2649" spans="1:11">
      <c r="A2649" s="12"/>
      <c r="B2649" s="86"/>
      <c r="G2649" s="87"/>
      <c r="H2649" s="87"/>
      <c r="I2649" s="12"/>
      <c r="J2649" s="92"/>
      <c r="K2649" s="203"/>
    </row>
    <row r="2650" spans="1:11">
      <c r="A2650" s="12"/>
      <c r="B2650" s="86"/>
      <c r="G2650" s="87"/>
      <c r="H2650" s="87"/>
      <c r="I2650" s="12"/>
      <c r="J2650" s="92"/>
      <c r="K2650" s="203"/>
    </row>
    <row r="2651" spans="1:11">
      <c r="A2651" s="12"/>
      <c r="B2651" s="86"/>
      <c r="G2651" s="87"/>
      <c r="H2651" s="87"/>
      <c r="I2651" s="12"/>
      <c r="J2651" s="92"/>
      <c r="K2651" s="203"/>
    </row>
    <row r="2652" spans="1:11">
      <c r="A2652" s="12"/>
      <c r="B2652" s="86"/>
      <c r="G2652" s="87"/>
      <c r="H2652" s="87"/>
      <c r="I2652" s="12"/>
      <c r="J2652" s="92"/>
      <c r="K2652" s="203"/>
    </row>
    <row r="2653" spans="1:11">
      <c r="A2653" s="12"/>
      <c r="B2653" s="86"/>
      <c r="G2653" s="87"/>
      <c r="H2653" s="87"/>
      <c r="I2653" s="12"/>
      <c r="J2653" s="92"/>
      <c r="K2653" s="203"/>
    </row>
    <row r="2654" spans="1:11">
      <c r="A2654" s="12"/>
      <c r="B2654" s="86"/>
      <c r="G2654" s="87"/>
      <c r="H2654" s="87"/>
      <c r="I2654" s="12"/>
      <c r="J2654" s="92"/>
      <c r="K2654" s="203"/>
    </row>
    <row r="2655" spans="1:11">
      <c r="A2655" s="12"/>
      <c r="B2655" s="86"/>
      <c r="G2655" s="87"/>
      <c r="H2655" s="87"/>
      <c r="I2655" s="12"/>
      <c r="J2655" s="92"/>
      <c r="K2655" s="203"/>
    </row>
    <row r="2656" spans="1:11">
      <c r="A2656" s="12"/>
      <c r="B2656" s="86"/>
      <c r="G2656" s="87"/>
      <c r="H2656" s="87"/>
      <c r="I2656" s="12"/>
      <c r="J2656" s="92"/>
      <c r="K2656" s="203"/>
    </row>
    <row r="2657" spans="1:11">
      <c r="A2657" s="12"/>
      <c r="B2657" s="86"/>
      <c r="G2657" s="87"/>
      <c r="H2657" s="87"/>
      <c r="I2657" s="12"/>
      <c r="J2657" s="92"/>
      <c r="K2657" s="203"/>
    </row>
    <row r="2658" spans="1:11">
      <c r="A2658" s="12"/>
      <c r="B2658" s="86"/>
      <c r="G2658" s="87"/>
      <c r="H2658" s="87"/>
      <c r="I2658" s="12"/>
      <c r="J2658" s="92"/>
      <c r="K2658" s="203"/>
    </row>
    <row r="2659" spans="1:11">
      <c r="A2659" s="12"/>
      <c r="B2659" s="86"/>
      <c r="G2659" s="87"/>
      <c r="H2659" s="87"/>
      <c r="I2659" s="12"/>
      <c r="J2659" s="92"/>
      <c r="K2659" s="203"/>
    </row>
    <row r="2660" spans="1:11">
      <c r="A2660" s="12"/>
      <c r="B2660" s="86"/>
      <c r="G2660" s="87"/>
      <c r="H2660" s="87"/>
      <c r="I2660" s="12"/>
      <c r="J2660" s="92"/>
      <c r="K2660" s="203"/>
    </row>
    <row r="2661" spans="1:11">
      <c r="A2661" s="12"/>
      <c r="B2661" s="86"/>
      <c r="G2661" s="87"/>
      <c r="H2661" s="87"/>
      <c r="I2661" s="12"/>
      <c r="J2661" s="92"/>
      <c r="K2661" s="203"/>
    </row>
    <row r="2662" spans="1:11">
      <c r="A2662" s="12"/>
      <c r="B2662" s="86"/>
      <c r="G2662" s="87"/>
      <c r="H2662" s="87"/>
      <c r="I2662" s="12"/>
      <c r="J2662" s="92"/>
      <c r="K2662" s="203"/>
    </row>
    <row r="2663" spans="1:11">
      <c r="A2663" s="12"/>
      <c r="B2663" s="86"/>
      <c r="G2663" s="87"/>
      <c r="H2663" s="87"/>
      <c r="I2663" s="12"/>
      <c r="J2663" s="92"/>
      <c r="K2663" s="203"/>
    </row>
    <row r="2664" spans="1:11">
      <c r="A2664" s="12"/>
      <c r="B2664" s="86"/>
      <c r="G2664" s="87"/>
      <c r="H2664" s="87"/>
      <c r="I2664" s="12"/>
      <c r="J2664" s="92"/>
      <c r="K2664" s="203"/>
    </row>
    <row r="2665" spans="1:11">
      <c r="A2665" s="12"/>
      <c r="B2665" s="86"/>
      <c r="G2665" s="87"/>
      <c r="H2665" s="87"/>
      <c r="I2665" s="12"/>
      <c r="J2665" s="92"/>
      <c r="K2665" s="203"/>
    </row>
    <row r="2666" spans="1:11">
      <c r="A2666" s="12"/>
      <c r="B2666" s="86"/>
      <c r="G2666" s="87"/>
      <c r="H2666" s="87"/>
      <c r="I2666" s="12"/>
      <c r="J2666" s="92"/>
      <c r="K2666" s="203"/>
    </row>
    <row r="2667" spans="1:11">
      <c r="A2667" s="12"/>
      <c r="B2667" s="86"/>
      <c r="G2667" s="87"/>
      <c r="H2667" s="87"/>
      <c r="I2667" s="12"/>
      <c r="J2667" s="92"/>
      <c r="K2667" s="203"/>
    </row>
    <row r="2668" spans="1:11">
      <c r="A2668" s="12"/>
      <c r="B2668" s="86"/>
      <c r="G2668" s="87"/>
      <c r="H2668" s="87"/>
      <c r="I2668" s="12"/>
      <c r="J2668" s="92"/>
      <c r="K2668" s="203"/>
    </row>
    <row r="2669" spans="1:11">
      <c r="A2669" s="12"/>
      <c r="B2669" s="86"/>
      <c r="G2669" s="87"/>
      <c r="H2669" s="87"/>
      <c r="I2669" s="12"/>
      <c r="J2669" s="92"/>
      <c r="K2669" s="203"/>
    </row>
    <row r="2670" spans="1:11">
      <c r="A2670" s="12"/>
      <c r="B2670" s="86"/>
      <c r="G2670" s="87"/>
      <c r="H2670" s="87"/>
      <c r="I2670" s="12"/>
      <c r="J2670" s="92"/>
      <c r="K2670" s="203"/>
    </row>
    <row r="2671" spans="1:11">
      <c r="A2671" s="12"/>
      <c r="B2671" s="86"/>
      <c r="G2671" s="87"/>
      <c r="H2671" s="87"/>
      <c r="I2671" s="12"/>
      <c r="J2671" s="92"/>
      <c r="K2671" s="203"/>
    </row>
    <row r="2672" spans="1:11">
      <c r="A2672" s="12"/>
      <c r="B2672" s="86"/>
      <c r="G2672" s="87"/>
      <c r="H2672" s="87"/>
      <c r="I2672" s="12"/>
      <c r="J2672" s="92"/>
      <c r="K2672" s="203"/>
    </row>
    <row r="2673" spans="1:11">
      <c r="A2673" s="12"/>
      <c r="B2673" s="86"/>
      <c r="G2673" s="87"/>
      <c r="H2673" s="87"/>
      <c r="I2673" s="12"/>
      <c r="J2673" s="92"/>
      <c r="K2673" s="203"/>
    </row>
    <row r="2674" spans="1:11">
      <c r="A2674" s="12"/>
      <c r="B2674" s="86"/>
      <c r="G2674" s="87"/>
      <c r="H2674" s="87"/>
      <c r="I2674" s="12"/>
      <c r="J2674" s="92"/>
      <c r="K2674" s="203"/>
    </row>
    <row r="2675" spans="1:11">
      <c r="A2675" s="12"/>
      <c r="B2675" s="86"/>
      <c r="G2675" s="87"/>
      <c r="H2675" s="87"/>
      <c r="I2675" s="12"/>
      <c r="J2675" s="92"/>
      <c r="K2675" s="203"/>
    </row>
    <row r="2676" spans="1:11">
      <c r="A2676" s="12"/>
      <c r="B2676" s="86"/>
      <c r="G2676" s="87"/>
      <c r="H2676" s="87"/>
      <c r="I2676" s="12"/>
      <c r="J2676" s="92"/>
      <c r="K2676" s="203"/>
    </row>
    <row r="2677" spans="1:11">
      <c r="A2677" s="12"/>
      <c r="B2677" s="86"/>
      <c r="G2677" s="87"/>
      <c r="H2677" s="87"/>
      <c r="I2677" s="12"/>
      <c r="J2677" s="92"/>
      <c r="K2677" s="203"/>
    </row>
    <row r="2678" spans="1:11">
      <c r="A2678" s="12"/>
      <c r="B2678" s="86"/>
      <c r="G2678" s="87"/>
      <c r="H2678" s="87"/>
      <c r="I2678" s="12"/>
      <c r="J2678" s="92"/>
      <c r="K2678" s="203"/>
    </row>
    <row r="2679" spans="1:11">
      <c r="A2679" s="12"/>
      <c r="B2679" s="86"/>
      <c r="G2679" s="87"/>
      <c r="H2679" s="87"/>
      <c r="I2679" s="12"/>
      <c r="J2679" s="92"/>
      <c r="K2679" s="203"/>
    </row>
    <row r="2680" spans="1:11">
      <c r="A2680" s="12"/>
      <c r="B2680" s="86"/>
      <c r="G2680" s="87"/>
      <c r="H2680" s="87"/>
      <c r="I2680" s="12"/>
      <c r="J2680" s="92"/>
      <c r="K2680" s="203"/>
    </row>
    <row r="2681" spans="1:11">
      <c r="A2681" s="12"/>
      <c r="B2681" s="86"/>
      <c r="G2681" s="87"/>
      <c r="H2681" s="87"/>
      <c r="I2681" s="12"/>
      <c r="J2681" s="92"/>
      <c r="K2681" s="203"/>
    </row>
    <row r="2682" spans="1:11">
      <c r="A2682" s="12"/>
      <c r="B2682" s="86"/>
      <c r="G2682" s="87"/>
      <c r="H2682" s="87"/>
      <c r="I2682" s="12"/>
      <c r="J2682" s="92"/>
      <c r="K2682" s="203"/>
    </row>
    <row r="2683" spans="1:11">
      <c r="A2683" s="12"/>
      <c r="B2683" s="86"/>
      <c r="G2683" s="87"/>
      <c r="H2683" s="87"/>
      <c r="I2683" s="12"/>
      <c r="J2683" s="92"/>
      <c r="K2683" s="203"/>
    </row>
    <row r="2684" spans="1:11">
      <c r="A2684" s="12"/>
      <c r="B2684" s="86"/>
      <c r="G2684" s="87"/>
      <c r="H2684" s="87"/>
      <c r="I2684" s="12"/>
      <c r="J2684" s="92"/>
      <c r="K2684" s="203"/>
    </row>
    <row r="2685" spans="1:11">
      <c r="A2685" s="12"/>
      <c r="B2685" s="86"/>
      <c r="G2685" s="87"/>
      <c r="H2685" s="87"/>
      <c r="I2685" s="12"/>
      <c r="J2685" s="92"/>
      <c r="K2685" s="203"/>
    </row>
    <row r="2686" spans="1:11">
      <c r="A2686" s="12"/>
      <c r="B2686" s="86"/>
      <c r="G2686" s="87"/>
      <c r="H2686" s="87"/>
      <c r="I2686" s="12"/>
      <c r="J2686" s="92"/>
      <c r="K2686" s="203"/>
    </row>
    <row r="2687" spans="1:11">
      <c r="A2687" s="12"/>
      <c r="B2687" s="86"/>
      <c r="G2687" s="87"/>
      <c r="H2687" s="87"/>
      <c r="I2687" s="12"/>
      <c r="J2687" s="92"/>
      <c r="K2687" s="203"/>
    </row>
    <row r="2688" spans="1:11">
      <c r="A2688" s="12"/>
      <c r="B2688" s="86"/>
      <c r="G2688" s="87"/>
      <c r="H2688" s="87"/>
      <c r="I2688" s="12"/>
      <c r="J2688" s="92"/>
      <c r="K2688" s="203"/>
    </row>
    <row r="2689" spans="1:11">
      <c r="A2689" s="12"/>
      <c r="B2689" s="86"/>
      <c r="G2689" s="87"/>
      <c r="H2689" s="87"/>
      <c r="I2689" s="12"/>
      <c r="J2689" s="92"/>
      <c r="K2689" s="203"/>
    </row>
    <row r="2690" spans="1:11">
      <c r="A2690" s="12"/>
      <c r="B2690" s="86"/>
      <c r="G2690" s="87"/>
      <c r="H2690" s="87"/>
      <c r="I2690" s="12"/>
      <c r="J2690" s="92"/>
      <c r="K2690" s="203"/>
    </row>
    <row r="2691" spans="1:11">
      <c r="A2691" s="12"/>
      <c r="B2691" s="86"/>
      <c r="G2691" s="87"/>
      <c r="H2691" s="87"/>
      <c r="I2691" s="12"/>
      <c r="J2691" s="92"/>
      <c r="K2691" s="203"/>
    </row>
    <row r="2692" spans="1:11">
      <c r="A2692" s="12"/>
      <c r="B2692" s="86"/>
      <c r="G2692" s="87"/>
      <c r="H2692" s="87"/>
      <c r="I2692" s="12"/>
      <c r="J2692" s="92"/>
      <c r="K2692" s="203"/>
    </row>
    <row r="2693" spans="1:11">
      <c r="A2693" s="12"/>
      <c r="B2693" s="86"/>
      <c r="G2693" s="87"/>
      <c r="H2693" s="87"/>
      <c r="I2693" s="12"/>
      <c r="J2693" s="92"/>
      <c r="K2693" s="203"/>
    </row>
    <row r="2694" spans="1:11">
      <c r="A2694" s="12"/>
      <c r="B2694" s="86"/>
      <c r="G2694" s="87"/>
      <c r="H2694" s="87"/>
      <c r="I2694" s="12"/>
      <c r="J2694" s="92"/>
      <c r="K2694" s="203"/>
    </row>
    <row r="2695" spans="1:11">
      <c r="A2695" s="12"/>
      <c r="B2695" s="86"/>
      <c r="G2695" s="87"/>
      <c r="H2695" s="87"/>
      <c r="I2695" s="12"/>
      <c r="J2695" s="92"/>
      <c r="K2695" s="203"/>
    </row>
    <row r="2696" spans="1:11">
      <c r="A2696" s="12"/>
      <c r="B2696" s="86"/>
      <c r="G2696" s="87"/>
      <c r="H2696" s="87"/>
      <c r="I2696" s="12"/>
      <c r="J2696" s="92"/>
      <c r="K2696" s="203"/>
    </row>
    <row r="2697" spans="1:11">
      <c r="A2697" s="12"/>
      <c r="B2697" s="86"/>
      <c r="G2697" s="87"/>
      <c r="H2697" s="87"/>
      <c r="I2697" s="12"/>
      <c r="J2697" s="92"/>
      <c r="K2697" s="203"/>
    </row>
    <row r="2698" spans="1:11">
      <c r="A2698" s="12"/>
      <c r="B2698" s="86"/>
      <c r="G2698" s="87"/>
      <c r="H2698" s="87"/>
      <c r="I2698" s="12"/>
      <c r="J2698" s="92"/>
      <c r="K2698" s="203"/>
    </row>
    <row r="2699" spans="1:11">
      <c r="A2699" s="12"/>
      <c r="B2699" s="86"/>
      <c r="G2699" s="87"/>
      <c r="H2699" s="87"/>
      <c r="I2699" s="12"/>
      <c r="J2699" s="92"/>
      <c r="K2699" s="203"/>
    </row>
    <row r="2700" spans="1:11">
      <c r="A2700" s="12"/>
      <c r="B2700" s="86"/>
      <c r="G2700" s="87"/>
      <c r="H2700" s="87"/>
      <c r="I2700" s="12"/>
      <c r="J2700" s="92"/>
      <c r="K2700" s="203"/>
    </row>
    <row r="2701" spans="1:11">
      <c r="A2701" s="12"/>
      <c r="B2701" s="86"/>
      <c r="G2701" s="87"/>
      <c r="H2701" s="87"/>
      <c r="I2701" s="12"/>
      <c r="J2701" s="92"/>
      <c r="K2701" s="203"/>
    </row>
    <row r="2702" spans="1:11">
      <c r="A2702" s="12"/>
      <c r="B2702" s="86"/>
      <c r="G2702" s="87"/>
      <c r="H2702" s="87"/>
      <c r="I2702" s="12"/>
      <c r="J2702" s="92"/>
      <c r="K2702" s="203"/>
    </row>
    <row r="2703" spans="1:11">
      <c r="A2703" s="12"/>
      <c r="B2703" s="86"/>
      <c r="G2703" s="87"/>
      <c r="H2703" s="87"/>
      <c r="I2703" s="12"/>
      <c r="J2703" s="92"/>
      <c r="K2703" s="203"/>
    </row>
    <row r="2704" spans="1:11">
      <c r="A2704" s="12"/>
      <c r="B2704" s="86"/>
      <c r="G2704" s="87"/>
      <c r="H2704" s="87"/>
      <c r="I2704" s="12"/>
      <c r="J2704" s="92"/>
      <c r="K2704" s="203"/>
    </row>
    <row r="2705" spans="1:11">
      <c r="A2705" s="12"/>
      <c r="B2705" s="86"/>
      <c r="G2705" s="87"/>
      <c r="H2705" s="87"/>
      <c r="I2705" s="12"/>
      <c r="J2705" s="92"/>
      <c r="K2705" s="203"/>
    </row>
    <row r="2706" spans="1:11">
      <c r="A2706" s="12"/>
      <c r="B2706" s="86"/>
      <c r="G2706" s="87"/>
      <c r="H2706" s="87"/>
      <c r="I2706" s="12"/>
      <c r="J2706" s="92"/>
      <c r="K2706" s="203"/>
    </row>
    <row r="2707" spans="1:11">
      <c r="A2707" s="12"/>
      <c r="B2707" s="86"/>
      <c r="G2707" s="87"/>
      <c r="H2707" s="87"/>
      <c r="I2707" s="12"/>
      <c r="J2707" s="92"/>
      <c r="K2707" s="203"/>
    </row>
    <row r="2708" spans="1:11">
      <c r="A2708" s="12"/>
      <c r="B2708" s="86"/>
      <c r="G2708" s="87"/>
      <c r="H2708" s="87"/>
      <c r="I2708" s="12"/>
      <c r="J2708" s="92"/>
      <c r="K2708" s="203"/>
    </row>
    <row r="2709" spans="1:11">
      <c r="A2709" s="12"/>
      <c r="B2709" s="86"/>
      <c r="G2709" s="87"/>
      <c r="H2709" s="87"/>
      <c r="I2709" s="12"/>
      <c r="J2709" s="92"/>
      <c r="K2709" s="203"/>
    </row>
    <row r="2710" spans="1:11">
      <c r="A2710" s="12"/>
      <c r="B2710" s="86"/>
      <c r="G2710" s="87"/>
      <c r="H2710" s="87"/>
      <c r="I2710" s="12"/>
      <c r="J2710" s="92"/>
      <c r="K2710" s="203"/>
    </row>
    <row r="2711" spans="1:11">
      <c r="A2711" s="12"/>
      <c r="B2711" s="86"/>
      <c r="G2711" s="87"/>
      <c r="H2711" s="87"/>
      <c r="I2711" s="12"/>
      <c r="J2711" s="92"/>
      <c r="K2711" s="203"/>
    </row>
    <row r="2712" spans="1:11">
      <c r="A2712" s="12"/>
      <c r="B2712" s="86"/>
      <c r="G2712" s="87"/>
      <c r="H2712" s="87"/>
      <c r="I2712" s="12"/>
      <c r="J2712" s="92"/>
      <c r="K2712" s="203"/>
    </row>
    <row r="2713" spans="1:11">
      <c r="A2713" s="12"/>
      <c r="B2713" s="86"/>
      <c r="G2713" s="87"/>
      <c r="H2713" s="87"/>
      <c r="I2713" s="12"/>
      <c r="J2713" s="92"/>
      <c r="K2713" s="203"/>
    </row>
    <row r="2714" spans="1:11">
      <c r="A2714" s="12"/>
      <c r="B2714" s="86"/>
      <c r="G2714" s="87"/>
      <c r="H2714" s="87"/>
      <c r="I2714" s="12"/>
      <c r="J2714" s="92"/>
      <c r="K2714" s="203"/>
    </row>
    <row r="2715" spans="1:11">
      <c r="A2715" s="12"/>
      <c r="B2715" s="86"/>
      <c r="G2715" s="87"/>
      <c r="H2715" s="87"/>
      <c r="I2715" s="12"/>
      <c r="J2715" s="92"/>
      <c r="K2715" s="203"/>
    </row>
    <row r="2716" spans="1:11">
      <c r="A2716" s="12"/>
      <c r="B2716" s="86"/>
      <c r="G2716" s="87"/>
      <c r="H2716" s="87"/>
      <c r="I2716" s="12"/>
      <c r="J2716" s="92"/>
      <c r="K2716" s="203"/>
    </row>
    <row r="2717" spans="1:11">
      <c r="A2717" s="12"/>
      <c r="B2717" s="86"/>
      <c r="G2717" s="87"/>
      <c r="H2717" s="87"/>
      <c r="I2717" s="12"/>
      <c r="J2717" s="92"/>
      <c r="K2717" s="203"/>
    </row>
    <row r="2718" spans="1:11">
      <c r="A2718" s="12"/>
      <c r="B2718" s="86"/>
      <c r="G2718" s="87"/>
      <c r="H2718" s="87"/>
      <c r="I2718" s="12"/>
      <c r="J2718" s="92"/>
      <c r="K2718" s="203"/>
    </row>
    <row r="2719" spans="1:11">
      <c r="A2719" s="12"/>
      <c r="B2719" s="86"/>
      <c r="G2719" s="87"/>
      <c r="H2719" s="87"/>
      <c r="I2719" s="12"/>
      <c r="J2719" s="92"/>
      <c r="K2719" s="203"/>
    </row>
    <row r="2720" spans="1:11">
      <c r="A2720" s="12"/>
      <c r="B2720" s="86"/>
      <c r="G2720" s="87"/>
      <c r="H2720" s="87"/>
      <c r="I2720" s="12"/>
      <c r="J2720" s="92"/>
      <c r="K2720" s="203"/>
    </row>
    <row r="2721" spans="1:11">
      <c r="A2721" s="12"/>
      <c r="B2721" s="86"/>
      <c r="G2721" s="87"/>
      <c r="H2721" s="87"/>
      <c r="I2721" s="12"/>
      <c r="J2721" s="92"/>
      <c r="K2721" s="203"/>
    </row>
    <row r="2722" spans="1:11">
      <c r="A2722" s="12"/>
      <c r="B2722" s="86"/>
      <c r="G2722" s="87"/>
      <c r="H2722" s="87"/>
      <c r="I2722" s="12"/>
      <c r="J2722" s="92"/>
      <c r="K2722" s="203"/>
    </row>
    <row r="2723" spans="1:11">
      <c r="A2723" s="12"/>
      <c r="B2723" s="86"/>
      <c r="G2723" s="87"/>
      <c r="H2723" s="87"/>
      <c r="I2723" s="12"/>
      <c r="J2723" s="92"/>
      <c r="K2723" s="203"/>
    </row>
    <row r="2724" spans="1:11">
      <c r="A2724" s="12"/>
      <c r="B2724" s="86"/>
      <c r="G2724" s="87"/>
      <c r="H2724" s="87"/>
      <c r="I2724" s="12"/>
      <c r="J2724" s="92"/>
      <c r="K2724" s="203"/>
    </row>
    <row r="2725" spans="1:11">
      <c r="A2725" s="12"/>
      <c r="B2725" s="86"/>
      <c r="G2725" s="87"/>
      <c r="H2725" s="87"/>
      <c r="I2725" s="12"/>
      <c r="J2725" s="92"/>
      <c r="K2725" s="203"/>
    </row>
    <row r="2726" spans="1:11">
      <c r="A2726" s="12"/>
      <c r="B2726" s="86"/>
      <c r="G2726" s="87"/>
      <c r="H2726" s="87"/>
      <c r="I2726" s="12"/>
      <c r="J2726" s="92"/>
      <c r="K2726" s="203"/>
    </row>
    <row r="2727" spans="1:11">
      <c r="A2727" s="12"/>
      <c r="B2727" s="86"/>
      <c r="G2727" s="87"/>
      <c r="H2727" s="87"/>
      <c r="I2727" s="12"/>
      <c r="J2727" s="92"/>
      <c r="K2727" s="203"/>
    </row>
    <row r="2728" spans="1:11">
      <c r="A2728" s="12"/>
      <c r="B2728" s="86"/>
      <c r="G2728" s="87"/>
      <c r="H2728" s="87"/>
      <c r="I2728" s="12"/>
      <c r="J2728" s="92"/>
      <c r="K2728" s="203"/>
    </row>
    <row r="2729" spans="1:11">
      <c r="A2729" s="12"/>
      <c r="B2729" s="86"/>
      <c r="G2729" s="87"/>
      <c r="H2729" s="87"/>
      <c r="I2729" s="12"/>
      <c r="J2729" s="92"/>
      <c r="K2729" s="203"/>
    </row>
    <row r="2730" spans="1:11">
      <c r="A2730" s="12"/>
      <c r="B2730" s="86"/>
      <c r="G2730" s="87"/>
      <c r="H2730" s="87"/>
      <c r="I2730" s="12"/>
      <c r="J2730" s="92"/>
      <c r="K2730" s="203"/>
    </row>
    <row r="2731" spans="1:11">
      <c r="A2731" s="12"/>
      <c r="B2731" s="86"/>
      <c r="G2731" s="87"/>
      <c r="H2731" s="87"/>
      <c r="I2731" s="12"/>
      <c r="J2731" s="92"/>
      <c r="K2731" s="203"/>
    </row>
    <row r="2732" spans="1:11">
      <c r="A2732" s="12"/>
      <c r="B2732" s="86"/>
      <c r="G2732" s="87"/>
      <c r="H2732" s="87"/>
      <c r="I2732" s="12"/>
      <c r="J2732" s="92"/>
      <c r="K2732" s="203"/>
    </row>
    <row r="2733" spans="1:11">
      <c r="A2733" s="12"/>
      <c r="B2733" s="86"/>
      <c r="G2733" s="87"/>
      <c r="H2733" s="87"/>
      <c r="I2733" s="12"/>
      <c r="J2733" s="92"/>
      <c r="K2733" s="203"/>
    </row>
    <row r="2734" spans="1:11">
      <c r="A2734" s="12"/>
      <c r="B2734" s="86"/>
      <c r="G2734" s="87"/>
      <c r="H2734" s="87"/>
      <c r="I2734" s="12"/>
      <c r="J2734" s="92"/>
      <c r="K2734" s="203"/>
    </row>
    <row r="2735" spans="1:11">
      <c r="A2735" s="12"/>
      <c r="B2735" s="86"/>
      <c r="G2735" s="87"/>
      <c r="H2735" s="87"/>
      <c r="I2735" s="12"/>
      <c r="J2735" s="92"/>
      <c r="K2735" s="203"/>
    </row>
    <row r="2736" spans="1:11">
      <c r="A2736" s="12"/>
      <c r="B2736" s="86"/>
      <c r="G2736" s="87"/>
      <c r="H2736" s="87"/>
      <c r="I2736" s="12"/>
      <c r="J2736" s="92"/>
      <c r="K2736" s="203"/>
    </row>
    <row r="2737" spans="1:11">
      <c r="A2737" s="12"/>
      <c r="B2737" s="86"/>
      <c r="G2737" s="87"/>
      <c r="H2737" s="87"/>
      <c r="I2737" s="12"/>
      <c r="J2737" s="92"/>
      <c r="K2737" s="203"/>
    </row>
    <row r="2738" spans="1:11">
      <c r="A2738" s="12"/>
      <c r="B2738" s="86"/>
      <c r="G2738" s="87"/>
      <c r="H2738" s="87"/>
      <c r="I2738" s="12"/>
      <c r="J2738" s="92"/>
      <c r="K2738" s="203"/>
    </row>
    <row r="2739" spans="1:11">
      <c r="A2739" s="12"/>
      <c r="B2739" s="86"/>
      <c r="G2739" s="87"/>
      <c r="H2739" s="87"/>
      <c r="I2739" s="12"/>
      <c r="J2739" s="92"/>
      <c r="K2739" s="203"/>
    </row>
    <row r="2740" spans="1:11">
      <c r="A2740" s="12"/>
      <c r="B2740" s="86"/>
      <c r="G2740" s="87"/>
      <c r="H2740" s="87"/>
      <c r="I2740" s="12"/>
      <c r="J2740" s="92"/>
      <c r="K2740" s="203"/>
    </row>
    <row r="2741" spans="1:11">
      <c r="A2741" s="12"/>
      <c r="B2741" s="86"/>
      <c r="G2741" s="87"/>
      <c r="H2741" s="87"/>
      <c r="I2741" s="12"/>
      <c r="J2741" s="92"/>
      <c r="K2741" s="203"/>
    </row>
    <row r="2742" spans="1:11">
      <c r="A2742" s="12"/>
      <c r="B2742" s="86"/>
      <c r="G2742" s="87"/>
      <c r="H2742" s="87"/>
      <c r="I2742" s="12"/>
      <c r="J2742" s="92"/>
      <c r="K2742" s="203"/>
    </row>
    <row r="2743" spans="1:11">
      <c r="A2743" s="12"/>
      <c r="B2743" s="86"/>
      <c r="G2743" s="87"/>
      <c r="H2743" s="87"/>
      <c r="I2743" s="12"/>
      <c r="J2743" s="92"/>
      <c r="K2743" s="203"/>
    </row>
    <row r="2744" spans="1:11">
      <c r="A2744" s="12"/>
      <c r="B2744" s="86"/>
      <c r="G2744" s="87"/>
      <c r="H2744" s="87"/>
      <c r="I2744" s="12"/>
      <c r="J2744" s="92"/>
      <c r="K2744" s="203"/>
    </row>
    <row r="2745" spans="1:11">
      <c r="A2745" s="12"/>
      <c r="B2745" s="86"/>
      <c r="G2745" s="87"/>
      <c r="H2745" s="87"/>
      <c r="I2745" s="12"/>
      <c r="J2745" s="92"/>
      <c r="K2745" s="203"/>
    </row>
    <row r="2746" spans="1:11">
      <c r="A2746" s="12"/>
      <c r="B2746" s="86"/>
      <c r="G2746" s="87"/>
      <c r="H2746" s="87"/>
      <c r="I2746" s="12"/>
      <c r="J2746" s="92"/>
      <c r="K2746" s="203"/>
    </row>
    <row r="2747" spans="1:11">
      <c r="A2747" s="12"/>
      <c r="B2747" s="86"/>
      <c r="G2747" s="87"/>
      <c r="H2747" s="87"/>
      <c r="I2747" s="12"/>
      <c r="J2747" s="92"/>
      <c r="K2747" s="203"/>
    </row>
    <row r="2748" spans="1:11">
      <c r="A2748" s="12"/>
      <c r="B2748" s="86"/>
      <c r="G2748" s="87"/>
      <c r="H2748" s="87"/>
      <c r="I2748" s="12"/>
      <c r="J2748" s="92"/>
      <c r="K2748" s="203"/>
    </row>
    <row r="2749" spans="1:11">
      <c r="A2749" s="12"/>
      <c r="B2749" s="86"/>
      <c r="G2749" s="87"/>
      <c r="H2749" s="87"/>
      <c r="I2749" s="12"/>
      <c r="J2749" s="92"/>
      <c r="K2749" s="203"/>
    </row>
    <row r="2750" spans="1:11">
      <c r="A2750" s="12"/>
      <c r="B2750" s="86"/>
      <c r="G2750" s="87"/>
      <c r="H2750" s="87"/>
      <c r="I2750" s="12"/>
      <c r="J2750" s="92"/>
      <c r="K2750" s="203"/>
    </row>
    <row r="2751" spans="1:11">
      <c r="A2751" s="12"/>
      <c r="B2751" s="86"/>
      <c r="G2751" s="87"/>
      <c r="H2751" s="87"/>
      <c r="I2751" s="12"/>
      <c r="J2751" s="92"/>
      <c r="K2751" s="203"/>
    </row>
    <row r="2752" spans="1:11">
      <c r="A2752" s="12"/>
      <c r="B2752" s="86"/>
      <c r="G2752" s="87"/>
      <c r="H2752" s="87"/>
      <c r="I2752" s="12"/>
      <c r="J2752" s="92"/>
      <c r="K2752" s="203"/>
    </row>
    <row r="2753" spans="1:11">
      <c r="A2753" s="12"/>
      <c r="B2753" s="86"/>
      <c r="G2753" s="87"/>
      <c r="H2753" s="87"/>
      <c r="I2753" s="12"/>
      <c r="J2753" s="92"/>
      <c r="K2753" s="203"/>
    </row>
    <row r="2754" spans="1:11">
      <c r="A2754" s="12"/>
      <c r="B2754" s="86"/>
      <c r="G2754" s="87"/>
      <c r="H2754" s="87"/>
      <c r="I2754" s="12"/>
      <c r="J2754" s="92"/>
      <c r="K2754" s="203"/>
    </row>
    <row r="2755" spans="1:11">
      <c r="A2755" s="12"/>
      <c r="B2755" s="86"/>
      <c r="G2755" s="87"/>
      <c r="H2755" s="87"/>
      <c r="I2755" s="12"/>
      <c r="J2755" s="92"/>
      <c r="K2755" s="203"/>
    </row>
    <row r="2756" spans="1:11">
      <c r="A2756" s="12"/>
      <c r="B2756" s="86"/>
      <c r="G2756" s="87"/>
      <c r="H2756" s="87"/>
      <c r="I2756" s="12"/>
      <c r="J2756" s="92"/>
      <c r="K2756" s="203"/>
    </row>
    <row r="2757" spans="1:11">
      <c r="A2757" s="12"/>
      <c r="B2757" s="86"/>
      <c r="G2757" s="87"/>
      <c r="H2757" s="87"/>
      <c r="I2757" s="12"/>
      <c r="J2757" s="92"/>
      <c r="K2757" s="203"/>
    </row>
    <row r="2758" spans="1:11">
      <c r="A2758" s="12"/>
      <c r="B2758" s="86"/>
      <c r="G2758" s="87"/>
      <c r="H2758" s="87"/>
      <c r="I2758" s="12"/>
      <c r="J2758" s="92"/>
      <c r="K2758" s="203"/>
    </row>
    <row r="2759" spans="1:11">
      <c r="A2759" s="12"/>
      <c r="B2759" s="86"/>
      <c r="G2759" s="87"/>
      <c r="H2759" s="87"/>
      <c r="I2759" s="12"/>
      <c r="J2759" s="92"/>
      <c r="K2759" s="203"/>
    </row>
    <row r="2760" spans="1:11">
      <c r="A2760" s="12"/>
      <c r="B2760" s="86"/>
      <c r="G2760" s="87"/>
      <c r="H2760" s="87"/>
      <c r="I2760" s="12"/>
      <c r="J2760" s="92"/>
      <c r="K2760" s="203"/>
    </row>
    <row r="2761" spans="1:11">
      <c r="A2761" s="12"/>
      <c r="B2761" s="86"/>
      <c r="G2761" s="87"/>
      <c r="H2761" s="87"/>
      <c r="I2761" s="12"/>
      <c r="J2761" s="92"/>
      <c r="K2761" s="203"/>
    </row>
    <row r="2762" spans="1:11">
      <c r="A2762" s="12"/>
      <c r="B2762" s="86"/>
      <c r="G2762" s="87"/>
      <c r="H2762" s="87"/>
      <c r="I2762" s="12"/>
      <c r="J2762" s="92"/>
      <c r="K2762" s="203"/>
    </row>
    <row r="2763" spans="1:11">
      <c r="A2763" s="12"/>
      <c r="B2763" s="86"/>
      <c r="G2763" s="87"/>
      <c r="H2763" s="87"/>
      <c r="I2763" s="12"/>
      <c r="J2763" s="92"/>
      <c r="K2763" s="203"/>
    </row>
    <row r="2764" spans="1:11">
      <c r="A2764" s="12"/>
      <c r="B2764" s="86"/>
      <c r="G2764" s="87"/>
      <c r="H2764" s="87"/>
      <c r="I2764" s="12"/>
      <c r="J2764" s="92"/>
      <c r="K2764" s="203"/>
    </row>
    <row r="2765" spans="1:11">
      <c r="A2765" s="12"/>
      <c r="B2765" s="86"/>
      <c r="G2765" s="87"/>
      <c r="H2765" s="87"/>
      <c r="I2765" s="12"/>
      <c r="J2765" s="92"/>
      <c r="K2765" s="203"/>
    </row>
    <row r="2766" spans="1:11">
      <c r="A2766" s="12"/>
      <c r="B2766" s="86"/>
      <c r="G2766" s="87"/>
      <c r="H2766" s="87"/>
      <c r="I2766" s="12"/>
      <c r="J2766" s="92"/>
      <c r="K2766" s="203"/>
    </row>
    <row r="2767" spans="1:11">
      <c r="A2767" s="12"/>
      <c r="B2767" s="86"/>
      <c r="G2767" s="87"/>
      <c r="H2767" s="87"/>
      <c r="I2767" s="12"/>
      <c r="J2767" s="92"/>
      <c r="K2767" s="203"/>
    </row>
    <row r="2768" spans="1:11">
      <c r="A2768" s="12"/>
      <c r="B2768" s="86"/>
      <c r="G2768" s="87"/>
      <c r="H2768" s="87"/>
      <c r="I2768" s="12"/>
      <c r="J2768" s="92"/>
      <c r="K2768" s="203"/>
    </row>
    <row r="2769" spans="1:11">
      <c r="A2769" s="12"/>
      <c r="B2769" s="86"/>
      <c r="G2769" s="87"/>
      <c r="H2769" s="87"/>
      <c r="I2769" s="12"/>
      <c r="J2769" s="92"/>
      <c r="K2769" s="203"/>
    </row>
    <row r="2770" spans="1:11">
      <c r="A2770" s="12"/>
      <c r="B2770" s="86"/>
      <c r="G2770" s="87"/>
      <c r="H2770" s="87"/>
      <c r="I2770" s="12"/>
      <c r="J2770" s="92"/>
      <c r="K2770" s="203"/>
    </row>
    <row r="2771" spans="1:11">
      <c r="A2771" s="12"/>
      <c r="B2771" s="86"/>
      <c r="G2771" s="87"/>
      <c r="H2771" s="87"/>
      <c r="I2771" s="12"/>
      <c r="J2771" s="92"/>
      <c r="K2771" s="203"/>
    </row>
    <row r="2772" spans="1:11">
      <c r="A2772" s="12"/>
      <c r="B2772" s="86"/>
      <c r="G2772" s="87"/>
      <c r="H2772" s="87"/>
      <c r="I2772" s="12"/>
      <c r="J2772" s="92"/>
      <c r="K2772" s="203"/>
    </row>
    <row r="2773" spans="1:11">
      <c r="A2773" s="12"/>
      <c r="B2773" s="86"/>
      <c r="G2773" s="87"/>
      <c r="H2773" s="87"/>
      <c r="I2773" s="12"/>
      <c r="J2773" s="92"/>
      <c r="K2773" s="203"/>
    </row>
    <row r="2774" spans="1:11">
      <c r="A2774" s="12"/>
      <c r="B2774" s="86"/>
      <c r="G2774" s="87"/>
      <c r="H2774" s="87"/>
      <c r="I2774" s="12"/>
      <c r="J2774" s="92"/>
      <c r="K2774" s="203"/>
    </row>
    <row r="2775" spans="1:11">
      <c r="A2775" s="12"/>
      <c r="B2775" s="86"/>
      <c r="G2775" s="87"/>
      <c r="H2775" s="87"/>
      <c r="I2775" s="12"/>
      <c r="J2775" s="92"/>
      <c r="K2775" s="203"/>
    </row>
    <row r="2776" spans="1:11">
      <c r="A2776" s="12"/>
      <c r="B2776" s="86"/>
      <c r="G2776" s="87"/>
      <c r="H2776" s="87"/>
      <c r="I2776" s="12"/>
      <c r="J2776" s="92"/>
      <c r="K2776" s="203"/>
    </row>
    <row r="2777" spans="1:11">
      <c r="A2777" s="12"/>
      <c r="B2777" s="86"/>
      <c r="G2777" s="87"/>
      <c r="H2777" s="87"/>
      <c r="I2777" s="12"/>
      <c r="J2777" s="92"/>
      <c r="K2777" s="203"/>
    </row>
    <row r="2778" spans="1:11">
      <c r="A2778" s="12"/>
      <c r="B2778" s="86"/>
      <c r="G2778" s="87"/>
      <c r="H2778" s="87"/>
      <c r="I2778" s="12"/>
      <c r="J2778" s="92"/>
      <c r="K2778" s="203"/>
    </row>
    <row r="2779" spans="1:11">
      <c r="A2779" s="12"/>
      <c r="B2779" s="86"/>
      <c r="G2779" s="87"/>
      <c r="H2779" s="87"/>
      <c r="I2779" s="12"/>
      <c r="J2779" s="92"/>
      <c r="K2779" s="203"/>
    </row>
    <row r="2780" spans="1:11">
      <c r="A2780" s="12"/>
      <c r="B2780" s="86"/>
      <c r="G2780" s="87"/>
      <c r="H2780" s="87"/>
      <c r="I2780" s="12"/>
      <c r="J2780" s="92"/>
      <c r="K2780" s="203"/>
    </row>
    <row r="2781" spans="1:11">
      <c r="A2781" s="12"/>
      <c r="B2781" s="86"/>
      <c r="G2781" s="87"/>
      <c r="H2781" s="87"/>
      <c r="I2781" s="12"/>
      <c r="J2781" s="92"/>
      <c r="K2781" s="203"/>
    </row>
    <row r="2782" spans="1:11">
      <c r="A2782" s="12"/>
      <c r="B2782" s="86"/>
      <c r="G2782" s="87"/>
      <c r="H2782" s="87"/>
      <c r="I2782" s="12"/>
      <c r="J2782" s="92"/>
      <c r="K2782" s="203"/>
    </row>
    <row r="2783" spans="1:11">
      <c r="A2783" s="12"/>
      <c r="B2783" s="86"/>
      <c r="G2783" s="87"/>
      <c r="H2783" s="87"/>
      <c r="I2783" s="12"/>
      <c r="J2783" s="92"/>
      <c r="K2783" s="203"/>
    </row>
    <row r="2784" spans="1:11">
      <c r="A2784" s="12"/>
      <c r="B2784" s="86"/>
      <c r="G2784" s="87"/>
      <c r="H2784" s="87"/>
      <c r="I2784" s="12"/>
      <c r="J2784" s="92"/>
      <c r="K2784" s="203"/>
    </row>
    <row r="2785" spans="1:11">
      <c r="A2785" s="12"/>
      <c r="B2785" s="86"/>
      <c r="G2785" s="87"/>
      <c r="H2785" s="87"/>
      <c r="I2785" s="12"/>
      <c r="J2785" s="92"/>
      <c r="K2785" s="203"/>
    </row>
    <row r="2786" spans="1:11">
      <c r="A2786" s="12"/>
      <c r="B2786" s="86"/>
      <c r="G2786" s="87"/>
      <c r="H2786" s="87"/>
      <c r="I2786" s="12"/>
      <c r="J2786" s="92"/>
      <c r="K2786" s="203"/>
    </row>
    <row r="2787" spans="1:11">
      <c r="A2787" s="12"/>
      <c r="B2787" s="86"/>
      <c r="G2787" s="87"/>
      <c r="H2787" s="87"/>
      <c r="I2787" s="12"/>
      <c r="J2787" s="92"/>
      <c r="K2787" s="203"/>
    </row>
    <row r="2788" spans="1:11">
      <c r="A2788" s="12"/>
      <c r="B2788" s="86"/>
      <c r="G2788" s="87"/>
      <c r="H2788" s="87"/>
      <c r="I2788" s="12"/>
      <c r="J2788" s="92"/>
      <c r="K2788" s="203"/>
    </row>
    <row r="2789" spans="1:11">
      <c r="A2789" s="12"/>
      <c r="B2789" s="86"/>
      <c r="G2789" s="87"/>
      <c r="H2789" s="87"/>
      <c r="I2789" s="12"/>
      <c r="J2789" s="92"/>
      <c r="K2789" s="203"/>
    </row>
    <row r="2790" spans="1:11">
      <c r="A2790" s="12"/>
      <c r="B2790" s="86"/>
      <c r="G2790" s="87"/>
      <c r="H2790" s="87"/>
      <c r="I2790" s="12"/>
      <c r="J2790" s="92"/>
      <c r="K2790" s="203"/>
    </row>
    <row r="2791" spans="1:11">
      <c r="A2791" s="12"/>
      <c r="B2791" s="86"/>
      <c r="G2791" s="87"/>
      <c r="H2791" s="87"/>
      <c r="I2791" s="12"/>
      <c r="J2791" s="92"/>
      <c r="K2791" s="203"/>
    </row>
    <row r="2792" spans="1:11">
      <c r="A2792" s="12"/>
      <c r="B2792" s="86"/>
      <c r="G2792" s="87"/>
      <c r="H2792" s="87"/>
      <c r="I2792" s="12"/>
      <c r="J2792" s="92"/>
      <c r="K2792" s="203"/>
    </row>
    <row r="2793" spans="1:11">
      <c r="A2793" s="12"/>
      <c r="B2793" s="86"/>
      <c r="G2793" s="87"/>
      <c r="H2793" s="87"/>
      <c r="I2793" s="12"/>
      <c r="J2793" s="92"/>
      <c r="K2793" s="203"/>
    </row>
    <row r="2794" spans="1:11">
      <c r="A2794" s="12"/>
      <c r="B2794" s="86"/>
      <c r="G2794" s="87"/>
      <c r="H2794" s="87"/>
      <c r="I2794" s="12"/>
      <c r="J2794" s="92"/>
      <c r="K2794" s="203"/>
    </row>
    <row r="2795" spans="1:11">
      <c r="A2795" s="12"/>
      <c r="B2795" s="86"/>
      <c r="G2795" s="87"/>
      <c r="H2795" s="87"/>
      <c r="I2795" s="12"/>
      <c r="J2795" s="92"/>
      <c r="K2795" s="203"/>
    </row>
    <row r="2796" spans="1:11">
      <c r="A2796" s="12"/>
      <c r="B2796" s="86"/>
      <c r="G2796" s="87"/>
      <c r="H2796" s="87"/>
      <c r="I2796" s="12"/>
      <c r="J2796" s="92"/>
      <c r="K2796" s="203"/>
    </row>
    <row r="2797" spans="1:11">
      <c r="A2797" s="12"/>
      <c r="B2797" s="86"/>
      <c r="G2797" s="87"/>
      <c r="H2797" s="87"/>
      <c r="I2797" s="12"/>
      <c r="J2797" s="92"/>
      <c r="K2797" s="203"/>
    </row>
    <row r="2798" spans="1:11">
      <c r="A2798" s="12"/>
      <c r="B2798" s="86"/>
      <c r="G2798" s="87"/>
      <c r="H2798" s="87"/>
      <c r="I2798" s="12"/>
      <c r="J2798" s="92"/>
      <c r="K2798" s="203"/>
    </row>
    <row r="2799" spans="1:11">
      <c r="A2799" s="12"/>
      <c r="B2799" s="86"/>
      <c r="G2799" s="87"/>
      <c r="H2799" s="87"/>
      <c r="I2799" s="12"/>
      <c r="J2799" s="92"/>
      <c r="K2799" s="203"/>
    </row>
    <row r="2800" spans="1:11">
      <c r="A2800" s="12"/>
      <c r="B2800" s="86"/>
      <c r="G2800" s="87"/>
      <c r="H2800" s="87"/>
      <c r="I2800" s="12"/>
      <c r="J2800" s="92"/>
      <c r="K2800" s="203"/>
    </row>
    <row r="2801" spans="1:11">
      <c r="A2801" s="12"/>
      <c r="B2801" s="86"/>
      <c r="G2801" s="87"/>
      <c r="H2801" s="87"/>
      <c r="I2801" s="12"/>
      <c r="J2801" s="92"/>
      <c r="K2801" s="203"/>
    </row>
    <row r="2802" spans="1:11">
      <c r="A2802" s="12"/>
      <c r="B2802" s="86"/>
      <c r="G2802" s="87"/>
      <c r="H2802" s="87"/>
      <c r="I2802" s="12"/>
      <c r="J2802" s="92"/>
      <c r="K2802" s="203"/>
    </row>
    <row r="2803" spans="1:11">
      <c r="A2803" s="12"/>
      <c r="B2803" s="86"/>
      <c r="G2803" s="87"/>
      <c r="H2803" s="87"/>
      <c r="I2803" s="12"/>
      <c r="J2803" s="92"/>
      <c r="K2803" s="203"/>
    </row>
    <row r="2804" spans="1:11">
      <c r="A2804" s="12"/>
      <c r="B2804" s="86"/>
      <c r="G2804" s="87"/>
      <c r="H2804" s="87"/>
      <c r="I2804" s="12"/>
      <c r="J2804" s="92"/>
      <c r="K2804" s="203"/>
    </row>
    <row r="2805" spans="1:11">
      <c r="A2805" s="12"/>
      <c r="B2805" s="86"/>
      <c r="G2805" s="87"/>
      <c r="H2805" s="87"/>
      <c r="I2805" s="12"/>
      <c r="J2805" s="92"/>
      <c r="K2805" s="203"/>
    </row>
    <row r="2806" spans="1:11">
      <c r="A2806" s="12"/>
      <c r="B2806" s="86"/>
      <c r="G2806" s="87"/>
      <c r="H2806" s="87"/>
      <c r="I2806" s="12"/>
      <c r="J2806" s="92"/>
      <c r="K2806" s="203"/>
    </row>
    <row r="2807" spans="1:11">
      <c r="A2807" s="12"/>
      <c r="B2807" s="86"/>
      <c r="G2807" s="87"/>
      <c r="H2807" s="87"/>
      <c r="I2807" s="12"/>
      <c r="J2807" s="92"/>
      <c r="K2807" s="203"/>
    </row>
    <row r="2808" spans="1:11">
      <c r="A2808" s="12"/>
      <c r="B2808" s="86"/>
      <c r="G2808" s="87"/>
      <c r="H2808" s="87"/>
      <c r="I2808" s="12"/>
      <c r="J2808" s="92"/>
      <c r="K2808" s="203"/>
    </row>
    <row r="2809" spans="1:11">
      <c r="A2809" s="12"/>
      <c r="B2809" s="86"/>
      <c r="G2809" s="87"/>
      <c r="H2809" s="87"/>
      <c r="I2809" s="12"/>
      <c r="J2809" s="92"/>
      <c r="K2809" s="203"/>
    </row>
    <row r="2810" spans="1:11">
      <c r="A2810" s="12"/>
      <c r="B2810" s="86"/>
      <c r="G2810" s="87"/>
      <c r="H2810" s="87"/>
      <c r="I2810" s="12"/>
      <c r="J2810" s="92"/>
      <c r="K2810" s="203"/>
    </row>
    <row r="2811" spans="1:11">
      <c r="A2811" s="12"/>
      <c r="B2811" s="86"/>
      <c r="G2811" s="87"/>
      <c r="H2811" s="87"/>
      <c r="I2811" s="12"/>
      <c r="J2811" s="92"/>
      <c r="K2811" s="203"/>
    </row>
    <row r="2812" spans="1:11">
      <c r="A2812" s="12"/>
      <c r="B2812" s="86"/>
      <c r="G2812" s="87"/>
      <c r="H2812" s="87"/>
      <c r="I2812" s="12"/>
      <c r="J2812" s="92"/>
      <c r="K2812" s="203"/>
    </row>
    <row r="2813" spans="1:11">
      <c r="A2813" s="12"/>
      <c r="B2813" s="86"/>
      <c r="G2813" s="87"/>
      <c r="H2813" s="87"/>
      <c r="I2813" s="12"/>
      <c r="J2813" s="92"/>
      <c r="K2813" s="203"/>
    </row>
    <row r="2814" spans="1:11">
      <c r="A2814" s="12"/>
      <c r="B2814" s="86"/>
      <c r="G2814" s="87"/>
      <c r="H2814" s="87"/>
      <c r="I2814" s="12"/>
      <c r="J2814" s="92"/>
      <c r="K2814" s="203"/>
    </row>
    <row r="2815" spans="1:11">
      <c r="A2815" s="12"/>
      <c r="B2815" s="86"/>
      <c r="G2815" s="87"/>
      <c r="H2815" s="87"/>
      <c r="I2815" s="12"/>
      <c r="J2815" s="92"/>
      <c r="K2815" s="203"/>
    </row>
    <row r="2816" spans="1:11">
      <c r="A2816" s="12"/>
      <c r="B2816" s="86"/>
      <c r="G2816" s="87"/>
      <c r="H2816" s="87"/>
      <c r="I2816" s="12"/>
      <c r="J2816" s="92"/>
      <c r="K2816" s="203"/>
    </row>
    <row r="2817" spans="1:11">
      <c r="A2817" s="12"/>
      <c r="B2817" s="86"/>
      <c r="G2817" s="87"/>
      <c r="H2817" s="87"/>
      <c r="I2817" s="12"/>
      <c r="J2817" s="92"/>
      <c r="K2817" s="203"/>
    </row>
    <row r="2818" spans="1:11">
      <c r="A2818" s="12"/>
      <c r="B2818" s="86"/>
      <c r="G2818" s="87"/>
      <c r="H2818" s="87"/>
      <c r="I2818" s="12"/>
      <c r="J2818" s="92"/>
      <c r="K2818" s="203"/>
    </row>
    <row r="2819" spans="1:11">
      <c r="A2819" s="12"/>
      <c r="B2819" s="86"/>
      <c r="G2819" s="87"/>
      <c r="H2819" s="87"/>
      <c r="I2819" s="12"/>
      <c r="J2819" s="92"/>
      <c r="K2819" s="203"/>
    </row>
    <row r="2820" spans="1:11">
      <c r="A2820" s="12"/>
      <c r="B2820" s="86"/>
      <c r="G2820" s="87"/>
      <c r="H2820" s="87"/>
      <c r="I2820" s="12"/>
      <c r="J2820" s="92"/>
      <c r="K2820" s="203"/>
    </row>
    <row r="2821" spans="1:11">
      <c r="A2821" s="12"/>
      <c r="B2821" s="86"/>
      <c r="G2821" s="87"/>
      <c r="H2821" s="87"/>
      <c r="I2821" s="12"/>
      <c r="J2821" s="92"/>
      <c r="K2821" s="203"/>
    </row>
    <row r="2822" spans="1:11">
      <c r="A2822" s="12"/>
      <c r="B2822" s="86"/>
      <c r="G2822" s="87"/>
      <c r="H2822" s="87"/>
      <c r="I2822" s="12"/>
      <c r="J2822" s="92"/>
      <c r="K2822" s="203"/>
    </row>
    <row r="2823" spans="1:11">
      <c r="A2823" s="12"/>
      <c r="B2823" s="86"/>
      <c r="G2823" s="87"/>
      <c r="H2823" s="87"/>
      <c r="I2823" s="12"/>
      <c r="J2823" s="92"/>
      <c r="K2823" s="203"/>
    </row>
    <row r="2824" spans="1:11">
      <c r="A2824" s="12"/>
      <c r="B2824" s="86"/>
      <c r="G2824" s="87"/>
      <c r="H2824" s="87"/>
      <c r="I2824" s="12"/>
      <c r="J2824" s="92"/>
      <c r="K2824" s="203"/>
    </row>
    <row r="2825" spans="1:11">
      <c r="A2825" s="12"/>
      <c r="B2825" s="86"/>
      <c r="G2825" s="87"/>
      <c r="H2825" s="87"/>
      <c r="I2825" s="12"/>
      <c r="J2825" s="92"/>
      <c r="K2825" s="203"/>
    </row>
    <row r="2826" spans="1:11">
      <c r="A2826" s="12"/>
      <c r="B2826" s="86"/>
      <c r="G2826" s="87"/>
      <c r="H2826" s="87"/>
      <c r="I2826" s="12"/>
      <c r="J2826" s="92"/>
      <c r="K2826" s="203"/>
    </row>
    <row r="2827" spans="1:11">
      <c r="A2827" s="12"/>
      <c r="B2827" s="86"/>
      <c r="G2827" s="87"/>
      <c r="H2827" s="87"/>
      <c r="I2827" s="12"/>
      <c r="J2827" s="92"/>
      <c r="K2827" s="203"/>
    </row>
    <row r="2828" spans="1:11">
      <c r="A2828" s="12"/>
      <c r="B2828" s="86"/>
      <c r="G2828" s="87"/>
      <c r="H2828" s="87"/>
      <c r="I2828" s="12"/>
      <c r="J2828" s="92"/>
      <c r="K2828" s="203"/>
    </row>
    <row r="2829" spans="1:11">
      <c r="A2829" s="12"/>
      <c r="B2829" s="86"/>
      <c r="G2829" s="87"/>
      <c r="H2829" s="87"/>
      <c r="I2829" s="12"/>
      <c r="J2829" s="92"/>
      <c r="K2829" s="203"/>
    </row>
    <row r="2830" spans="1:11">
      <c r="A2830" s="12"/>
      <c r="B2830" s="86"/>
      <c r="G2830" s="87"/>
      <c r="H2830" s="87"/>
      <c r="I2830" s="12"/>
      <c r="J2830" s="92"/>
      <c r="K2830" s="203"/>
    </row>
    <row r="2831" spans="1:11">
      <c r="A2831" s="12"/>
      <c r="B2831" s="86"/>
      <c r="G2831" s="87"/>
      <c r="H2831" s="87"/>
      <c r="I2831" s="12"/>
      <c r="J2831" s="92"/>
      <c r="K2831" s="203"/>
    </row>
    <row r="2832" spans="1:11">
      <c r="A2832" s="12"/>
      <c r="B2832" s="86"/>
      <c r="G2832" s="87"/>
      <c r="H2832" s="87"/>
      <c r="I2832" s="12"/>
      <c r="J2832" s="92"/>
      <c r="K2832" s="203"/>
    </row>
    <row r="2833" spans="1:11">
      <c r="A2833" s="12"/>
      <c r="B2833" s="86"/>
      <c r="G2833" s="87"/>
      <c r="H2833" s="87"/>
      <c r="I2833" s="12"/>
      <c r="J2833" s="92"/>
      <c r="K2833" s="203"/>
    </row>
    <row r="2834" spans="1:11">
      <c r="A2834" s="12"/>
      <c r="B2834" s="86"/>
      <c r="G2834" s="87"/>
      <c r="H2834" s="87"/>
      <c r="I2834" s="12"/>
      <c r="J2834" s="92"/>
      <c r="K2834" s="203"/>
    </row>
    <row r="2835" spans="1:11">
      <c r="A2835" s="12"/>
      <c r="B2835" s="86"/>
      <c r="G2835" s="87"/>
      <c r="H2835" s="87"/>
      <c r="I2835" s="12"/>
      <c r="J2835" s="92"/>
      <c r="K2835" s="203"/>
    </row>
    <row r="2836" spans="1:11">
      <c r="A2836" s="12"/>
      <c r="B2836" s="86"/>
      <c r="G2836" s="87"/>
      <c r="H2836" s="87"/>
      <c r="I2836" s="12"/>
      <c r="J2836" s="92"/>
      <c r="K2836" s="203"/>
    </row>
    <row r="2837" spans="1:11">
      <c r="A2837" s="12"/>
      <c r="B2837" s="86"/>
      <c r="G2837" s="87"/>
      <c r="H2837" s="87"/>
      <c r="I2837" s="12"/>
      <c r="J2837" s="92"/>
      <c r="K2837" s="203"/>
    </row>
    <row r="2838" spans="1:11">
      <c r="A2838" s="12"/>
      <c r="B2838" s="86"/>
      <c r="G2838" s="87"/>
      <c r="H2838" s="87"/>
      <c r="I2838" s="12"/>
      <c r="J2838" s="92"/>
      <c r="K2838" s="203"/>
    </row>
    <row r="2839" spans="1:11">
      <c r="A2839" s="12"/>
      <c r="B2839" s="86"/>
      <c r="G2839" s="87"/>
      <c r="H2839" s="87"/>
      <c r="I2839" s="12"/>
      <c r="J2839" s="92"/>
      <c r="K2839" s="203"/>
    </row>
    <row r="2840" spans="1:11">
      <c r="A2840" s="12"/>
      <c r="B2840" s="86"/>
      <c r="G2840" s="87"/>
      <c r="H2840" s="87"/>
      <c r="I2840" s="12"/>
      <c r="J2840" s="92"/>
      <c r="K2840" s="203"/>
    </row>
    <row r="2841" spans="1:11">
      <c r="A2841" s="12"/>
      <c r="B2841" s="86"/>
      <c r="G2841" s="87"/>
      <c r="H2841" s="87"/>
      <c r="I2841" s="12"/>
      <c r="J2841" s="92"/>
      <c r="K2841" s="203"/>
    </row>
    <row r="2842" spans="1:11">
      <c r="A2842" s="12"/>
      <c r="B2842" s="86"/>
      <c r="G2842" s="87"/>
      <c r="H2842" s="87"/>
      <c r="I2842" s="12"/>
      <c r="J2842" s="92"/>
      <c r="K2842" s="203"/>
    </row>
    <row r="2843" spans="1:11">
      <c r="A2843" s="12"/>
      <c r="B2843" s="86"/>
      <c r="G2843" s="87"/>
      <c r="H2843" s="87"/>
      <c r="I2843" s="12"/>
      <c r="J2843" s="92"/>
      <c r="K2843" s="203"/>
    </row>
    <row r="2844" spans="1:11">
      <c r="A2844" s="12"/>
      <c r="B2844" s="86"/>
      <c r="G2844" s="87"/>
      <c r="H2844" s="87"/>
      <c r="I2844" s="12"/>
      <c r="J2844" s="92"/>
      <c r="K2844" s="203"/>
    </row>
    <row r="2845" spans="1:11">
      <c r="A2845" s="12"/>
      <c r="B2845" s="86"/>
      <c r="G2845" s="87"/>
      <c r="H2845" s="87"/>
      <c r="I2845" s="12"/>
      <c r="J2845" s="92"/>
      <c r="K2845" s="203"/>
    </row>
    <row r="2846" spans="1:11">
      <c r="A2846" s="12"/>
      <c r="B2846" s="86"/>
      <c r="G2846" s="87"/>
      <c r="H2846" s="87"/>
      <c r="I2846" s="12"/>
      <c r="J2846" s="92"/>
      <c r="K2846" s="203"/>
    </row>
    <row r="2847" spans="1:11">
      <c r="A2847" s="12"/>
      <c r="B2847" s="86"/>
      <c r="G2847" s="87"/>
      <c r="H2847" s="87"/>
      <c r="I2847" s="12"/>
      <c r="J2847" s="92"/>
      <c r="K2847" s="203"/>
    </row>
    <row r="2848" spans="1:11">
      <c r="A2848" s="12"/>
      <c r="B2848" s="86"/>
      <c r="G2848" s="87"/>
      <c r="H2848" s="87"/>
      <c r="I2848" s="12"/>
      <c r="J2848" s="92"/>
      <c r="K2848" s="203"/>
    </row>
    <row r="2849" spans="1:11">
      <c r="A2849" s="12"/>
      <c r="B2849" s="86"/>
      <c r="G2849" s="87"/>
      <c r="H2849" s="87"/>
      <c r="I2849" s="12"/>
      <c r="J2849" s="92"/>
      <c r="K2849" s="203"/>
    </row>
    <row r="2850" spans="1:11">
      <c r="A2850" s="12"/>
      <c r="B2850" s="86"/>
      <c r="G2850" s="87"/>
      <c r="H2850" s="87"/>
      <c r="I2850" s="12"/>
      <c r="J2850" s="92"/>
      <c r="K2850" s="203"/>
    </row>
    <row r="2851" spans="1:11">
      <c r="A2851" s="12"/>
      <c r="B2851" s="86"/>
      <c r="G2851" s="87"/>
      <c r="H2851" s="87"/>
      <c r="I2851" s="12"/>
      <c r="J2851" s="92"/>
      <c r="K2851" s="203"/>
    </row>
    <row r="2852" spans="1:11">
      <c r="A2852" s="12"/>
      <c r="B2852" s="86"/>
      <c r="G2852" s="87"/>
      <c r="H2852" s="87"/>
      <c r="I2852" s="12"/>
      <c r="J2852" s="92"/>
      <c r="K2852" s="203"/>
    </row>
    <row r="2853" spans="1:11">
      <c r="A2853" s="12"/>
      <c r="B2853" s="86"/>
      <c r="G2853" s="87"/>
      <c r="H2853" s="87"/>
      <c r="I2853" s="12"/>
      <c r="J2853" s="92"/>
      <c r="K2853" s="203"/>
    </row>
    <row r="2854" spans="1:11">
      <c r="A2854" s="12"/>
      <c r="B2854" s="86"/>
      <c r="G2854" s="87"/>
      <c r="H2854" s="87"/>
      <c r="I2854" s="12"/>
      <c r="J2854" s="92"/>
      <c r="K2854" s="203"/>
    </row>
    <row r="2855" spans="1:11">
      <c r="A2855" s="12"/>
      <c r="B2855" s="86"/>
      <c r="G2855" s="87"/>
      <c r="H2855" s="87"/>
      <c r="I2855" s="12"/>
      <c r="J2855" s="92"/>
      <c r="K2855" s="203"/>
    </row>
    <row r="2856" spans="1:11">
      <c r="A2856" s="12"/>
      <c r="B2856" s="86"/>
      <c r="G2856" s="87"/>
      <c r="H2856" s="87"/>
      <c r="I2856" s="12"/>
      <c r="J2856" s="92"/>
      <c r="K2856" s="203"/>
    </row>
    <row r="2857" spans="1:11">
      <c r="A2857" s="12"/>
      <c r="B2857" s="86"/>
      <c r="G2857" s="87"/>
      <c r="H2857" s="87"/>
      <c r="I2857" s="12"/>
      <c r="J2857" s="92"/>
      <c r="K2857" s="203"/>
    </row>
    <row r="2858" spans="1:11">
      <c r="A2858" s="12"/>
      <c r="B2858" s="86"/>
      <c r="G2858" s="87"/>
      <c r="H2858" s="87"/>
      <c r="I2858" s="12"/>
      <c r="J2858" s="92"/>
      <c r="K2858" s="203"/>
    </row>
    <row r="2859" spans="1:11">
      <c r="A2859" s="12"/>
      <c r="B2859" s="86"/>
      <c r="G2859" s="87"/>
      <c r="H2859" s="87"/>
      <c r="I2859" s="12"/>
      <c r="J2859" s="92"/>
      <c r="K2859" s="203"/>
    </row>
    <row r="2860" spans="1:11">
      <c r="A2860" s="12"/>
      <c r="B2860" s="86"/>
      <c r="G2860" s="87"/>
      <c r="H2860" s="87"/>
      <c r="I2860" s="12"/>
      <c r="J2860" s="92"/>
      <c r="K2860" s="203"/>
    </row>
    <row r="2861" spans="1:11">
      <c r="A2861" s="12"/>
      <c r="B2861" s="86"/>
      <c r="G2861" s="87"/>
      <c r="H2861" s="87"/>
      <c r="I2861" s="12"/>
      <c r="J2861" s="92"/>
      <c r="K2861" s="203"/>
    </row>
    <row r="2862" spans="1:11">
      <c r="A2862" s="12"/>
      <c r="B2862" s="86"/>
      <c r="G2862" s="87"/>
      <c r="H2862" s="87"/>
      <c r="I2862" s="12"/>
      <c r="J2862" s="92"/>
      <c r="K2862" s="203"/>
    </row>
    <row r="2863" spans="1:11">
      <c r="A2863" s="12"/>
      <c r="B2863" s="86"/>
      <c r="G2863" s="87"/>
      <c r="H2863" s="87"/>
      <c r="I2863" s="12"/>
      <c r="J2863" s="92"/>
      <c r="K2863" s="203"/>
    </row>
    <row r="2864" spans="1:11">
      <c r="A2864" s="12"/>
      <c r="B2864" s="86"/>
      <c r="G2864" s="87"/>
      <c r="H2864" s="87"/>
      <c r="I2864" s="12"/>
      <c r="J2864" s="92"/>
      <c r="K2864" s="203"/>
    </row>
    <row r="2865" spans="1:11">
      <c r="A2865" s="12"/>
      <c r="B2865" s="86"/>
      <c r="G2865" s="87"/>
      <c r="H2865" s="87"/>
      <c r="I2865" s="12"/>
      <c r="J2865" s="92"/>
      <c r="K2865" s="203"/>
    </row>
    <row r="2866" spans="1:11">
      <c r="A2866" s="12"/>
      <c r="B2866" s="86"/>
      <c r="G2866" s="87"/>
      <c r="H2866" s="87"/>
      <c r="I2866" s="12"/>
      <c r="J2866" s="92"/>
      <c r="K2866" s="203"/>
    </row>
    <row r="2867" spans="1:11">
      <c r="A2867" s="12"/>
      <c r="B2867" s="86"/>
      <c r="G2867" s="87"/>
      <c r="H2867" s="87"/>
      <c r="I2867" s="12"/>
      <c r="J2867" s="92"/>
      <c r="K2867" s="203"/>
    </row>
    <row r="2868" spans="1:11">
      <c r="A2868" s="12"/>
      <c r="B2868" s="86"/>
      <c r="G2868" s="87"/>
      <c r="H2868" s="87"/>
      <c r="I2868" s="12"/>
      <c r="J2868" s="92"/>
      <c r="K2868" s="203"/>
    </row>
    <row r="2869" spans="1:11">
      <c r="A2869" s="12"/>
      <c r="B2869" s="86"/>
      <c r="G2869" s="87"/>
      <c r="H2869" s="87"/>
      <c r="I2869" s="12"/>
      <c r="J2869" s="92"/>
      <c r="K2869" s="203"/>
    </row>
    <row r="2870" spans="1:11">
      <c r="A2870" s="12"/>
      <c r="B2870" s="86"/>
      <c r="G2870" s="87"/>
      <c r="H2870" s="87"/>
      <c r="I2870" s="12"/>
      <c r="J2870" s="92"/>
      <c r="K2870" s="203"/>
    </row>
    <row r="2871" spans="1:11">
      <c r="A2871" s="12"/>
      <c r="B2871" s="86"/>
      <c r="G2871" s="87"/>
      <c r="H2871" s="87"/>
      <c r="I2871" s="12"/>
      <c r="J2871" s="92"/>
      <c r="K2871" s="203"/>
    </row>
    <row r="2872" spans="1:11">
      <c r="A2872" s="12"/>
      <c r="B2872" s="86"/>
      <c r="G2872" s="87"/>
      <c r="H2872" s="87"/>
      <c r="I2872" s="12"/>
      <c r="J2872" s="92"/>
      <c r="K2872" s="203"/>
    </row>
    <row r="2873" spans="1:11">
      <c r="A2873" s="12"/>
      <c r="B2873" s="86"/>
      <c r="G2873" s="87"/>
      <c r="H2873" s="87"/>
      <c r="I2873" s="12"/>
      <c r="J2873" s="92"/>
      <c r="K2873" s="203"/>
    </row>
    <row r="2874" spans="1:11">
      <c r="A2874" s="12"/>
      <c r="B2874" s="86"/>
      <c r="G2874" s="87"/>
      <c r="H2874" s="87"/>
      <c r="I2874" s="12"/>
      <c r="J2874" s="92"/>
      <c r="K2874" s="203"/>
    </row>
    <row r="2875" spans="1:11">
      <c r="A2875" s="12"/>
      <c r="B2875" s="86"/>
      <c r="G2875" s="87"/>
      <c r="H2875" s="87"/>
      <c r="I2875" s="12"/>
      <c r="J2875" s="92"/>
      <c r="K2875" s="203"/>
    </row>
    <row r="2876" spans="1:11">
      <c r="A2876" s="12"/>
      <c r="B2876" s="86"/>
      <c r="G2876" s="87"/>
      <c r="H2876" s="87"/>
      <c r="I2876" s="12"/>
      <c r="J2876" s="92"/>
      <c r="K2876" s="203"/>
    </row>
    <row r="2877" spans="1:11">
      <c r="A2877" s="12"/>
      <c r="B2877" s="86"/>
      <c r="G2877" s="87"/>
      <c r="H2877" s="87"/>
      <c r="I2877" s="12"/>
      <c r="J2877" s="92"/>
      <c r="K2877" s="203"/>
    </row>
    <row r="2878" spans="1:11">
      <c r="A2878" s="12"/>
      <c r="B2878" s="86"/>
      <c r="G2878" s="87"/>
      <c r="H2878" s="87"/>
      <c r="I2878" s="12"/>
      <c r="J2878" s="92"/>
      <c r="K2878" s="203"/>
    </row>
    <row r="2879" spans="1:11">
      <c r="A2879" s="12"/>
      <c r="B2879" s="86"/>
      <c r="G2879" s="87"/>
      <c r="H2879" s="87"/>
      <c r="I2879" s="12"/>
      <c r="J2879" s="92"/>
      <c r="K2879" s="203"/>
    </row>
    <row r="2880" spans="1:11">
      <c r="A2880" s="12"/>
      <c r="B2880" s="86"/>
      <c r="G2880" s="87"/>
      <c r="H2880" s="87"/>
      <c r="I2880" s="12"/>
      <c r="J2880" s="92"/>
      <c r="K2880" s="203"/>
    </row>
    <row r="2881" spans="1:11">
      <c r="A2881" s="12"/>
      <c r="B2881" s="86"/>
      <c r="G2881" s="87"/>
      <c r="H2881" s="87"/>
      <c r="I2881" s="12"/>
      <c r="J2881" s="92"/>
      <c r="K2881" s="203"/>
    </row>
    <row r="2882" spans="1:11">
      <c r="A2882" s="12"/>
      <c r="B2882" s="86"/>
      <c r="G2882" s="87"/>
      <c r="H2882" s="87"/>
      <c r="I2882" s="12"/>
      <c r="J2882" s="92"/>
      <c r="K2882" s="203"/>
    </row>
    <row r="2883" spans="1:11">
      <c r="A2883" s="12"/>
      <c r="B2883" s="86"/>
      <c r="G2883" s="87"/>
      <c r="H2883" s="87"/>
      <c r="I2883" s="12"/>
      <c r="J2883" s="92"/>
      <c r="K2883" s="203"/>
    </row>
    <row r="2884" spans="1:11">
      <c r="A2884" s="12"/>
      <c r="B2884" s="86"/>
      <c r="G2884" s="87"/>
      <c r="H2884" s="87"/>
      <c r="I2884" s="12"/>
      <c r="J2884" s="92"/>
      <c r="K2884" s="203"/>
    </row>
    <row r="2885" spans="1:11">
      <c r="A2885" s="12"/>
      <c r="B2885" s="86"/>
      <c r="G2885" s="87"/>
      <c r="H2885" s="87"/>
      <c r="I2885" s="12"/>
      <c r="J2885" s="92"/>
      <c r="K2885" s="203"/>
    </row>
    <row r="2886" spans="1:11">
      <c r="A2886" s="12"/>
      <c r="B2886" s="86"/>
      <c r="G2886" s="87"/>
      <c r="H2886" s="87"/>
      <c r="I2886" s="12"/>
      <c r="J2886" s="92"/>
      <c r="K2886" s="203"/>
    </row>
    <row r="2887" spans="1:11">
      <c r="A2887" s="12"/>
      <c r="B2887" s="86"/>
      <c r="G2887" s="87"/>
      <c r="H2887" s="87"/>
      <c r="I2887" s="12"/>
      <c r="J2887" s="92"/>
      <c r="K2887" s="203"/>
    </row>
    <row r="2888" spans="1:11">
      <c r="A2888" s="12"/>
      <c r="B2888" s="86"/>
      <c r="G2888" s="87"/>
      <c r="H2888" s="87"/>
      <c r="I2888" s="12"/>
      <c r="J2888" s="92"/>
      <c r="K2888" s="203"/>
    </row>
    <row r="2889" spans="1:11">
      <c r="A2889" s="12"/>
      <c r="B2889" s="86"/>
      <c r="G2889" s="87"/>
      <c r="H2889" s="87"/>
      <c r="I2889" s="12"/>
      <c r="J2889" s="92"/>
      <c r="K2889" s="203"/>
    </row>
    <row r="2890" spans="1:11">
      <c r="A2890" s="12"/>
      <c r="B2890" s="86"/>
      <c r="G2890" s="87"/>
      <c r="H2890" s="87"/>
      <c r="I2890" s="12"/>
      <c r="J2890" s="92"/>
      <c r="K2890" s="203"/>
    </row>
    <row r="2891" spans="1:11">
      <c r="A2891" s="12"/>
      <c r="B2891" s="86"/>
      <c r="G2891" s="87"/>
      <c r="H2891" s="87"/>
      <c r="I2891" s="12"/>
      <c r="J2891" s="92"/>
      <c r="K2891" s="203"/>
    </row>
    <row r="2892" spans="1:11">
      <c r="A2892" s="12"/>
      <c r="B2892" s="86"/>
      <c r="G2892" s="87"/>
      <c r="H2892" s="87"/>
      <c r="I2892" s="12"/>
      <c r="J2892" s="92"/>
      <c r="K2892" s="203"/>
    </row>
    <row r="2893" spans="1:11">
      <c r="A2893" s="12"/>
      <c r="B2893" s="86"/>
      <c r="G2893" s="87"/>
      <c r="H2893" s="87"/>
      <c r="I2893" s="12"/>
      <c r="J2893" s="92"/>
      <c r="K2893" s="203"/>
    </row>
    <row r="2894" spans="1:11">
      <c r="A2894" s="12"/>
      <c r="B2894" s="86"/>
      <c r="G2894" s="87"/>
      <c r="H2894" s="87"/>
      <c r="I2894" s="12"/>
      <c r="J2894" s="92"/>
      <c r="K2894" s="203"/>
    </row>
    <row r="2895" spans="1:11">
      <c r="A2895" s="12"/>
      <c r="B2895" s="86"/>
      <c r="G2895" s="87"/>
      <c r="H2895" s="87"/>
      <c r="I2895" s="12"/>
      <c r="J2895" s="92"/>
      <c r="K2895" s="203"/>
    </row>
    <row r="2896" spans="1:11">
      <c r="A2896" s="12"/>
      <c r="B2896" s="86"/>
      <c r="G2896" s="87"/>
      <c r="H2896" s="87"/>
      <c r="I2896" s="12"/>
      <c r="J2896" s="92"/>
      <c r="K2896" s="203"/>
    </row>
    <row r="2897" spans="1:11">
      <c r="A2897" s="12"/>
      <c r="B2897" s="86"/>
      <c r="G2897" s="87"/>
      <c r="H2897" s="87"/>
      <c r="I2897" s="12"/>
      <c r="J2897" s="92"/>
      <c r="K2897" s="203"/>
    </row>
    <row r="2898" spans="1:11">
      <c r="A2898" s="12"/>
      <c r="B2898" s="86"/>
      <c r="G2898" s="87"/>
      <c r="H2898" s="87"/>
      <c r="I2898" s="12"/>
      <c r="J2898" s="92"/>
      <c r="K2898" s="203"/>
    </row>
    <row r="2899" spans="1:11">
      <c r="A2899" s="12"/>
      <c r="B2899" s="86"/>
      <c r="G2899" s="87"/>
      <c r="H2899" s="87"/>
      <c r="I2899" s="12"/>
      <c r="J2899" s="92"/>
      <c r="K2899" s="203"/>
    </row>
    <row r="2900" spans="1:11">
      <c r="A2900" s="12"/>
      <c r="B2900" s="86"/>
      <c r="G2900" s="87"/>
      <c r="H2900" s="87"/>
      <c r="I2900" s="12"/>
      <c r="J2900" s="92"/>
      <c r="K2900" s="203"/>
    </row>
    <row r="2901" spans="1:11">
      <c r="A2901" s="12"/>
      <c r="B2901" s="86"/>
      <c r="G2901" s="87"/>
      <c r="H2901" s="87"/>
      <c r="I2901" s="12"/>
      <c r="J2901" s="92"/>
      <c r="K2901" s="203"/>
    </row>
    <row r="2902" spans="1:11">
      <c r="A2902" s="12"/>
      <c r="B2902" s="86"/>
      <c r="G2902" s="87"/>
      <c r="H2902" s="87"/>
      <c r="I2902" s="12"/>
      <c r="J2902" s="92"/>
      <c r="K2902" s="203"/>
    </row>
    <row r="2903" spans="1:11">
      <c r="A2903" s="12"/>
      <c r="B2903" s="86"/>
      <c r="G2903" s="87"/>
      <c r="H2903" s="87"/>
      <c r="I2903" s="12"/>
      <c r="J2903" s="92"/>
      <c r="K2903" s="203"/>
    </row>
    <row r="2904" spans="1:11">
      <c r="A2904" s="12"/>
      <c r="B2904" s="86"/>
      <c r="G2904" s="87"/>
      <c r="H2904" s="87"/>
      <c r="I2904" s="12"/>
      <c r="J2904" s="92"/>
      <c r="K2904" s="203"/>
    </row>
    <row r="2905" spans="1:11">
      <c r="A2905" s="12"/>
      <c r="B2905" s="86"/>
      <c r="G2905" s="87"/>
      <c r="H2905" s="87"/>
      <c r="I2905" s="12"/>
      <c r="J2905" s="92"/>
      <c r="K2905" s="203"/>
    </row>
    <row r="2906" spans="1:11">
      <c r="A2906" s="12"/>
      <c r="B2906" s="86"/>
      <c r="G2906" s="87"/>
      <c r="H2906" s="87"/>
      <c r="I2906" s="12"/>
      <c r="J2906" s="92"/>
      <c r="K2906" s="203"/>
    </row>
    <row r="2907" spans="1:11">
      <c r="A2907" s="12"/>
      <c r="B2907" s="86"/>
      <c r="G2907" s="87"/>
      <c r="H2907" s="87"/>
      <c r="I2907" s="12"/>
      <c r="J2907" s="92"/>
      <c r="K2907" s="203"/>
    </row>
    <row r="2908" spans="1:11">
      <c r="A2908" s="12"/>
      <c r="B2908" s="86"/>
      <c r="G2908" s="87"/>
      <c r="H2908" s="87"/>
      <c r="I2908" s="12"/>
      <c r="J2908" s="92"/>
      <c r="K2908" s="203"/>
    </row>
    <row r="2909" spans="1:11">
      <c r="A2909" s="12"/>
      <c r="B2909" s="86"/>
      <c r="G2909" s="87"/>
      <c r="H2909" s="87"/>
      <c r="I2909" s="12"/>
      <c r="J2909" s="92"/>
      <c r="K2909" s="203"/>
    </row>
    <row r="2910" spans="1:11">
      <c r="A2910" s="12"/>
      <c r="B2910" s="86"/>
      <c r="G2910" s="87"/>
      <c r="H2910" s="87"/>
      <c r="I2910" s="12"/>
      <c r="J2910" s="92"/>
      <c r="K2910" s="203"/>
    </row>
    <row r="2911" spans="1:11">
      <c r="A2911" s="12"/>
      <c r="B2911" s="86"/>
      <c r="G2911" s="87"/>
      <c r="H2911" s="87"/>
      <c r="I2911" s="12"/>
      <c r="J2911" s="92"/>
      <c r="K2911" s="203"/>
    </row>
    <row r="2912" spans="1:11">
      <c r="A2912" s="12"/>
      <c r="B2912" s="86"/>
      <c r="G2912" s="87"/>
      <c r="H2912" s="87"/>
      <c r="I2912" s="12"/>
      <c r="J2912" s="92"/>
      <c r="K2912" s="203"/>
    </row>
    <row r="2913" spans="1:11">
      <c r="A2913" s="12"/>
      <c r="B2913" s="86"/>
      <c r="G2913" s="87"/>
      <c r="H2913" s="87"/>
      <c r="I2913" s="12"/>
      <c r="J2913" s="92"/>
      <c r="K2913" s="203"/>
    </row>
    <row r="2914" spans="1:11">
      <c r="A2914" s="12"/>
      <c r="B2914" s="86"/>
      <c r="G2914" s="87"/>
      <c r="H2914" s="87"/>
      <c r="I2914" s="12"/>
      <c r="J2914" s="92"/>
      <c r="K2914" s="203"/>
    </row>
    <row r="2915" spans="1:11">
      <c r="A2915" s="12"/>
      <c r="B2915" s="86"/>
      <c r="G2915" s="87"/>
      <c r="H2915" s="87"/>
      <c r="I2915" s="12"/>
      <c r="J2915" s="92"/>
      <c r="K2915" s="203"/>
    </row>
    <row r="2916" spans="1:11">
      <c r="A2916" s="12"/>
      <c r="B2916" s="86"/>
      <c r="G2916" s="87"/>
      <c r="H2916" s="87"/>
      <c r="I2916" s="12"/>
      <c r="J2916" s="92"/>
      <c r="K2916" s="203"/>
    </row>
    <row r="2917" spans="1:11">
      <c r="A2917" s="12"/>
      <c r="B2917" s="86"/>
      <c r="G2917" s="87"/>
      <c r="H2917" s="87"/>
      <c r="I2917" s="12"/>
      <c r="J2917" s="92"/>
      <c r="K2917" s="203"/>
    </row>
    <row r="2918" spans="1:11">
      <c r="A2918" s="12"/>
      <c r="B2918" s="86"/>
      <c r="G2918" s="87"/>
      <c r="H2918" s="87"/>
      <c r="I2918" s="12"/>
      <c r="J2918" s="92"/>
      <c r="K2918" s="203"/>
    </row>
    <row r="2919" spans="1:11">
      <c r="A2919" s="12"/>
      <c r="B2919" s="86"/>
      <c r="G2919" s="87"/>
      <c r="H2919" s="87"/>
      <c r="I2919" s="12"/>
      <c r="J2919" s="92"/>
      <c r="K2919" s="203"/>
    </row>
    <row r="2920" spans="1:11">
      <c r="A2920" s="12"/>
      <c r="B2920" s="86"/>
      <c r="G2920" s="87"/>
      <c r="H2920" s="87"/>
      <c r="I2920" s="12"/>
      <c r="J2920" s="92"/>
      <c r="K2920" s="203"/>
    </row>
    <row r="2921" spans="1:11">
      <c r="A2921" s="12"/>
      <c r="B2921" s="86"/>
      <c r="G2921" s="87"/>
      <c r="H2921" s="87"/>
      <c r="I2921" s="12"/>
      <c r="J2921" s="92"/>
      <c r="K2921" s="203"/>
    </row>
    <row r="2922" spans="1:11">
      <c r="A2922" s="12"/>
      <c r="B2922" s="86"/>
      <c r="G2922" s="87"/>
      <c r="H2922" s="87"/>
      <c r="I2922" s="12"/>
      <c r="J2922" s="92"/>
      <c r="K2922" s="203"/>
    </row>
    <row r="2923" spans="1:11">
      <c r="A2923" s="12"/>
      <c r="B2923" s="86"/>
      <c r="G2923" s="87"/>
      <c r="H2923" s="87"/>
      <c r="I2923" s="12"/>
      <c r="J2923" s="92"/>
      <c r="K2923" s="203"/>
    </row>
    <row r="2924" spans="1:11">
      <c r="A2924" s="12"/>
      <c r="B2924" s="86"/>
      <c r="G2924" s="87"/>
      <c r="H2924" s="87"/>
      <c r="I2924" s="12"/>
      <c r="J2924" s="92"/>
      <c r="K2924" s="203"/>
    </row>
    <row r="2925" spans="1:11">
      <c r="A2925" s="12"/>
      <c r="B2925" s="86"/>
      <c r="G2925" s="87"/>
      <c r="H2925" s="87"/>
      <c r="I2925" s="12"/>
      <c r="J2925" s="92"/>
      <c r="K2925" s="203"/>
    </row>
    <row r="2926" spans="1:11">
      <c r="A2926" s="12"/>
      <c r="B2926" s="86"/>
      <c r="G2926" s="87"/>
      <c r="H2926" s="87"/>
      <c r="I2926" s="12"/>
      <c r="J2926" s="92"/>
      <c r="K2926" s="203"/>
    </row>
    <row r="2927" spans="1:11">
      <c r="A2927" s="12"/>
      <c r="B2927" s="86"/>
      <c r="G2927" s="87"/>
      <c r="H2927" s="87"/>
      <c r="I2927" s="12"/>
      <c r="J2927" s="92"/>
      <c r="K2927" s="203"/>
    </row>
    <row r="2928" spans="1:11">
      <c r="A2928" s="12"/>
      <c r="B2928" s="86"/>
      <c r="G2928" s="87"/>
      <c r="H2928" s="87"/>
      <c r="I2928" s="12"/>
      <c r="J2928" s="92"/>
      <c r="K2928" s="203"/>
    </row>
    <row r="2929" spans="1:11">
      <c r="A2929" s="12"/>
      <c r="B2929" s="86"/>
      <c r="G2929" s="87"/>
      <c r="H2929" s="87"/>
      <c r="I2929" s="12"/>
      <c r="J2929" s="92"/>
      <c r="K2929" s="203"/>
    </row>
    <row r="2930" spans="1:11">
      <c r="A2930" s="12"/>
      <c r="B2930" s="86"/>
      <c r="G2930" s="87"/>
      <c r="H2930" s="87"/>
      <c r="I2930" s="12"/>
      <c r="J2930" s="92"/>
      <c r="K2930" s="203"/>
    </row>
    <row r="2931" spans="1:11">
      <c r="A2931" s="12"/>
      <c r="B2931" s="86"/>
      <c r="G2931" s="87"/>
      <c r="H2931" s="87"/>
      <c r="I2931" s="12"/>
      <c r="J2931" s="92"/>
      <c r="K2931" s="203"/>
    </row>
    <row r="2932" spans="1:11">
      <c r="A2932" s="12"/>
      <c r="B2932" s="86"/>
      <c r="G2932" s="87"/>
      <c r="H2932" s="87"/>
      <c r="I2932" s="12"/>
      <c r="J2932" s="92"/>
      <c r="K2932" s="203"/>
    </row>
    <row r="2933" spans="1:11">
      <c r="A2933" s="12"/>
      <c r="B2933" s="86"/>
      <c r="G2933" s="87"/>
      <c r="H2933" s="87"/>
      <c r="I2933" s="12"/>
      <c r="J2933" s="92"/>
      <c r="K2933" s="203"/>
    </row>
    <row r="2934" spans="1:11">
      <c r="A2934" s="12"/>
      <c r="B2934" s="86"/>
      <c r="G2934" s="87"/>
      <c r="H2934" s="87"/>
      <c r="I2934" s="12"/>
      <c r="J2934" s="92"/>
      <c r="K2934" s="203"/>
    </row>
    <row r="2935" spans="1:11">
      <c r="A2935" s="12"/>
      <c r="B2935" s="86"/>
      <c r="G2935" s="87"/>
      <c r="H2935" s="87"/>
      <c r="I2935" s="12"/>
      <c r="J2935" s="92"/>
      <c r="K2935" s="203"/>
    </row>
    <row r="2936" spans="1:11">
      <c r="A2936" s="12"/>
      <c r="B2936" s="86"/>
      <c r="G2936" s="87"/>
      <c r="H2936" s="87"/>
      <c r="I2936" s="12"/>
      <c r="J2936" s="92"/>
      <c r="K2936" s="203"/>
    </row>
    <row r="2937" spans="1:11">
      <c r="A2937" s="12"/>
      <c r="B2937" s="86"/>
      <c r="G2937" s="87"/>
      <c r="H2937" s="87"/>
      <c r="I2937" s="12"/>
      <c r="J2937" s="92"/>
      <c r="K2937" s="203"/>
    </row>
    <row r="2938" spans="1:11">
      <c r="A2938" s="12"/>
      <c r="B2938" s="86"/>
      <c r="G2938" s="87"/>
      <c r="H2938" s="87"/>
      <c r="I2938" s="12"/>
      <c r="J2938" s="92"/>
      <c r="K2938" s="203"/>
    </row>
    <row r="2939" spans="1:11">
      <c r="A2939" s="12"/>
      <c r="B2939" s="86"/>
      <c r="G2939" s="87"/>
      <c r="H2939" s="87"/>
      <c r="I2939" s="12"/>
      <c r="J2939" s="92"/>
      <c r="K2939" s="203"/>
    </row>
    <row r="2940" spans="1:11">
      <c r="A2940" s="12"/>
      <c r="B2940" s="86"/>
      <c r="G2940" s="87"/>
      <c r="H2940" s="87"/>
      <c r="I2940" s="12"/>
      <c r="J2940" s="92"/>
      <c r="K2940" s="203"/>
    </row>
    <row r="2941" spans="1:11">
      <c r="A2941" s="12"/>
      <c r="B2941" s="86"/>
      <c r="G2941" s="87"/>
      <c r="H2941" s="87"/>
      <c r="I2941" s="12"/>
      <c r="J2941" s="92"/>
      <c r="K2941" s="203"/>
    </row>
    <row r="2942" spans="1:11">
      <c r="A2942" s="12"/>
      <c r="B2942" s="86"/>
      <c r="G2942" s="87"/>
      <c r="H2942" s="87"/>
      <c r="I2942" s="12"/>
      <c r="J2942" s="92"/>
      <c r="K2942" s="203"/>
    </row>
    <row r="2943" spans="1:11">
      <c r="A2943" s="12"/>
      <c r="B2943" s="86"/>
      <c r="G2943" s="87"/>
      <c r="H2943" s="87"/>
      <c r="I2943" s="12"/>
      <c r="J2943" s="92"/>
      <c r="K2943" s="203"/>
    </row>
    <row r="2944" spans="1:11">
      <c r="A2944" s="12"/>
      <c r="B2944" s="86"/>
      <c r="G2944" s="87"/>
      <c r="H2944" s="87"/>
      <c r="I2944" s="12"/>
      <c r="J2944" s="92"/>
      <c r="K2944" s="203"/>
    </row>
    <row r="2945" spans="1:11">
      <c r="A2945" s="12"/>
      <c r="B2945" s="86"/>
      <c r="G2945" s="87"/>
      <c r="H2945" s="87"/>
      <c r="I2945" s="12"/>
      <c r="J2945" s="92"/>
      <c r="K2945" s="203"/>
    </row>
    <row r="2946" spans="1:11">
      <c r="A2946" s="12"/>
      <c r="B2946" s="86"/>
      <c r="G2946" s="87"/>
      <c r="H2946" s="87"/>
      <c r="I2946" s="12"/>
      <c r="J2946" s="92"/>
      <c r="K2946" s="203"/>
    </row>
    <row r="2947" spans="1:11">
      <c r="A2947" s="12"/>
      <c r="B2947" s="86"/>
      <c r="G2947" s="87"/>
      <c r="H2947" s="87"/>
      <c r="I2947" s="12"/>
      <c r="J2947" s="92"/>
      <c r="K2947" s="203"/>
    </row>
    <row r="2948" spans="1:11">
      <c r="A2948" s="12"/>
      <c r="B2948" s="86"/>
      <c r="G2948" s="87"/>
      <c r="H2948" s="87"/>
      <c r="I2948" s="12"/>
      <c r="J2948" s="92"/>
      <c r="K2948" s="203"/>
    </row>
    <row r="2949" spans="1:11">
      <c r="A2949" s="12"/>
      <c r="B2949" s="86"/>
      <c r="G2949" s="87"/>
      <c r="H2949" s="87"/>
      <c r="I2949" s="12"/>
      <c r="J2949" s="92"/>
      <c r="K2949" s="203"/>
    </row>
    <row r="2950" spans="1:11">
      <c r="A2950" s="12"/>
      <c r="B2950" s="86"/>
      <c r="G2950" s="87"/>
      <c r="H2950" s="87"/>
      <c r="I2950" s="12"/>
      <c r="J2950" s="92"/>
      <c r="K2950" s="203"/>
    </row>
    <row r="2951" spans="1:11">
      <c r="A2951" s="12"/>
      <c r="B2951" s="86"/>
      <c r="G2951" s="87"/>
      <c r="H2951" s="87"/>
      <c r="I2951" s="12"/>
      <c r="J2951" s="92"/>
      <c r="K2951" s="203"/>
    </row>
    <row r="2952" spans="1:11">
      <c r="A2952" s="12"/>
      <c r="B2952" s="86"/>
      <c r="G2952" s="87"/>
      <c r="H2952" s="87"/>
      <c r="I2952" s="12"/>
      <c r="J2952" s="92"/>
      <c r="K2952" s="203"/>
    </row>
    <row r="2953" spans="1:11">
      <c r="A2953" s="12"/>
      <c r="B2953" s="86"/>
      <c r="G2953" s="87"/>
      <c r="H2953" s="87"/>
      <c r="I2953" s="12"/>
      <c r="J2953" s="92"/>
      <c r="K2953" s="203"/>
    </row>
    <row r="2954" spans="1:11">
      <c r="A2954" s="12"/>
      <c r="B2954" s="86"/>
      <c r="G2954" s="87"/>
      <c r="H2954" s="87"/>
      <c r="I2954" s="12"/>
      <c r="J2954" s="92"/>
      <c r="K2954" s="203"/>
    </row>
    <row r="2955" spans="1:11">
      <c r="A2955" s="12"/>
      <c r="B2955" s="86"/>
      <c r="G2955" s="87"/>
      <c r="H2955" s="87"/>
      <c r="I2955" s="12"/>
      <c r="J2955" s="92"/>
      <c r="K2955" s="203"/>
    </row>
    <row r="2956" spans="1:11">
      <c r="A2956" s="12"/>
      <c r="B2956" s="86"/>
      <c r="G2956" s="87"/>
      <c r="H2956" s="87"/>
      <c r="I2956" s="12"/>
      <c r="J2956" s="92"/>
      <c r="K2956" s="203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48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21.77734375" customWidth="1"/>
    <col min="11" max="11" width="23.1093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>
      <c r="A2" s="209" t="s">
        <v>60</v>
      </c>
      <c r="B2" s="209">
        <v>1.4999999999999999E-2</v>
      </c>
      <c r="C2" s="210">
        <v>0.11</v>
      </c>
      <c r="D2" s="211"/>
      <c r="E2" s="211"/>
      <c r="F2" s="211"/>
      <c r="G2" s="211"/>
      <c r="H2" s="211"/>
      <c r="I2" s="209" t="s">
        <v>12</v>
      </c>
      <c r="J2" s="211"/>
      <c r="K2" s="210"/>
    </row>
    <row r="3" spans="1:11">
      <c r="A3" s="209" t="s">
        <v>60</v>
      </c>
      <c r="B3" s="209">
        <v>0.25</v>
      </c>
      <c r="C3" s="212">
        <v>0.11</v>
      </c>
      <c r="D3" s="211"/>
      <c r="E3" s="211"/>
      <c r="F3" s="211"/>
      <c r="G3" s="211"/>
      <c r="H3" s="211"/>
      <c r="I3" s="209" t="s">
        <v>12</v>
      </c>
      <c r="J3" s="211"/>
      <c r="K3" s="210"/>
    </row>
    <row r="4" spans="1:11">
      <c r="A4" s="209" t="s">
        <v>60</v>
      </c>
      <c r="B4" s="211">
        <v>0.48</v>
      </c>
      <c r="C4" s="210">
        <v>0.11</v>
      </c>
      <c r="D4" s="211"/>
      <c r="E4" s="211"/>
      <c r="F4" s="211"/>
      <c r="G4" s="211"/>
      <c r="H4" s="211"/>
      <c r="I4" s="209" t="s">
        <v>12</v>
      </c>
      <c r="J4" s="211"/>
      <c r="K4" s="210"/>
    </row>
    <row r="5" spans="1:11">
      <c r="A5" s="209" t="s">
        <v>60</v>
      </c>
      <c r="B5" s="211">
        <v>0.71</v>
      </c>
      <c r="C5" s="210">
        <v>0.11</v>
      </c>
      <c r="D5" s="211"/>
      <c r="E5" s="211"/>
      <c r="F5" s="211"/>
      <c r="G5" s="211"/>
      <c r="H5" s="211"/>
      <c r="I5" s="209" t="s">
        <v>12</v>
      </c>
      <c r="J5" s="211"/>
      <c r="K5" s="210"/>
    </row>
    <row r="6" spans="1:11">
      <c r="A6" s="209" t="s">
        <v>60</v>
      </c>
      <c r="B6" s="211">
        <v>0.83</v>
      </c>
      <c r="C6" s="210">
        <v>0.11</v>
      </c>
      <c r="D6" s="211"/>
      <c r="E6" s="211"/>
      <c r="F6" s="211"/>
      <c r="G6" s="211"/>
      <c r="H6" s="211"/>
      <c r="I6" s="209" t="s">
        <v>12</v>
      </c>
      <c r="J6" s="211"/>
      <c r="K6" s="210"/>
    </row>
    <row r="7" spans="1:11">
      <c r="A7" s="211" t="s">
        <v>61</v>
      </c>
      <c r="B7" s="211">
        <v>2.12E-4</v>
      </c>
      <c r="C7" s="210">
        <v>1.81</v>
      </c>
      <c r="D7" s="211"/>
      <c r="E7" s="211"/>
      <c r="F7" s="211"/>
      <c r="G7" s="211"/>
      <c r="H7" s="211">
        <v>19</v>
      </c>
      <c r="I7" s="209" t="s">
        <v>12</v>
      </c>
      <c r="J7" s="211"/>
      <c r="K7" s="210"/>
    </row>
    <row r="8" spans="1:11">
      <c r="A8" s="211" t="s">
        <v>61</v>
      </c>
      <c r="B8" s="211">
        <v>1.0017480000000001</v>
      </c>
      <c r="C8" s="210">
        <v>1.81</v>
      </c>
      <c r="D8" s="211"/>
      <c r="E8" s="211"/>
      <c r="F8" s="211"/>
      <c r="G8" s="211"/>
      <c r="H8" s="211">
        <v>19</v>
      </c>
      <c r="I8" s="209" t="s">
        <v>12</v>
      </c>
      <c r="J8" s="211"/>
      <c r="K8" s="210"/>
    </row>
    <row r="9" spans="1:11">
      <c r="A9" s="211" t="s">
        <v>61</v>
      </c>
      <c r="B9" s="211">
        <v>3.6128659999999999</v>
      </c>
      <c r="C9" s="210">
        <v>1.81</v>
      </c>
      <c r="D9" s="211"/>
      <c r="E9" s="211"/>
      <c r="F9" s="211"/>
      <c r="G9" s="211"/>
      <c r="H9" s="211">
        <v>19</v>
      </c>
      <c r="I9" s="209" t="s">
        <v>12</v>
      </c>
      <c r="J9" s="211"/>
      <c r="K9" s="210"/>
    </row>
    <row r="10" spans="1:11">
      <c r="A10" s="211" t="s">
        <v>61</v>
      </c>
      <c r="B10" s="211">
        <v>7.0551979999999999</v>
      </c>
      <c r="C10" s="210">
        <v>1.81</v>
      </c>
      <c r="D10" s="211"/>
      <c r="E10" s="211"/>
      <c r="F10" s="211"/>
      <c r="G10" s="211"/>
      <c r="H10" s="211">
        <v>19</v>
      </c>
      <c r="I10" s="209" t="s">
        <v>12</v>
      </c>
      <c r="J10" s="211"/>
      <c r="K10" s="210"/>
    </row>
    <row r="11" spans="1:11">
      <c r="A11" s="211" t="s">
        <v>61</v>
      </c>
      <c r="B11" s="211">
        <v>11.22935</v>
      </c>
      <c r="C11" s="210">
        <v>1.81</v>
      </c>
      <c r="D11" s="211"/>
      <c r="E11" s="211"/>
      <c r="F11" s="211"/>
      <c r="G11" s="211"/>
      <c r="H11" s="211">
        <v>19</v>
      </c>
      <c r="I11" s="209" t="s">
        <v>12</v>
      </c>
      <c r="J11" s="211"/>
      <c r="K11" s="210"/>
    </row>
    <row r="12" spans="1:11">
      <c r="A12" s="211" t="s">
        <v>61</v>
      </c>
      <c r="B12" s="211">
        <v>18.208490000000001</v>
      </c>
      <c r="C12" s="210">
        <v>1.81</v>
      </c>
      <c r="D12" s="211"/>
      <c r="E12" s="211"/>
      <c r="F12" s="211"/>
      <c r="G12" s="211"/>
      <c r="H12" s="211">
        <v>19</v>
      </c>
      <c r="I12" s="209" t="s">
        <v>12</v>
      </c>
      <c r="J12" s="211"/>
      <c r="K12" s="210"/>
    </row>
    <row r="13" spans="1:11">
      <c r="A13" s="211" t="s">
        <v>61</v>
      </c>
      <c r="B13" s="211">
        <v>36.224760000000003</v>
      </c>
      <c r="C13" s="210">
        <v>1.81</v>
      </c>
      <c r="D13" s="211"/>
      <c r="E13" s="211"/>
      <c r="F13" s="211"/>
      <c r="G13" s="211"/>
      <c r="H13" s="211">
        <v>19</v>
      </c>
      <c r="I13" s="209" t="s">
        <v>12</v>
      </c>
      <c r="J13" s="211"/>
      <c r="K13" s="210"/>
    </row>
    <row r="14" spans="1:11">
      <c r="A14" s="211" t="s">
        <v>61</v>
      </c>
      <c r="B14" s="211">
        <v>79.087090000000003</v>
      </c>
      <c r="C14" s="210">
        <v>1.81</v>
      </c>
      <c r="D14" s="211"/>
      <c r="E14" s="211"/>
      <c r="F14" s="211"/>
      <c r="G14" s="211"/>
      <c r="H14" s="211">
        <v>19</v>
      </c>
      <c r="I14" s="209" t="s">
        <v>12</v>
      </c>
      <c r="J14" s="211"/>
      <c r="K14" s="210"/>
    </row>
    <row r="15" spans="1:11">
      <c r="A15" s="211" t="s">
        <v>61</v>
      </c>
      <c r="B15" s="211">
        <v>154.44130000000001</v>
      </c>
      <c r="C15" s="210">
        <v>1.81</v>
      </c>
      <c r="D15" s="211"/>
      <c r="E15" s="211"/>
      <c r="F15" s="211"/>
      <c r="G15" s="211"/>
      <c r="H15" s="211">
        <v>19</v>
      </c>
      <c r="I15" s="209" t="s">
        <v>12</v>
      </c>
      <c r="J15" s="211"/>
      <c r="K15" s="210"/>
    </row>
    <row r="16" spans="1:11">
      <c r="A16" s="211" t="s">
        <v>61</v>
      </c>
      <c r="B16" s="211">
        <v>236.84289999999999</v>
      </c>
      <c r="C16" s="210">
        <v>1.81</v>
      </c>
      <c r="D16" s="211"/>
      <c r="E16" s="211"/>
      <c r="F16" s="211"/>
      <c r="G16" s="211"/>
      <c r="H16" s="211">
        <v>19</v>
      </c>
      <c r="I16" s="209" t="s">
        <v>12</v>
      </c>
      <c r="J16" s="211"/>
      <c r="K16" s="210"/>
    </row>
    <row r="17" spans="1:11">
      <c r="A17" s="211" t="s">
        <v>61</v>
      </c>
      <c r="B17" s="211">
        <v>2.61E-4</v>
      </c>
      <c r="C17" s="210">
        <v>2.0699999999999998</v>
      </c>
      <c r="D17" s="211"/>
      <c r="E17" s="211"/>
      <c r="F17" s="211"/>
      <c r="G17" s="211"/>
      <c r="H17" s="211">
        <v>19</v>
      </c>
      <c r="I17" s="209" t="s">
        <v>12</v>
      </c>
      <c r="J17" s="211"/>
      <c r="K17" s="210"/>
    </row>
    <row r="18" spans="1:11">
      <c r="A18" s="211" t="s">
        <v>61</v>
      </c>
      <c r="B18" s="211">
        <v>0.87951100000000004</v>
      </c>
      <c r="C18" s="210">
        <v>2.0699999999999998</v>
      </c>
      <c r="D18" s="211"/>
      <c r="E18" s="211"/>
      <c r="F18" s="211"/>
      <c r="G18" s="211"/>
      <c r="H18" s="211">
        <v>19</v>
      </c>
      <c r="I18" s="209" t="s">
        <v>12</v>
      </c>
      <c r="J18" s="211"/>
      <c r="K18" s="210"/>
    </row>
    <row r="19" spans="1:11">
      <c r="A19" s="211" t="s">
        <v>61</v>
      </c>
      <c r="B19" s="211">
        <v>2.6833070000000001</v>
      </c>
      <c r="C19" s="210">
        <v>2.0699999999999998</v>
      </c>
      <c r="D19" s="211"/>
      <c r="E19" s="211"/>
      <c r="F19" s="211"/>
      <c r="G19" s="211"/>
      <c r="H19" s="211">
        <v>19</v>
      </c>
      <c r="I19" s="209" t="s">
        <v>12</v>
      </c>
      <c r="J19" s="211"/>
      <c r="K19" s="210"/>
    </row>
    <row r="20" spans="1:11">
      <c r="A20" s="211" t="s">
        <v>61</v>
      </c>
      <c r="B20" s="211">
        <v>6.797688</v>
      </c>
      <c r="C20" s="210">
        <v>2.0699999999999998</v>
      </c>
      <c r="D20" s="211"/>
      <c r="E20" s="211"/>
      <c r="F20" s="211"/>
      <c r="G20" s="211"/>
      <c r="H20" s="211">
        <v>19</v>
      </c>
      <c r="I20" s="209" t="s">
        <v>12</v>
      </c>
      <c r="J20" s="211"/>
      <c r="K20" s="210"/>
    </row>
    <row r="21" spans="1:11">
      <c r="A21" s="211" t="s">
        <v>61</v>
      </c>
      <c r="B21" s="211">
        <v>14.56761</v>
      </c>
      <c r="C21" s="210">
        <v>2.0699999999999998</v>
      </c>
      <c r="D21" s="211"/>
      <c r="E21" s="211"/>
      <c r="F21" s="211"/>
      <c r="G21" s="211"/>
      <c r="H21" s="211">
        <v>19</v>
      </c>
      <c r="I21" s="209" t="s">
        <v>12</v>
      </c>
      <c r="J21" s="211"/>
      <c r="K21" s="210"/>
    </row>
    <row r="22" spans="1:11">
      <c r="A22" s="211" t="s">
        <v>61</v>
      </c>
      <c r="B22" s="211">
        <v>19.614139999999999</v>
      </c>
      <c r="C22" s="210">
        <v>2.0699999999999998</v>
      </c>
      <c r="D22" s="211"/>
      <c r="E22" s="211"/>
      <c r="F22" s="211"/>
      <c r="G22" s="211"/>
      <c r="H22" s="211">
        <v>19</v>
      </c>
      <c r="I22" s="209" t="s">
        <v>12</v>
      </c>
      <c r="J22" s="211"/>
      <c r="K22" s="210"/>
    </row>
    <row r="23" spans="1:11">
      <c r="A23" s="211" t="s">
        <v>61</v>
      </c>
      <c r="B23" s="211">
        <v>59.84093</v>
      </c>
      <c r="C23" s="210">
        <v>2.0699999999999998</v>
      </c>
      <c r="D23" s="211"/>
      <c r="E23" s="211"/>
      <c r="F23" s="211"/>
      <c r="G23" s="211"/>
      <c r="H23" s="211">
        <v>19</v>
      </c>
      <c r="I23" s="209" t="s">
        <v>12</v>
      </c>
      <c r="J23" s="211"/>
      <c r="K23" s="210"/>
    </row>
    <row r="24" spans="1:11">
      <c r="A24" s="211" t="s">
        <v>61</v>
      </c>
      <c r="B24" s="211">
        <v>163.29920000000001</v>
      </c>
      <c r="C24" s="210">
        <v>2.0699999999999998</v>
      </c>
      <c r="D24" s="211"/>
      <c r="E24" s="211"/>
      <c r="F24" s="211"/>
      <c r="G24" s="211"/>
      <c r="H24" s="211">
        <v>19</v>
      </c>
      <c r="I24" s="209" t="s">
        <v>12</v>
      </c>
      <c r="J24" s="211"/>
      <c r="K24" s="210"/>
    </row>
    <row r="25" spans="1:11">
      <c r="A25" s="211" t="s">
        <v>61</v>
      </c>
      <c r="B25" s="211">
        <v>296.0378</v>
      </c>
      <c r="C25" s="210">
        <v>2.0699999999999998</v>
      </c>
      <c r="D25" s="211"/>
      <c r="E25" s="211"/>
      <c r="F25" s="211"/>
      <c r="G25" s="211"/>
      <c r="H25" s="211">
        <v>19</v>
      </c>
      <c r="I25" s="209" t="s">
        <v>12</v>
      </c>
      <c r="J25" s="211"/>
      <c r="K25" s="210"/>
    </row>
    <row r="26" spans="1:11">
      <c r="A26" s="211" t="s">
        <v>61</v>
      </c>
      <c r="B26" s="211">
        <v>349.95400000000001</v>
      </c>
      <c r="C26" s="210">
        <v>2.0699999999999998</v>
      </c>
      <c r="D26" s="211"/>
      <c r="E26" s="211"/>
      <c r="F26" s="211"/>
      <c r="G26" s="211"/>
      <c r="H26" s="211">
        <v>19</v>
      </c>
      <c r="I26" s="209" t="s">
        <v>12</v>
      </c>
      <c r="J26" s="211"/>
      <c r="K26" s="210"/>
    </row>
    <row r="27" spans="1:11">
      <c r="A27" s="211" t="s">
        <v>61</v>
      </c>
      <c r="B27" s="211">
        <v>3.7800000000000003E-4</v>
      </c>
      <c r="C27" s="210">
        <v>2.98</v>
      </c>
      <c r="D27" s="211"/>
      <c r="E27" s="211"/>
      <c r="F27" s="211"/>
      <c r="G27" s="211"/>
      <c r="H27" s="211">
        <v>19</v>
      </c>
      <c r="I27" s="209" t="s">
        <v>12</v>
      </c>
      <c r="J27" s="211"/>
      <c r="K27" s="210"/>
    </row>
    <row r="28" spans="1:11">
      <c r="A28" s="211" t="s">
        <v>61</v>
      </c>
      <c r="B28" s="211">
        <v>0.83180200000000004</v>
      </c>
      <c r="C28" s="210">
        <v>2.98</v>
      </c>
      <c r="D28" s="211"/>
      <c r="E28" s="211"/>
      <c r="F28" s="211"/>
      <c r="G28" s="211"/>
      <c r="H28" s="211">
        <v>19</v>
      </c>
      <c r="I28" s="209" t="s">
        <v>12</v>
      </c>
      <c r="J28" s="211"/>
      <c r="K28" s="210"/>
    </row>
    <row r="29" spans="1:11">
      <c r="A29" s="211" t="s">
        <v>61</v>
      </c>
      <c r="B29" s="211">
        <v>2.8372139999999999</v>
      </c>
      <c r="C29" s="210">
        <v>2.98</v>
      </c>
      <c r="D29" s="211"/>
      <c r="E29" s="211"/>
      <c r="F29" s="211"/>
      <c r="G29" s="211"/>
      <c r="H29" s="211">
        <v>19</v>
      </c>
      <c r="I29" s="209" t="s">
        <v>12</v>
      </c>
      <c r="J29" s="211"/>
      <c r="K29" s="210"/>
    </row>
    <row r="30" spans="1:11">
      <c r="A30" s="211" t="s">
        <v>61</v>
      </c>
      <c r="B30" s="211">
        <v>14.840960000000001</v>
      </c>
      <c r="C30" s="210">
        <v>2.98</v>
      </c>
      <c r="D30" s="211"/>
      <c r="E30" s="211"/>
      <c r="F30" s="211"/>
      <c r="G30" s="211"/>
      <c r="H30" s="211">
        <v>19</v>
      </c>
      <c r="I30" s="209" t="s">
        <v>12</v>
      </c>
      <c r="J30" s="211"/>
      <c r="K30" s="210"/>
    </row>
    <row r="31" spans="1:11">
      <c r="A31" s="211" t="s">
        <v>61</v>
      </c>
      <c r="B31" s="211">
        <v>33.009300000000003</v>
      </c>
      <c r="C31" s="210">
        <v>2.98</v>
      </c>
      <c r="D31" s="211"/>
      <c r="E31" s="211"/>
      <c r="F31" s="211"/>
      <c r="G31" s="211"/>
      <c r="H31" s="211">
        <v>19</v>
      </c>
      <c r="I31" s="209" t="s">
        <v>12</v>
      </c>
      <c r="J31" s="211"/>
      <c r="K31" s="210"/>
    </row>
    <row r="32" spans="1:11">
      <c r="A32" s="211" t="s">
        <v>61</v>
      </c>
      <c r="B32" s="211">
        <v>104.5232</v>
      </c>
      <c r="C32" s="210">
        <v>2.98</v>
      </c>
      <c r="D32" s="211"/>
      <c r="E32" s="211"/>
      <c r="F32" s="211"/>
      <c r="G32" s="211"/>
      <c r="H32" s="211">
        <v>19</v>
      </c>
      <c r="I32" s="209" t="s">
        <v>12</v>
      </c>
      <c r="J32" s="211"/>
      <c r="K32" s="210"/>
    </row>
    <row r="33" spans="1:11">
      <c r="A33" s="211" t="s">
        <v>61</v>
      </c>
      <c r="B33" s="211">
        <v>349.95400000000001</v>
      </c>
      <c r="C33" s="210">
        <v>2.98</v>
      </c>
      <c r="D33" s="211"/>
      <c r="E33" s="211"/>
      <c r="F33" s="211"/>
      <c r="G33" s="211"/>
      <c r="H33" s="211">
        <v>19</v>
      </c>
      <c r="I33" s="209" t="s">
        <v>12</v>
      </c>
      <c r="J33" s="211"/>
      <c r="K33" s="210"/>
    </row>
    <row r="34" spans="1:11">
      <c r="A34" s="211" t="s">
        <v>61</v>
      </c>
      <c r="B34" s="211">
        <v>546.74170000000004</v>
      </c>
      <c r="C34" s="210">
        <v>2.98</v>
      </c>
      <c r="D34" s="211"/>
      <c r="E34" s="211"/>
      <c r="F34" s="211"/>
      <c r="G34" s="211"/>
      <c r="H34" s="211">
        <v>19</v>
      </c>
      <c r="I34" s="209" t="s">
        <v>12</v>
      </c>
      <c r="J34" s="211"/>
      <c r="K34" s="210"/>
    </row>
    <row r="35" spans="1:11">
      <c r="A35" s="211" t="s">
        <v>61</v>
      </c>
      <c r="B35" s="211">
        <v>5.2800000000000004E-4</v>
      </c>
      <c r="C35" s="210">
        <v>3.92</v>
      </c>
      <c r="D35" s="211"/>
      <c r="E35" s="211"/>
      <c r="F35" s="211"/>
      <c r="G35" s="211"/>
      <c r="H35" s="211">
        <v>19</v>
      </c>
      <c r="I35" s="209" t="s">
        <v>12</v>
      </c>
      <c r="J35" s="211"/>
      <c r="K35" s="210"/>
    </row>
    <row r="36" spans="1:11">
      <c r="A36" s="211" t="s">
        <v>61</v>
      </c>
      <c r="B36" s="211">
        <v>4.7748439999999999</v>
      </c>
      <c r="C36" s="210">
        <v>3.92</v>
      </c>
      <c r="D36" s="211"/>
      <c r="E36" s="211"/>
      <c r="F36" s="211"/>
      <c r="G36" s="211"/>
      <c r="H36" s="211">
        <v>19</v>
      </c>
      <c r="I36" s="209" t="s">
        <v>12</v>
      </c>
      <c r="J36" s="211"/>
      <c r="K36" s="210"/>
    </row>
    <row r="37" spans="1:11">
      <c r="A37" s="211" t="s">
        <v>61</v>
      </c>
      <c r="B37" s="211">
        <v>15.40314</v>
      </c>
      <c r="C37" s="210">
        <v>3.92</v>
      </c>
      <c r="D37" s="211"/>
      <c r="E37" s="211"/>
      <c r="F37" s="211"/>
      <c r="G37" s="211"/>
      <c r="H37" s="211">
        <v>19</v>
      </c>
      <c r="I37" s="209" t="s">
        <v>12</v>
      </c>
      <c r="J37" s="211"/>
      <c r="K37" s="210"/>
    </row>
    <row r="38" spans="1:11">
      <c r="A38" s="211" t="s">
        <v>61</v>
      </c>
      <c r="B38" s="211">
        <v>52.539000000000001</v>
      </c>
      <c r="C38" s="210">
        <v>3.92</v>
      </c>
      <c r="D38" s="211"/>
      <c r="E38" s="211"/>
      <c r="F38" s="211"/>
      <c r="G38" s="211"/>
      <c r="H38" s="211">
        <v>19</v>
      </c>
      <c r="I38" s="209" t="s">
        <v>12</v>
      </c>
      <c r="J38" s="211"/>
      <c r="K38" s="210"/>
    </row>
    <row r="39" spans="1:11">
      <c r="A39" s="211" t="s">
        <v>61</v>
      </c>
      <c r="B39" s="211">
        <v>91.769080000000002</v>
      </c>
      <c r="C39" s="210">
        <v>3.92</v>
      </c>
      <c r="D39" s="211"/>
      <c r="E39" s="211"/>
      <c r="F39" s="211"/>
      <c r="G39" s="211"/>
      <c r="H39" s="211">
        <v>19</v>
      </c>
      <c r="I39" s="209" t="s">
        <v>12</v>
      </c>
      <c r="J39" s="211"/>
      <c r="K39" s="210"/>
    </row>
    <row r="40" spans="1:11">
      <c r="A40" s="211" t="s">
        <v>61</v>
      </c>
      <c r="B40" s="211">
        <v>179.2062</v>
      </c>
      <c r="C40" s="210">
        <v>3.92</v>
      </c>
      <c r="D40" s="211"/>
      <c r="E40" s="211"/>
      <c r="F40" s="211"/>
      <c r="G40" s="211"/>
      <c r="H40" s="211">
        <v>19</v>
      </c>
      <c r="I40" s="209" t="s">
        <v>12</v>
      </c>
      <c r="J40" s="211"/>
      <c r="K40" s="210"/>
    </row>
    <row r="41" spans="1:11">
      <c r="A41" s="211" t="s">
        <v>61</v>
      </c>
      <c r="B41" s="211">
        <v>349.95400000000001</v>
      </c>
      <c r="C41" s="210">
        <v>3.92</v>
      </c>
      <c r="D41" s="211"/>
      <c r="E41" s="211"/>
      <c r="F41" s="211"/>
      <c r="G41" s="211"/>
      <c r="H41" s="211">
        <v>19</v>
      </c>
      <c r="I41" s="209" t="s">
        <v>12</v>
      </c>
      <c r="J41" s="211"/>
      <c r="K41" s="210"/>
    </row>
    <row r="42" spans="1:11">
      <c r="A42" s="211" t="s">
        <v>61</v>
      </c>
      <c r="B42" s="211">
        <v>546.74170000000004</v>
      </c>
      <c r="C42" s="210">
        <v>3.92</v>
      </c>
      <c r="D42" s="211"/>
      <c r="E42" s="211"/>
      <c r="F42" s="211"/>
      <c r="G42" s="211"/>
      <c r="H42" s="211">
        <v>19</v>
      </c>
      <c r="I42" s="209" t="s">
        <v>12</v>
      </c>
      <c r="J42" s="211"/>
      <c r="K42" s="210"/>
    </row>
    <row r="43" spans="1:11">
      <c r="A43" s="50" t="s">
        <v>25</v>
      </c>
      <c r="B43" s="50">
        <v>71.599050000000005</v>
      </c>
      <c r="C43" s="51">
        <v>1.8</v>
      </c>
      <c r="D43" s="50"/>
      <c r="E43" s="50"/>
      <c r="F43" s="50"/>
      <c r="G43" s="50"/>
      <c r="H43" s="52">
        <v>25</v>
      </c>
      <c r="I43" s="53" t="s">
        <v>12</v>
      </c>
      <c r="J43" s="50"/>
      <c r="K43" s="50">
        <v>7.192717</v>
      </c>
    </row>
    <row r="44" spans="1:11">
      <c r="A44" s="50" t="s">
        <v>25</v>
      </c>
      <c r="B44" s="50">
        <v>214.7971</v>
      </c>
      <c r="C44" s="51">
        <v>1.8</v>
      </c>
      <c r="D44" s="50"/>
      <c r="E44" s="50"/>
      <c r="F44" s="50"/>
      <c r="G44" s="50"/>
      <c r="H44" s="52">
        <v>25</v>
      </c>
      <c r="I44" s="53" t="s">
        <v>12</v>
      </c>
      <c r="J44" s="50"/>
      <c r="K44" s="50">
        <v>7.5265550000000001</v>
      </c>
    </row>
    <row r="45" spans="1:11">
      <c r="A45" s="50" t="s">
        <v>25</v>
      </c>
      <c r="B45" s="50">
        <v>372.31509999999997</v>
      </c>
      <c r="C45" s="51">
        <v>1.8</v>
      </c>
      <c r="D45" s="50"/>
      <c r="E45" s="50"/>
      <c r="F45" s="50"/>
      <c r="G45" s="50"/>
      <c r="H45" s="52">
        <v>25</v>
      </c>
      <c r="I45" s="53" t="s">
        <v>12</v>
      </c>
      <c r="J45" s="50"/>
      <c r="K45" s="50">
        <v>8.2549320000000002</v>
      </c>
    </row>
    <row r="46" spans="1:11">
      <c r="A46" s="50" t="s">
        <v>25</v>
      </c>
      <c r="B46" s="50">
        <v>558.47249999999997</v>
      </c>
      <c r="C46" s="51">
        <v>1.8</v>
      </c>
      <c r="D46" s="50"/>
      <c r="E46" s="50"/>
      <c r="F46" s="50"/>
      <c r="G46" s="50"/>
      <c r="H46" s="52">
        <v>25</v>
      </c>
      <c r="I46" s="53" t="s">
        <v>12</v>
      </c>
      <c r="J46" s="50"/>
      <c r="K46" s="50">
        <v>8.6494689999999999</v>
      </c>
    </row>
    <row r="47" spans="1:11">
      <c r="A47" s="50" t="s">
        <v>25</v>
      </c>
      <c r="B47" s="50">
        <v>766.10979999999995</v>
      </c>
      <c r="C47" s="51">
        <v>1.8</v>
      </c>
      <c r="D47" s="50"/>
      <c r="E47" s="50"/>
      <c r="F47" s="50"/>
      <c r="G47" s="50"/>
      <c r="H47" s="52">
        <v>25</v>
      </c>
      <c r="I47" s="53" t="s">
        <v>12</v>
      </c>
      <c r="J47" s="50"/>
      <c r="K47" s="50">
        <v>9.711684</v>
      </c>
    </row>
    <row r="48" spans="1:11">
      <c r="A48" s="50" t="s">
        <v>25</v>
      </c>
      <c r="B48" s="50">
        <v>995.22659999999996</v>
      </c>
      <c r="C48" s="51">
        <v>1.8</v>
      </c>
      <c r="D48" s="50"/>
      <c r="E48" s="50"/>
      <c r="F48" s="50"/>
      <c r="G48" s="50"/>
      <c r="H48" s="52">
        <v>25</v>
      </c>
      <c r="I48" s="53" t="s">
        <v>12</v>
      </c>
      <c r="J48" s="50"/>
      <c r="K48" s="50">
        <v>10.37936</v>
      </c>
    </row>
    <row r="49" spans="1:11">
      <c r="A49" s="50" t="s">
        <v>25</v>
      </c>
      <c r="B49" s="50">
        <v>1195.704</v>
      </c>
      <c r="C49" s="51">
        <v>1.8</v>
      </c>
      <c r="D49" s="50"/>
      <c r="E49" s="50"/>
      <c r="F49" s="50"/>
      <c r="G49" s="50"/>
      <c r="H49" s="52">
        <v>25</v>
      </c>
      <c r="I49" s="53" t="s">
        <v>12</v>
      </c>
      <c r="J49" s="50"/>
      <c r="K49" s="50">
        <v>10.68285</v>
      </c>
    </row>
    <row r="50" spans="1:11">
      <c r="A50" s="50" t="s">
        <v>25</v>
      </c>
      <c r="B50" s="50">
        <v>70.921989999999994</v>
      </c>
      <c r="C50" s="51">
        <v>4</v>
      </c>
      <c r="D50" s="50"/>
      <c r="E50" s="50"/>
      <c r="F50" s="50"/>
      <c r="G50" s="50"/>
      <c r="H50" s="52">
        <v>25</v>
      </c>
      <c r="I50" s="53" t="s">
        <v>12</v>
      </c>
      <c r="J50" s="50"/>
      <c r="K50" s="50">
        <v>7.8378379999999996</v>
      </c>
    </row>
    <row r="51" spans="1:11">
      <c r="A51" s="50" t="s">
        <v>25</v>
      </c>
      <c r="B51" s="50">
        <v>198.58150000000001</v>
      </c>
      <c r="C51" s="51">
        <v>4</v>
      </c>
      <c r="D51" s="50"/>
      <c r="E51" s="50"/>
      <c r="F51" s="50"/>
      <c r="G51" s="50"/>
      <c r="H51" s="52">
        <v>25</v>
      </c>
      <c r="I51" s="53" t="s">
        <v>12</v>
      </c>
      <c r="J51" s="50"/>
      <c r="K51" s="50">
        <v>8.1681670000000004</v>
      </c>
    </row>
    <row r="52" spans="1:11">
      <c r="A52" s="50" t="s">
        <v>25</v>
      </c>
      <c r="B52" s="50">
        <v>375.88650000000001</v>
      </c>
      <c r="C52" s="51">
        <v>4</v>
      </c>
      <c r="D52" s="50"/>
      <c r="E52" s="50"/>
      <c r="F52" s="50"/>
      <c r="G52" s="50"/>
      <c r="H52" s="52">
        <v>25</v>
      </c>
      <c r="I52" s="53" t="s">
        <v>12</v>
      </c>
      <c r="J52" s="50"/>
      <c r="K52" s="50">
        <v>8.8288279999999997</v>
      </c>
    </row>
    <row r="53" spans="1:11">
      <c r="A53" s="50" t="s">
        <v>25</v>
      </c>
      <c r="B53" s="50">
        <v>560.2835</v>
      </c>
      <c r="C53" s="51">
        <v>4</v>
      </c>
      <c r="D53" s="50"/>
      <c r="E53" s="50"/>
      <c r="F53" s="50"/>
      <c r="G53" s="50"/>
      <c r="H53" s="52">
        <v>25</v>
      </c>
      <c r="I53" s="53" t="s">
        <v>12</v>
      </c>
      <c r="J53" s="50"/>
      <c r="K53" s="50">
        <v>9.5795790000000007</v>
      </c>
    </row>
    <row r="54" spans="1:11">
      <c r="A54" s="50" t="s">
        <v>25</v>
      </c>
      <c r="B54" s="50">
        <v>773.0498</v>
      </c>
      <c r="C54" s="51">
        <v>4</v>
      </c>
      <c r="D54" s="50"/>
      <c r="E54" s="50"/>
      <c r="F54" s="50"/>
      <c r="G54" s="50"/>
      <c r="H54" s="52">
        <v>25</v>
      </c>
      <c r="I54" s="53" t="s">
        <v>12</v>
      </c>
      <c r="J54" s="50"/>
      <c r="K54" s="50">
        <v>10.78078</v>
      </c>
    </row>
    <row r="55" spans="1:11">
      <c r="A55" s="50" t="s">
        <v>25</v>
      </c>
      <c r="B55" s="50">
        <v>985.81569999999999</v>
      </c>
      <c r="C55" s="51">
        <v>4</v>
      </c>
      <c r="D55" s="50"/>
      <c r="E55" s="50"/>
      <c r="F55" s="50"/>
      <c r="G55" s="50"/>
      <c r="H55" s="52">
        <v>25</v>
      </c>
      <c r="I55" s="53" t="s">
        <v>12</v>
      </c>
      <c r="J55" s="50"/>
      <c r="K55" s="50">
        <v>11.62162</v>
      </c>
    </row>
    <row r="56" spans="1:11">
      <c r="A56" s="50" t="s">
        <v>25</v>
      </c>
      <c r="B56" s="50">
        <v>1191.49</v>
      </c>
      <c r="C56" s="51">
        <v>4</v>
      </c>
      <c r="D56" s="50"/>
      <c r="E56" s="50"/>
      <c r="F56" s="50"/>
      <c r="G56" s="50"/>
      <c r="H56" s="52">
        <v>25</v>
      </c>
      <c r="I56" s="53" t="s">
        <v>12</v>
      </c>
      <c r="J56" s="50"/>
      <c r="K56" s="50">
        <v>12.19219</v>
      </c>
    </row>
    <row r="57" spans="1:11">
      <c r="A57" s="50" t="s">
        <v>25</v>
      </c>
      <c r="B57" s="50">
        <v>1397.163</v>
      </c>
      <c r="C57" s="51">
        <v>4</v>
      </c>
      <c r="D57" s="50"/>
      <c r="E57" s="50"/>
      <c r="F57" s="50"/>
      <c r="G57" s="50"/>
      <c r="H57" s="52">
        <v>25</v>
      </c>
      <c r="I57" s="53" t="s">
        <v>12</v>
      </c>
      <c r="J57" s="50"/>
      <c r="K57" s="50">
        <v>12.61261</v>
      </c>
    </row>
    <row r="58" spans="1:11">
      <c r="A58" s="50" t="s">
        <v>25</v>
      </c>
      <c r="B58" s="50">
        <v>1723.405</v>
      </c>
      <c r="C58" s="51">
        <v>4</v>
      </c>
      <c r="D58" s="50"/>
      <c r="E58" s="50"/>
      <c r="F58" s="50"/>
      <c r="G58" s="50"/>
      <c r="H58" s="52">
        <v>25</v>
      </c>
      <c r="I58" s="53" t="s">
        <v>12</v>
      </c>
      <c r="J58" s="50"/>
      <c r="K58" s="50">
        <v>13.6036</v>
      </c>
    </row>
    <row r="59" spans="1:11">
      <c r="A59" s="50" t="s">
        <v>25</v>
      </c>
      <c r="B59" s="50">
        <v>2453.9009999999998</v>
      </c>
      <c r="C59" s="51">
        <v>4</v>
      </c>
      <c r="D59" s="50"/>
      <c r="E59" s="50"/>
      <c r="F59" s="50"/>
      <c r="G59" s="50"/>
      <c r="H59" s="52">
        <v>25</v>
      </c>
      <c r="I59" s="53" t="s">
        <v>12</v>
      </c>
      <c r="J59" s="50"/>
      <c r="K59" s="50">
        <v>14.56456</v>
      </c>
    </row>
    <row r="60" spans="1:11">
      <c r="A60" s="50" t="s">
        <v>25</v>
      </c>
      <c r="B60" s="50">
        <v>3496.4540000000002</v>
      </c>
      <c r="C60" s="51">
        <v>4</v>
      </c>
      <c r="D60" s="50"/>
      <c r="E60" s="50"/>
      <c r="F60" s="50"/>
      <c r="G60" s="50"/>
      <c r="H60" s="52">
        <v>25</v>
      </c>
      <c r="I60" s="53" t="s">
        <v>12</v>
      </c>
      <c r="J60" s="50"/>
      <c r="K60" s="50">
        <v>15.58559</v>
      </c>
    </row>
    <row r="61" spans="1:11">
      <c r="A61" s="50" t="s">
        <v>25</v>
      </c>
      <c r="B61" s="50">
        <v>4319.1490000000003</v>
      </c>
      <c r="C61" s="51">
        <v>4</v>
      </c>
      <c r="D61" s="50"/>
      <c r="E61" s="50"/>
      <c r="F61" s="50"/>
      <c r="G61" s="50"/>
      <c r="H61" s="52">
        <v>25</v>
      </c>
      <c r="I61" s="53" t="s">
        <v>12</v>
      </c>
      <c r="J61" s="50"/>
      <c r="K61" s="50">
        <v>16.75676</v>
      </c>
    </row>
    <row r="62" spans="1:11">
      <c r="A62" s="50" t="s">
        <v>25</v>
      </c>
      <c r="B62" s="50">
        <v>51.429090000000002</v>
      </c>
      <c r="C62" s="51">
        <v>7</v>
      </c>
      <c r="D62" s="50"/>
      <c r="E62" s="50"/>
      <c r="F62" s="50"/>
      <c r="G62" s="50"/>
      <c r="H62" s="52">
        <v>25</v>
      </c>
      <c r="I62" s="53" t="s">
        <v>12</v>
      </c>
      <c r="J62" s="50"/>
      <c r="K62" s="50">
        <v>8.9999979999999997</v>
      </c>
    </row>
    <row r="63" spans="1:11">
      <c r="A63" s="50" t="s">
        <v>25</v>
      </c>
      <c r="B63" s="50">
        <v>205.715</v>
      </c>
      <c r="C63" s="51">
        <v>7</v>
      </c>
      <c r="D63" s="50"/>
      <c r="E63" s="50"/>
      <c r="F63" s="50"/>
      <c r="G63" s="50"/>
      <c r="H63" s="52">
        <v>25</v>
      </c>
      <c r="I63" s="53" t="s">
        <v>12</v>
      </c>
      <c r="J63" s="50"/>
      <c r="K63" s="50">
        <v>9.7090910000000008</v>
      </c>
    </row>
    <row r="64" spans="1:11">
      <c r="A64" s="50" t="s">
        <v>25</v>
      </c>
      <c r="B64" s="50">
        <v>377.14359999999999</v>
      </c>
      <c r="C64" s="51">
        <v>7</v>
      </c>
      <c r="D64" s="50"/>
      <c r="E64" s="50"/>
      <c r="F64" s="50"/>
      <c r="G64" s="50"/>
      <c r="H64" s="52">
        <v>25</v>
      </c>
      <c r="I64" s="53" t="s">
        <v>12</v>
      </c>
      <c r="J64" s="50"/>
      <c r="K64" s="50">
        <v>9.9272709999999993</v>
      </c>
    </row>
    <row r="65" spans="1:11">
      <c r="A65" s="50" t="s">
        <v>25</v>
      </c>
      <c r="B65" s="50">
        <v>548.57219999999995</v>
      </c>
      <c r="C65" s="51">
        <v>7</v>
      </c>
      <c r="D65" s="50"/>
      <c r="E65" s="50"/>
      <c r="F65" s="50"/>
      <c r="G65" s="50"/>
      <c r="H65" s="52">
        <v>25</v>
      </c>
      <c r="I65" s="53" t="s">
        <v>12</v>
      </c>
      <c r="J65" s="50"/>
      <c r="K65" s="50">
        <v>10.47273</v>
      </c>
    </row>
    <row r="66" spans="1:11">
      <c r="A66" s="50" t="s">
        <v>25</v>
      </c>
      <c r="B66" s="50">
        <v>754.28589999999997</v>
      </c>
      <c r="C66" s="51">
        <v>7</v>
      </c>
      <c r="D66" s="50"/>
      <c r="E66" s="50"/>
      <c r="F66" s="50"/>
      <c r="G66" s="50"/>
      <c r="H66" s="52">
        <v>25</v>
      </c>
      <c r="I66" s="53" t="s">
        <v>12</v>
      </c>
      <c r="J66" s="50"/>
      <c r="K66" s="50">
        <v>11.29091</v>
      </c>
    </row>
    <row r="67" spans="1:11">
      <c r="A67" s="50" t="s">
        <v>25</v>
      </c>
      <c r="B67" s="50">
        <v>994.28610000000003</v>
      </c>
      <c r="C67" s="51">
        <v>7</v>
      </c>
      <c r="D67" s="50"/>
      <c r="E67" s="50"/>
      <c r="F67" s="50"/>
      <c r="G67" s="50"/>
      <c r="H67" s="52">
        <v>25</v>
      </c>
      <c r="I67" s="53" t="s">
        <v>12</v>
      </c>
      <c r="J67" s="50"/>
      <c r="K67" s="50">
        <v>12.49091</v>
      </c>
    </row>
    <row r="68" spans="1:11">
      <c r="A68" s="50" t="s">
        <v>25</v>
      </c>
      <c r="B68" s="50">
        <v>1182.857</v>
      </c>
      <c r="C68" s="51">
        <v>7</v>
      </c>
      <c r="D68" s="50"/>
      <c r="E68" s="50"/>
      <c r="F68" s="50"/>
      <c r="G68" s="50"/>
      <c r="H68" s="52">
        <v>25</v>
      </c>
      <c r="I68" s="53" t="s">
        <v>12</v>
      </c>
      <c r="J68" s="50"/>
      <c r="K68" s="50">
        <v>12.872730000000001</v>
      </c>
    </row>
    <row r="69" spans="1:11">
      <c r="A69" s="50" t="s">
        <v>25</v>
      </c>
      <c r="B69" s="50">
        <v>1388.5719999999999</v>
      </c>
      <c r="C69" s="51">
        <v>7</v>
      </c>
      <c r="D69" s="50"/>
      <c r="E69" s="50"/>
      <c r="F69" s="50"/>
      <c r="G69" s="50"/>
      <c r="H69" s="52">
        <v>25</v>
      </c>
      <c r="I69" s="53" t="s">
        <v>12</v>
      </c>
      <c r="J69" s="50"/>
      <c r="K69" s="50">
        <v>13.41818</v>
      </c>
    </row>
    <row r="70" spans="1:11">
      <c r="A70" s="50" t="s">
        <v>25</v>
      </c>
      <c r="B70" s="50">
        <v>1714.2860000000001</v>
      </c>
      <c r="C70" s="51">
        <v>7</v>
      </c>
      <c r="D70" s="50"/>
      <c r="E70" s="50"/>
      <c r="F70" s="50"/>
      <c r="G70" s="50"/>
      <c r="H70" s="52">
        <v>25</v>
      </c>
      <c r="I70" s="53" t="s">
        <v>12</v>
      </c>
      <c r="J70" s="50"/>
      <c r="K70" s="50">
        <v>13.85455</v>
      </c>
    </row>
    <row r="71" spans="1:11">
      <c r="A71" s="50" t="s">
        <v>25</v>
      </c>
      <c r="B71" s="50">
        <v>2468.5709999999999</v>
      </c>
      <c r="C71" s="51">
        <v>7</v>
      </c>
      <c r="D71" s="50"/>
      <c r="E71" s="50"/>
      <c r="F71" s="50"/>
      <c r="G71" s="50"/>
      <c r="H71" s="52">
        <v>25</v>
      </c>
      <c r="I71" s="53" t="s">
        <v>12</v>
      </c>
      <c r="J71" s="50"/>
      <c r="K71" s="50">
        <v>15.272729999999999</v>
      </c>
    </row>
    <row r="72" spans="1:11">
      <c r="A72" s="50" t="s">
        <v>25</v>
      </c>
      <c r="B72" s="50">
        <v>3514.2849999999999</v>
      </c>
      <c r="C72" s="51">
        <v>7</v>
      </c>
      <c r="D72" s="50"/>
      <c r="E72" s="50"/>
      <c r="F72" s="50"/>
      <c r="G72" s="50"/>
      <c r="H72" s="52">
        <v>25</v>
      </c>
      <c r="I72" s="53" t="s">
        <v>12</v>
      </c>
      <c r="J72" s="50"/>
      <c r="K72" s="50">
        <v>16.690909999999999</v>
      </c>
    </row>
    <row r="73" spans="1:11">
      <c r="A73" s="50" t="s">
        <v>25</v>
      </c>
      <c r="B73" s="50">
        <v>4320</v>
      </c>
      <c r="C73" s="51">
        <v>7</v>
      </c>
      <c r="D73" s="50"/>
      <c r="E73" s="50"/>
      <c r="F73" s="50"/>
      <c r="G73" s="50"/>
      <c r="H73" s="52">
        <v>25</v>
      </c>
      <c r="I73" s="53" t="s">
        <v>12</v>
      </c>
      <c r="J73" s="50"/>
      <c r="K73" s="50">
        <v>17.50909</v>
      </c>
    </row>
    <row r="74" spans="1:11">
      <c r="A74" s="50" t="s">
        <v>25</v>
      </c>
      <c r="B74" s="50">
        <v>5022.857</v>
      </c>
      <c r="C74" s="51">
        <v>7</v>
      </c>
      <c r="D74" s="50"/>
      <c r="E74" s="50"/>
      <c r="F74" s="50"/>
      <c r="G74" s="50"/>
      <c r="H74" s="52">
        <v>25</v>
      </c>
      <c r="I74" s="53" t="s">
        <v>12</v>
      </c>
      <c r="J74" s="50"/>
      <c r="K74" s="50">
        <v>18.49091</v>
      </c>
    </row>
    <row r="75" spans="1:11">
      <c r="A75" s="50" t="s">
        <v>25</v>
      </c>
      <c r="B75" s="50">
        <v>5622.857</v>
      </c>
      <c r="C75" s="51">
        <v>7</v>
      </c>
      <c r="D75" s="50"/>
      <c r="E75" s="50"/>
      <c r="F75" s="50"/>
      <c r="G75" s="50"/>
      <c r="H75" s="52">
        <v>25</v>
      </c>
      <c r="I75" s="53" t="s">
        <v>12</v>
      </c>
      <c r="J75" s="50"/>
      <c r="K75" s="50">
        <v>18.92727</v>
      </c>
    </row>
    <row r="76" spans="1:11">
      <c r="A76" s="50" t="s">
        <v>25</v>
      </c>
      <c r="B76" s="50">
        <v>6171.4279999999999</v>
      </c>
      <c r="C76" s="51">
        <v>7</v>
      </c>
      <c r="D76" s="50"/>
      <c r="E76" s="50"/>
      <c r="F76" s="50"/>
      <c r="G76" s="50"/>
      <c r="H76" s="52">
        <v>25</v>
      </c>
      <c r="I76" s="53" t="s">
        <v>12</v>
      </c>
      <c r="J76" s="50"/>
      <c r="K76" s="50">
        <v>19.690909999999999</v>
      </c>
    </row>
    <row r="77" spans="1:11">
      <c r="A77" s="50" t="s">
        <v>25</v>
      </c>
      <c r="B77" s="50">
        <v>7165.7139999999999</v>
      </c>
      <c r="C77" s="51">
        <v>7</v>
      </c>
      <c r="D77" s="50"/>
      <c r="E77" s="50"/>
      <c r="F77" s="50"/>
      <c r="G77" s="50"/>
      <c r="H77" s="52">
        <v>25</v>
      </c>
      <c r="I77" s="53" t="s">
        <v>12</v>
      </c>
      <c r="J77" s="50"/>
      <c r="K77" s="50">
        <v>20.890910000000002</v>
      </c>
    </row>
    <row r="78" spans="1:11">
      <c r="A78" s="50" t="s">
        <v>25</v>
      </c>
      <c r="B78" s="50">
        <v>8039.9989999999998</v>
      </c>
      <c r="C78" s="51">
        <v>7</v>
      </c>
      <c r="D78" s="50"/>
      <c r="E78" s="50"/>
      <c r="F78" s="50"/>
      <c r="G78" s="50"/>
      <c r="H78" s="52">
        <v>25</v>
      </c>
      <c r="I78" s="53" t="s">
        <v>12</v>
      </c>
      <c r="J78" s="50"/>
      <c r="K78" s="50">
        <v>21.436360000000001</v>
      </c>
    </row>
    <row r="79" spans="1:11">
      <c r="A79" s="50" t="s">
        <v>25</v>
      </c>
      <c r="B79" s="50">
        <v>8828.57</v>
      </c>
      <c r="C79" s="51">
        <v>7</v>
      </c>
      <c r="D79" s="50"/>
      <c r="E79" s="50"/>
      <c r="F79" s="50"/>
      <c r="G79" s="50"/>
      <c r="H79" s="52">
        <v>25</v>
      </c>
      <c r="I79" s="53" t="s">
        <v>12</v>
      </c>
      <c r="J79" s="50"/>
      <c r="K79" s="50">
        <v>21.981819999999999</v>
      </c>
    </row>
    <row r="80" spans="1:11">
      <c r="A80" s="50" t="s">
        <v>25</v>
      </c>
      <c r="B80" s="50">
        <v>9548.5709999999999</v>
      </c>
      <c r="C80" s="51">
        <v>7</v>
      </c>
      <c r="D80" s="50"/>
      <c r="E80" s="50"/>
      <c r="F80" s="50"/>
      <c r="G80" s="50"/>
      <c r="H80" s="52">
        <v>25</v>
      </c>
      <c r="I80" s="53" t="s">
        <v>12</v>
      </c>
      <c r="J80" s="50"/>
      <c r="K80" s="50">
        <v>22.63636</v>
      </c>
    </row>
    <row r="81" spans="1:11">
      <c r="A81" s="50" t="s">
        <v>26</v>
      </c>
      <c r="B81" s="54">
        <v>0.8096281622</v>
      </c>
      <c r="C81" s="51">
        <v>1.6</v>
      </c>
      <c r="D81" s="50">
        <v>7.2499999999999995E-2</v>
      </c>
      <c r="E81" s="53">
        <v>1E-3</v>
      </c>
      <c r="F81" s="53">
        <v>997.05</v>
      </c>
      <c r="G81" s="50"/>
      <c r="H81" s="53">
        <v>20</v>
      </c>
      <c r="I81" s="53" t="s">
        <v>12</v>
      </c>
      <c r="J81" s="53">
        <v>1.1499999999999999</v>
      </c>
      <c r="K81" s="55">
        <v>3.9622377920852601</v>
      </c>
    </row>
    <row r="82" spans="1:11">
      <c r="A82" s="50" t="s">
        <v>26</v>
      </c>
      <c r="B82" s="54">
        <v>1.641137828</v>
      </c>
      <c r="C82" s="56">
        <v>1.6</v>
      </c>
      <c r="D82" s="50">
        <v>7.2499999999999995E-2</v>
      </c>
      <c r="E82" s="53">
        <v>1E-3</v>
      </c>
      <c r="F82" s="53">
        <v>997.05</v>
      </c>
      <c r="G82" s="50"/>
      <c r="H82" s="53">
        <v>20</v>
      </c>
      <c r="I82" s="53" t="s">
        <v>12</v>
      </c>
      <c r="J82" s="53">
        <v>1.1499999999999999</v>
      </c>
      <c r="K82" s="55">
        <v>4.0251748541828603</v>
      </c>
    </row>
    <row r="83" spans="1:11">
      <c r="A83" s="50" t="s">
        <v>26</v>
      </c>
      <c r="B83" s="57">
        <v>3.3260386639999999</v>
      </c>
      <c r="C83" s="51">
        <v>1.6</v>
      </c>
      <c r="D83" s="50">
        <v>7.2499999999999995E-2</v>
      </c>
      <c r="E83" s="50">
        <v>1E-3</v>
      </c>
      <c r="F83" s="50">
        <v>997.05</v>
      </c>
      <c r="G83" s="50"/>
      <c r="H83" s="50">
        <v>20</v>
      </c>
      <c r="I83" s="53" t="s">
        <v>12</v>
      </c>
      <c r="J83" s="53">
        <v>1.1499999999999999</v>
      </c>
      <c r="K83" s="58">
        <v>4.0699300556592304</v>
      </c>
    </row>
    <row r="84" spans="1:11">
      <c r="A84" s="50" t="s">
        <v>26</v>
      </c>
      <c r="B84" s="57">
        <v>6.6520789970000003</v>
      </c>
      <c r="C84" s="51">
        <v>1.6</v>
      </c>
      <c r="D84" s="50">
        <v>7.2499999999999995E-2</v>
      </c>
      <c r="E84" s="50">
        <v>1E-3</v>
      </c>
      <c r="F84" s="50">
        <v>997.05</v>
      </c>
      <c r="G84" s="50"/>
      <c r="H84" s="50">
        <v>20</v>
      </c>
      <c r="I84" s="53" t="s">
        <v>12</v>
      </c>
      <c r="J84" s="53">
        <v>1.1499999999999999</v>
      </c>
      <c r="K84" s="58">
        <v>4.1300699576788604</v>
      </c>
    </row>
    <row r="85" spans="1:11">
      <c r="A85" s="50" t="s">
        <v>26</v>
      </c>
      <c r="B85" s="57">
        <v>9.9999991650000002</v>
      </c>
      <c r="C85" s="51">
        <v>1.6</v>
      </c>
      <c r="D85" s="50">
        <v>7.2499999999999995E-2</v>
      </c>
      <c r="E85" s="50">
        <v>1E-3</v>
      </c>
      <c r="F85" s="50">
        <v>997.05</v>
      </c>
      <c r="G85" s="50"/>
      <c r="H85" s="50">
        <v>20</v>
      </c>
      <c r="I85" s="53" t="s">
        <v>12</v>
      </c>
      <c r="J85" s="53">
        <v>1.1499999999999999</v>
      </c>
      <c r="K85" s="58">
        <v>4.1580419852777997</v>
      </c>
    </row>
    <row r="86" spans="1:11">
      <c r="A86" s="50" t="s">
        <v>26</v>
      </c>
      <c r="B86" s="57">
        <v>13.3260395</v>
      </c>
      <c r="C86" s="51">
        <v>1.6</v>
      </c>
      <c r="D86" s="50">
        <v>7.2499999999999995E-2</v>
      </c>
      <c r="E86" s="50">
        <v>1E-3</v>
      </c>
      <c r="F86" s="50">
        <v>997.05</v>
      </c>
      <c r="G86" s="50"/>
      <c r="H86" s="50">
        <v>20</v>
      </c>
      <c r="I86" s="53" t="s">
        <v>12</v>
      </c>
      <c r="J86" s="53">
        <v>1.1499999999999999</v>
      </c>
      <c r="K86" s="58">
        <v>4.1566433518864097</v>
      </c>
    </row>
    <row r="87" spans="1:11">
      <c r="A87" s="50" t="s">
        <v>26</v>
      </c>
      <c r="B87" s="57">
        <v>16.673961340000002</v>
      </c>
      <c r="C87" s="51">
        <v>1.6</v>
      </c>
      <c r="D87" s="50">
        <v>7.2499999999999995E-2</v>
      </c>
      <c r="E87" s="50">
        <v>1E-3</v>
      </c>
      <c r="F87" s="50">
        <v>997.05</v>
      </c>
      <c r="G87" s="50"/>
      <c r="H87" s="50">
        <v>20</v>
      </c>
      <c r="I87" s="53" t="s">
        <v>12</v>
      </c>
      <c r="J87" s="53">
        <v>1.1499999999999999</v>
      </c>
      <c r="K87" s="58">
        <v>4.1748251591552297</v>
      </c>
    </row>
    <row r="88" spans="1:11">
      <c r="A88" s="50" t="s">
        <v>26</v>
      </c>
      <c r="B88" s="57">
        <v>20</v>
      </c>
      <c r="C88" s="51">
        <v>1.6</v>
      </c>
      <c r="D88" s="50">
        <v>7.2499999999999995E-2</v>
      </c>
      <c r="E88" s="50">
        <v>1E-3</v>
      </c>
      <c r="F88" s="50">
        <v>997.05</v>
      </c>
      <c r="G88" s="50"/>
      <c r="H88" s="50">
        <v>20</v>
      </c>
      <c r="I88" s="53" t="s">
        <v>12</v>
      </c>
      <c r="J88" s="53">
        <v>1.1499999999999999</v>
      </c>
      <c r="K88" s="58">
        <v>4.1734265791162501</v>
      </c>
    </row>
    <row r="89" spans="1:11">
      <c r="A89" s="59" t="s">
        <v>27</v>
      </c>
      <c r="B89" s="60">
        <v>6.12</v>
      </c>
      <c r="C89" s="61">
        <v>0.16</v>
      </c>
      <c r="D89" s="50"/>
      <c r="E89" s="50"/>
      <c r="F89" s="50"/>
      <c r="G89" s="50"/>
      <c r="H89" s="62">
        <v>25</v>
      </c>
      <c r="I89" s="53" t="s">
        <v>12</v>
      </c>
      <c r="J89" s="63"/>
      <c r="K89" s="64">
        <v>1.9487427935336501</v>
      </c>
    </row>
    <row r="90" spans="1:11">
      <c r="A90" s="59" t="s">
        <v>27</v>
      </c>
      <c r="B90" s="60">
        <v>6.27</v>
      </c>
      <c r="C90" s="61">
        <v>0.16</v>
      </c>
      <c r="D90" s="50"/>
      <c r="E90" s="50"/>
      <c r="F90" s="50"/>
      <c r="G90" s="50"/>
      <c r="H90" s="62">
        <v>25</v>
      </c>
      <c r="I90" s="53" t="s">
        <v>12</v>
      </c>
      <c r="J90" s="63"/>
      <c r="K90" s="64">
        <v>1.9487427935336501</v>
      </c>
    </row>
    <row r="91" spans="1:11">
      <c r="A91" s="59" t="s">
        <v>27</v>
      </c>
      <c r="B91" s="60">
        <v>6.282</v>
      </c>
      <c r="C91" s="61">
        <v>0.16</v>
      </c>
      <c r="D91" s="50"/>
      <c r="E91" s="50"/>
      <c r="F91" s="50"/>
      <c r="G91" s="50"/>
      <c r="H91" s="62">
        <v>25</v>
      </c>
      <c r="I91" s="53" t="s">
        <v>12</v>
      </c>
      <c r="J91" s="63"/>
      <c r="K91" s="64">
        <v>1.9680849493930901</v>
      </c>
    </row>
    <row r="92" spans="1:11">
      <c r="A92" s="59" t="s">
        <v>27</v>
      </c>
      <c r="B92" s="60">
        <v>6.468</v>
      </c>
      <c r="C92" s="61">
        <v>0.16</v>
      </c>
      <c r="D92" s="50"/>
      <c r="E92" s="50"/>
      <c r="F92" s="50"/>
      <c r="G92" s="50"/>
      <c r="H92" s="62">
        <v>25</v>
      </c>
      <c r="I92" s="53" t="s">
        <v>12</v>
      </c>
      <c r="J92" s="63"/>
      <c r="K92" s="64">
        <v>1.9777562579017001</v>
      </c>
    </row>
    <row r="93" spans="1:11">
      <c r="A93" s="59" t="s">
        <v>27</v>
      </c>
      <c r="B93" s="60">
        <v>6.87</v>
      </c>
      <c r="C93" s="61">
        <v>0.16</v>
      </c>
      <c r="D93" s="50"/>
      <c r="E93" s="50"/>
      <c r="F93" s="50"/>
      <c r="G93" s="50"/>
      <c r="H93" s="62">
        <v>25</v>
      </c>
      <c r="I93" s="53" t="s">
        <v>12</v>
      </c>
      <c r="J93" s="63"/>
      <c r="K93" s="64">
        <v>1.9777562579017001</v>
      </c>
    </row>
    <row r="94" spans="1:11">
      <c r="A94" s="59" t="s">
        <v>27</v>
      </c>
      <c r="B94" s="60">
        <v>9.3960000000000008</v>
      </c>
      <c r="C94" s="61">
        <v>0.16</v>
      </c>
      <c r="D94" s="50"/>
      <c r="E94" s="50"/>
      <c r="F94" s="50"/>
      <c r="G94" s="50"/>
      <c r="H94" s="62">
        <v>25</v>
      </c>
      <c r="I94" s="53" t="s">
        <v>12</v>
      </c>
      <c r="J94" s="63"/>
      <c r="K94" s="64">
        <v>1.81818183495119</v>
      </c>
    </row>
    <row r="95" spans="1:11">
      <c r="A95" s="59" t="s">
        <v>27</v>
      </c>
      <c r="B95" s="60">
        <v>6.12</v>
      </c>
      <c r="C95" s="61">
        <v>0.33</v>
      </c>
      <c r="D95" s="50"/>
      <c r="E95" s="50"/>
      <c r="F95" s="50"/>
      <c r="G95" s="50"/>
      <c r="H95" s="62">
        <v>25</v>
      </c>
      <c r="I95" s="53" t="s">
        <v>12</v>
      </c>
      <c r="J95" s="63"/>
      <c r="K95" s="65">
        <v>2.3006536003729399</v>
      </c>
    </row>
    <row r="96" spans="1:11">
      <c r="A96" s="59" t="s">
        <v>27</v>
      </c>
      <c r="B96" s="60">
        <v>6.12</v>
      </c>
      <c r="C96" s="61">
        <v>0.67</v>
      </c>
      <c r="D96" s="50"/>
      <c r="E96" s="50"/>
      <c r="F96" s="50"/>
      <c r="G96" s="50"/>
      <c r="H96" s="62">
        <v>25</v>
      </c>
      <c r="I96" s="53" t="s">
        <v>12</v>
      </c>
      <c r="J96" s="63"/>
      <c r="K96" s="65">
        <v>2.33660127806069</v>
      </c>
    </row>
    <row r="97" spans="1:11">
      <c r="A97" s="59" t="s">
        <v>27</v>
      </c>
      <c r="B97" s="60">
        <v>6.12</v>
      </c>
      <c r="C97" s="61">
        <v>1.4</v>
      </c>
      <c r="D97" s="50"/>
      <c r="E97" s="50"/>
      <c r="F97" s="50"/>
      <c r="G97" s="50"/>
      <c r="H97" s="62">
        <v>25</v>
      </c>
      <c r="I97" s="53" t="s">
        <v>12</v>
      </c>
      <c r="J97" s="63"/>
      <c r="K97" s="65">
        <v>2.37254887004242</v>
      </c>
    </row>
    <row r="98" spans="1:11">
      <c r="A98" s="213" t="s">
        <v>27</v>
      </c>
      <c r="B98" s="213">
        <v>6.12</v>
      </c>
      <c r="C98" s="214">
        <v>0.16</v>
      </c>
      <c r="D98" s="211"/>
      <c r="E98" s="211"/>
      <c r="F98" s="211"/>
      <c r="G98" s="211"/>
      <c r="H98" s="215"/>
      <c r="I98" s="213" t="s">
        <v>12</v>
      </c>
      <c r="J98" s="213"/>
      <c r="K98" s="216">
        <v>4.6531240000000001E-2</v>
      </c>
    </row>
    <row r="99" spans="1:11">
      <c r="A99" s="213" t="s">
        <v>27</v>
      </c>
      <c r="B99" s="213">
        <v>6.12</v>
      </c>
      <c r="C99" s="214">
        <v>0.16</v>
      </c>
      <c r="D99" s="211"/>
      <c r="E99" s="211"/>
      <c r="F99" s="211"/>
      <c r="G99" s="211"/>
      <c r="H99" s="215"/>
      <c r="I99" s="213" t="s">
        <v>12</v>
      </c>
      <c r="J99" s="213"/>
      <c r="K99" s="216">
        <v>0.80372250999999995</v>
      </c>
    </row>
    <row r="100" spans="1:11">
      <c r="A100" s="213" t="s">
        <v>27</v>
      </c>
      <c r="B100" s="213">
        <v>6.12</v>
      </c>
      <c r="C100" s="214">
        <v>0.16</v>
      </c>
      <c r="D100" s="211"/>
      <c r="E100" s="211"/>
      <c r="F100" s="211"/>
      <c r="G100" s="211"/>
      <c r="H100" s="215"/>
      <c r="I100" s="213" t="s">
        <v>12</v>
      </c>
      <c r="J100" s="213"/>
      <c r="K100" s="216">
        <v>1.0279187590000001</v>
      </c>
    </row>
    <row r="101" spans="1:11">
      <c r="A101" s="213" t="s">
        <v>27</v>
      </c>
      <c r="B101" s="213">
        <v>6.12</v>
      </c>
      <c r="C101" s="214">
        <v>0.16</v>
      </c>
      <c r="D101" s="211"/>
      <c r="E101" s="211"/>
      <c r="F101" s="211"/>
      <c r="G101" s="211"/>
      <c r="H101" s="215"/>
      <c r="I101" s="213" t="s">
        <v>12</v>
      </c>
      <c r="J101" s="213"/>
      <c r="K101" s="216">
        <v>1.1040610200000001</v>
      </c>
    </row>
    <row r="102" spans="1:11">
      <c r="A102" s="213" t="s">
        <v>27</v>
      </c>
      <c r="B102" s="213">
        <v>6.12</v>
      </c>
      <c r="C102" s="214">
        <v>0.16</v>
      </c>
      <c r="D102" s="211"/>
      <c r="E102" s="211"/>
      <c r="F102" s="211"/>
      <c r="G102" s="211"/>
      <c r="H102" s="215"/>
      <c r="I102" s="213" t="s">
        <v>12</v>
      </c>
      <c r="J102" s="213"/>
      <c r="K102" s="216">
        <v>1.4678511460000001</v>
      </c>
    </row>
    <row r="103" spans="1:11">
      <c r="A103" s="213" t="s">
        <v>27</v>
      </c>
      <c r="B103" s="213">
        <v>6.12</v>
      </c>
      <c r="C103" s="214">
        <v>0.16</v>
      </c>
      <c r="D103" s="211"/>
      <c r="E103" s="211"/>
      <c r="F103" s="211"/>
      <c r="G103" s="211"/>
      <c r="H103" s="215"/>
      <c r="I103" s="213" t="s">
        <v>12</v>
      </c>
      <c r="J103" s="213"/>
      <c r="K103" s="216">
        <v>1.57360411</v>
      </c>
    </row>
    <row r="104" spans="1:11">
      <c r="A104" s="213" t="s">
        <v>27</v>
      </c>
      <c r="B104" s="213">
        <v>6.12</v>
      </c>
      <c r="C104" s="214">
        <v>0.16</v>
      </c>
      <c r="D104" s="211"/>
      <c r="E104" s="211"/>
      <c r="F104" s="211"/>
      <c r="G104" s="211"/>
      <c r="H104" s="215"/>
      <c r="I104" s="213" t="s">
        <v>12</v>
      </c>
      <c r="J104" s="213"/>
      <c r="K104" s="216">
        <v>1.6878173400000001</v>
      </c>
    </row>
    <row r="105" spans="1:11">
      <c r="A105" s="213" t="s">
        <v>27</v>
      </c>
      <c r="B105" s="213">
        <v>6.12</v>
      </c>
      <c r="C105" s="214">
        <v>0.16</v>
      </c>
      <c r="D105" s="211"/>
      <c r="E105" s="211"/>
      <c r="F105" s="211"/>
      <c r="G105" s="211"/>
      <c r="H105" s="215"/>
      <c r="I105" s="213" t="s">
        <v>12</v>
      </c>
      <c r="J105" s="213"/>
      <c r="K105" s="216">
        <v>1.780879898</v>
      </c>
    </row>
    <row r="106" spans="1:11">
      <c r="A106" s="213" t="s">
        <v>27</v>
      </c>
      <c r="B106" s="213">
        <v>6.12</v>
      </c>
      <c r="C106" s="214">
        <v>0.16</v>
      </c>
      <c r="D106" s="211"/>
      <c r="E106" s="211"/>
      <c r="F106" s="211"/>
      <c r="G106" s="211"/>
      <c r="H106" s="215"/>
      <c r="I106" s="213" t="s">
        <v>12</v>
      </c>
      <c r="J106" s="213"/>
      <c r="K106" s="216">
        <v>1.8654822680000001</v>
      </c>
    </row>
    <row r="107" spans="1:11">
      <c r="A107" s="213" t="s">
        <v>27</v>
      </c>
      <c r="B107" s="213">
        <v>6.12</v>
      </c>
      <c r="C107" s="214">
        <v>0.16</v>
      </c>
      <c r="D107" s="211"/>
      <c r="E107" s="211"/>
      <c r="F107" s="211"/>
      <c r="G107" s="211"/>
      <c r="H107" s="215"/>
      <c r="I107" s="213" t="s">
        <v>12</v>
      </c>
      <c r="J107" s="213"/>
      <c r="K107" s="216">
        <v>1.945854583</v>
      </c>
    </row>
    <row r="108" spans="1:11">
      <c r="A108" s="213" t="s">
        <v>27</v>
      </c>
      <c r="B108" s="213">
        <v>6.27</v>
      </c>
      <c r="C108" s="214">
        <v>0.16</v>
      </c>
      <c r="D108" s="211"/>
      <c r="E108" s="211"/>
      <c r="F108" s="211"/>
      <c r="G108" s="211"/>
      <c r="H108" s="215"/>
      <c r="I108" s="213" t="s">
        <v>12</v>
      </c>
      <c r="J108" s="213"/>
      <c r="K108" s="216">
        <v>0.131477964</v>
      </c>
    </row>
    <row r="109" spans="1:11">
      <c r="A109" s="213" t="s">
        <v>27</v>
      </c>
      <c r="B109" s="213">
        <v>6.27</v>
      </c>
      <c r="C109" s="214">
        <v>0.16</v>
      </c>
      <c r="D109" s="211"/>
      <c r="E109" s="211"/>
      <c r="F109" s="211"/>
      <c r="G109" s="211"/>
      <c r="H109" s="215"/>
      <c r="I109" s="213" t="s">
        <v>12</v>
      </c>
      <c r="J109" s="213"/>
      <c r="K109" s="216">
        <v>0.61704713700000002</v>
      </c>
    </row>
    <row r="110" spans="1:11">
      <c r="A110" s="213" t="s">
        <v>27</v>
      </c>
      <c r="B110" s="213">
        <v>6.27</v>
      </c>
      <c r="C110" s="214">
        <v>0.16</v>
      </c>
      <c r="D110" s="211"/>
      <c r="E110" s="211"/>
      <c r="F110" s="211"/>
      <c r="G110" s="211"/>
      <c r="H110" s="215"/>
      <c r="I110" s="213" t="s">
        <v>12</v>
      </c>
      <c r="J110" s="213"/>
      <c r="K110" s="216">
        <v>0.74542702999999999</v>
      </c>
    </row>
    <row r="111" spans="1:11">
      <c r="A111" s="213" t="s">
        <v>27</v>
      </c>
      <c r="B111" s="213">
        <v>6.2411538461538498</v>
      </c>
      <c r="C111" s="214">
        <v>0.16</v>
      </c>
      <c r="D111" s="211"/>
      <c r="E111" s="211"/>
      <c r="F111" s="211"/>
      <c r="G111" s="211"/>
      <c r="H111" s="215"/>
      <c r="I111" s="213" t="s">
        <v>12</v>
      </c>
      <c r="J111" s="213"/>
      <c r="K111" s="216">
        <v>1.26144243946154</v>
      </c>
    </row>
    <row r="112" spans="1:11">
      <c r="A112" s="213" t="s">
        <v>27</v>
      </c>
      <c r="B112" s="213">
        <v>6.2535164835164903</v>
      </c>
      <c r="C112" s="214">
        <v>0.16</v>
      </c>
      <c r="D112" s="211"/>
      <c r="E112" s="211"/>
      <c r="F112" s="211"/>
      <c r="G112" s="211"/>
      <c r="H112" s="215"/>
      <c r="I112" s="213" t="s">
        <v>12</v>
      </c>
      <c r="J112" s="213"/>
      <c r="K112" s="216">
        <v>1.279036689</v>
      </c>
    </row>
    <row r="113" spans="1:11">
      <c r="A113" s="213" t="s">
        <v>27</v>
      </c>
      <c r="B113" s="213">
        <v>6.2658791208791298</v>
      </c>
      <c r="C113" s="214">
        <v>0.16</v>
      </c>
      <c r="D113" s="211"/>
      <c r="E113" s="211"/>
      <c r="F113" s="211"/>
      <c r="G113" s="211"/>
      <c r="H113" s="215"/>
      <c r="I113" s="213" t="s">
        <v>12</v>
      </c>
      <c r="J113" s="213"/>
      <c r="K113" s="216">
        <v>1.29663093853846</v>
      </c>
    </row>
    <row r="114" spans="1:11">
      <c r="A114" s="213" t="s">
        <v>27</v>
      </c>
      <c r="B114" s="213">
        <v>6.2782417582417702</v>
      </c>
      <c r="C114" s="214">
        <v>0.16</v>
      </c>
      <c r="D114" s="211"/>
      <c r="E114" s="211"/>
      <c r="F114" s="211"/>
      <c r="G114" s="211"/>
      <c r="H114" s="215"/>
      <c r="I114" s="213" t="s">
        <v>12</v>
      </c>
      <c r="J114" s="213"/>
      <c r="K114" s="216">
        <v>1.31422518807692</v>
      </c>
    </row>
    <row r="115" spans="1:11">
      <c r="A115" s="213" t="s">
        <v>27</v>
      </c>
      <c r="B115" s="213">
        <v>6.2906043956044098</v>
      </c>
      <c r="C115" s="214">
        <v>0.16</v>
      </c>
      <c r="D115" s="211"/>
      <c r="E115" s="211"/>
      <c r="F115" s="211"/>
      <c r="G115" s="211"/>
      <c r="H115" s="215"/>
      <c r="I115" s="213" t="s">
        <v>12</v>
      </c>
      <c r="J115" s="213"/>
      <c r="K115" s="216">
        <v>1.33181943761539</v>
      </c>
    </row>
    <row r="116" spans="1:11">
      <c r="A116" s="213" t="s">
        <v>27</v>
      </c>
      <c r="B116" s="213">
        <v>6.3029670329670404</v>
      </c>
      <c r="C116" s="214">
        <v>0.16</v>
      </c>
      <c r="D116" s="211"/>
      <c r="E116" s="211"/>
      <c r="F116" s="211"/>
      <c r="G116" s="211"/>
      <c r="H116" s="215"/>
      <c r="I116" s="213" t="s">
        <v>12</v>
      </c>
      <c r="J116" s="213"/>
      <c r="K116" s="216">
        <v>1.34941368715385</v>
      </c>
    </row>
    <row r="117" spans="1:11">
      <c r="A117" s="213" t="s">
        <v>27</v>
      </c>
      <c r="B117" s="213">
        <v>6.31532967032968</v>
      </c>
      <c r="C117" s="214">
        <v>0.16</v>
      </c>
      <c r="D117" s="211"/>
      <c r="E117" s="211"/>
      <c r="F117" s="211"/>
      <c r="G117" s="211"/>
      <c r="H117" s="215"/>
      <c r="I117" s="213" t="s">
        <v>12</v>
      </c>
      <c r="J117" s="213"/>
      <c r="K117" s="216">
        <v>1.36700793669231</v>
      </c>
    </row>
    <row r="118" spans="1:11">
      <c r="A118" s="213" t="s">
        <v>27</v>
      </c>
      <c r="B118" s="213">
        <v>6.3276923076923204</v>
      </c>
      <c r="C118" s="214">
        <v>0.16</v>
      </c>
      <c r="D118" s="211"/>
      <c r="E118" s="211"/>
      <c r="F118" s="211"/>
      <c r="G118" s="211"/>
      <c r="H118" s="215"/>
      <c r="I118" s="213" t="s">
        <v>12</v>
      </c>
      <c r="J118" s="213"/>
      <c r="K118" s="216">
        <v>1.38460218623077</v>
      </c>
    </row>
    <row r="119" spans="1:11">
      <c r="A119" s="213" t="s">
        <v>27</v>
      </c>
      <c r="B119" s="213">
        <v>6.3400549450549599</v>
      </c>
      <c r="C119" s="214">
        <v>0.16</v>
      </c>
      <c r="D119" s="211"/>
      <c r="E119" s="211"/>
      <c r="F119" s="211"/>
      <c r="G119" s="211"/>
      <c r="H119" s="215"/>
      <c r="I119" s="213" t="s">
        <v>12</v>
      </c>
      <c r="J119" s="213"/>
      <c r="K119" s="216">
        <v>1.40219643576923</v>
      </c>
    </row>
    <row r="120" spans="1:11">
      <c r="A120" s="213" t="s">
        <v>27</v>
      </c>
      <c r="B120" s="213">
        <v>6.3524175824176004</v>
      </c>
      <c r="C120" s="214">
        <v>0.16</v>
      </c>
      <c r="D120" s="211"/>
      <c r="E120" s="211"/>
      <c r="F120" s="211"/>
      <c r="G120" s="211"/>
      <c r="H120" s="215"/>
      <c r="I120" s="213" t="s">
        <v>12</v>
      </c>
      <c r="J120" s="213"/>
      <c r="K120" s="216">
        <v>1.41979068530769</v>
      </c>
    </row>
    <row r="121" spans="1:11">
      <c r="A121" s="213" t="s">
        <v>27</v>
      </c>
      <c r="B121" s="213">
        <v>6.3647802197802399</v>
      </c>
      <c r="C121" s="214">
        <v>0.16</v>
      </c>
      <c r="D121" s="211"/>
      <c r="E121" s="211"/>
      <c r="F121" s="211"/>
      <c r="G121" s="211"/>
      <c r="H121" s="215"/>
      <c r="I121" s="213" t="s">
        <v>12</v>
      </c>
      <c r="J121" s="213"/>
      <c r="K121" s="216">
        <v>1.43738493484615</v>
      </c>
    </row>
    <row r="122" spans="1:11">
      <c r="A122" s="213" t="s">
        <v>27</v>
      </c>
      <c r="B122" s="213">
        <v>6.3771428571428697</v>
      </c>
      <c r="C122" s="214">
        <v>0.16</v>
      </c>
      <c r="D122" s="211"/>
      <c r="E122" s="211"/>
      <c r="F122" s="211"/>
      <c r="G122" s="211"/>
      <c r="H122" s="215"/>
      <c r="I122" s="213" t="s">
        <v>12</v>
      </c>
      <c r="J122" s="213"/>
      <c r="K122" s="216">
        <v>1.45497918438462</v>
      </c>
    </row>
    <row r="123" spans="1:11">
      <c r="A123" s="213" t="s">
        <v>27</v>
      </c>
      <c r="B123" s="213">
        <v>6.3895054945055101</v>
      </c>
      <c r="C123" s="214">
        <v>0.16</v>
      </c>
      <c r="D123" s="211"/>
      <c r="E123" s="211"/>
      <c r="F123" s="211"/>
      <c r="G123" s="211"/>
      <c r="H123" s="215"/>
      <c r="I123" s="213" t="s">
        <v>12</v>
      </c>
      <c r="J123" s="213"/>
      <c r="K123" s="216">
        <v>1.47257343392308</v>
      </c>
    </row>
    <row r="124" spans="1:11">
      <c r="A124" s="213" t="s">
        <v>27</v>
      </c>
      <c r="B124" s="213">
        <v>6.4018681318681496</v>
      </c>
      <c r="C124" s="214">
        <v>0.16</v>
      </c>
      <c r="D124" s="211"/>
      <c r="E124" s="211"/>
      <c r="F124" s="211"/>
      <c r="G124" s="211"/>
      <c r="H124" s="215"/>
      <c r="I124" s="213" t="s">
        <v>12</v>
      </c>
      <c r="J124" s="213"/>
      <c r="K124" s="216">
        <v>1.49016768346154</v>
      </c>
    </row>
    <row r="125" spans="1:11">
      <c r="A125" s="213" t="s">
        <v>27</v>
      </c>
      <c r="B125" s="213">
        <v>6.4142307692307901</v>
      </c>
      <c r="C125" s="214">
        <v>0.16</v>
      </c>
      <c r="D125" s="211"/>
      <c r="E125" s="211"/>
      <c r="F125" s="211"/>
      <c r="G125" s="211"/>
      <c r="H125" s="215"/>
      <c r="I125" s="213" t="s">
        <v>12</v>
      </c>
      <c r="J125" s="213"/>
      <c r="K125" s="216">
        <v>1.5077619330000001</v>
      </c>
    </row>
    <row r="126" spans="1:11">
      <c r="A126" s="213" t="s">
        <v>27</v>
      </c>
      <c r="B126" s="213">
        <v>6.4265934065934296</v>
      </c>
      <c r="C126" s="214">
        <v>0.16</v>
      </c>
      <c r="D126" s="211"/>
      <c r="E126" s="211"/>
      <c r="F126" s="211"/>
      <c r="G126" s="211"/>
      <c r="H126" s="215"/>
      <c r="I126" s="213" t="s">
        <v>12</v>
      </c>
      <c r="J126" s="213"/>
      <c r="K126" s="216">
        <v>1.5253561825384601</v>
      </c>
    </row>
    <row r="127" spans="1:11">
      <c r="A127" s="213" t="s">
        <v>27</v>
      </c>
      <c r="B127" s="213">
        <v>6.43895604395607</v>
      </c>
      <c r="C127" s="214">
        <v>0.16</v>
      </c>
      <c r="D127" s="211"/>
      <c r="E127" s="211"/>
      <c r="F127" s="211"/>
      <c r="G127" s="211"/>
      <c r="H127" s="215"/>
      <c r="I127" s="213" t="s">
        <v>12</v>
      </c>
      <c r="J127" s="213"/>
      <c r="K127" s="216">
        <v>1.5429504320769201</v>
      </c>
    </row>
    <row r="128" spans="1:11">
      <c r="A128" s="213" t="s">
        <v>27</v>
      </c>
      <c r="B128" s="213">
        <v>6.4513186813187096</v>
      </c>
      <c r="C128" s="214">
        <v>0.16</v>
      </c>
      <c r="D128" s="211"/>
      <c r="E128" s="211"/>
      <c r="F128" s="211"/>
      <c r="G128" s="211"/>
      <c r="H128" s="215"/>
      <c r="I128" s="213" t="s">
        <v>12</v>
      </c>
      <c r="J128" s="213"/>
      <c r="K128" s="216">
        <v>1.5605446816153901</v>
      </c>
    </row>
    <row r="129" spans="1:11">
      <c r="A129" s="213" t="s">
        <v>27</v>
      </c>
      <c r="B129" s="213">
        <v>6.4636813186813402</v>
      </c>
      <c r="C129" s="214">
        <v>0.16</v>
      </c>
      <c r="D129" s="211"/>
      <c r="E129" s="211"/>
      <c r="F129" s="211"/>
      <c r="G129" s="211"/>
      <c r="H129" s="215"/>
      <c r="I129" s="213" t="s">
        <v>12</v>
      </c>
      <c r="J129" s="213"/>
      <c r="K129" s="216">
        <v>1.5781389311538501</v>
      </c>
    </row>
    <row r="130" spans="1:11">
      <c r="A130" s="213" t="s">
        <v>27</v>
      </c>
      <c r="B130" s="213">
        <v>6.4760439560439798</v>
      </c>
      <c r="C130" s="214">
        <v>0.16</v>
      </c>
      <c r="D130" s="211"/>
      <c r="E130" s="211"/>
      <c r="F130" s="211"/>
      <c r="G130" s="211"/>
      <c r="H130" s="215"/>
      <c r="I130" s="213" t="s">
        <v>12</v>
      </c>
      <c r="J130" s="213"/>
      <c r="K130" s="216">
        <v>1.5957331806923101</v>
      </c>
    </row>
    <row r="131" spans="1:11">
      <c r="A131" s="213" t="s">
        <v>27</v>
      </c>
      <c r="B131" s="213">
        <v>6.4884065934066202</v>
      </c>
      <c r="C131" s="214">
        <v>0.16</v>
      </c>
      <c r="D131" s="211"/>
      <c r="E131" s="211"/>
      <c r="F131" s="211"/>
      <c r="G131" s="211"/>
      <c r="H131" s="215"/>
      <c r="I131" s="213" t="s">
        <v>12</v>
      </c>
      <c r="J131" s="213"/>
      <c r="K131" s="216">
        <v>1.6133274302307701</v>
      </c>
    </row>
    <row r="132" spans="1:11">
      <c r="A132" s="213" t="s">
        <v>27</v>
      </c>
      <c r="B132" s="213">
        <v>6.5007692307692597</v>
      </c>
      <c r="C132" s="214">
        <v>0.16</v>
      </c>
      <c r="D132" s="211"/>
      <c r="E132" s="211"/>
      <c r="F132" s="211"/>
      <c r="G132" s="211"/>
      <c r="H132" s="215"/>
      <c r="I132" s="213" t="s">
        <v>12</v>
      </c>
      <c r="J132" s="213"/>
      <c r="K132" s="216">
        <v>1.6309216797692301</v>
      </c>
    </row>
    <row r="133" spans="1:11">
      <c r="A133" s="213" t="s">
        <v>27</v>
      </c>
      <c r="B133" s="213">
        <v>6.5131318681319001</v>
      </c>
      <c r="C133" s="214">
        <v>0.16</v>
      </c>
      <c r="D133" s="211"/>
      <c r="E133" s="211"/>
      <c r="F133" s="211"/>
      <c r="G133" s="211"/>
      <c r="H133" s="215"/>
      <c r="I133" s="213" t="s">
        <v>12</v>
      </c>
      <c r="J133" s="213"/>
      <c r="K133" s="216">
        <v>1.6485159293076901</v>
      </c>
    </row>
    <row r="134" spans="1:11">
      <c r="A134" s="213" t="s">
        <v>27</v>
      </c>
      <c r="B134" s="213">
        <v>6.5254945054945397</v>
      </c>
      <c r="C134" s="214">
        <v>0.16</v>
      </c>
      <c r="D134" s="211"/>
      <c r="E134" s="211"/>
      <c r="F134" s="211"/>
      <c r="G134" s="211"/>
      <c r="H134" s="215"/>
      <c r="I134" s="213" t="s">
        <v>12</v>
      </c>
      <c r="J134" s="213"/>
      <c r="K134" s="216">
        <v>1.6661101788461501</v>
      </c>
    </row>
    <row r="135" spans="1:11">
      <c r="A135" s="213" t="s">
        <v>27</v>
      </c>
      <c r="B135" s="213">
        <v>6.5378571428571801</v>
      </c>
      <c r="C135" s="214">
        <v>0.16</v>
      </c>
      <c r="D135" s="211"/>
      <c r="E135" s="211"/>
      <c r="F135" s="211"/>
      <c r="G135" s="211"/>
      <c r="H135" s="215"/>
      <c r="I135" s="213" t="s">
        <v>12</v>
      </c>
      <c r="J135" s="213"/>
      <c r="K135" s="216">
        <v>1.6837044283846201</v>
      </c>
    </row>
    <row r="136" spans="1:11">
      <c r="A136" s="213" t="s">
        <v>27</v>
      </c>
      <c r="B136" s="213">
        <v>6.5502197802198099</v>
      </c>
      <c r="C136" s="214">
        <v>0.16</v>
      </c>
      <c r="D136" s="211"/>
      <c r="E136" s="211"/>
      <c r="F136" s="211"/>
      <c r="G136" s="211"/>
      <c r="H136" s="215"/>
      <c r="I136" s="213" t="s">
        <v>12</v>
      </c>
      <c r="J136" s="213"/>
      <c r="K136" s="216">
        <v>1.7012986779230801</v>
      </c>
    </row>
    <row r="137" spans="1:11">
      <c r="A137" s="213" t="s">
        <v>27</v>
      </c>
      <c r="B137" s="213">
        <v>6.5625824175824503</v>
      </c>
      <c r="C137" s="214">
        <v>0.16</v>
      </c>
      <c r="D137" s="211"/>
      <c r="E137" s="211"/>
      <c r="F137" s="211"/>
      <c r="G137" s="211"/>
      <c r="H137" s="215"/>
      <c r="I137" s="213" t="s">
        <v>12</v>
      </c>
      <c r="J137" s="213"/>
      <c r="K137" s="216">
        <v>1.7188929274615401</v>
      </c>
    </row>
    <row r="138" spans="1:11">
      <c r="A138" s="213" t="s">
        <v>27</v>
      </c>
      <c r="B138" s="213">
        <v>6.5749450549450899</v>
      </c>
      <c r="C138" s="214">
        <v>0.16</v>
      </c>
      <c r="D138" s="211"/>
      <c r="E138" s="211"/>
      <c r="F138" s="211"/>
      <c r="G138" s="211"/>
      <c r="H138" s="215"/>
      <c r="I138" s="213" t="s">
        <v>12</v>
      </c>
      <c r="J138" s="213"/>
      <c r="K138" s="216">
        <v>1.7364871770000001</v>
      </c>
    </row>
    <row r="139" spans="1:11">
      <c r="A139" s="213" t="s">
        <v>27</v>
      </c>
      <c r="B139" s="213">
        <v>6.5873076923077303</v>
      </c>
      <c r="C139" s="214">
        <v>0.160000000000001</v>
      </c>
      <c r="D139" s="211"/>
      <c r="E139" s="211"/>
      <c r="F139" s="211"/>
      <c r="G139" s="211"/>
      <c r="H139" s="215"/>
      <c r="I139" s="213" t="s">
        <v>12</v>
      </c>
      <c r="J139" s="213"/>
      <c r="K139" s="216">
        <v>1.7540814265384601</v>
      </c>
    </row>
    <row r="140" spans="1:11">
      <c r="A140" s="213" t="s">
        <v>27</v>
      </c>
      <c r="B140" s="213">
        <v>6.5996703296703698</v>
      </c>
      <c r="C140" s="214">
        <v>0.160000000000001</v>
      </c>
      <c r="D140" s="211"/>
      <c r="E140" s="211"/>
      <c r="F140" s="211"/>
      <c r="G140" s="211"/>
      <c r="H140" s="215"/>
      <c r="I140" s="213" t="s">
        <v>12</v>
      </c>
      <c r="J140" s="213"/>
      <c r="K140" s="216">
        <v>1.7716756760769199</v>
      </c>
    </row>
    <row r="141" spans="1:11">
      <c r="A141" s="213" t="s">
        <v>27</v>
      </c>
      <c r="B141" s="213">
        <v>6.6120329670330102</v>
      </c>
      <c r="C141" s="214">
        <v>0.160000000000001</v>
      </c>
      <c r="D141" s="211"/>
      <c r="E141" s="211"/>
      <c r="F141" s="211"/>
      <c r="G141" s="211"/>
      <c r="H141" s="215"/>
      <c r="I141" s="213" t="s">
        <v>12</v>
      </c>
      <c r="J141" s="213"/>
      <c r="K141" s="216">
        <v>1.7892699256153799</v>
      </c>
    </row>
    <row r="142" spans="1:11">
      <c r="A142" s="213" t="s">
        <v>27</v>
      </c>
      <c r="B142" s="213">
        <v>6.6243956043956498</v>
      </c>
      <c r="C142" s="214">
        <v>0.160000000000001</v>
      </c>
      <c r="D142" s="211"/>
      <c r="E142" s="211"/>
      <c r="F142" s="211"/>
      <c r="G142" s="211"/>
      <c r="H142" s="215"/>
      <c r="I142" s="213" t="s">
        <v>12</v>
      </c>
      <c r="J142" s="213"/>
      <c r="K142" s="216">
        <v>1.8068641751538499</v>
      </c>
    </row>
    <row r="143" spans="1:11">
      <c r="A143" s="213" t="s">
        <v>27</v>
      </c>
      <c r="B143" s="213">
        <v>6.6367582417582804</v>
      </c>
      <c r="C143" s="214">
        <v>0.160000000000001</v>
      </c>
      <c r="D143" s="211"/>
      <c r="E143" s="211"/>
      <c r="F143" s="211"/>
      <c r="G143" s="211"/>
      <c r="H143" s="215"/>
      <c r="I143" s="213" t="s">
        <v>12</v>
      </c>
      <c r="J143" s="213"/>
      <c r="K143" s="216">
        <v>1.8244584246923099</v>
      </c>
    </row>
    <row r="144" spans="1:11">
      <c r="A144" s="213" t="s">
        <v>27</v>
      </c>
      <c r="B144" s="213">
        <v>6.64912087912092</v>
      </c>
      <c r="C144" s="214">
        <v>0.160000000000001</v>
      </c>
      <c r="D144" s="211"/>
      <c r="E144" s="211"/>
      <c r="F144" s="211"/>
      <c r="G144" s="211"/>
      <c r="H144" s="215"/>
      <c r="I144" s="213" t="s">
        <v>12</v>
      </c>
      <c r="J144" s="213"/>
      <c r="K144" s="216">
        <v>1.8420526742307699</v>
      </c>
    </row>
    <row r="145" spans="1:11">
      <c r="A145" s="213" t="s">
        <v>27</v>
      </c>
      <c r="B145" s="213">
        <v>6.6614835164835604</v>
      </c>
      <c r="C145" s="214">
        <v>0.160000000000001</v>
      </c>
      <c r="D145" s="211"/>
      <c r="E145" s="211"/>
      <c r="F145" s="211"/>
      <c r="G145" s="211"/>
      <c r="H145" s="215"/>
      <c r="I145" s="213" t="s">
        <v>12</v>
      </c>
      <c r="J145" s="213"/>
      <c r="K145" s="216">
        <v>1.8596469237692299</v>
      </c>
    </row>
    <row r="146" spans="1:11">
      <c r="A146" s="213" t="s">
        <v>27</v>
      </c>
      <c r="B146" s="213">
        <v>6.6738461538461999</v>
      </c>
      <c r="C146" s="214">
        <v>0.160000000000001</v>
      </c>
      <c r="D146" s="211"/>
      <c r="E146" s="211"/>
      <c r="F146" s="211"/>
      <c r="G146" s="211"/>
      <c r="H146" s="215"/>
      <c r="I146" s="213" t="s">
        <v>12</v>
      </c>
      <c r="J146" s="213"/>
      <c r="K146" s="216">
        <v>1.8772411733076899</v>
      </c>
    </row>
    <row r="147" spans="1:11">
      <c r="A147" s="213" t="s">
        <v>27</v>
      </c>
      <c r="B147" s="213">
        <v>6.6862087912088404</v>
      </c>
      <c r="C147" s="214">
        <v>0.160000000000001</v>
      </c>
      <c r="D147" s="211"/>
      <c r="E147" s="211"/>
      <c r="F147" s="211"/>
      <c r="G147" s="211"/>
      <c r="H147" s="215"/>
      <c r="I147" s="213" t="s">
        <v>12</v>
      </c>
      <c r="J147" s="213"/>
      <c r="K147" s="216">
        <v>1.8948354228461499</v>
      </c>
    </row>
    <row r="148" spans="1:11">
      <c r="A148" s="213" t="s">
        <v>27</v>
      </c>
      <c r="B148" s="213">
        <v>6.6985714285714799</v>
      </c>
      <c r="C148" s="214">
        <v>0.160000000000001</v>
      </c>
      <c r="D148" s="211"/>
      <c r="E148" s="211"/>
      <c r="F148" s="211"/>
      <c r="G148" s="211"/>
      <c r="H148" s="215"/>
      <c r="I148" s="213" t="s">
        <v>12</v>
      </c>
      <c r="J148" s="213"/>
      <c r="K148" s="216">
        <v>1.9124296723846199</v>
      </c>
    </row>
    <row r="149" spans="1:11">
      <c r="A149" s="213" t="s">
        <v>27</v>
      </c>
      <c r="B149" s="213">
        <v>6.7109340659341097</v>
      </c>
      <c r="C149" s="214">
        <v>0.160000000000001</v>
      </c>
      <c r="D149" s="211"/>
      <c r="E149" s="211"/>
      <c r="F149" s="211"/>
      <c r="G149" s="211"/>
      <c r="H149" s="215"/>
      <c r="I149" s="213" t="s">
        <v>12</v>
      </c>
      <c r="J149" s="213"/>
      <c r="K149" s="216">
        <v>1.9300239219230799</v>
      </c>
    </row>
    <row r="150" spans="1:11">
      <c r="A150" s="213" t="s">
        <v>27</v>
      </c>
      <c r="B150" s="213">
        <v>6.7232967032967501</v>
      </c>
      <c r="C150" s="214">
        <v>0.160000000000001</v>
      </c>
      <c r="D150" s="211"/>
      <c r="E150" s="211"/>
      <c r="F150" s="211"/>
      <c r="G150" s="211"/>
      <c r="H150" s="215"/>
      <c r="I150" s="213" t="s">
        <v>12</v>
      </c>
      <c r="J150" s="213"/>
      <c r="K150" s="216">
        <v>1.9476181714615399</v>
      </c>
    </row>
    <row r="151" spans="1:11">
      <c r="A151" s="213" t="s">
        <v>27</v>
      </c>
      <c r="B151" s="213">
        <v>6.7356593406593896</v>
      </c>
      <c r="C151" s="214">
        <v>0.160000000000001</v>
      </c>
      <c r="D151" s="211"/>
      <c r="E151" s="211"/>
      <c r="F151" s="211"/>
      <c r="G151" s="211"/>
      <c r="H151" s="215"/>
      <c r="I151" s="213" t="s">
        <v>12</v>
      </c>
      <c r="J151" s="213"/>
      <c r="K151" s="216">
        <v>1.9652124209999999</v>
      </c>
    </row>
    <row r="152" spans="1:11">
      <c r="A152" s="213" t="s">
        <v>27</v>
      </c>
      <c r="B152" s="213">
        <v>6.7480219780220301</v>
      </c>
      <c r="C152" s="214">
        <v>0.160000000000001</v>
      </c>
      <c r="D152" s="211"/>
      <c r="E152" s="211"/>
      <c r="F152" s="211"/>
      <c r="G152" s="211"/>
      <c r="H152" s="215"/>
      <c r="I152" s="213" t="s">
        <v>12</v>
      </c>
      <c r="J152" s="213"/>
      <c r="K152" s="216">
        <v>1.9828066705384599</v>
      </c>
    </row>
    <row r="153" spans="1:11">
      <c r="A153" s="213" t="s">
        <v>27</v>
      </c>
      <c r="B153" s="213">
        <v>6.7603846153846696</v>
      </c>
      <c r="C153" s="214">
        <v>0.160000000000001</v>
      </c>
      <c r="D153" s="211"/>
      <c r="E153" s="211"/>
      <c r="F153" s="211"/>
      <c r="G153" s="211"/>
      <c r="H153" s="215"/>
      <c r="I153" s="213" t="s">
        <v>12</v>
      </c>
      <c r="J153" s="213"/>
      <c r="K153" s="216">
        <v>2.0004009200769199</v>
      </c>
    </row>
    <row r="154" spans="1:11">
      <c r="A154" s="213" t="s">
        <v>27</v>
      </c>
      <c r="B154" s="213">
        <v>6.77274725274731</v>
      </c>
      <c r="C154" s="214">
        <v>0.160000000000001</v>
      </c>
      <c r="D154" s="211"/>
      <c r="E154" s="211"/>
      <c r="F154" s="211"/>
      <c r="G154" s="211"/>
      <c r="H154" s="215"/>
      <c r="I154" s="213" t="s">
        <v>12</v>
      </c>
      <c r="J154" s="213"/>
      <c r="K154" s="216">
        <v>2.0179951696153799</v>
      </c>
    </row>
    <row r="155" spans="1:11">
      <c r="A155" s="213" t="s">
        <v>27</v>
      </c>
      <c r="B155" s="213">
        <v>6.7851098901099398</v>
      </c>
      <c r="C155" s="214">
        <v>0.160000000000001</v>
      </c>
      <c r="D155" s="211"/>
      <c r="E155" s="211"/>
      <c r="F155" s="211"/>
      <c r="G155" s="211"/>
      <c r="H155" s="215"/>
      <c r="I155" s="213" t="s">
        <v>12</v>
      </c>
      <c r="J155" s="213"/>
      <c r="K155" s="216">
        <v>2.0355894191538502</v>
      </c>
    </row>
    <row r="156" spans="1:11">
      <c r="A156" s="213" t="s">
        <v>27</v>
      </c>
      <c r="B156" s="213">
        <v>6.7974725274725802</v>
      </c>
      <c r="C156" s="214">
        <v>0.160000000000001</v>
      </c>
      <c r="D156" s="211"/>
      <c r="E156" s="211"/>
      <c r="F156" s="211"/>
      <c r="G156" s="211"/>
      <c r="H156" s="215"/>
      <c r="I156" s="213" t="s">
        <v>12</v>
      </c>
      <c r="J156" s="213"/>
      <c r="K156" s="216">
        <v>2.0531836686923102</v>
      </c>
    </row>
    <row r="157" spans="1:11">
      <c r="A157" s="213" t="s">
        <v>27</v>
      </c>
      <c r="B157" s="213">
        <v>6.8098351648352198</v>
      </c>
      <c r="C157" s="214">
        <v>0.160000000000001</v>
      </c>
      <c r="D157" s="211"/>
      <c r="E157" s="211"/>
      <c r="F157" s="211"/>
      <c r="G157" s="211"/>
      <c r="H157" s="215"/>
      <c r="I157" s="213" t="s">
        <v>12</v>
      </c>
      <c r="J157" s="213"/>
      <c r="K157" s="216">
        <v>2.0707779182307702</v>
      </c>
    </row>
    <row r="158" spans="1:11">
      <c r="A158" s="213" t="s">
        <v>27</v>
      </c>
      <c r="B158" s="213">
        <v>6.8221978021978602</v>
      </c>
      <c r="C158" s="214">
        <v>0.160000000000001</v>
      </c>
      <c r="D158" s="211"/>
      <c r="E158" s="211"/>
      <c r="F158" s="211"/>
      <c r="G158" s="211"/>
      <c r="H158" s="215"/>
      <c r="I158" s="213" t="s">
        <v>12</v>
      </c>
      <c r="J158" s="213"/>
      <c r="K158" s="216">
        <v>2.0883721677692302</v>
      </c>
    </row>
    <row r="159" spans="1:11">
      <c r="A159" s="213" t="s">
        <v>27</v>
      </c>
      <c r="B159" s="213">
        <v>6.8345604395604997</v>
      </c>
      <c r="C159" s="214">
        <v>0.160000000000001</v>
      </c>
      <c r="D159" s="211"/>
      <c r="E159" s="211"/>
      <c r="F159" s="211"/>
      <c r="G159" s="211"/>
      <c r="H159" s="215"/>
      <c r="I159" s="213" t="s">
        <v>12</v>
      </c>
      <c r="J159" s="213"/>
      <c r="K159" s="216">
        <v>2.1059664173076902</v>
      </c>
    </row>
    <row r="160" spans="1:11">
      <c r="A160" s="213" t="s">
        <v>27</v>
      </c>
      <c r="B160" s="213">
        <v>6.8469230769231402</v>
      </c>
      <c r="C160" s="214">
        <v>0.160000000000001</v>
      </c>
      <c r="D160" s="211"/>
      <c r="E160" s="211"/>
      <c r="F160" s="211"/>
      <c r="G160" s="211"/>
      <c r="H160" s="215"/>
      <c r="I160" s="213" t="s">
        <v>12</v>
      </c>
      <c r="J160" s="213"/>
      <c r="K160" s="216">
        <v>2.1235606668461502</v>
      </c>
    </row>
    <row r="161" spans="1:11">
      <c r="A161" s="213" t="s">
        <v>27</v>
      </c>
      <c r="B161" s="213">
        <v>6.8592857142857797</v>
      </c>
      <c r="C161" s="214">
        <v>0.160000000000001</v>
      </c>
      <c r="D161" s="211"/>
      <c r="E161" s="211"/>
      <c r="F161" s="211"/>
      <c r="G161" s="211"/>
      <c r="H161" s="215"/>
      <c r="I161" s="213" t="s">
        <v>12</v>
      </c>
      <c r="J161" s="213"/>
      <c r="K161" s="216">
        <v>2.1411549163846102</v>
      </c>
    </row>
    <row r="162" spans="1:11">
      <c r="A162" s="213" t="s">
        <v>27</v>
      </c>
      <c r="B162" s="213">
        <v>6.8716483516484104</v>
      </c>
      <c r="C162" s="214">
        <v>0.160000000000001</v>
      </c>
      <c r="D162" s="211"/>
      <c r="E162" s="211"/>
      <c r="F162" s="211"/>
      <c r="G162" s="211"/>
      <c r="H162" s="215"/>
      <c r="I162" s="213" t="s">
        <v>12</v>
      </c>
      <c r="J162" s="213"/>
      <c r="K162" s="216">
        <v>2.15874916592308</v>
      </c>
    </row>
    <row r="163" spans="1:11">
      <c r="A163" s="213" t="s">
        <v>27</v>
      </c>
      <c r="B163" s="213">
        <v>6.8840109890110499</v>
      </c>
      <c r="C163" s="214">
        <v>0.160000000000001</v>
      </c>
      <c r="D163" s="211"/>
      <c r="E163" s="211"/>
      <c r="F163" s="211"/>
      <c r="G163" s="211"/>
      <c r="H163" s="215"/>
      <c r="I163" s="213" t="s">
        <v>12</v>
      </c>
      <c r="J163" s="213"/>
      <c r="K163" s="216">
        <v>2.17634341546154</v>
      </c>
    </row>
    <row r="164" spans="1:11">
      <c r="A164" s="213" t="s">
        <v>27</v>
      </c>
      <c r="B164" s="213">
        <v>6.8963736263736903</v>
      </c>
      <c r="C164" s="214">
        <v>0.160000000000001</v>
      </c>
      <c r="D164" s="211"/>
      <c r="E164" s="211"/>
      <c r="F164" s="211"/>
      <c r="G164" s="211"/>
      <c r="H164" s="215"/>
      <c r="I164" s="213" t="s">
        <v>12</v>
      </c>
      <c r="J164" s="213"/>
      <c r="K164" s="216">
        <v>2.193937665</v>
      </c>
    </row>
    <row r="165" spans="1:11">
      <c r="A165" s="213" t="s">
        <v>27</v>
      </c>
      <c r="B165" s="213">
        <v>6.9087362637363299</v>
      </c>
      <c r="C165" s="214">
        <v>0.160000000000001</v>
      </c>
      <c r="D165" s="211"/>
      <c r="E165" s="211"/>
      <c r="F165" s="211"/>
      <c r="G165" s="211"/>
      <c r="H165" s="215"/>
      <c r="I165" s="213" t="s">
        <v>12</v>
      </c>
      <c r="J165" s="213"/>
      <c r="K165" s="216">
        <v>2.21153191453846</v>
      </c>
    </row>
    <row r="166" spans="1:11">
      <c r="A166" s="213" t="s">
        <v>27</v>
      </c>
      <c r="B166" s="213">
        <v>6.9210989010989703</v>
      </c>
      <c r="C166" s="214">
        <v>0.160000000000001</v>
      </c>
      <c r="D166" s="211"/>
      <c r="E166" s="211"/>
      <c r="F166" s="211"/>
      <c r="G166" s="211"/>
      <c r="H166" s="215"/>
      <c r="I166" s="213" t="s">
        <v>12</v>
      </c>
      <c r="J166" s="213"/>
      <c r="K166" s="216">
        <v>2.22912616407692</v>
      </c>
    </row>
    <row r="167" spans="1:11">
      <c r="A167" s="213" t="s">
        <v>27</v>
      </c>
      <c r="B167" s="213">
        <v>6.9334615384616098</v>
      </c>
      <c r="C167" s="214">
        <v>0.160000000000001</v>
      </c>
      <c r="D167" s="211"/>
      <c r="E167" s="211"/>
      <c r="F167" s="211"/>
      <c r="G167" s="211"/>
      <c r="H167" s="215"/>
      <c r="I167" s="213" t="s">
        <v>12</v>
      </c>
      <c r="J167" s="213"/>
      <c r="K167" s="216">
        <v>2.24672041361538</v>
      </c>
    </row>
    <row r="168" spans="1:11">
      <c r="A168" s="213" t="s">
        <v>27</v>
      </c>
      <c r="B168" s="213">
        <v>6.9458241758242503</v>
      </c>
      <c r="C168" s="214">
        <v>0.160000000000001</v>
      </c>
      <c r="D168" s="211"/>
      <c r="E168" s="211"/>
      <c r="F168" s="211"/>
      <c r="G168" s="211"/>
      <c r="H168" s="215"/>
      <c r="I168" s="213" t="s">
        <v>12</v>
      </c>
      <c r="J168" s="213"/>
      <c r="K168" s="216">
        <v>2.2643146631538502</v>
      </c>
    </row>
    <row r="169" spans="1:11">
      <c r="A169" s="213" t="s">
        <v>27</v>
      </c>
      <c r="B169" s="213">
        <v>6.95818681318688</v>
      </c>
      <c r="C169" s="214">
        <v>0.160000000000001</v>
      </c>
      <c r="D169" s="211"/>
      <c r="E169" s="211"/>
      <c r="F169" s="211"/>
      <c r="G169" s="211"/>
      <c r="H169" s="215"/>
      <c r="I169" s="213" t="s">
        <v>12</v>
      </c>
      <c r="J169" s="213"/>
      <c r="K169" s="216">
        <v>2.2819089126923102</v>
      </c>
    </row>
    <row r="170" spans="1:11">
      <c r="A170" s="213" t="s">
        <v>27</v>
      </c>
      <c r="B170" s="213">
        <v>6.9705494505495196</v>
      </c>
      <c r="C170" s="214">
        <v>0.160000000000001</v>
      </c>
      <c r="D170" s="211"/>
      <c r="E170" s="211"/>
      <c r="F170" s="211"/>
      <c r="G170" s="211"/>
      <c r="H170" s="215"/>
      <c r="I170" s="213" t="s">
        <v>12</v>
      </c>
      <c r="J170" s="213"/>
      <c r="K170" s="216">
        <v>2.2995031622307698</v>
      </c>
    </row>
    <row r="171" spans="1:11">
      <c r="A171" s="213" t="s">
        <v>27</v>
      </c>
      <c r="B171" s="213">
        <v>6.98291208791216</v>
      </c>
      <c r="C171" s="214">
        <v>0.160000000000001</v>
      </c>
      <c r="D171" s="211"/>
      <c r="E171" s="211"/>
      <c r="F171" s="211"/>
      <c r="G171" s="211"/>
      <c r="H171" s="215"/>
      <c r="I171" s="213" t="s">
        <v>12</v>
      </c>
      <c r="J171" s="213"/>
      <c r="K171" s="216">
        <v>2.3170974117692298</v>
      </c>
    </row>
    <row r="172" spans="1:11">
      <c r="A172" s="213" t="s">
        <v>27</v>
      </c>
      <c r="B172" s="213">
        <v>6.9952747252748004</v>
      </c>
      <c r="C172" s="214">
        <v>0.160000000000001</v>
      </c>
      <c r="D172" s="211"/>
      <c r="E172" s="211"/>
      <c r="F172" s="211"/>
      <c r="G172" s="211"/>
      <c r="H172" s="215"/>
      <c r="I172" s="213" t="s">
        <v>12</v>
      </c>
      <c r="J172" s="213"/>
      <c r="K172" s="216">
        <v>2.3346916613076898</v>
      </c>
    </row>
    <row r="173" spans="1:11">
      <c r="A173" s="213" t="s">
        <v>27</v>
      </c>
      <c r="B173" s="213">
        <v>7.00763736263744</v>
      </c>
      <c r="C173" s="214">
        <v>0.160000000000001</v>
      </c>
      <c r="D173" s="211"/>
      <c r="E173" s="211"/>
      <c r="F173" s="211"/>
      <c r="G173" s="211"/>
      <c r="H173" s="215"/>
      <c r="I173" s="213" t="s">
        <v>12</v>
      </c>
      <c r="J173" s="213"/>
      <c r="K173" s="216">
        <v>2.3522859108461498</v>
      </c>
    </row>
    <row r="174" spans="1:11">
      <c r="A174" s="213" t="s">
        <v>27</v>
      </c>
      <c r="B174" s="213">
        <v>7.0200000000000804</v>
      </c>
      <c r="C174" s="214">
        <v>0.160000000000001</v>
      </c>
      <c r="D174" s="211"/>
      <c r="E174" s="211"/>
      <c r="F174" s="211"/>
      <c r="G174" s="211"/>
      <c r="H174" s="215"/>
      <c r="I174" s="213" t="s">
        <v>12</v>
      </c>
      <c r="J174" s="213"/>
      <c r="K174" s="216">
        <v>2.3698801603846098</v>
      </c>
    </row>
    <row r="175" spans="1:11">
      <c r="A175" s="213" t="s">
        <v>27</v>
      </c>
      <c r="B175" s="213">
        <v>7.0323626373627199</v>
      </c>
      <c r="C175" s="214">
        <v>0.160000000000001</v>
      </c>
      <c r="D175" s="211"/>
      <c r="E175" s="211"/>
      <c r="F175" s="211"/>
      <c r="G175" s="211"/>
      <c r="H175" s="215"/>
      <c r="I175" s="213" t="s">
        <v>12</v>
      </c>
      <c r="J175" s="213"/>
      <c r="K175" s="216">
        <v>2.38747440992308</v>
      </c>
    </row>
    <row r="176" spans="1:11">
      <c r="A176" s="213" t="s">
        <v>27</v>
      </c>
      <c r="B176" s="213">
        <v>7.0447252747253497</v>
      </c>
      <c r="C176" s="214">
        <v>0.160000000000001</v>
      </c>
      <c r="D176" s="211"/>
      <c r="E176" s="211"/>
      <c r="F176" s="211"/>
      <c r="G176" s="211"/>
      <c r="H176" s="215"/>
      <c r="I176" s="213" t="s">
        <v>12</v>
      </c>
      <c r="J176" s="213"/>
      <c r="K176" s="216">
        <v>2.40506865946154</v>
      </c>
    </row>
    <row r="177" spans="1:11">
      <c r="A177" s="213" t="s">
        <v>27</v>
      </c>
      <c r="B177" s="213">
        <v>7.0570879120879901</v>
      </c>
      <c r="C177" s="214">
        <v>0.160000000000001</v>
      </c>
      <c r="D177" s="211"/>
      <c r="E177" s="211"/>
      <c r="F177" s="211"/>
      <c r="G177" s="211"/>
      <c r="H177" s="215"/>
      <c r="I177" s="213" t="s">
        <v>12</v>
      </c>
      <c r="J177" s="213"/>
      <c r="K177" s="216">
        <v>2.422662909</v>
      </c>
    </row>
    <row r="178" spans="1:11">
      <c r="A178" s="213" t="s">
        <v>27</v>
      </c>
      <c r="B178" s="213">
        <v>7.0694505494506297</v>
      </c>
      <c r="C178" s="214">
        <v>0.160000000000001</v>
      </c>
      <c r="D178" s="211"/>
      <c r="E178" s="211"/>
      <c r="F178" s="211"/>
      <c r="G178" s="211"/>
      <c r="H178" s="215"/>
      <c r="I178" s="213" t="s">
        <v>12</v>
      </c>
      <c r="J178" s="213"/>
      <c r="K178" s="216">
        <v>2.44025715853846</v>
      </c>
    </row>
    <row r="179" spans="1:11">
      <c r="A179" s="213" t="s">
        <v>27</v>
      </c>
      <c r="B179" s="213">
        <v>7.0818131868132701</v>
      </c>
      <c r="C179" s="214">
        <v>0.160000000000001</v>
      </c>
      <c r="D179" s="211"/>
      <c r="E179" s="211"/>
      <c r="F179" s="211"/>
      <c r="G179" s="211"/>
      <c r="H179" s="215"/>
      <c r="I179" s="213" t="s">
        <v>12</v>
      </c>
      <c r="J179" s="213"/>
      <c r="K179" s="216">
        <v>2.45785140807692</v>
      </c>
    </row>
    <row r="180" spans="1:11">
      <c r="A180" s="213" t="s">
        <v>27</v>
      </c>
      <c r="B180" s="213">
        <v>7.0941758241759096</v>
      </c>
      <c r="C180" s="214">
        <v>0.160000000000001</v>
      </c>
      <c r="D180" s="211"/>
      <c r="E180" s="211"/>
      <c r="F180" s="211"/>
      <c r="G180" s="211"/>
      <c r="H180" s="215"/>
      <c r="I180" s="213" t="s">
        <v>12</v>
      </c>
      <c r="J180" s="213"/>
      <c r="K180" s="216">
        <v>2.47544565761538</v>
      </c>
    </row>
    <row r="181" spans="1:11">
      <c r="A181" s="213" t="s">
        <v>27</v>
      </c>
      <c r="B181" s="213">
        <v>7.1065384615385501</v>
      </c>
      <c r="C181" s="214">
        <v>0.160000000000001</v>
      </c>
      <c r="D181" s="211"/>
      <c r="E181" s="211"/>
      <c r="F181" s="211"/>
      <c r="G181" s="211"/>
      <c r="H181" s="215"/>
      <c r="I181" s="213" t="s">
        <v>12</v>
      </c>
      <c r="J181" s="213"/>
      <c r="K181" s="216">
        <v>2.4930399071538401</v>
      </c>
    </row>
    <row r="182" spans="1:11">
      <c r="A182" s="213" t="s">
        <v>27</v>
      </c>
      <c r="B182" s="213">
        <v>7.1189010989011798</v>
      </c>
      <c r="C182" s="214">
        <v>0.160000000000001</v>
      </c>
      <c r="D182" s="211"/>
      <c r="E182" s="211"/>
      <c r="F182" s="211"/>
      <c r="G182" s="211"/>
      <c r="H182" s="215"/>
      <c r="I182" s="213" t="s">
        <v>12</v>
      </c>
      <c r="J182" s="213"/>
      <c r="K182" s="216">
        <v>2.5106341566923098</v>
      </c>
    </row>
    <row r="183" spans="1:11">
      <c r="A183" s="213" t="s">
        <v>27</v>
      </c>
      <c r="B183" s="213">
        <v>7.1312637362638203</v>
      </c>
      <c r="C183" s="214">
        <v>0.160000000000001</v>
      </c>
      <c r="D183" s="211"/>
      <c r="E183" s="211"/>
      <c r="F183" s="211"/>
      <c r="G183" s="211"/>
      <c r="H183" s="215"/>
      <c r="I183" s="213" t="s">
        <v>12</v>
      </c>
      <c r="J183" s="213"/>
      <c r="K183" s="216">
        <v>2.5282284062307698</v>
      </c>
    </row>
    <row r="184" spans="1:11">
      <c r="A184" s="213" t="s">
        <v>27</v>
      </c>
      <c r="B184" s="213">
        <v>7.1436263736264598</v>
      </c>
      <c r="C184" s="214">
        <v>0.160000000000001</v>
      </c>
      <c r="D184" s="211"/>
      <c r="E184" s="211"/>
      <c r="F184" s="211"/>
      <c r="G184" s="211"/>
      <c r="H184" s="215"/>
      <c r="I184" s="213" t="s">
        <v>12</v>
      </c>
      <c r="J184" s="213"/>
      <c r="K184" s="216">
        <v>2.5458226557692298</v>
      </c>
    </row>
    <row r="185" spans="1:11">
      <c r="A185" s="213" t="s">
        <v>27</v>
      </c>
      <c r="B185" s="213">
        <v>7.1559890109891002</v>
      </c>
      <c r="C185" s="214">
        <v>0.160000000000001</v>
      </c>
      <c r="D185" s="211"/>
      <c r="E185" s="211"/>
      <c r="F185" s="211"/>
      <c r="G185" s="211"/>
      <c r="H185" s="215"/>
      <c r="I185" s="213" t="s">
        <v>12</v>
      </c>
      <c r="J185" s="213"/>
      <c r="K185" s="216">
        <v>2.5634169053076898</v>
      </c>
    </row>
    <row r="186" spans="1:11">
      <c r="A186" s="213" t="s">
        <v>27</v>
      </c>
      <c r="B186" s="213">
        <v>7.1683516483517398</v>
      </c>
      <c r="C186" s="214">
        <v>0.160000000000001</v>
      </c>
      <c r="D186" s="211"/>
      <c r="E186" s="211"/>
      <c r="F186" s="211"/>
      <c r="G186" s="211"/>
      <c r="H186" s="215"/>
      <c r="I186" s="213" t="s">
        <v>12</v>
      </c>
      <c r="J186" s="213"/>
      <c r="K186" s="216">
        <v>2.5810111548461498</v>
      </c>
    </row>
    <row r="187" spans="1:11">
      <c r="A187" s="213" t="s">
        <v>27</v>
      </c>
      <c r="B187" s="213">
        <v>7.1807142857143802</v>
      </c>
      <c r="C187" s="214">
        <v>0.160000000000001</v>
      </c>
      <c r="D187" s="211"/>
      <c r="E187" s="211"/>
      <c r="F187" s="211"/>
      <c r="G187" s="211"/>
      <c r="H187" s="215"/>
      <c r="I187" s="213" t="s">
        <v>12</v>
      </c>
      <c r="J187" s="213"/>
      <c r="K187" s="216">
        <v>2.5986054043846099</v>
      </c>
    </row>
    <row r="188" spans="1:11">
      <c r="A188" s="213" t="s">
        <v>27</v>
      </c>
      <c r="B188" s="213">
        <v>7.1930769230770197</v>
      </c>
      <c r="C188" s="214">
        <v>0.160000000000001</v>
      </c>
      <c r="D188" s="211"/>
      <c r="E188" s="211"/>
      <c r="F188" s="211"/>
      <c r="G188" s="211"/>
      <c r="H188" s="215"/>
      <c r="I188" s="213" t="s">
        <v>12</v>
      </c>
      <c r="J188" s="213"/>
      <c r="K188" s="216">
        <v>2.6161996539230699</v>
      </c>
    </row>
    <row r="189" spans="1:11">
      <c r="A189" s="213" t="s">
        <v>27</v>
      </c>
      <c r="B189" s="213">
        <v>7.2054395604396504</v>
      </c>
      <c r="C189" s="214">
        <v>0.160000000000001</v>
      </c>
      <c r="D189" s="211"/>
      <c r="E189" s="211"/>
      <c r="F189" s="211"/>
      <c r="G189" s="211"/>
      <c r="H189" s="215"/>
      <c r="I189" s="213" t="s">
        <v>12</v>
      </c>
      <c r="J189" s="213"/>
      <c r="K189" s="216">
        <v>2.6337939034615401</v>
      </c>
    </row>
    <row r="190" spans="1:11">
      <c r="A190" s="213" t="s">
        <v>27</v>
      </c>
      <c r="B190" s="213">
        <v>7.2178021978022899</v>
      </c>
      <c r="C190" s="214">
        <v>0.160000000000001</v>
      </c>
      <c r="D190" s="211"/>
      <c r="E190" s="211"/>
      <c r="F190" s="211"/>
      <c r="G190" s="211"/>
      <c r="H190" s="215"/>
      <c r="I190" s="213" t="s">
        <v>12</v>
      </c>
      <c r="J190" s="213"/>
      <c r="K190" s="216">
        <v>2.6513881530000001</v>
      </c>
    </row>
    <row r="191" spans="1:11">
      <c r="A191" s="213" t="s">
        <v>27</v>
      </c>
      <c r="B191" s="213">
        <v>7.2301648351649304</v>
      </c>
      <c r="C191" s="214">
        <v>0.160000000000001</v>
      </c>
      <c r="D191" s="211"/>
      <c r="E191" s="211"/>
      <c r="F191" s="211"/>
      <c r="G191" s="211"/>
      <c r="H191" s="215"/>
      <c r="I191" s="213" t="s">
        <v>12</v>
      </c>
      <c r="J191" s="213"/>
      <c r="K191" s="216">
        <v>2.6689824025384601</v>
      </c>
    </row>
    <row r="192" spans="1:11">
      <c r="A192" s="213" t="s">
        <v>27</v>
      </c>
      <c r="B192" s="213">
        <v>7.2425274725275699</v>
      </c>
      <c r="C192" s="214">
        <v>0.160000000000001</v>
      </c>
      <c r="D192" s="211"/>
      <c r="E192" s="211"/>
      <c r="F192" s="211"/>
      <c r="G192" s="211"/>
      <c r="H192" s="215"/>
      <c r="I192" s="213" t="s">
        <v>12</v>
      </c>
      <c r="J192" s="213"/>
      <c r="K192" s="216">
        <v>2.6865766520769201</v>
      </c>
    </row>
    <row r="193" spans="1:11">
      <c r="A193" s="213" t="s">
        <v>27</v>
      </c>
      <c r="B193" s="213">
        <v>7.2548901098902103</v>
      </c>
      <c r="C193" s="214">
        <v>0.160000000000001</v>
      </c>
      <c r="D193" s="211"/>
      <c r="E193" s="211"/>
      <c r="F193" s="211"/>
      <c r="G193" s="211"/>
      <c r="H193" s="215"/>
      <c r="I193" s="213" t="s">
        <v>12</v>
      </c>
      <c r="J193" s="213"/>
      <c r="K193" s="216">
        <v>2.7041709016153801</v>
      </c>
    </row>
    <row r="194" spans="1:11">
      <c r="A194" s="213" t="s">
        <v>27</v>
      </c>
      <c r="B194" s="213">
        <v>7.2672527472528499</v>
      </c>
      <c r="C194" s="214">
        <v>0.160000000000001</v>
      </c>
      <c r="D194" s="211"/>
      <c r="E194" s="211"/>
      <c r="F194" s="211"/>
      <c r="G194" s="211"/>
      <c r="H194" s="215"/>
      <c r="I194" s="213" t="s">
        <v>12</v>
      </c>
      <c r="J194" s="213"/>
      <c r="K194" s="216">
        <v>2.7217651511538401</v>
      </c>
    </row>
    <row r="195" spans="1:11">
      <c r="A195" s="213" t="s">
        <v>27</v>
      </c>
      <c r="B195" s="213">
        <v>7.2796153846154796</v>
      </c>
      <c r="C195" s="214">
        <v>0.160000000000001</v>
      </c>
      <c r="D195" s="211"/>
      <c r="E195" s="211"/>
      <c r="F195" s="211"/>
      <c r="G195" s="211"/>
      <c r="H195" s="215"/>
      <c r="I195" s="213" t="s">
        <v>12</v>
      </c>
      <c r="J195" s="213"/>
      <c r="K195" s="216">
        <v>2.7393594006923099</v>
      </c>
    </row>
    <row r="196" spans="1:11">
      <c r="A196" s="213" t="s">
        <v>27</v>
      </c>
      <c r="B196" s="213">
        <v>7.2919780219781201</v>
      </c>
      <c r="C196" s="214">
        <v>0.160000000000001</v>
      </c>
      <c r="D196" s="211"/>
      <c r="E196" s="211"/>
      <c r="F196" s="211"/>
      <c r="G196" s="211"/>
      <c r="H196" s="215"/>
      <c r="I196" s="213" t="s">
        <v>12</v>
      </c>
      <c r="J196" s="213"/>
      <c r="K196" s="216">
        <v>2.7569536502307699</v>
      </c>
    </row>
    <row r="197" spans="1:11">
      <c r="A197" s="213" t="s">
        <v>27</v>
      </c>
      <c r="B197" s="213">
        <v>7.3043406593407596</v>
      </c>
      <c r="C197" s="214">
        <v>0.160000000000001</v>
      </c>
      <c r="D197" s="211"/>
      <c r="E197" s="211"/>
      <c r="F197" s="211"/>
      <c r="G197" s="211"/>
      <c r="H197" s="215"/>
      <c r="I197" s="213" t="s">
        <v>12</v>
      </c>
      <c r="J197" s="213"/>
      <c r="K197" s="216">
        <v>2.7745478997692299</v>
      </c>
    </row>
    <row r="198" spans="1:11">
      <c r="A198" s="213" t="s">
        <v>27</v>
      </c>
      <c r="B198" s="213">
        <v>7.3167032967034</v>
      </c>
      <c r="C198" s="214">
        <v>0.160000000000001</v>
      </c>
      <c r="D198" s="211"/>
      <c r="E198" s="211"/>
      <c r="F198" s="211"/>
      <c r="G198" s="211"/>
      <c r="H198" s="215"/>
      <c r="I198" s="213" t="s">
        <v>12</v>
      </c>
      <c r="J198" s="213"/>
      <c r="K198" s="216">
        <v>2.7921421493076899</v>
      </c>
    </row>
    <row r="199" spans="1:11">
      <c r="A199" s="213" t="s">
        <v>27</v>
      </c>
      <c r="B199" s="213">
        <v>7.3290659340660396</v>
      </c>
      <c r="C199" s="214">
        <v>0.160000000000001</v>
      </c>
      <c r="D199" s="211"/>
      <c r="E199" s="211"/>
      <c r="F199" s="211"/>
      <c r="G199" s="211"/>
      <c r="H199" s="215"/>
      <c r="I199" s="213" t="s">
        <v>12</v>
      </c>
      <c r="J199" s="213"/>
      <c r="K199" s="216">
        <v>2.8097363988461499</v>
      </c>
    </row>
    <row r="200" spans="1:11">
      <c r="A200" s="213" t="s">
        <v>27</v>
      </c>
      <c r="B200" s="213">
        <v>7.34142857142868</v>
      </c>
      <c r="C200" s="214">
        <v>0.160000000000001</v>
      </c>
      <c r="D200" s="211"/>
      <c r="E200" s="211"/>
      <c r="F200" s="211"/>
      <c r="G200" s="211"/>
      <c r="H200" s="215"/>
      <c r="I200" s="213" t="s">
        <v>12</v>
      </c>
      <c r="J200" s="213"/>
      <c r="K200" s="216">
        <v>2.8273306483846099</v>
      </c>
    </row>
    <row r="201" spans="1:11">
      <c r="A201" s="213" t="s">
        <v>27</v>
      </c>
      <c r="B201" s="213">
        <v>7.3537912087913204</v>
      </c>
      <c r="C201" s="214">
        <v>0.160000000000001</v>
      </c>
      <c r="D201" s="211"/>
      <c r="E201" s="211"/>
      <c r="F201" s="211"/>
      <c r="G201" s="211"/>
      <c r="H201" s="215"/>
      <c r="I201" s="213" t="s">
        <v>12</v>
      </c>
      <c r="J201" s="213"/>
      <c r="K201" s="216">
        <v>2.8449248979230699</v>
      </c>
    </row>
    <row r="202" spans="1:11">
      <c r="A202" s="213" t="s">
        <v>27</v>
      </c>
      <c r="B202" s="213">
        <v>7.3661538461539502</v>
      </c>
      <c r="C202" s="214">
        <v>0.160000000000001</v>
      </c>
      <c r="D202" s="211"/>
      <c r="E202" s="211"/>
      <c r="F202" s="211"/>
      <c r="G202" s="211"/>
      <c r="H202" s="215"/>
      <c r="I202" s="213" t="s">
        <v>12</v>
      </c>
      <c r="J202" s="213"/>
      <c r="K202" s="216">
        <v>2.8625191474615401</v>
      </c>
    </row>
    <row r="203" spans="1:11">
      <c r="A203" s="213" t="s">
        <v>27</v>
      </c>
      <c r="B203" s="213">
        <v>7.3785164835165897</v>
      </c>
      <c r="C203" s="214">
        <v>0.160000000000001</v>
      </c>
      <c r="D203" s="211"/>
      <c r="E203" s="211"/>
      <c r="F203" s="211"/>
      <c r="G203" s="211"/>
      <c r="H203" s="215"/>
      <c r="I203" s="213" t="s">
        <v>12</v>
      </c>
      <c r="J203" s="213"/>
      <c r="K203" s="216">
        <v>2.8801133970000001</v>
      </c>
    </row>
    <row r="204" spans="1:11">
      <c r="A204" s="213" t="s">
        <v>27</v>
      </c>
      <c r="B204" s="213">
        <v>7.3908791208792302</v>
      </c>
      <c r="C204" s="214">
        <v>0.160000000000001</v>
      </c>
      <c r="D204" s="211"/>
      <c r="E204" s="211"/>
      <c r="F204" s="211"/>
      <c r="G204" s="211"/>
      <c r="H204" s="215"/>
      <c r="I204" s="213" t="s">
        <v>12</v>
      </c>
      <c r="J204" s="213"/>
      <c r="K204" s="216">
        <v>2.8977076465384601</v>
      </c>
    </row>
    <row r="205" spans="1:11">
      <c r="A205" s="213" t="s">
        <v>27</v>
      </c>
      <c r="B205" s="213">
        <v>7.4032417582418697</v>
      </c>
      <c r="C205" s="214">
        <v>0.160000000000001</v>
      </c>
      <c r="D205" s="211"/>
      <c r="E205" s="211"/>
      <c r="F205" s="211"/>
      <c r="G205" s="211"/>
      <c r="H205" s="215"/>
      <c r="I205" s="213" t="s">
        <v>12</v>
      </c>
      <c r="J205" s="213"/>
      <c r="K205" s="216">
        <v>2.9153018960769201</v>
      </c>
    </row>
    <row r="206" spans="1:11">
      <c r="A206" s="213" t="s">
        <v>27</v>
      </c>
      <c r="B206" s="213">
        <v>7.4156043956045101</v>
      </c>
      <c r="C206" s="214">
        <v>0.160000000000001</v>
      </c>
      <c r="D206" s="211"/>
      <c r="E206" s="211"/>
      <c r="F206" s="211"/>
      <c r="G206" s="211"/>
      <c r="H206" s="215"/>
      <c r="I206" s="213" t="s">
        <v>12</v>
      </c>
      <c r="J206" s="213"/>
      <c r="K206" s="216">
        <v>2.9328961456153801</v>
      </c>
    </row>
    <row r="207" spans="1:11">
      <c r="A207" s="213" t="s">
        <v>27</v>
      </c>
      <c r="B207" s="213">
        <v>7.4279670329671497</v>
      </c>
      <c r="C207" s="214">
        <v>0.160000000000001</v>
      </c>
      <c r="D207" s="211"/>
      <c r="E207" s="211"/>
      <c r="F207" s="211"/>
      <c r="G207" s="211"/>
      <c r="H207" s="215"/>
      <c r="I207" s="213" t="s">
        <v>12</v>
      </c>
      <c r="J207" s="213"/>
      <c r="K207" s="216">
        <v>2.9504903951538402</v>
      </c>
    </row>
    <row r="208" spans="1:11">
      <c r="A208" s="213" t="s">
        <v>27</v>
      </c>
      <c r="B208" s="213">
        <v>7.4403296703297901</v>
      </c>
      <c r="C208" s="214">
        <v>0.160000000000001</v>
      </c>
      <c r="D208" s="211"/>
      <c r="E208" s="211"/>
      <c r="F208" s="211"/>
      <c r="G208" s="211"/>
      <c r="H208" s="215"/>
      <c r="I208" s="213" t="s">
        <v>12</v>
      </c>
      <c r="J208" s="213"/>
      <c r="K208" s="216">
        <v>2.9680846446923099</v>
      </c>
    </row>
    <row r="209" spans="1:11">
      <c r="A209" s="213" t="s">
        <v>27</v>
      </c>
      <c r="B209" s="213">
        <v>7.4526923076924199</v>
      </c>
      <c r="C209" s="214">
        <v>0.160000000000001</v>
      </c>
      <c r="D209" s="211"/>
      <c r="E209" s="211"/>
      <c r="F209" s="211"/>
      <c r="G209" s="211"/>
      <c r="H209" s="215"/>
      <c r="I209" s="213" t="s">
        <v>12</v>
      </c>
      <c r="J209" s="213"/>
      <c r="K209" s="216">
        <v>2.9856788942307699</v>
      </c>
    </row>
    <row r="210" spans="1:11">
      <c r="A210" s="213" t="s">
        <v>27</v>
      </c>
      <c r="B210" s="213">
        <v>7.4650549450550603</v>
      </c>
      <c r="C210" s="214">
        <v>0.160000000000001</v>
      </c>
      <c r="D210" s="211"/>
      <c r="E210" s="211"/>
      <c r="F210" s="211"/>
      <c r="G210" s="211"/>
      <c r="H210" s="215"/>
      <c r="I210" s="213" t="s">
        <v>12</v>
      </c>
      <c r="J210" s="213"/>
      <c r="K210" s="216">
        <v>3.0032731437692299</v>
      </c>
    </row>
    <row r="211" spans="1:11">
      <c r="A211" s="213" t="s">
        <v>27</v>
      </c>
      <c r="B211" s="213">
        <v>7.4774175824176998</v>
      </c>
      <c r="C211" s="214">
        <v>0.160000000000001</v>
      </c>
      <c r="D211" s="211"/>
      <c r="E211" s="211"/>
      <c r="F211" s="211"/>
      <c r="G211" s="211"/>
      <c r="H211" s="215"/>
      <c r="I211" s="213" t="s">
        <v>12</v>
      </c>
      <c r="J211" s="213"/>
      <c r="K211" s="216">
        <v>3.0208673933076899</v>
      </c>
    </row>
    <row r="212" spans="1:11">
      <c r="A212" s="213" t="s">
        <v>27</v>
      </c>
      <c r="B212" s="213">
        <v>7.4897802197803403</v>
      </c>
      <c r="C212" s="214">
        <v>0.160000000000001</v>
      </c>
      <c r="D212" s="211"/>
      <c r="E212" s="211"/>
      <c r="F212" s="211"/>
      <c r="G212" s="211"/>
      <c r="H212" s="215"/>
      <c r="I212" s="213" t="s">
        <v>12</v>
      </c>
      <c r="J212" s="213"/>
      <c r="K212" s="216">
        <v>3.0384616428461499</v>
      </c>
    </row>
    <row r="213" spans="1:11">
      <c r="A213" s="213" t="s">
        <v>27</v>
      </c>
      <c r="B213" s="213">
        <v>7.5021428571429798</v>
      </c>
      <c r="C213" s="214">
        <v>0.160000000000001</v>
      </c>
      <c r="D213" s="211"/>
      <c r="E213" s="211"/>
      <c r="F213" s="211"/>
      <c r="G213" s="211"/>
      <c r="H213" s="215"/>
      <c r="I213" s="213" t="s">
        <v>12</v>
      </c>
      <c r="J213" s="213"/>
      <c r="K213" s="216">
        <v>3.05605589238461</v>
      </c>
    </row>
    <row r="214" spans="1:11">
      <c r="A214" s="213" t="s">
        <v>27</v>
      </c>
      <c r="B214" s="213">
        <v>7.5145054945056202</v>
      </c>
      <c r="C214" s="214">
        <v>0.160000000000001</v>
      </c>
      <c r="D214" s="211"/>
      <c r="E214" s="211"/>
      <c r="F214" s="211"/>
      <c r="G214" s="211"/>
      <c r="H214" s="215"/>
      <c r="I214" s="213" t="s">
        <v>12</v>
      </c>
      <c r="J214" s="213"/>
      <c r="K214" s="216">
        <v>3.07365014192307</v>
      </c>
    </row>
    <row r="215" spans="1:11">
      <c r="A215" s="213" t="s">
        <v>27</v>
      </c>
      <c r="B215" s="213">
        <v>7.5268681318682598</v>
      </c>
      <c r="C215" s="214">
        <v>0.160000000000001</v>
      </c>
      <c r="D215" s="211"/>
      <c r="E215" s="211"/>
      <c r="F215" s="211"/>
      <c r="G215" s="211"/>
      <c r="H215" s="215"/>
      <c r="I215" s="213" t="s">
        <v>12</v>
      </c>
      <c r="J215" s="213"/>
      <c r="K215" s="216">
        <v>3.0912443914615402</v>
      </c>
    </row>
    <row r="216" spans="1:11">
      <c r="A216" s="213" t="s">
        <v>27</v>
      </c>
      <c r="B216" s="213">
        <v>7.5392307692308904</v>
      </c>
      <c r="C216" s="214">
        <v>0.160000000000001</v>
      </c>
      <c r="D216" s="211"/>
      <c r="E216" s="211"/>
      <c r="F216" s="211"/>
      <c r="G216" s="211"/>
      <c r="H216" s="215"/>
      <c r="I216" s="213" t="s">
        <v>12</v>
      </c>
      <c r="J216" s="213"/>
      <c r="K216" s="216">
        <v>3.1088386410000002</v>
      </c>
    </row>
    <row r="217" spans="1:11">
      <c r="A217" s="213" t="s">
        <v>27</v>
      </c>
      <c r="B217" s="213">
        <v>7.55159340659353</v>
      </c>
      <c r="C217" s="214">
        <v>0.160000000000001</v>
      </c>
      <c r="D217" s="211"/>
      <c r="E217" s="211"/>
      <c r="F217" s="211"/>
      <c r="G217" s="211"/>
      <c r="H217" s="215"/>
      <c r="I217" s="213" t="s">
        <v>12</v>
      </c>
      <c r="J217" s="213"/>
      <c r="K217" s="216">
        <v>3.1264328905384602</v>
      </c>
    </row>
    <row r="218" spans="1:11">
      <c r="A218" s="213" t="s">
        <v>27</v>
      </c>
      <c r="B218" s="213">
        <v>7.5639560439561704</v>
      </c>
      <c r="C218" s="214">
        <v>0.160000000000001</v>
      </c>
      <c r="D218" s="211"/>
      <c r="E218" s="211"/>
      <c r="F218" s="211"/>
      <c r="G218" s="211"/>
      <c r="H218" s="215"/>
      <c r="I218" s="213" t="s">
        <v>12</v>
      </c>
      <c r="J218" s="213"/>
      <c r="K218" s="216">
        <v>3.1440271400769202</v>
      </c>
    </row>
    <row r="219" spans="1:11">
      <c r="A219" s="213" t="s">
        <v>27</v>
      </c>
      <c r="B219" s="213">
        <v>7.5763186813188099</v>
      </c>
      <c r="C219" s="214">
        <v>0.160000000000001</v>
      </c>
      <c r="D219" s="211"/>
      <c r="E219" s="211"/>
      <c r="F219" s="211"/>
      <c r="G219" s="211"/>
      <c r="H219" s="215"/>
      <c r="I219" s="213" t="s">
        <v>12</v>
      </c>
      <c r="J219" s="213"/>
      <c r="K219" s="216">
        <v>3.1616213896153802</v>
      </c>
    </row>
    <row r="220" spans="1:11">
      <c r="A220" s="213" t="s">
        <v>27</v>
      </c>
      <c r="B220" s="213">
        <v>7.5886813186814503</v>
      </c>
      <c r="C220" s="214">
        <v>0.160000000000001</v>
      </c>
      <c r="D220" s="211"/>
      <c r="E220" s="211"/>
      <c r="F220" s="211"/>
      <c r="G220" s="211"/>
      <c r="H220" s="215"/>
      <c r="I220" s="213" t="s">
        <v>12</v>
      </c>
      <c r="J220" s="213"/>
      <c r="K220" s="216">
        <v>3.1792156391538402</v>
      </c>
    </row>
    <row r="221" spans="1:11">
      <c r="A221" s="213" t="s">
        <v>27</v>
      </c>
      <c r="B221" s="213">
        <v>7.6010439560440899</v>
      </c>
      <c r="C221" s="214">
        <v>0.160000000000001</v>
      </c>
      <c r="D221" s="211"/>
      <c r="E221" s="211"/>
      <c r="F221" s="211"/>
      <c r="G221" s="211"/>
      <c r="H221" s="215"/>
      <c r="I221" s="213" t="s">
        <v>12</v>
      </c>
      <c r="J221" s="213"/>
      <c r="K221" s="216">
        <v>3.1968098886923002</v>
      </c>
    </row>
    <row r="222" spans="1:11">
      <c r="A222" s="213" t="s">
        <v>27</v>
      </c>
      <c r="B222" s="213">
        <v>7.6134065934067197</v>
      </c>
      <c r="C222" s="214">
        <v>0.160000000000002</v>
      </c>
      <c r="D222" s="211"/>
      <c r="E222" s="211"/>
      <c r="F222" s="211"/>
      <c r="G222" s="211"/>
      <c r="H222" s="215"/>
      <c r="I222" s="213" t="s">
        <v>12</v>
      </c>
      <c r="J222" s="213"/>
      <c r="K222" s="216">
        <v>3.21440413823077</v>
      </c>
    </row>
    <row r="223" spans="1:11">
      <c r="A223" s="213" t="s">
        <v>27</v>
      </c>
      <c r="B223" s="213">
        <v>7.6257692307693601</v>
      </c>
      <c r="C223" s="214">
        <v>0.160000000000002</v>
      </c>
      <c r="D223" s="211"/>
      <c r="E223" s="211"/>
      <c r="F223" s="211"/>
      <c r="G223" s="211"/>
      <c r="H223" s="215"/>
      <c r="I223" s="213" t="s">
        <v>12</v>
      </c>
      <c r="J223" s="213"/>
      <c r="K223" s="216">
        <v>3.23199838776923</v>
      </c>
    </row>
    <row r="224" spans="1:11">
      <c r="A224" s="213" t="s">
        <v>27</v>
      </c>
      <c r="B224" s="213">
        <v>7.6381318681319996</v>
      </c>
      <c r="C224" s="214">
        <v>0.160000000000002</v>
      </c>
      <c r="D224" s="211"/>
      <c r="E224" s="211"/>
      <c r="F224" s="211"/>
      <c r="G224" s="211"/>
      <c r="H224" s="215"/>
      <c r="I224" s="213" t="s">
        <v>12</v>
      </c>
      <c r="J224" s="213"/>
      <c r="K224" s="216">
        <v>3.24959263730769</v>
      </c>
    </row>
    <row r="225" spans="1:11">
      <c r="A225" s="213" t="s">
        <v>27</v>
      </c>
      <c r="B225" s="213">
        <v>7.6504945054946401</v>
      </c>
      <c r="C225" s="214">
        <v>0.160000000000002</v>
      </c>
      <c r="D225" s="211"/>
      <c r="E225" s="211"/>
      <c r="F225" s="211"/>
      <c r="G225" s="211"/>
      <c r="H225" s="215"/>
      <c r="I225" s="213" t="s">
        <v>12</v>
      </c>
      <c r="J225" s="213"/>
      <c r="K225" s="216">
        <v>3.26718688684615</v>
      </c>
    </row>
    <row r="226" spans="1:11">
      <c r="A226" s="213" t="s">
        <v>27</v>
      </c>
      <c r="B226" s="213">
        <v>7.6628571428572796</v>
      </c>
      <c r="C226" s="214">
        <v>0.160000000000002</v>
      </c>
      <c r="D226" s="211"/>
      <c r="E226" s="211"/>
      <c r="F226" s="211"/>
      <c r="G226" s="211"/>
      <c r="H226" s="215"/>
      <c r="I226" s="213" t="s">
        <v>12</v>
      </c>
      <c r="J226" s="213"/>
      <c r="K226" s="216">
        <v>3.28478113638461</v>
      </c>
    </row>
    <row r="227" spans="1:11">
      <c r="A227" s="213" t="s">
        <v>27</v>
      </c>
      <c r="B227" s="213">
        <v>7.67521978021992</v>
      </c>
      <c r="C227" s="214">
        <v>0.160000000000002</v>
      </c>
      <c r="D227" s="211"/>
      <c r="E227" s="211"/>
      <c r="F227" s="211"/>
      <c r="G227" s="211"/>
      <c r="H227" s="215"/>
      <c r="I227" s="213" t="s">
        <v>12</v>
      </c>
      <c r="J227" s="213"/>
      <c r="K227" s="216">
        <v>3.30237538592307</v>
      </c>
    </row>
    <row r="228" spans="1:11">
      <c r="A228" s="213" t="s">
        <v>27</v>
      </c>
      <c r="B228" s="213">
        <v>7.6875824175825596</v>
      </c>
      <c r="C228" s="214">
        <v>0.160000000000002</v>
      </c>
      <c r="D228" s="211"/>
      <c r="E228" s="211"/>
      <c r="F228" s="211"/>
      <c r="G228" s="211"/>
      <c r="H228" s="215"/>
      <c r="I228" s="213" t="s">
        <v>12</v>
      </c>
      <c r="J228" s="213"/>
      <c r="K228" s="216">
        <v>3.3199696354615398</v>
      </c>
    </row>
    <row r="229" spans="1:11">
      <c r="A229" s="213" t="s">
        <v>27</v>
      </c>
      <c r="B229" s="213">
        <v>7.6999450549451902</v>
      </c>
      <c r="C229" s="214">
        <v>0.160000000000002</v>
      </c>
      <c r="D229" s="211"/>
      <c r="E229" s="211"/>
      <c r="F229" s="211"/>
      <c r="G229" s="211"/>
      <c r="H229" s="215"/>
      <c r="I229" s="213" t="s">
        <v>12</v>
      </c>
      <c r="J229" s="213"/>
      <c r="K229" s="216">
        <v>3.3375638849999998</v>
      </c>
    </row>
    <row r="230" spans="1:11">
      <c r="A230" s="213" t="s">
        <v>27</v>
      </c>
      <c r="B230" s="213">
        <v>7.7123076923078298</v>
      </c>
      <c r="C230" s="214">
        <v>0.160000000000002</v>
      </c>
      <c r="D230" s="211"/>
      <c r="E230" s="211"/>
      <c r="F230" s="211"/>
      <c r="G230" s="211"/>
      <c r="H230" s="215"/>
      <c r="I230" s="213" t="s">
        <v>12</v>
      </c>
      <c r="J230" s="213"/>
      <c r="K230" s="216">
        <v>3.3551581345384598</v>
      </c>
    </row>
    <row r="231" spans="1:11">
      <c r="A231" s="213" t="s">
        <v>27</v>
      </c>
      <c r="B231" s="213">
        <v>7.7246703296704702</v>
      </c>
      <c r="C231" s="214">
        <v>0.160000000000002</v>
      </c>
      <c r="D231" s="211"/>
      <c r="E231" s="211"/>
      <c r="F231" s="211"/>
      <c r="G231" s="211"/>
      <c r="H231" s="215"/>
      <c r="I231" s="213" t="s">
        <v>12</v>
      </c>
      <c r="J231" s="213"/>
      <c r="K231" s="216">
        <v>3.3727523840769198</v>
      </c>
    </row>
    <row r="232" spans="1:11">
      <c r="A232" s="213" t="s">
        <v>27</v>
      </c>
      <c r="B232" s="213">
        <v>7.7370329670331097</v>
      </c>
      <c r="C232" s="214">
        <v>0.160000000000002</v>
      </c>
      <c r="D232" s="211"/>
      <c r="E232" s="211"/>
      <c r="F232" s="211"/>
      <c r="G232" s="211"/>
      <c r="H232" s="215"/>
      <c r="I232" s="213" t="s">
        <v>12</v>
      </c>
      <c r="J232" s="213"/>
      <c r="K232" s="216">
        <v>3.3903466336153798</v>
      </c>
    </row>
    <row r="233" spans="1:11">
      <c r="A233" s="213" t="s">
        <v>27</v>
      </c>
      <c r="B233" s="213">
        <v>7.7493956043957501</v>
      </c>
      <c r="C233" s="214">
        <v>0.160000000000002</v>
      </c>
      <c r="D233" s="211"/>
      <c r="E233" s="211"/>
      <c r="F233" s="211"/>
      <c r="G233" s="211"/>
      <c r="H233" s="215"/>
      <c r="I233" s="213" t="s">
        <v>12</v>
      </c>
      <c r="J233" s="213"/>
      <c r="K233" s="216">
        <v>3.4079408831538398</v>
      </c>
    </row>
    <row r="234" spans="1:11">
      <c r="A234" s="213" t="s">
        <v>27</v>
      </c>
      <c r="B234" s="213">
        <v>7.7617582417583897</v>
      </c>
      <c r="C234" s="214">
        <v>0.160000000000002</v>
      </c>
      <c r="D234" s="211"/>
      <c r="E234" s="211"/>
      <c r="F234" s="211"/>
      <c r="G234" s="211"/>
      <c r="H234" s="215"/>
      <c r="I234" s="213" t="s">
        <v>12</v>
      </c>
      <c r="J234" s="213"/>
      <c r="K234" s="216">
        <v>3.4255351326922998</v>
      </c>
    </row>
    <row r="235" spans="1:11">
      <c r="A235" s="213" t="s">
        <v>27</v>
      </c>
      <c r="B235" s="213">
        <v>7.7741208791210301</v>
      </c>
      <c r="C235" s="214">
        <v>0.160000000000002</v>
      </c>
      <c r="D235" s="211"/>
      <c r="E235" s="211"/>
      <c r="F235" s="211"/>
      <c r="G235" s="211"/>
      <c r="H235" s="215"/>
      <c r="I235" s="213" t="s">
        <v>12</v>
      </c>
      <c r="J235" s="213"/>
      <c r="K235" s="216">
        <v>3.44312938223077</v>
      </c>
    </row>
    <row r="236" spans="1:11">
      <c r="A236" s="213" t="s">
        <v>27</v>
      </c>
      <c r="B236" s="213">
        <v>7.7864835164836599</v>
      </c>
      <c r="C236" s="214">
        <v>0.160000000000002</v>
      </c>
      <c r="D236" s="211"/>
      <c r="E236" s="211"/>
      <c r="F236" s="211"/>
      <c r="G236" s="211"/>
      <c r="H236" s="215"/>
      <c r="I236" s="213" t="s">
        <v>12</v>
      </c>
      <c r="J236" s="213"/>
      <c r="K236" s="216">
        <v>3.46072363176923</v>
      </c>
    </row>
    <row r="237" spans="1:11">
      <c r="A237" s="213" t="s">
        <v>27</v>
      </c>
      <c r="B237" s="213">
        <v>7.7988461538463003</v>
      </c>
      <c r="C237" s="214">
        <v>0.160000000000002</v>
      </c>
      <c r="D237" s="211"/>
      <c r="E237" s="211"/>
      <c r="F237" s="211"/>
      <c r="G237" s="211"/>
      <c r="H237" s="215"/>
      <c r="I237" s="213" t="s">
        <v>12</v>
      </c>
      <c r="J237" s="213"/>
      <c r="K237" s="216">
        <v>3.47831788130769</v>
      </c>
    </row>
    <row r="238" spans="1:11">
      <c r="A238" s="213" t="s">
        <v>27</v>
      </c>
      <c r="B238" s="213">
        <v>7.8112087912089399</v>
      </c>
      <c r="C238" s="214">
        <v>0.160000000000002</v>
      </c>
      <c r="D238" s="211"/>
      <c r="E238" s="211"/>
      <c r="F238" s="211"/>
      <c r="G238" s="211"/>
      <c r="H238" s="215"/>
      <c r="I238" s="213" t="s">
        <v>12</v>
      </c>
      <c r="J238" s="213"/>
      <c r="K238" s="216">
        <v>3.49591213084615</v>
      </c>
    </row>
    <row r="239" spans="1:11">
      <c r="A239" s="213" t="s">
        <v>27</v>
      </c>
      <c r="B239" s="213">
        <v>7.8235714285715803</v>
      </c>
      <c r="C239" s="214">
        <v>0.160000000000002</v>
      </c>
      <c r="D239" s="211"/>
      <c r="E239" s="211"/>
      <c r="F239" s="211"/>
      <c r="G239" s="211"/>
      <c r="H239" s="215"/>
      <c r="I239" s="213" t="s">
        <v>12</v>
      </c>
      <c r="J239" s="213"/>
      <c r="K239" s="216">
        <v>3.5135063803846101</v>
      </c>
    </row>
    <row r="240" spans="1:11">
      <c r="A240" s="213" t="s">
        <v>27</v>
      </c>
      <c r="B240" s="213">
        <v>7.8359340659342198</v>
      </c>
      <c r="C240" s="214">
        <v>0.160000000000002</v>
      </c>
      <c r="D240" s="211"/>
      <c r="E240" s="211"/>
      <c r="F240" s="211"/>
      <c r="G240" s="211"/>
      <c r="H240" s="215"/>
      <c r="I240" s="213" t="s">
        <v>12</v>
      </c>
      <c r="J240" s="213"/>
      <c r="K240" s="216">
        <v>3.5311006299230701</v>
      </c>
    </row>
    <row r="241" spans="1:11">
      <c r="A241" s="213" t="s">
        <v>27</v>
      </c>
      <c r="B241" s="213">
        <v>7.8482967032968602</v>
      </c>
      <c r="C241" s="214">
        <v>0.160000000000002</v>
      </c>
      <c r="D241" s="211"/>
      <c r="E241" s="211"/>
      <c r="F241" s="211"/>
      <c r="G241" s="211"/>
      <c r="H241" s="215"/>
      <c r="I241" s="213" t="s">
        <v>12</v>
      </c>
      <c r="J241" s="213"/>
      <c r="K241" s="216">
        <v>3.5486948794615398</v>
      </c>
    </row>
    <row r="242" spans="1:11">
      <c r="A242" s="213" t="s">
        <v>27</v>
      </c>
      <c r="B242" s="213">
        <v>7.86065934065949</v>
      </c>
      <c r="C242" s="214">
        <v>0.160000000000002</v>
      </c>
      <c r="D242" s="211"/>
      <c r="E242" s="211"/>
      <c r="F242" s="211"/>
      <c r="G242" s="211"/>
      <c r="H242" s="215"/>
      <c r="I242" s="213" t="s">
        <v>12</v>
      </c>
      <c r="J242" s="213"/>
      <c r="K242" s="216">
        <v>3.5662891289999998</v>
      </c>
    </row>
    <row r="243" spans="1:11">
      <c r="A243" s="213" t="s">
        <v>27</v>
      </c>
      <c r="B243" s="213">
        <v>7.8730219780221304</v>
      </c>
      <c r="C243" s="214">
        <v>0.160000000000002</v>
      </c>
      <c r="D243" s="211"/>
      <c r="E243" s="211"/>
      <c r="F243" s="211"/>
      <c r="G243" s="211"/>
      <c r="H243" s="215"/>
      <c r="I243" s="213" t="s">
        <v>12</v>
      </c>
      <c r="J243" s="213"/>
      <c r="K243" s="216">
        <v>3.5838833785384598</v>
      </c>
    </row>
    <row r="244" spans="1:11">
      <c r="A244" s="213" t="s">
        <v>27</v>
      </c>
      <c r="B244" s="213">
        <v>7.88538461538477</v>
      </c>
      <c r="C244" s="214">
        <v>0.160000000000002</v>
      </c>
      <c r="D244" s="211"/>
      <c r="E244" s="211"/>
      <c r="F244" s="211"/>
      <c r="G244" s="211"/>
      <c r="H244" s="215"/>
      <c r="I244" s="213" t="s">
        <v>12</v>
      </c>
      <c r="J244" s="213"/>
      <c r="K244" s="216">
        <v>3.6014776280769198</v>
      </c>
    </row>
    <row r="245" spans="1:11">
      <c r="A245" s="213" t="s">
        <v>27</v>
      </c>
      <c r="B245" s="213">
        <v>7.8977472527474104</v>
      </c>
      <c r="C245" s="214">
        <v>0.160000000000002</v>
      </c>
      <c r="D245" s="211"/>
      <c r="E245" s="211"/>
      <c r="F245" s="211"/>
      <c r="G245" s="211"/>
      <c r="H245" s="215"/>
      <c r="I245" s="213" t="s">
        <v>12</v>
      </c>
      <c r="J245" s="213"/>
      <c r="K245" s="216">
        <v>3.6190718776153799</v>
      </c>
    </row>
    <row r="246" spans="1:11">
      <c r="A246" s="213" t="s">
        <v>27</v>
      </c>
      <c r="B246" s="213">
        <v>7.9101098901100499</v>
      </c>
      <c r="C246" s="214">
        <v>0.160000000000002</v>
      </c>
      <c r="D246" s="211"/>
      <c r="E246" s="211"/>
      <c r="F246" s="211"/>
      <c r="G246" s="211"/>
      <c r="H246" s="215"/>
      <c r="I246" s="213" t="s">
        <v>12</v>
      </c>
      <c r="J246" s="213"/>
      <c r="K246" s="216">
        <v>3.6366661271538399</v>
      </c>
    </row>
    <row r="247" spans="1:11">
      <c r="A247" s="213" t="s">
        <v>27</v>
      </c>
      <c r="B247" s="213">
        <v>7.9224725274726904</v>
      </c>
      <c r="C247" s="214">
        <v>0.160000000000002</v>
      </c>
      <c r="D247" s="211"/>
      <c r="E247" s="211"/>
      <c r="F247" s="211"/>
      <c r="G247" s="211"/>
      <c r="H247" s="215"/>
      <c r="I247" s="213" t="s">
        <v>12</v>
      </c>
      <c r="J247" s="213"/>
      <c r="K247" s="216">
        <v>3.6542603766922999</v>
      </c>
    </row>
    <row r="248" spans="1:11">
      <c r="A248" s="213" t="s">
        <v>27</v>
      </c>
      <c r="B248" s="213">
        <v>7.9348351648353299</v>
      </c>
      <c r="C248" s="214">
        <v>0.160000000000002</v>
      </c>
      <c r="D248" s="211"/>
      <c r="E248" s="211"/>
      <c r="F248" s="211"/>
      <c r="G248" s="211"/>
      <c r="H248" s="215"/>
      <c r="I248" s="213" t="s">
        <v>12</v>
      </c>
      <c r="J248" s="213"/>
      <c r="K248" s="216">
        <v>3.6718546262307701</v>
      </c>
    </row>
    <row r="249" spans="1:11">
      <c r="A249" s="213" t="s">
        <v>27</v>
      </c>
      <c r="B249" s="213">
        <v>7.9471978021979597</v>
      </c>
      <c r="C249" s="214">
        <v>0.160000000000002</v>
      </c>
      <c r="D249" s="211"/>
      <c r="E249" s="211"/>
      <c r="F249" s="211"/>
      <c r="G249" s="211"/>
      <c r="H249" s="215"/>
      <c r="I249" s="213" t="s">
        <v>12</v>
      </c>
      <c r="J249" s="213"/>
      <c r="K249" s="216">
        <v>3.6894488757692301</v>
      </c>
    </row>
    <row r="250" spans="1:11">
      <c r="A250" s="213" t="s">
        <v>27</v>
      </c>
      <c r="B250" s="213">
        <v>7.9595604395606001</v>
      </c>
      <c r="C250" s="214">
        <v>0.160000000000002</v>
      </c>
      <c r="D250" s="211"/>
      <c r="E250" s="211"/>
      <c r="F250" s="211"/>
      <c r="G250" s="211"/>
      <c r="H250" s="215"/>
      <c r="I250" s="213" t="s">
        <v>12</v>
      </c>
      <c r="J250" s="213"/>
      <c r="K250" s="216">
        <v>3.7070431253076901</v>
      </c>
    </row>
    <row r="251" spans="1:11">
      <c r="A251" s="213" t="s">
        <v>27</v>
      </c>
      <c r="B251" s="213">
        <v>7.9719230769232396</v>
      </c>
      <c r="C251" s="214">
        <v>0.160000000000002</v>
      </c>
      <c r="D251" s="211"/>
      <c r="E251" s="211"/>
      <c r="F251" s="211"/>
      <c r="G251" s="211"/>
      <c r="H251" s="215"/>
      <c r="I251" s="213" t="s">
        <v>12</v>
      </c>
      <c r="J251" s="213"/>
      <c r="K251" s="216">
        <v>3.7246373748461501</v>
      </c>
    </row>
    <row r="252" spans="1:11">
      <c r="A252" s="213" t="s">
        <v>27</v>
      </c>
      <c r="B252" s="213">
        <v>7.9842857142858801</v>
      </c>
      <c r="C252" s="214">
        <v>0.160000000000002</v>
      </c>
      <c r="D252" s="211"/>
      <c r="E252" s="211"/>
      <c r="F252" s="211"/>
      <c r="G252" s="211"/>
      <c r="H252" s="215"/>
      <c r="I252" s="213" t="s">
        <v>12</v>
      </c>
      <c r="J252" s="213"/>
      <c r="K252" s="216">
        <v>3.7422316243846101</v>
      </c>
    </row>
    <row r="253" spans="1:11">
      <c r="A253" s="213" t="s">
        <v>27</v>
      </c>
      <c r="B253" s="213">
        <v>7.9966483516485196</v>
      </c>
      <c r="C253" s="214">
        <v>0.160000000000002</v>
      </c>
      <c r="D253" s="211"/>
      <c r="E253" s="211"/>
      <c r="F253" s="211"/>
      <c r="G253" s="211"/>
      <c r="H253" s="215"/>
      <c r="I253" s="213" t="s">
        <v>12</v>
      </c>
      <c r="J253" s="213"/>
      <c r="K253" s="216">
        <v>3.7598258739230701</v>
      </c>
    </row>
    <row r="254" spans="1:11">
      <c r="A254" s="213" t="s">
        <v>27</v>
      </c>
      <c r="B254" s="213">
        <v>8.0090109890111592</v>
      </c>
      <c r="C254" s="214">
        <v>0.160000000000002</v>
      </c>
      <c r="D254" s="211"/>
      <c r="E254" s="211"/>
      <c r="F254" s="211"/>
      <c r="G254" s="211"/>
      <c r="H254" s="215"/>
      <c r="I254" s="213" t="s">
        <v>12</v>
      </c>
      <c r="J254" s="213"/>
      <c r="K254" s="216">
        <v>3.7774201234615301</v>
      </c>
    </row>
    <row r="255" spans="1:11">
      <c r="A255" s="213" t="s">
        <v>27</v>
      </c>
      <c r="B255" s="213">
        <v>8.0213736263737907</v>
      </c>
      <c r="C255" s="214">
        <v>0.160000000000002</v>
      </c>
      <c r="D255" s="211"/>
      <c r="E255" s="211"/>
      <c r="F255" s="211"/>
      <c r="G255" s="211"/>
      <c r="H255" s="215"/>
      <c r="I255" s="213" t="s">
        <v>12</v>
      </c>
      <c r="J255" s="213"/>
      <c r="K255" s="216">
        <v>3.7950143729999999</v>
      </c>
    </row>
    <row r="256" spans="1:11">
      <c r="A256" s="213" t="s">
        <v>27</v>
      </c>
      <c r="B256" s="213">
        <v>8.0337362637364294</v>
      </c>
      <c r="C256" s="214">
        <v>0.160000000000002</v>
      </c>
      <c r="D256" s="211"/>
      <c r="E256" s="211"/>
      <c r="F256" s="211"/>
      <c r="G256" s="211"/>
      <c r="H256" s="215"/>
      <c r="I256" s="213" t="s">
        <v>12</v>
      </c>
      <c r="J256" s="213"/>
      <c r="K256" s="216">
        <v>3.8126086225384599</v>
      </c>
    </row>
    <row r="257" spans="1:11">
      <c r="A257" s="213" t="s">
        <v>27</v>
      </c>
      <c r="B257" s="213">
        <v>8.0460989010990698</v>
      </c>
      <c r="C257" s="214">
        <v>0.160000000000002</v>
      </c>
      <c r="D257" s="211"/>
      <c r="E257" s="211"/>
      <c r="F257" s="211"/>
      <c r="G257" s="211"/>
      <c r="H257" s="215"/>
      <c r="I257" s="213" t="s">
        <v>12</v>
      </c>
      <c r="J257" s="213"/>
      <c r="K257" s="216">
        <v>3.8302028720769199</v>
      </c>
    </row>
    <row r="258" spans="1:11">
      <c r="A258" s="213" t="s">
        <v>27</v>
      </c>
      <c r="B258" s="213">
        <v>8.0584615384617102</v>
      </c>
      <c r="C258" s="214">
        <v>0.160000000000002</v>
      </c>
      <c r="D258" s="211"/>
      <c r="E258" s="211"/>
      <c r="F258" s="211"/>
      <c r="G258" s="211"/>
      <c r="H258" s="215"/>
      <c r="I258" s="213" t="s">
        <v>12</v>
      </c>
      <c r="J258" s="213"/>
      <c r="K258" s="216">
        <v>3.8477971216153799</v>
      </c>
    </row>
    <row r="259" spans="1:11">
      <c r="A259" s="213" t="s">
        <v>27</v>
      </c>
      <c r="B259" s="213">
        <v>8.0708241758243506</v>
      </c>
      <c r="C259" s="214">
        <v>0.160000000000002</v>
      </c>
      <c r="D259" s="211"/>
      <c r="E259" s="211"/>
      <c r="F259" s="211"/>
      <c r="G259" s="211"/>
      <c r="H259" s="215"/>
      <c r="I259" s="213" t="s">
        <v>12</v>
      </c>
      <c r="J259" s="213"/>
      <c r="K259" s="216">
        <v>3.8653913711538399</v>
      </c>
    </row>
    <row r="260" spans="1:11">
      <c r="A260" s="213" t="s">
        <v>27</v>
      </c>
      <c r="B260" s="213">
        <v>8.0831868131869893</v>
      </c>
      <c r="C260" s="214">
        <v>0.160000000000002</v>
      </c>
      <c r="D260" s="211"/>
      <c r="E260" s="211"/>
      <c r="F260" s="211"/>
      <c r="G260" s="211"/>
      <c r="H260" s="215"/>
      <c r="I260" s="213" t="s">
        <v>12</v>
      </c>
      <c r="J260" s="213"/>
      <c r="K260" s="216">
        <v>3.8829856206922999</v>
      </c>
    </row>
    <row r="261" spans="1:11">
      <c r="A261" s="213" t="s">
        <v>27</v>
      </c>
      <c r="B261" s="213">
        <v>8.0955494505496297</v>
      </c>
      <c r="C261" s="214">
        <v>0.160000000000002</v>
      </c>
      <c r="D261" s="211"/>
      <c r="E261" s="211"/>
      <c r="F261" s="211"/>
      <c r="G261" s="211"/>
      <c r="H261" s="215"/>
      <c r="I261" s="213" t="s">
        <v>12</v>
      </c>
      <c r="J261" s="213"/>
      <c r="K261" s="216">
        <v>3.9005798702307599</v>
      </c>
    </row>
    <row r="262" spans="1:11">
      <c r="A262" s="211" t="s">
        <v>62</v>
      </c>
      <c r="B262" s="211">
        <v>5</v>
      </c>
      <c r="C262" s="210">
        <v>1.6</v>
      </c>
      <c r="D262" s="211">
        <v>7.2999999999999995E-2</v>
      </c>
      <c r="E262" s="217"/>
      <c r="F262" s="217"/>
      <c r="G262" s="194"/>
      <c r="H262" s="113"/>
      <c r="I262" s="211" t="s">
        <v>12</v>
      </c>
      <c r="J262" s="211">
        <v>1.2250000000000001</v>
      </c>
      <c r="K262" s="218">
        <v>2.735445E-3</v>
      </c>
    </row>
    <row r="263" spans="1:11">
      <c r="A263" s="211" t="s">
        <v>62</v>
      </c>
      <c r="B263" s="211">
        <v>5</v>
      </c>
      <c r="C263" s="210">
        <v>1.6</v>
      </c>
      <c r="D263" s="211">
        <v>7.2999999999999995E-2</v>
      </c>
      <c r="E263" s="217"/>
      <c r="F263" s="217"/>
      <c r="G263" s="194"/>
      <c r="H263" s="113"/>
      <c r="I263" s="211" t="s">
        <v>12</v>
      </c>
      <c r="J263" s="211">
        <v>1.2250000000000001</v>
      </c>
      <c r="K263" s="218">
        <v>3.2671229999999998E-3</v>
      </c>
    </row>
    <row r="264" spans="1:11">
      <c r="A264" s="211" t="s">
        <v>62</v>
      </c>
      <c r="B264" s="211">
        <v>5</v>
      </c>
      <c r="C264" s="210">
        <v>1.6</v>
      </c>
      <c r="D264" s="211">
        <v>7.2999999999999995E-2</v>
      </c>
      <c r="E264" s="217"/>
      <c r="F264" s="217"/>
      <c r="G264" s="194"/>
      <c r="H264" s="113"/>
      <c r="I264" s="211" t="s">
        <v>12</v>
      </c>
      <c r="J264" s="211">
        <v>1.2250000000000001</v>
      </c>
      <c r="K264" s="218">
        <v>3.5522259999999999E-3</v>
      </c>
    </row>
    <row r="265" spans="1:11">
      <c r="A265" s="211" t="s">
        <v>62</v>
      </c>
      <c r="B265" s="211">
        <v>5</v>
      </c>
      <c r="C265" s="210">
        <v>1.6</v>
      </c>
      <c r="D265" s="211">
        <v>7.2999999999999995E-2</v>
      </c>
      <c r="E265" s="217"/>
      <c r="F265" s="217"/>
      <c r="G265" s="194"/>
      <c r="H265" s="113"/>
      <c r="I265" s="211" t="s">
        <v>12</v>
      </c>
      <c r="J265" s="211">
        <v>1.2250000000000001</v>
      </c>
      <c r="K265" s="218">
        <v>4.0839040000000002E-3</v>
      </c>
    </row>
    <row r="266" spans="1:11">
      <c r="A266" s="211" t="s">
        <v>62</v>
      </c>
      <c r="B266" s="211">
        <v>5</v>
      </c>
      <c r="C266" s="210">
        <v>1.6</v>
      </c>
      <c r="D266" s="211">
        <v>7.2999999999999995E-2</v>
      </c>
      <c r="E266" s="217"/>
      <c r="F266" s="217"/>
      <c r="G266" s="194"/>
      <c r="H266" s="113"/>
      <c r="I266" s="211" t="s">
        <v>12</v>
      </c>
      <c r="J266" s="211">
        <v>1.2250000000000001</v>
      </c>
      <c r="K266" s="218">
        <v>4.0453770000000002E-3</v>
      </c>
    </row>
    <row r="267" spans="1:11">
      <c r="A267" s="211" t="s">
        <v>62</v>
      </c>
      <c r="B267" s="211">
        <v>5</v>
      </c>
      <c r="C267" s="210">
        <v>1.6</v>
      </c>
      <c r="D267" s="211">
        <v>7.2999999999999995E-2</v>
      </c>
      <c r="E267" s="217"/>
      <c r="F267" s="217"/>
      <c r="G267" s="194"/>
      <c r="H267" s="113"/>
      <c r="I267" s="211" t="s">
        <v>12</v>
      </c>
      <c r="J267" s="211">
        <v>1.2250000000000001</v>
      </c>
      <c r="K267" s="218">
        <v>4.2148969999999996E-3</v>
      </c>
    </row>
    <row r="268" spans="1:11">
      <c r="A268" s="211" t="s">
        <v>62</v>
      </c>
      <c r="B268" s="211">
        <v>5</v>
      </c>
      <c r="C268" s="210">
        <v>1.6</v>
      </c>
      <c r="D268" s="211">
        <v>7.2999999999999995E-2</v>
      </c>
      <c r="E268" s="217"/>
      <c r="F268" s="217"/>
      <c r="G268" s="194"/>
      <c r="H268" s="113"/>
      <c r="I268" s="211" t="s">
        <v>12</v>
      </c>
      <c r="J268" s="211">
        <v>1.2250000000000001</v>
      </c>
      <c r="K268" s="218">
        <v>7.0469700000000001E-4</v>
      </c>
    </row>
    <row r="269" spans="1:11">
      <c r="A269" s="211" t="s">
        <v>62</v>
      </c>
      <c r="B269" s="211">
        <v>5</v>
      </c>
      <c r="C269" s="210">
        <v>1.6</v>
      </c>
      <c r="D269" s="211">
        <v>7.2999999999999995E-2</v>
      </c>
      <c r="E269" s="217"/>
      <c r="F269" s="217"/>
      <c r="G269" s="194"/>
      <c r="H269" s="113"/>
      <c r="I269" s="211" t="s">
        <v>12</v>
      </c>
      <c r="J269" s="211">
        <v>1.2250000000000001</v>
      </c>
      <c r="K269" s="218">
        <v>2.307047E-3</v>
      </c>
    </row>
    <row r="270" spans="1:11">
      <c r="A270" s="211" t="s">
        <v>62</v>
      </c>
      <c r="B270" s="211">
        <v>5</v>
      </c>
      <c r="C270" s="210">
        <v>1.6</v>
      </c>
      <c r="D270" s="211">
        <v>7.2999999999999995E-2</v>
      </c>
      <c r="E270" s="217"/>
      <c r="F270" s="217"/>
      <c r="G270" s="194"/>
      <c r="H270" s="113"/>
      <c r="I270" s="211" t="s">
        <v>12</v>
      </c>
      <c r="J270" s="211">
        <v>1.2250000000000001</v>
      </c>
      <c r="K270" s="218">
        <v>2.869127E-3</v>
      </c>
    </row>
    <row r="271" spans="1:11">
      <c r="A271" s="211" t="s">
        <v>62</v>
      </c>
      <c r="B271" s="211">
        <v>5</v>
      </c>
      <c r="C271" s="210">
        <v>1.6</v>
      </c>
      <c r="D271" s="211">
        <v>7.2999999999999995E-2</v>
      </c>
      <c r="E271" s="217"/>
      <c r="F271" s="217"/>
      <c r="G271" s="194"/>
      <c r="H271" s="113"/>
      <c r="I271" s="211" t="s">
        <v>12</v>
      </c>
      <c r="J271" s="211">
        <v>1.2250000000000001</v>
      </c>
      <c r="K271" s="218">
        <v>3.2046980000000002E-3</v>
      </c>
    </row>
    <row r="272" spans="1:11">
      <c r="A272" s="211" t="s">
        <v>62</v>
      </c>
      <c r="B272" s="211">
        <v>5</v>
      </c>
      <c r="C272" s="210">
        <v>1.6</v>
      </c>
      <c r="D272" s="211">
        <v>7.2999999999999995E-2</v>
      </c>
      <c r="E272" s="217"/>
      <c r="F272" s="217"/>
      <c r="G272" s="194"/>
      <c r="H272" s="113"/>
      <c r="I272" s="211" t="s">
        <v>12</v>
      </c>
      <c r="J272" s="211">
        <v>1.2250000000000001</v>
      </c>
      <c r="K272" s="218">
        <v>3.4144290000000001E-3</v>
      </c>
    </row>
    <row r="273" spans="1:11">
      <c r="A273" s="211" t="s">
        <v>62</v>
      </c>
      <c r="B273" s="211">
        <v>5</v>
      </c>
      <c r="C273" s="210">
        <v>1.6</v>
      </c>
      <c r="D273" s="211">
        <v>7.2999999999999995E-2</v>
      </c>
      <c r="E273" s="217"/>
      <c r="F273" s="217"/>
      <c r="G273" s="194"/>
      <c r="H273" s="113"/>
      <c r="I273" s="211" t="s">
        <v>12</v>
      </c>
      <c r="J273" s="211">
        <v>1.2250000000000001</v>
      </c>
      <c r="K273" s="218">
        <v>3.7080540000000001E-3</v>
      </c>
    </row>
    <row r="274" spans="1:11">
      <c r="A274" s="211" t="s">
        <v>62</v>
      </c>
      <c r="B274" s="211">
        <v>5</v>
      </c>
      <c r="C274" s="210">
        <v>1.6</v>
      </c>
      <c r="D274" s="211">
        <v>7.2999999999999995E-2</v>
      </c>
      <c r="E274" s="217"/>
      <c r="F274" s="217"/>
      <c r="G274" s="194"/>
      <c r="H274" s="113"/>
      <c r="I274" s="211" t="s">
        <v>12</v>
      </c>
      <c r="J274" s="211">
        <v>1.2250000000000001</v>
      </c>
      <c r="K274" s="218">
        <v>3.758389E-3</v>
      </c>
    </row>
    <row r="275" spans="1:11">
      <c r="A275" s="211" t="s">
        <v>62</v>
      </c>
      <c r="B275" s="211">
        <v>5</v>
      </c>
      <c r="C275" s="210">
        <v>1.6</v>
      </c>
      <c r="D275" s="211">
        <v>7.2999999999999995E-2</v>
      </c>
      <c r="E275" s="217"/>
      <c r="F275" s="217"/>
      <c r="G275" s="194"/>
      <c r="H275" s="113"/>
      <c r="I275" s="211" t="s">
        <v>12</v>
      </c>
      <c r="J275" s="211">
        <v>1.2250000000000001</v>
      </c>
      <c r="K275" s="218">
        <v>4.1946300000000004E-3</v>
      </c>
    </row>
    <row r="276" spans="1:11">
      <c r="A276" s="211" t="s">
        <v>62</v>
      </c>
      <c r="B276" s="211">
        <v>5</v>
      </c>
      <c r="C276" s="210">
        <v>1.6</v>
      </c>
      <c r="D276" s="211">
        <v>7.0000000000000007E-2</v>
      </c>
      <c r="E276" s="217"/>
      <c r="F276" s="217"/>
      <c r="G276" s="194"/>
      <c r="H276" s="113"/>
      <c r="I276" s="211" t="s">
        <v>14</v>
      </c>
      <c r="J276" s="211">
        <v>1.2509999999999999</v>
      </c>
      <c r="K276" s="218">
        <v>1.1073820000000001E-3</v>
      </c>
    </row>
    <row r="277" spans="1:11">
      <c r="A277" s="211" t="s">
        <v>62</v>
      </c>
      <c r="B277" s="211">
        <v>5</v>
      </c>
      <c r="C277" s="210">
        <v>1.6</v>
      </c>
      <c r="D277" s="211">
        <v>7.0000000000000007E-2</v>
      </c>
      <c r="E277" s="217"/>
      <c r="F277" s="217"/>
      <c r="G277" s="194"/>
      <c r="H277" s="113"/>
      <c r="I277" s="211" t="s">
        <v>14</v>
      </c>
      <c r="J277" s="211">
        <v>1.2509999999999999</v>
      </c>
      <c r="K277" s="218">
        <v>2.0050329999999998E-3</v>
      </c>
    </row>
    <row r="278" spans="1:11">
      <c r="A278" s="211" t="s">
        <v>62</v>
      </c>
      <c r="B278" s="211">
        <v>5</v>
      </c>
      <c r="C278" s="210">
        <v>1.6</v>
      </c>
      <c r="D278" s="211">
        <v>7.0000000000000007E-2</v>
      </c>
      <c r="E278" s="217"/>
      <c r="F278" s="217"/>
      <c r="G278" s="194"/>
      <c r="H278" s="113"/>
      <c r="I278" s="211" t="s">
        <v>14</v>
      </c>
      <c r="J278" s="211">
        <v>1.2509999999999999</v>
      </c>
      <c r="K278" s="218">
        <v>2.6006710000000001E-3</v>
      </c>
    </row>
    <row r="279" spans="1:11">
      <c r="A279" s="211" t="s">
        <v>62</v>
      </c>
      <c r="B279" s="211">
        <v>5</v>
      </c>
      <c r="C279" s="210">
        <v>1.6</v>
      </c>
      <c r="D279" s="211">
        <v>7.0000000000000007E-2</v>
      </c>
      <c r="E279" s="217"/>
      <c r="F279" s="217"/>
      <c r="G279" s="194"/>
      <c r="H279" s="113"/>
      <c r="I279" s="211" t="s">
        <v>14</v>
      </c>
      <c r="J279" s="211">
        <v>1.2509999999999999</v>
      </c>
      <c r="K279" s="218">
        <v>3.1124159999999998E-3</v>
      </c>
    </row>
    <row r="280" spans="1:11">
      <c r="A280" s="211" t="s">
        <v>62</v>
      </c>
      <c r="B280" s="211">
        <v>5</v>
      </c>
      <c r="C280" s="210">
        <v>1.6</v>
      </c>
      <c r="D280" s="211">
        <v>7.0000000000000007E-2</v>
      </c>
      <c r="E280" s="217"/>
      <c r="F280" s="217"/>
      <c r="G280" s="194"/>
      <c r="H280" s="113"/>
      <c r="I280" s="211" t="s">
        <v>14</v>
      </c>
      <c r="J280" s="211">
        <v>1.2509999999999999</v>
      </c>
      <c r="K280" s="218">
        <v>3.2130869999999999E-3</v>
      </c>
    </row>
    <row r="281" spans="1:11">
      <c r="A281" s="211" t="s">
        <v>62</v>
      </c>
      <c r="B281" s="211">
        <v>5</v>
      </c>
      <c r="C281" s="210">
        <v>1.6</v>
      </c>
      <c r="D281" s="211">
        <v>7.0000000000000007E-2</v>
      </c>
      <c r="E281" s="217"/>
      <c r="F281" s="217"/>
      <c r="G281" s="194"/>
      <c r="H281" s="113"/>
      <c r="I281" s="211" t="s">
        <v>14</v>
      </c>
      <c r="J281" s="211">
        <v>1.2509999999999999</v>
      </c>
      <c r="K281" s="218">
        <v>3.4228190000000001E-3</v>
      </c>
    </row>
    <row r="282" spans="1:11">
      <c r="A282" s="211" t="s">
        <v>62</v>
      </c>
      <c r="B282" s="211">
        <v>5</v>
      </c>
      <c r="C282" s="210">
        <v>1.6</v>
      </c>
      <c r="D282" s="211">
        <v>7.0000000000000007E-2</v>
      </c>
      <c r="E282" s="217"/>
      <c r="F282" s="217"/>
      <c r="G282" s="194"/>
      <c r="H282" s="113"/>
      <c r="I282" s="211" t="s">
        <v>14</v>
      </c>
      <c r="J282" s="211">
        <v>1.2509999999999999</v>
      </c>
      <c r="K282" s="218">
        <v>3.6996640000000001E-3</v>
      </c>
    </row>
    <row r="283" spans="1:11">
      <c r="A283" s="211" t="s">
        <v>62</v>
      </c>
      <c r="B283" s="211">
        <v>5</v>
      </c>
      <c r="C283" s="210">
        <v>1.6</v>
      </c>
      <c r="D283" s="211">
        <v>7.0000000000000007E-2</v>
      </c>
      <c r="E283" s="217"/>
      <c r="F283" s="217"/>
      <c r="G283" s="194"/>
      <c r="H283" s="113"/>
      <c r="I283" s="211" t="s">
        <v>14</v>
      </c>
      <c r="J283" s="211">
        <v>1.2509999999999999</v>
      </c>
      <c r="K283" s="218">
        <v>3.8003350000000002E-3</v>
      </c>
    </row>
    <row r="284" spans="1:11">
      <c r="A284" s="211" t="s">
        <v>62</v>
      </c>
      <c r="B284" s="211">
        <v>5</v>
      </c>
      <c r="C284" s="210">
        <v>1.6</v>
      </c>
      <c r="D284" s="211">
        <v>7.0999999999999994E-2</v>
      </c>
      <c r="E284" s="217"/>
      <c r="F284" s="217"/>
      <c r="G284" s="194"/>
      <c r="H284" s="113"/>
      <c r="I284" s="211" t="s">
        <v>34</v>
      </c>
      <c r="J284" s="211">
        <v>0.17860000000000001</v>
      </c>
      <c r="K284" s="218">
        <v>1.1073820000000001E-3</v>
      </c>
    </row>
    <row r="285" spans="1:11">
      <c r="A285" s="211" t="s">
        <v>62</v>
      </c>
      <c r="B285" s="211">
        <v>5</v>
      </c>
      <c r="C285" s="210">
        <v>1.6</v>
      </c>
      <c r="D285" s="211">
        <v>7.0999999999999994E-2</v>
      </c>
      <c r="E285" s="217"/>
      <c r="F285" s="217"/>
      <c r="G285" s="194"/>
      <c r="H285" s="113"/>
      <c r="I285" s="211" t="s">
        <v>34</v>
      </c>
      <c r="J285" s="211">
        <v>0.17860000000000001</v>
      </c>
      <c r="K285" s="218">
        <v>2.0889260000000001E-3</v>
      </c>
    </row>
    <row r="286" spans="1:11">
      <c r="A286" s="211" t="s">
        <v>62</v>
      </c>
      <c r="B286" s="211">
        <v>5</v>
      </c>
      <c r="C286" s="210">
        <v>1.6</v>
      </c>
      <c r="D286" s="211">
        <v>7.0999999999999994E-2</v>
      </c>
      <c r="E286" s="217"/>
      <c r="F286" s="217"/>
      <c r="G286" s="194"/>
      <c r="H286" s="113"/>
      <c r="I286" s="211" t="s">
        <v>34</v>
      </c>
      <c r="J286" s="211">
        <v>0.17860000000000001</v>
      </c>
      <c r="K286" s="218">
        <v>2.5083890000000002E-3</v>
      </c>
    </row>
    <row r="287" spans="1:11">
      <c r="A287" s="211" t="s">
        <v>62</v>
      </c>
      <c r="B287" s="211">
        <v>5</v>
      </c>
      <c r="C287" s="210">
        <v>1.6</v>
      </c>
      <c r="D287" s="211">
        <v>7.0999999999999994E-2</v>
      </c>
      <c r="E287" s="217"/>
      <c r="F287" s="217"/>
      <c r="G287" s="194"/>
      <c r="H287" s="113"/>
      <c r="I287" s="211" t="s">
        <v>34</v>
      </c>
      <c r="J287" s="211">
        <v>0.17860000000000001</v>
      </c>
      <c r="K287" s="218">
        <v>2.9781880000000001E-3</v>
      </c>
    </row>
    <row r="288" spans="1:11">
      <c r="A288" s="211" t="s">
        <v>62</v>
      </c>
      <c r="B288" s="211">
        <v>5</v>
      </c>
      <c r="C288" s="210">
        <v>1.6</v>
      </c>
      <c r="D288" s="211">
        <v>7.0999999999999994E-2</v>
      </c>
      <c r="E288" s="217"/>
      <c r="F288" s="217"/>
      <c r="G288" s="194"/>
      <c r="H288" s="113"/>
      <c r="I288" s="211" t="s">
        <v>34</v>
      </c>
      <c r="J288" s="211">
        <v>0.17860000000000001</v>
      </c>
      <c r="K288" s="218">
        <v>3.187919E-3</v>
      </c>
    </row>
    <row r="289" spans="1:11">
      <c r="A289" s="211" t="s">
        <v>62</v>
      </c>
      <c r="B289" s="211">
        <v>5</v>
      </c>
      <c r="C289" s="210">
        <v>1.6</v>
      </c>
      <c r="D289" s="211">
        <v>7.0999999999999994E-2</v>
      </c>
      <c r="E289" s="217"/>
      <c r="F289" s="217"/>
      <c r="G289" s="194"/>
      <c r="H289" s="113"/>
      <c r="I289" s="211" t="s">
        <v>34</v>
      </c>
      <c r="J289" s="211">
        <v>0.17860000000000001</v>
      </c>
      <c r="K289" s="218">
        <v>3.598993E-3</v>
      </c>
    </row>
    <row r="290" spans="1:11">
      <c r="A290" s="211" t="s">
        <v>62</v>
      </c>
      <c r="B290" s="211">
        <v>5</v>
      </c>
      <c r="C290" s="210">
        <v>1.6</v>
      </c>
      <c r="D290" s="211">
        <v>7.0999999999999994E-2</v>
      </c>
      <c r="E290" s="217"/>
      <c r="F290" s="217"/>
      <c r="G290" s="194"/>
      <c r="H290" s="113"/>
      <c r="I290" s="211" t="s">
        <v>34</v>
      </c>
      <c r="J290" s="211">
        <v>0.17860000000000001</v>
      </c>
      <c r="K290" s="218">
        <v>3.7751669999999998E-3</v>
      </c>
    </row>
    <row r="291" spans="1:11">
      <c r="A291" s="211" t="s">
        <v>62</v>
      </c>
      <c r="B291" s="211">
        <v>5</v>
      </c>
      <c r="C291" s="210">
        <v>1.6</v>
      </c>
      <c r="D291" s="211">
        <v>7.0999999999999994E-2</v>
      </c>
      <c r="E291" s="217"/>
      <c r="F291" s="217"/>
      <c r="G291" s="194"/>
      <c r="H291" s="113"/>
      <c r="I291" s="211" t="s">
        <v>34</v>
      </c>
      <c r="J291" s="211">
        <v>0.17860000000000001</v>
      </c>
      <c r="K291" s="218">
        <v>4.580537E-3</v>
      </c>
    </row>
    <row r="292" spans="1:11">
      <c r="A292" s="211" t="s">
        <v>63</v>
      </c>
      <c r="B292" s="211">
        <v>9.7200000000000006</v>
      </c>
      <c r="C292" s="210">
        <v>0.1</v>
      </c>
      <c r="D292" s="194"/>
      <c r="E292" s="194"/>
      <c r="F292" s="194"/>
      <c r="G292" s="194"/>
      <c r="H292" s="211"/>
      <c r="I292" s="211" t="s">
        <v>12</v>
      </c>
      <c r="J292" s="194"/>
      <c r="K292" s="211">
        <v>1.0720000000000001</v>
      </c>
    </row>
    <row r="293" spans="1:11">
      <c r="A293" s="211" t="s">
        <v>63</v>
      </c>
      <c r="B293" s="211">
        <v>19.440000000000001</v>
      </c>
      <c r="C293" s="210">
        <v>0.1</v>
      </c>
      <c r="D293" s="194"/>
      <c r="E293" s="194"/>
      <c r="F293" s="194"/>
      <c r="G293" s="194"/>
      <c r="H293" s="211"/>
      <c r="I293" s="211" t="s">
        <v>12</v>
      </c>
      <c r="J293" s="194"/>
      <c r="K293" s="211">
        <v>1.121</v>
      </c>
    </row>
    <row r="294" spans="1:11">
      <c r="A294" s="211" t="s">
        <v>63</v>
      </c>
      <c r="B294" s="211">
        <v>32.4</v>
      </c>
      <c r="C294" s="210">
        <v>0.1</v>
      </c>
      <c r="D294" s="194"/>
      <c r="E294" s="194"/>
      <c r="F294" s="194"/>
      <c r="G294" s="194"/>
      <c r="H294" s="211"/>
      <c r="I294" s="211" t="s">
        <v>12</v>
      </c>
      <c r="J294" s="194"/>
      <c r="K294" s="211">
        <v>1.1459999999999999</v>
      </c>
    </row>
    <row r="295" spans="1:11">
      <c r="A295" s="211" t="s">
        <v>63</v>
      </c>
      <c r="B295" s="211">
        <v>64.8</v>
      </c>
      <c r="C295" s="210">
        <v>0.1</v>
      </c>
      <c r="D295" s="194"/>
      <c r="E295" s="194"/>
      <c r="F295" s="194"/>
      <c r="G295" s="194"/>
      <c r="H295" s="211"/>
      <c r="I295" s="211" t="s">
        <v>12</v>
      </c>
      <c r="J295" s="194"/>
      <c r="K295" s="211">
        <v>1.6060000000000001</v>
      </c>
    </row>
    <row r="296" spans="1:11">
      <c r="A296" s="211" t="s">
        <v>63</v>
      </c>
      <c r="B296" s="211">
        <v>194.4</v>
      </c>
      <c r="C296" s="210">
        <v>0.1</v>
      </c>
      <c r="D296" s="194"/>
      <c r="E296" s="194"/>
      <c r="F296" s="194"/>
      <c r="G296" s="194"/>
      <c r="H296" s="211"/>
      <c r="I296" s="211" t="s">
        <v>12</v>
      </c>
      <c r="J296" s="194"/>
      <c r="K296" s="211">
        <v>2.5579999999999998</v>
      </c>
    </row>
    <row r="297" spans="1:11">
      <c r="A297" s="211" t="s">
        <v>63</v>
      </c>
      <c r="B297" s="211">
        <v>93.54</v>
      </c>
      <c r="C297" s="210">
        <v>0.27</v>
      </c>
      <c r="D297" s="194"/>
      <c r="E297" s="194"/>
      <c r="F297" s="194"/>
      <c r="G297" s="194"/>
      <c r="H297" s="211"/>
      <c r="I297" s="211" t="s">
        <v>12</v>
      </c>
      <c r="J297" s="194"/>
      <c r="K297" s="211">
        <v>1.8160000000000001</v>
      </c>
    </row>
    <row r="298" spans="1:11">
      <c r="A298" s="211" t="s">
        <v>63</v>
      </c>
      <c r="B298" s="211">
        <v>93.84</v>
      </c>
      <c r="C298" s="210">
        <v>0.27</v>
      </c>
      <c r="D298" s="194"/>
      <c r="E298" s="194"/>
      <c r="F298" s="194"/>
      <c r="G298" s="194"/>
      <c r="H298" s="211"/>
      <c r="I298" s="211" t="s">
        <v>12</v>
      </c>
      <c r="J298" s="194"/>
      <c r="K298" s="211">
        <v>1.8169999999999999</v>
      </c>
    </row>
    <row r="299" spans="1:11">
      <c r="A299" s="211" t="s">
        <v>63</v>
      </c>
      <c r="B299" s="211">
        <v>109.26</v>
      </c>
      <c r="C299" s="210">
        <v>0.27</v>
      </c>
      <c r="D299" s="194"/>
      <c r="E299" s="194"/>
      <c r="F299" s="194"/>
      <c r="G299" s="194"/>
      <c r="H299" s="211"/>
      <c r="I299" s="211" t="s">
        <v>12</v>
      </c>
      <c r="J299" s="194"/>
      <c r="K299" s="211">
        <v>1.913</v>
      </c>
    </row>
    <row r="300" spans="1:11">
      <c r="A300" s="211" t="s">
        <v>63</v>
      </c>
      <c r="B300" s="211">
        <v>375.24</v>
      </c>
      <c r="C300" s="210">
        <v>0.27</v>
      </c>
      <c r="D300" s="194"/>
      <c r="E300" s="194"/>
      <c r="F300" s="194"/>
      <c r="G300" s="194"/>
      <c r="H300" s="211"/>
      <c r="I300" s="211" t="s">
        <v>12</v>
      </c>
      <c r="J300" s="194"/>
      <c r="K300" s="211">
        <v>3.2770000000000001</v>
      </c>
    </row>
    <row r="301" spans="1:11">
      <c r="A301" s="211" t="s">
        <v>63</v>
      </c>
      <c r="B301" s="211">
        <v>23.46</v>
      </c>
      <c r="C301" s="210">
        <v>1</v>
      </c>
      <c r="D301" s="194"/>
      <c r="E301" s="194"/>
      <c r="F301" s="194"/>
      <c r="G301" s="194"/>
      <c r="H301" s="211"/>
      <c r="I301" s="211" t="s">
        <v>12</v>
      </c>
      <c r="J301" s="194"/>
      <c r="K301" s="211">
        <v>2.2029999999999998</v>
      </c>
    </row>
    <row r="302" spans="1:11">
      <c r="A302" s="211" t="s">
        <v>63</v>
      </c>
      <c r="B302" s="211">
        <v>52.56</v>
      </c>
      <c r="C302" s="210">
        <v>1</v>
      </c>
      <c r="D302" s="194"/>
      <c r="E302" s="194"/>
      <c r="F302" s="194"/>
      <c r="G302" s="194"/>
      <c r="H302" s="211"/>
      <c r="I302" s="211" t="s">
        <v>12</v>
      </c>
      <c r="J302" s="194"/>
      <c r="K302" s="211">
        <v>2.355</v>
      </c>
    </row>
    <row r="303" spans="1:11">
      <c r="A303" s="211" t="s">
        <v>63</v>
      </c>
      <c r="B303" s="211">
        <v>93.78</v>
      </c>
      <c r="C303" s="210">
        <v>1</v>
      </c>
      <c r="D303" s="194"/>
      <c r="E303" s="194"/>
      <c r="F303" s="194"/>
      <c r="G303" s="194"/>
      <c r="H303" s="211"/>
      <c r="I303" s="211" t="s">
        <v>12</v>
      </c>
      <c r="J303" s="194"/>
      <c r="K303" s="211">
        <v>2.508</v>
      </c>
    </row>
    <row r="304" spans="1:11">
      <c r="A304" s="211" t="s">
        <v>63</v>
      </c>
      <c r="B304" s="211">
        <v>234.54</v>
      </c>
      <c r="C304" s="210">
        <v>1</v>
      </c>
      <c r="D304" s="194"/>
      <c r="E304" s="194"/>
      <c r="F304" s="194"/>
      <c r="G304" s="194"/>
      <c r="H304" s="211"/>
      <c r="I304" s="211" t="s">
        <v>12</v>
      </c>
      <c r="J304" s="194"/>
      <c r="K304" s="211">
        <v>3.0230000000000001</v>
      </c>
    </row>
    <row r="305" spans="1:11">
      <c r="A305" s="211" t="s">
        <v>63</v>
      </c>
      <c r="B305" s="211">
        <v>260.64</v>
      </c>
      <c r="C305" s="210">
        <v>1</v>
      </c>
      <c r="D305" s="194"/>
      <c r="E305" s="194"/>
      <c r="F305" s="194"/>
      <c r="G305" s="194"/>
      <c r="H305" s="211"/>
      <c r="I305" s="211" t="s">
        <v>12</v>
      </c>
      <c r="J305" s="194"/>
      <c r="K305" s="211">
        <v>3.1059999999999999</v>
      </c>
    </row>
    <row r="306" spans="1:11">
      <c r="A306" s="211" t="s">
        <v>63</v>
      </c>
      <c r="B306" s="211">
        <v>260.76</v>
      </c>
      <c r="C306" s="210">
        <v>1</v>
      </c>
      <c r="D306" s="194"/>
      <c r="E306" s="194"/>
      <c r="F306" s="194"/>
      <c r="G306" s="194"/>
      <c r="H306" s="211"/>
      <c r="I306" s="211" t="s">
        <v>12</v>
      </c>
      <c r="J306" s="194"/>
      <c r="K306" s="211">
        <v>3.101</v>
      </c>
    </row>
    <row r="307" spans="1:11">
      <c r="A307" s="211" t="s">
        <v>63</v>
      </c>
      <c r="B307" s="211">
        <v>262.92</v>
      </c>
      <c r="C307" s="210">
        <v>1</v>
      </c>
      <c r="D307" s="194"/>
      <c r="E307" s="194"/>
      <c r="F307" s="194"/>
      <c r="G307" s="194"/>
      <c r="H307" s="211"/>
      <c r="I307" s="211" t="s">
        <v>12</v>
      </c>
      <c r="J307" s="194"/>
      <c r="K307" s="211">
        <v>3.1019999999999999</v>
      </c>
    </row>
    <row r="308" spans="1:11">
      <c r="A308" s="211" t="s">
        <v>63</v>
      </c>
      <c r="B308" s="211">
        <v>468.96</v>
      </c>
      <c r="C308" s="210">
        <v>1</v>
      </c>
      <c r="D308" s="194"/>
      <c r="E308" s="194"/>
      <c r="F308" s="194"/>
      <c r="G308" s="194"/>
      <c r="H308" s="211"/>
      <c r="I308" s="211" t="s">
        <v>12</v>
      </c>
      <c r="J308" s="194"/>
      <c r="K308" s="211">
        <v>3.7829999999999999</v>
      </c>
    </row>
    <row r="309" spans="1:11">
      <c r="A309" s="211" t="s">
        <v>63</v>
      </c>
      <c r="B309" s="211">
        <v>1366.8</v>
      </c>
      <c r="C309" s="210">
        <v>1</v>
      </c>
      <c r="D309" s="194"/>
      <c r="E309" s="194"/>
      <c r="F309" s="194"/>
      <c r="G309" s="194"/>
      <c r="H309" s="211"/>
      <c r="I309" s="211" t="s">
        <v>12</v>
      </c>
      <c r="J309" s="194"/>
      <c r="K309" s="211">
        <v>5.8220000000000001</v>
      </c>
    </row>
    <row r="310" spans="1:11">
      <c r="A310" s="211" t="s">
        <v>63</v>
      </c>
      <c r="B310" s="211">
        <v>2345.4</v>
      </c>
      <c r="C310" s="210">
        <v>1</v>
      </c>
      <c r="D310" s="194"/>
      <c r="E310" s="194"/>
      <c r="F310" s="194"/>
      <c r="G310" s="194"/>
      <c r="H310" s="211"/>
      <c r="I310" s="211" t="s">
        <v>12</v>
      </c>
      <c r="J310" s="194"/>
      <c r="K310" s="211">
        <v>7.1520000000000001</v>
      </c>
    </row>
    <row r="311" spans="1:11">
      <c r="A311" s="211" t="s">
        <v>63</v>
      </c>
      <c r="B311" s="211">
        <v>13620</v>
      </c>
      <c r="C311" s="210">
        <v>1</v>
      </c>
      <c r="D311" s="194"/>
      <c r="E311" s="194"/>
      <c r="F311" s="194"/>
      <c r="G311" s="194"/>
      <c r="H311" s="211"/>
      <c r="I311" s="211" t="s">
        <v>12</v>
      </c>
      <c r="J311" s="194"/>
      <c r="K311" s="211">
        <v>13.71</v>
      </c>
    </row>
    <row r="312" spans="1:11">
      <c r="A312" s="211" t="s">
        <v>63</v>
      </c>
      <c r="B312" s="211">
        <v>5.9459999999999997</v>
      </c>
      <c r="C312" s="210">
        <v>2</v>
      </c>
      <c r="D312" s="194"/>
      <c r="E312" s="194"/>
      <c r="F312" s="194"/>
      <c r="G312" s="194"/>
      <c r="H312" s="211"/>
      <c r="I312" s="211" t="s">
        <v>12</v>
      </c>
      <c r="J312" s="194"/>
      <c r="K312" s="211">
        <v>2.5939999999999999</v>
      </c>
    </row>
    <row r="313" spans="1:11">
      <c r="A313" s="211" t="s">
        <v>63</v>
      </c>
      <c r="B313" s="211">
        <v>11.88</v>
      </c>
      <c r="C313" s="210">
        <v>2</v>
      </c>
      <c r="D313" s="194"/>
      <c r="E313" s="194"/>
      <c r="F313" s="194"/>
      <c r="G313" s="194"/>
      <c r="H313" s="211"/>
      <c r="I313" s="211" t="s">
        <v>12</v>
      </c>
      <c r="J313" s="194"/>
      <c r="K313" s="211">
        <v>2.6383999999999999</v>
      </c>
    </row>
    <row r="314" spans="1:11">
      <c r="A314" s="211" t="s">
        <v>63</v>
      </c>
      <c r="B314" s="211">
        <v>380.28</v>
      </c>
      <c r="C314" s="210">
        <v>2</v>
      </c>
      <c r="D314" s="194"/>
      <c r="E314" s="194"/>
      <c r="F314" s="194"/>
      <c r="G314" s="194"/>
      <c r="H314" s="211"/>
      <c r="I314" s="211" t="s">
        <v>12</v>
      </c>
      <c r="J314" s="194"/>
      <c r="K314" s="211">
        <v>3.0545</v>
      </c>
    </row>
    <row r="315" spans="1:11">
      <c r="A315" s="50" t="s">
        <v>28</v>
      </c>
      <c r="B315" s="66">
        <v>1.5978264103314399</v>
      </c>
      <c r="C315" s="67">
        <v>0.15</v>
      </c>
      <c r="D315" s="68"/>
      <c r="E315" s="68"/>
      <c r="F315" s="68"/>
      <c r="G315" s="68"/>
      <c r="H315" s="52">
        <v>25</v>
      </c>
      <c r="I315" s="53" t="s">
        <v>12</v>
      </c>
      <c r="J315" s="68"/>
      <c r="K315" s="52">
        <v>1.8553844187875601</v>
      </c>
    </row>
    <row r="316" spans="1:11">
      <c r="A316" s="50" t="s">
        <v>28</v>
      </c>
      <c r="B316" s="66">
        <v>2.3967388898753801</v>
      </c>
      <c r="C316" s="67">
        <v>0.15</v>
      </c>
      <c r="D316" s="68"/>
      <c r="E316" s="68"/>
      <c r="F316" s="68"/>
      <c r="G316" s="68"/>
      <c r="H316" s="52">
        <v>25</v>
      </c>
      <c r="I316" s="53" t="s">
        <v>12</v>
      </c>
      <c r="J316" s="68"/>
      <c r="K316" s="52">
        <v>1.8553844187875601</v>
      </c>
    </row>
    <row r="317" spans="1:11">
      <c r="A317" s="50" t="s">
        <v>28</v>
      </c>
      <c r="B317" s="66">
        <v>3.2336971704586102</v>
      </c>
      <c r="C317" s="67">
        <v>0.15</v>
      </c>
      <c r="D317" s="68"/>
      <c r="E317" s="68"/>
      <c r="F317" s="68"/>
      <c r="G317" s="68"/>
      <c r="H317" s="52">
        <v>25</v>
      </c>
      <c r="I317" s="53" t="s">
        <v>12</v>
      </c>
      <c r="J317" s="68"/>
      <c r="K317" s="52">
        <v>1.8493011246914199</v>
      </c>
    </row>
    <row r="318" spans="1:11">
      <c r="A318" s="50" t="s">
        <v>28</v>
      </c>
      <c r="B318" s="66">
        <v>2.36065733698682</v>
      </c>
      <c r="C318" s="67">
        <v>0.2</v>
      </c>
      <c r="D318" s="68"/>
      <c r="E318" s="68"/>
      <c r="F318" s="68"/>
      <c r="G318" s="68"/>
      <c r="H318" s="52">
        <v>25</v>
      </c>
      <c r="I318" s="53" t="s">
        <v>12</v>
      </c>
      <c r="J318" s="68"/>
      <c r="K318" s="52">
        <v>1.9828518837609199</v>
      </c>
    </row>
    <row r="319" spans="1:11">
      <c r="A319" s="50" t="s">
        <v>28</v>
      </c>
      <c r="B319" s="66">
        <v>3.0983622857750301</v>
      </c>
      <c r="C319" s="67">
        <v>0.2</v>
      </c>
      <c r="D319" s="68"/>
      <c r="E319" s="68"/>
      <c r="F319" s="68"/>
      <c r="G319" s="68"/>
      <c r="H319" s="52">
        <v>25</v>
      </c>
      <c r="I319" s="53" t="s">
        <v>12</v>
      </c>
      <c r="J319" s="68"/>
      <c r="K319" s="52">
        <v>1.9907832559131799</v>
      </c>
    </row>
    <row r="320" spans="1:11">
      <c r="A320" s="50" t="s">
        <v>28</v>
      </c>
      <c r="B320" s="66">
        <v>3.9344263935371102</v>
      </c>
      <c r="C320" s="67">
        <v>0.2</v>
      </c>
      <c r="D320" s="68"/>
      <c r="E320" s="68"/>
      <c r="F320" s="68"/>
      <c r="G320" s="68"/>
      <c r="H320" s="52">
        <v>25</v>
      </c>
      <c r="I320" s="53" t="s">
        <v>12</v>
      </c>
      <c r="J320" s="68"/>
      <c r="K320" s="52">
        <v>1.9986522277585701</v>
      </c>
    </row>
    <row r="321" spans="1:11">
      <c r="A321" s="50" t="s">
        <v>28</v>
      </c>
      <c r="B321" s="66">
        <v>4.5737721833514504</v>
      </c>
      <c r="C321" s="67">
        <v>0.2</v>
      </c>
      <c r="D321" s="68"/>
      <c r="E321" s="68"/>
      <c r="F321" s="68"/>
      <c r="G321" s="68"/>
      <c r="H321" s="52">
        <v>25</v>
      </c>
      <c r="I321" s="53" t="s">
        <v>12</v>
      </c>
      <c r="J321" s="68"/>
      <c r="K321" s="52">
        <v>1.9907832559131799</v>
      </c>
    </row>
    <row r="322" spans="1:11">
      <c r="A322" s="50" t="s">
        <v>28</v>
      </c>
      <c r="B322" s="66">
        <v>4.9672125714083197</v>
      </c>
      <c r="C322" s="67">
        <v>0.2</v>
      </c>
      <c r="D322" s="68"/>
      <c r="E322" s="68"/>
      <c r="F322" s="68"/>
      <c r="G322" s="68"/>
      <c r="H322" s="52">
        <v>25</v>
      </c>
      <c r="I322" s="53" t="s">
        <v>12</v>
      </c>
      <c r="J322" s="68"/>
      <c r="K322" s="52">
        <v>2.0218943945896801</v>
      </c>
    </row>
    <row r="323" spans="1:11">
      <c r="A323" s="50" t="s">
        <v>28</v>
      </c>
      <c r="B323" s="66">
        <v>1.5978278615749999</v>
      </c>
      <c r="C323" s="67">
        <v>0.25</v>
      </c>
      <c r="D323" s="68"/>
      <c r="E323" s="68"/>
      <c r="F323" s="68"/>
      <c r="G323" s="68"/>
      <c r="H323" s="52">
        <v>25</v>
      </c>
      <c r="I323" s="53" t="s">
        <v>12</v>
      </c>
      <c r="J323" s="68"/>
      <c r="K323" s="66">
        <v>2.366819738917</v>
      </c>
    </row>
    <row r="324" spans="1:11">
      <c r="A324" s="50" t="s">
        <v>28</v>
      </c>
      <c r="B324" s="66">
        <v>3.2717386177669998</v>
      </c>
      <c r="C324" s="67">
        <v>0.25</v>
      </c>
      <c r="D324" s="68"/>
      <c r="E324" s="68"/>
      <c r="F324" s="68"/>
      <c r="G324" s="68"/>
      <c r="H324" s="52">
        <v>25</v>
      </c>
      <c r="I324" s="53" t="s">
        <v>12</v>
      </c>
      <c r="J324" s="68"/>
      <c r="K324" s="66">
        <v>2.366819738917</v>
      </c>
    </row>
    <row r="325" spans="1:11">
      <c r="A325" s="50" t="s">
        <v>28</v>
      </c>
      <c r="B325" s="66">
        <v>4.0326081987590001</v>
      </c>
      <c r="C325" s="67">
        <v>0.25</v>
      </c>
      <c r="D325" s="68"/>
      <c r="E325" s="68"/>
      <c r="F325" s="68"/>
      <c r="G325" s="68"/>
      <c r="H325" s="52">
        <v>25</v>
      </c>
      <c r="I325" s="53" t="s">
        <v>12</v>
      </c>
      <c r="J325" s="68"/>
      <c r="K325" s="66">
        <v>2.366819738917</v>
      </c>
    </row>
    <row r="326" spans="1:11">
      <c r="A326" s="50" t="s">
        <v>28</v>
      </c>
      <c r="B326" s="66">
        <v>6.010873753317</v>
      </c>
      <c r="C326" s="67">
        <v>0.25</v>
      </c>
      <c r="D326" s="68"/>
      <c r="E326" s="68"/>
      <c r="F326" s="68"/>
      <c r="G326" s="68"/>
      <c r="H326" s="52">
        <v>25</v>
      </c>
      <c r="I326" s="53" t="s">
        <v>12</v>
      </c>
      <c r="J326" s="68"/>
      <c r="K326" s="66">
        <v>2.378036879128</v>
      </c>
    </row>
    <row r="327" spans="1:11">
      <c r="A327" s="50" t="s">
        <v>28</v>
      </c>
      <c r="B327" s="66">
        <v>7.0000007256219998</v>
      </c>
      <c r="C327" s="67">
        <v>0.25</v>
      </c>
      <c r="D327" s="68"/>
      <c r="E327" s="68"/>
      <c r="F327" s="68"/>
      <c r="G327" s="68"/>
      <c r="H327" s="52">
        <v>25</v>
      </c>
      <c r="I327" s="53" t="s">
        <v>12</v>
      </c>
      <c r="J327" s="68"/>
      <c r="K327" s="66">
        <v>2.378036879128</v>
      </c>
    </row>
    <row r="328" spans="1:11">
      <c r="A328" s="50" t="s">
        <v>28</v>
      </c>
      <c r="B328" s="66">
        <v>9.1304378743880008</v>
      </c>
      <c r="C328" s="67">
        <v>0.25</v>
      </c>
      <c r="D328" s="68"/>
      <c r="E328" s="68"/>
      <c r="F328" s="68"/>
      <c r="G328" s="68"/>
      <c r="H328" s="52">
        <v>25</v>
      </c>
      <c r="I328" s="53" t="s">
        <v>12</v>
      </c>
      <c r="J328" s="68"/>
      <c r="K328" s="66">
        <v>2.378036879128</v>
      </c>
    </row>
    <row r="329" spans="1:11">
      <c r="A329" s="50" t="s">
        <v>28</v>
      </c>
      <c r="B329" s="66">
        <v>11.032611826867999</v>
      </c>
      <c r="C329" s="67">
        <v>0.25</v>
      </c>
      <c r="D329" s="68"/>
      <c r="E329" s="68"/>
      <c r="F329" s="68"/>
      <c r="G329" s="68"/>
      <c r="H329" s="52">
        <v>25</v>
      </c>
      <c r="I329" s="53" t="s">
        <v>12</v>
      </c>
      <c r="J329" s="68"/>
      <c r="K329" s="66">
        <v>2.4110696917280001</v>
      </c>
    </row>
    <row r="330" spans="1:11">
      <c r="A330" s="50" t="s">
        <v>28</v>
      </c>
      <c r="B330" s="66">
        <v>3.4285772414434401</v>
      </c>
      <c r="C330" s="67">
        <v>0.4</v>
      </c>
      <c r="D330" s="68"/>
      <c r="E330" s="68"/>
      <c r="F330" s="68"/>
      <c r="G330" s="68"/>
      <c r="H330" s="52">
        <v>25</v>
      </c>
      <c r="I330" s="53" t="s">
        <v>12</v>
      </c>
      <c r="J330" s="68"/>
      <c r="K330" s="66">
        <v>2.9136192805589798</v>
      </c>
    </row>
    <row r="331" spans="1:11">
      <c r="A331" s="50" t="s">
        <v>28</v>
      </c>
      <c r="B331" s="66">
        <v>7.2381010509672397</v>
      </c>
      <c r="C331" s="67">
        <v>0.4</v>
      </c>
      <c r="D331" s="68"/>
      <c r="E331" s="68"/>
      <c r="F331" s="68"/>
      <c r="G331" s="68"/>
      <c r="H331" s="52">
        <v>25</v>
      </c>
      <c r="I331" s="53" t="s">
        <v>12</v>
      </c>
      <c r="J331" s="68"/>
      <c r="K331" s="66">
        <v>2.9136192805589798</v>
      </c>
    </row>
    <row r="332" spans="1:11">
      <c r="A332" s="50" t="s">
        <v>28</v>
      </c>
      <c r="B332" s="66">
        <v>11.047624860491</v>
      </c>
      <c r="C332" s="67">
        <v>0.4</v>
      </c>
      <c r="D332" s="68"/>
      <c r="E332" s="68"/>
      <c r="F332" s="68"/>
      <c r="G332" s="68"/>
      <c r="H332" s="52">
        <v>25</v>
      </c>
      <c r="I332" s="53" t="s">
        <v>12</v>
      </c>
      <c r="J332" s="68"/>
      <c r="K332" s="66">
        <v>2.92586134555726</v>
      </c>
    </row>
    <row r="333" spans="1:11">
      <c r="A333" s="50" t="s">
        <v>28</v>
      </c>
      <c r="B333" s="66">
        <v>13.714279901413599</v>
      </c>
      <c r="C333" s="67">
        <v>0.4</v>
      </c>
      <c r="D333" s="68"/>
      <c r="E333" s="68"/>
      <c r="F333" s="68"/>
      <c r="G333" s="68"/>
      <c r="H333" s="52">
        <v>25</v>
      </c>
      <c r="I333" s="53" t="s">
        <v>12</v>
      </c>
      <c r="J333" s="68"/>
      <c r="K333" s="66">
        <v>2.96198713614154</v>
      </c>
    </row>
    <row r="334" spans="1:11">
      <c r="A334" s="50" t="s">
        <v>28</v>
      </c>
      <c r="B334" s="66">
        <v>19.809541248139801</v>
      </c>
      <c r="C334" s="67">
        <v>0.4</v>
      </c>
      <c r="D334" s="68"/>
      <c r="E334" s="68"/>
      <c r="F334" s="68"/>
      <c r="G334" s="68"/>
      <c r="H334" s="52">
        <v>25</v>
      </c>
      <c r="I334" s="53" t="s">
        <v>12</v>
      </c>
      <c r="J334" s="68"/>
      <c r="K334" s="66">
        <v>2.9855892779782001</v>
      </c>
    </row>
    <row r="335" spans="1:11">
      <c r="A335" s="50" t="s">
        <v>28</v>
      </c>
      <c r="B335" s="66">
        <v>26.6666666666666</v>
      </c>
      <c r="C335" s="67">
        <v>0.4</v>
      </c>
      <c r="D335" s="68"/>
      <c r="E335" s="68"/>
      <c r="F335" s="68"/>
      <c r="G335" s="68"/>
      <c r="H335" s="52">
        <v>25</v>
      </c>
      <c r="I335" s="53" t="s">
        <v>12</v>
      </c>
      <c r="J335" s="68"/>
      <c r="K335" s="66">
        <v>3.0764613406182102</v>
      </c>
    </row>
    <row r="336" spans="1:11">
      <c r="A336" s="69" t="s">
        <v>29</v>
      </c>
      <c r="B336" s="69"/>
      <c r="C336" s="70">
        <v>1</v>
      </c>
      <c r="D336" s="71"/>
      <c r="E336" s="71"/>
      <c r="F336" s="71"/>
      <c r="G336" s="72">
        <v>0</v>
      </c>
      <c r="H336" s="52">
        <v>25</v>
      </c>
      <c r="I336" s="69" t="s">
        <v>12</v>
      </c>
      <c r="J336" s="69"/>
      <c r="K336" s="73">
        <v>3.17</v>
      </c>
    </row>
    <row r="337" spans="1:11">
      <c r="A337" s="69" t="s">
        <v>29</v>
      </c>
      <c r="B337" s="69"/>
      <c r="C337" s="70">
        <v>1</v>
      </c>
      <c r="D337" s="71"/>
      <c r="E337" s="71"/>
      <c r="F337" s="71"/>
      <c r="G337" s="72">
        <v>0</v>
      </c>
      <c r="H337" s="52">
        <v>25</v>
      </c>
      <c r="I337" s="69" t="s">
        <v>12</v>
      </c>
      <c r="J337" s="69"/>
      <c r="K337" s="73">
        <v>3.24</v>
      </c>
    </row>
    <row r="338" spans="1:11">
      <c r="A338" s="69" t="s">
        <v>29</v>
      </c>
      <c r="B338" s="69"/>
      <c r="C338" s="70">
        <v>1</v>
      </c>
      <c r="D338" s="71"/>
      <c r="E338" s="71"/>
      <c r="F338" s="71"/>
      <c r="G338" s="72">
        <v>0</v>
      </c>
      <c r="H338" s="52">
        <v>25</v>
      </c>
      <c r="I338" s="69" t="s">
        <v>12</v>
      </c>
      <c r="J338" s="69"/>
      <c r="K338" s="73">
        <v>3.26</v>
      </c>
    </row>
    <row r="339" spans="1:11">
      <c r="A339" s="69" t="s">
        <v>29</v>
      </c>
      <c r="B339" s="69"/>
      <c r="C339" s="70">
        <v>1</v>
      </c>
      <c r="D339" s="71"/>
      <c r="E339" s="71"/>
      <c r="F339" s="71"/>
      <c r="G339" s="72">
        <v>0</v>
      </c>
      <c r="H339" s="52">
        <v>25</v>
      </c>
      <c r="I339" s="69" t="s">
        <v>12</v>
      </c>
      <c r="J339" s="69"/>
      <c r="K339" s="73">
        <v>3.27</v>
      </c>
    </row>
    <row r="340" spans="1:11">
      <c r="A340" s="69" t="s">
        <v>29</v>
      </c>
      <c r="B340" s="69"/>
      <c r="C340" s="70">
        <v>1</v>
      </c>
      <c r="D340" s="71"/>
      <c r="E340" s="71"/>
      <c r="F340" s="71"/>
      <c r="G340" s="72">
        <v>0</v>
      </c>
      <c r="H340" s="52">
        <v>25</v>
      </c>
      <c r="I340" s="69" t="s">
        <v>12</v>
      </c>
      <c r="J340" s="69"/>
      <c r="K340" s="73">
        <v>3.29</v>
      </c>
    </row>
    <row r="341" spans="1:11">
      <c r="A341" s="69" t="s">
        <v>29</v>
      </c>
      <c r="B341" s="69"/>
      <c r="C341" s="70">
        <v>1</v>
      </c>
      <c r="D341" s="71"/>
      <c r="E341" s="71"/>
      <c r="F341" s="71"/>
      <c r="G341" s="72">
        <v>0</v>
      </c>
      <c r="H341" s="52">
        <v>25</v>
      </c>
      <c r="I341" s="69" t="s">
        <v>12</v>
      </c>
      <c r="J341" s="69"/>
      <c r="K341" s="73">
        <v>3.39</v>
      </c>
    </row>
    <row r="342" spans="1:11">
      <c r="A342" s="69" t="s">
        <v>29</v>
      </c>
      <c r="B342" s="69"/>
      <c r="C342" s="70">
        <v>2</v>
      </c>
      <c r="D342" s="71"/>
      <c r="E342" s="71"/>
      <c r="F342" s="71"/>
      <c r="G342" s="72">
        <v>0</v>
      </c>
      <c r="H342" s="52">
        <v>25</v>
      </c>
      <c r="I342" s="69" t="s">
        <v>12</v>
      </c>
      <c r="J342" s="69"/>
      <c r="K342" s="73">
        <v>3.96</v>
      </c>
    </row>
    <row r="343" spans="1:11">
      <c r="A343" s="69" t="s">
        <v>29</v>
      </c>
      <c r="B343" s="69"/>
      <c r="C343" s="70">
        <v>2</v>
      </c>
      <c r="D343" s="71"/>
      <c r="E343" s="71"/>
      <c r="F343" s="71"/>
      <c r="G343" s="72">
        <v>0</v>
      </c>
      <c r="H343" s="52">
        <v>25</v>
      </c>
      <c r="I343" s="69" t="s">
        <v>12</v>
      </c>
      <c r="J343" s="69"/>
      <c r="K343" s="73">
        <v>4.2</v>
      </c>
    </row>
    <row r="344" spans="1:11">
      <c r="A344" s="69" t="s">
        <v>29</v>
      </c>
      <c r="B344" s="69"/>
      <c r="C344" s="70">
        <v>2</v>
      </c>
      <c r="D344" s="71"/>
      <c r="E344" s="71"/>
      <c r="F344" s="71"/>
      <c r="G344" s="72">
        <v>0</v>
      </c>
      <c r="H344" s="52">
        <v>25</v>
      </c>
      <c r="I344" s="69" t="s">
        <v>12</v>
      </c>
      <c r="J344" s="69"/>
      <c r="K344" s="73">
        <v>4.26</v>
      </c>
    </row>
    <row r="345" spans="1:11">
      <c r="A345" s="69" t="s">
        <v>29</v>
      </c>
      <c r="B345" s="69"/>
      <c r="C345" s="70">
        <v>2</v>
      </c>
      <c r="D345" s="71"/>
      <c r="E345" s="71"/>
      <c r="F345" s="71"/>
      <c r="G345" s="72">
        <v>0</v>
      </c>
      <c r="H345" s="52">
        <v>25</v>
      </c>
      <c r="I345" s="69" t="s">
        <v>12</v>
      </c>
      <c r="J345" s="69"/>
      <c r="K345" s="73">
        <v>4.5</v>
      </c>
    </row>
    <row r="346" spans="1:11">
      <c r="A346" s="69" t="s">
        <v>29</v>
      </c>
      <c r="B346" s="69"/>
      <c r="C346" s="70">
        <v>2</v>
      </c>
      <c r="D346" s="71"/>
      <c r="E346" s="71"/>
      <c r="F346" s="71"/>
      <c r="G346" s="72">
        <v>0</v>
      </c>
      <c r="H346" s="52">
        <v>25</v>
      </c>
      <c r="I346" s="69" t="s">
        <v>12</v>
      </c>
      <c r="J346" s="69"/>
      <c r="K346" s="73">
        <v>4.82</v>
      </c>
    </row>
    <row r="347" spans="1:11">
      <c r="A347" s="69" t="s">
        <v>29</v>
      </c>
      <c r="B347" s="69"/>
      <c r="C347" s="70">
        <v>2</v>
      </c>
      <c r="D347" s="71"/>
      <c r="E347" s="71"/>
      <c r="F347" s="71"/>
      <c r="G347" s="72">
        <v>0</v>
      </c>
      <c r="H347" s="52">
        <v>25</v>
      </c>
      <c r="I347" s="69" t="s">
        <v>12</v>
      </c>
      <c r="J347" s="69"/>
      <c r="K347" s="73">
        <v>5.12</v>
      </c>
    </row>
    <row r="348" spans="1:11">
      <c r="A348" s="69" t="s">
        <v>29</v>
      </c>
      <c r="B348" s="69"/>
      <c r="C348" s="70">
        <v>3</v>
      </c>
      <c r="D348" s="71"/>
      <c r="E348" s="71"/>
      <c r="F348" s="71"/>
      <c r="G348" s="72">
        <v>0</v>
      </c>
      <c r="H348" s="52">
        <v>25</v>
      </c>
      <c r="I348" s="69" t="s">
        <v>12</v>
      </c>
      <c r="J348" s="69"/>
      <c r="K348" s="73">
        <v>4.0599999999999996</v>
      </c>
    </row>
    <row r="349" spans="1:11">
      <c r="A349" s="69" t="s">
        <v>29</v>
      </c>
      <c r="B349" s="69"/>
      <c r="C349" s="70">
        <v>3</v>
      </c>
      <c r="D349" s="71"/>
      <c r="E349" s="71"/>
      <c r="F349" s="71"/>
      <c r="G349" s="72">
        <v>0</v>
      </c>
      <c r="H349" s="52">
        <v>25</v>
      </c>
      <c r="I349" s="69" t="s">
        <v>12</v>
      </c>
      <c r="J349" s="69"/>
      <c r="K349" s="73">
        <v>4.38</v>
      </c>
    </row>
    <row r="350" spans="1:11">
      <c r="A350" s="69" t="s">
        <v>29</v>
      </c>
      <c r="B350" s="69"/>
      <c r="C350" s="70">
        <v>3</v>
      </c>
      <c r="D350" s="71"/>
      <c r="E350" s="71"/>
      <c r="F350" s="71"/>
      <c r="G350" s="72">
        <v>0</v>
      </c>
      <c r="H350" s="52">
        <v>25</v>
      </c>
      <c r="I350" s="69" t="s">
        <v>12</v>
      </c>
      <c r="J350" s="69"/>
      <c r="K350" s="73">
        <v>4.45</v>
      </c>
    </row>
    <row r="351" spans="1:11">
      <c r="A351" s="69" t="s">
        <v>29</v>
      </c>
      <c r="B351" s="69"/>
      <c r="C351" s="70">
        <v>3</v>
      </c>
      <c r="D351" s="71"/>
      <c r="E351" s="71"/>
      <c r="F351" s="71"/>
      <c r="G351" s="72">
        <v>0</v>
      </c>
      <c r="H351" s="52">
        <v>25</v>
      </c>
      <c r="I351" s="69" t="s">
        <v>12</v>
      </c>
      <c r="J351" s="69"/>
      <c r="K351" s="74">
        <v>5.03</v>
      </c>
    </row>
    <row r="352" spans="1:11">
      <c r="A352" s="69" t="s">
        <v>29</v>
      </c>
      <c r="B352" s="69"/>
      <c r="C352" s="70">
        <v>3</v>
      </c>
      <c r="D352" s="71"/>
      <c r="E352" s="71"/>
      <c r="F352" s="71"/>
      <c r="G352" s="72">
        <v>0</v>
      </c>
      <c r="H352" s="52">
        <v>25</v>
      </c>
      <c r="I352" s="69" t="s">
        <v>12</v>
      </c>
      <c r="J352" s="69"/>
      <c r="K352" s="73">
        <v>5.32</v>
      </c>
    </row>
    <row r="353" spans="1:11">
      <c r="A353" s="69" t="s">
        <v>29</v>
      </c>
      <c r="B353" s="69"/>
      <c r="C353" s="70">
        <v>3</v>
      </c>
      <c r="D353" s="71"/>
      <c r="E353" s="71"/>
      <c r="F353" s="71"/>
      <c r="G353" s="72">
        <v>0</v>
      </c>
      <c r="H353" s="52">
        <v>25</v>
      </c>
      <c r="I353" s="69" t="s">
        <v>12</v>
      </c>
      <c r="J353" s="69"/>
      <c r="K353" s="73">
        <v>5.42</v>
      </c>
    </row>
    <row r="354" spans="1:11">
      <c r="A354" s="69" t="s">
        <v>29</v>
      </c>
      <c r="B354" s="69"/>
      <c r="C354" s="70">
        <v>4</v>
      </c>
      <c r="D354" s="71"/>
      <c r="E354" s="71"/>
      <c r="F354" s="71"/>
      <c r="G354" s="72">
        <v>0</v>
      </c>
      <c r="H354" s="52">
        <v>25</v>
      </c>
      <c r="I354" s="69" t="s">
        <v>12</v>
      </c>
      <c r="J354" s="69"/>
      <c r="K354" s="73">
        <v>5</v>
      </c>
    </row>
    <row r="355" spans="1:11">
      <c r="A355" s="69" t="s">
        <v>29</v>
      </c>
      <c r="B355" s="69"/>
      <c r="C355" s="70">
        <v>4</v>
      </c>
      <c r="D355" s="71"/>
      <c r="E355" s="71"/>
      <c r="F355" s="71"/>
      <c r="G355" s="72">
        <v>0</v>
      </c>
      <c r="H355" s="52">
        <v>25</v>
      </c>
      <c r="I355" s="69" t="s">
        <v>12</v>
      </c>
      <c r="J355" s="69"/>
      <c r="K355" s="73">
        <v>5.0940000000000003</v>
      </c>
    </row>
    <row r="356" spans="1:11">
      <c r="A356" s="69" t="s">
        <v>29</v>
      </c>
      <c r="B356" s="69"/>
      <c r="C356" s="70">
        <v>4</v>
      </c>
      <c r="D356" s="71"/>
      <c r="E356" s="71"/>
      <c r="F356" s="71"/>
      <c r="G356" s="72">
        <v>0</v>
      </c>
      <c r="H356" s="52">
        <v>25</v>
      </c>
      <c r="I356" s="69" t="s">
        <v>12</v>
      </c>
      <c r="J356" s="69"/>
      <c r="K356" s="73">
        <v>5.67</v>
      </c>
    </row>
    <row r="357" spans="1:11">
      <c r="A357" s="69" t="s">
        <v>29</v>
      </c>
      <c r="B357" s="69"/>
      <c r="C357" s="70">
        <v>4</v>
      </c>
      <c r="D357" s="71"/>
      <c r="E357" s="71"/>
      <c r="F357" s="71"/>
      <c r="G357" s="72">
        <v>0</v>
      </c>
      <c r="H357" s="52">
        <v>25</v>
      </c>
      <c r="I357" s="69" t="s">
        <v>12</v>
      </c>
      <c r="J357" s="69"/>
      <c r="K357" s="73">
        <v>5.82</v>
      </c>
    </row>
    <row r="358" spans="1:11">
      <c r="A358" s="69" t="s">
        <v>29</v>
      </c>
      <c r="B358" s="69"/>
      <c r="C358" s="70">
        <v>4</v>
      </c>
      <c r="D358" s="71"/>
      <c r="E358" s="71"/>
      <c r="F358" s="71"/>
      <c r="G358" s="72">
        <v>0</v>
      </c>
      <c r="H358" s="52">
        <v>25</v>
      </c>
      <c r="I358" s="69" t="s">
        <v>12</v>
      </c>
      <c r="J358" s="69"/>
      <c r="K358" s="73">
        <v>5.93</v>
      </c>
    </row>
    <row r="359" spans="1:11">
      <c r="A359" s="69" t="s">
        <v>29</v>
      </c>
      <c r="B359" s="69"/>
      <c r="C359" s="70">
        <v>4</v>
      </c>
      <c r="D359" s="69"/>
      <c r="E359" s="69"/>
      <c r="F359" s="69"/>
      <c r="G359" s="72">
        <v>0</v>
      </c>
      <c r="H359" s="52">
        <v>25</v>
      </c>
      <c r="I359" s="69" t="s">
        <v>12</v>
      </c>
      <c r="J359" s="69"/>
      <c r="K359" s="73">
        <v>6.08</v>
      </c>
    </row>
    <row r="360" spans="1:11">
      <c r="A360" s="215" t="s">
        <v>64</v>
      </c>
      <c r="B360" s="215">
        <v>3.93</v>
      </c>
      <c r="C360" s="219">
        <v>0.4</v>
      </c>
      <c r="D360" s="215">
        <v>1.0800000000000001E-2</v>
      </c>
      <c r="E360" s="220">
        <v>6.4700000000000001E-5</v>
      </c>
      <c r="F360" s="215">
        <v>1616.32</v>
      </c>
      <c r="G360" s="215">
        <v>0</v>
      </c>
      <c r="H360" s="215">
        <v>20</v>
      </c>
      <c r="I360" s="215" t="s">
        <v>12</v>
      </c>
      <c r="J360" s="215">
        <v>1.2050000000000001</v>
      </c>
      <c r="K360" s="215">
        <v>2.14</v>
      </c>
    </row>
    <row r="361" spans="1:11">
      <c r="A361" s="215" t="s">
        <v>64</v>
      </c>
      <c r="B361" s="215">
        <v>4.3899999999999997</v>
      </c>
      <c r="C361" s="219">
        <v>0.4</v>
      </c>
      <c r="D361" s="215">
        <v>1.0800000000000001E-2</v>
      </c>
      <c r="E361" s="220">
        <v>6.4700000000000001E-5</v>
      </c>
      <c r="F361" s="215">
        <v>1616.32</v>
      </c>
      <c r="G361" s="215">
        <v>0</v>
      </c>
      <c r="H361" s="215">
        <v>20</v>
      </c>
      <c r="I361" s="215" t="s">
        <v>12</v>
      </c>
      <c r="J361" s="215">
        <v>1.2050000000000001</v>
      </c>
      <c r="K361" s="215">
        <v>2.1440000000000001</v>
      </c>
    </row>
    <row r="362" spans="1:11">
      <c r="A362" s="215" t="s">
        <v>64</v>
      </c>
      <c r="B362" s="215">
        <v>4.91</v>
      </c>
      <c r="C362" s="219">
        <v>0.4</v>
      </c>
      <c r="D362" s="215">
        <v>1.0800000000000001E-2</v>
      </c>
      <c r="E362" s="220">
        <v>6.4700000000000001E-5</v>
      </c>
      <c r="F362" s="215">
        <v>1616.32</v>
      </c>
      <c r="G362" s="215">
        <v>0</v>
      </c>
      <c r="H362" s="215">
        <v>20</v>
      </c>
      <c r="I362" s="215" t="s">
        <v>12</v>
      </c>
      <c r="J362" s="215">
        <v>1.2050000000000001</v>
      </c>
      <c r="K362" s="215">
        <v>2.149</v>
      </c>
    </row>
    <row r="363" spans="1:11">
      <c r="A363" s="215" t="s">
        <v>64</v>
      </c>
      <c r="B363" s="215">
        <v>5.36</v>
      </c>
      <c r="C363" s="219">
        <v>0.4</v>
      </c>
      <c r="D363" s="215">
        <v>1.0800000000000001E-2</v>
      </c>
      <c r="E363" s="220">
        <v>6.4700000000000001E-5</v>
      </c>
      <c r="F363" s="215">
        <v>1616.32</v>
      </c>
      <c r="G363" s="215">
        <v>0</v>
      </c>
      <c r="H363" s="215">
        <v>20</v>
      </c>
      <c r="I363" s="215" t="s">
        <v>12</v>
      </c>
      <c r="J363" s="215">
        <v>1.2050000000000001</v>
      </c>
      <c r="K363" s="215">
        <v>2.1640000000000001</v>
      </c>
    </row>
    <row r="364" spans="1:11">
      <c r="A364" s="215" t="s">
        <v>64</v>
      </c>
      <c r="B364" s="215">
        <v>6.04</v>
      </c>
      <c r="C364" s="219">
        <v>0.4</v>
      </c>
      <c r="D364" s="215">
        <v>1.0800000000000001E-2</v>
      </c>
      <c r="E364" s="220">
        <v>6.4700000000000001E-5</v>
      </c>
      <c r="F364" s="215">
        <v>1616.32</v>
      </c>
      <c r="G364" s="215">
        <v>0</v>
      </c>
      <c r="H364" s="215">
        <v>20</v>
      </c>
      <c r="I364" s="215" t="s">
        <v>12</v>
      </c>
      <c r="J364" s="215">
        <v>1.2050000000000001</v>
      </c>
      <c r="K364" s="215">
        <v>2.173</v>
      </c>
    </row>
    <row r="365" spans="1:11">
      <c r="A365" s="215" t="s">
        <v>64</v>
      </c>
      <c r="B365" s="215">
        <v>7.04</v>
      </c>
      <c r="C365" s="219">
        <v>0.4</v>
      </c>
      <c r="D365" s="215">
        <v>1.0800000000000001E-2</v>
      </c>
      <c r="E365" s="220">
        <v>6.4700000000000001E-5</v>
      </c>
      <c r="F365" s="215">
        <v>1616.32</v>
      </c>
      <c r="G365" s="215">
        <v>0</v>
      </c>
      <c r="H365" s="215">
        <v>20</v>
      </c>
      <c r="I365" s="215" t="s">
        <v>12</v>
      </c>
      <c r="J365" s="215">
        <v>1.2050000000000001</v>
      </c>
      <c r="K365" s="215">
        <v>2.1930000000000001</v>
      </c>
    </row>
    <row r="366" spans="1:11">
      <c r="A366" s="215" t="s">
        <v>64</v>
      </c>
      <c r="B366" s="215">
        <v>7.96</v>
      </c>
      <c r="C366" s="219">
        <v>0.4</v>
      </c>
      <c r="D366" s="215">
        <v>1.0800000000000001E-2</v>
      </c>
      <c r="E366" s="220">
        <v>6.4700000000000001E-5</v>
      </c>
      <c r="F366" s="215">
        <v>1616.32</v>
      </c>
      <c r="G366" s="215">
        <v>0</v>
      </c>
      <c r="H366" s="215">
        <v>20</v>
      </c>
      <c r="I366" s="215" t="s">
        <v>12</v>
      </c>
      <c r="J366" s="215">
        <v>1.2050000000000001</v>
      </c>
      <c r="K366" s="215">
        <v>2.198</v>
      </c>
    </row>
    <row r="367" spans="1:11">
      <c r="A367" s="215" t="s">
        <v>64</v>
      </c>
      <c r="B367" s="215">
        <v>9.0299999999999994</v>
      </c>
      <c r="C367" s="219">
        <v>0.4</v>
      </c>
      <c r="D367" s="215">
        <v>1.0800000000000001E-2</v>
      </c>
      <c r="E367" s="220">
        <v>6.4700000000000001E-5</v>
      </c>
      <c r="F367" s="215">
        <v>1616.32</v>
      </c>
      <c r="G367" s="215">
        <v>0</v>
      </c>
      <c r="H367" s="215">
        <v>20</v>
      </c>
      <c r="I367" s="215" t="s">
        <v>12</v>
      </c>
      <c r="J367" s="215">
        <v>1.2050000000000001</v>
      </c>
      <c r="K367" s="215">
        <v>2.1880000000000002</v>
      </c>
    </row>
    <row r="368" spans="1:11">
      <c r="A368" s="215" t="s">
        <v>64</v>
      </c>
      <c r="B368" s="215">
        <v>9.9700000000000006</v>
      </c>
      <c r="C368" s="219">
        <v>0.4</v>
      </c>
      <c r="D368" s="215">
        <v>1.0800000000000001E-2</v>
      </c>
      <c r="E368" s="220">
        <v>6.4700000000000001E-5</v>
      </c>
      <c r="F368" s="215">
        <v>1616.32</v>
      </c>
      <c r="G368" s="215">
        <v>0</v>
      </c>
      <c r="H368" s="215">
        <v>20</v>
      </c>
      <c r="I368" s="215" t="s">
        <v>12</v>
      </c>
      <c r="J368" s="215">
        <v>1.2050000000000001</v>
      </c>
      <c r="K368" s="215">
        <v>2.2410000000000001</v>
      </c>
    </row>
    <row r="369" spans="1:11">
      <c r="A369" s="215" t="s">
        <v>64</v>
      </c>
      <c r="B369" s="215">
        <v>10.95</v>
      </c>
      <c r="C369" s="219">
        <v>0.4</v>
      </c>
      <c r="D369" s="215">
        <v>1.0800000000000001E-2</v>
      </c>
      <c r="E369" s="220">
        <v>6.4700000000000001E-5</v>
      </c>
      <c r="F369" s="215">
        <v>1616.32</v>
      </c>
      <c r="G369" s="215">
        <v>0</v>
      </c>
      <c r="H369" s="215">
        <v>20</v>
      </c>
      <c r="I369" s="215" t="s">
        <v>12</v>
      </c>
      <c r="J369" s="215">
        <v>1.2050000000000001</v>
      </c>
      <c r="K369" s="215">
        <v>2.246</v>
      </c>
    </row>
    <row r="370" spans="1:11">
      <c r="A370" s="215" t="s">
        <v>64</v>
      </c>
      <c r="B370" s="215">
        <v>12.05</v>
      </c>
      <c r="C370" s="219">
        <v>0.4</v>
      </c>
      <c r="D370" s="215">
        <v>1.0800000000000001E-2</v>
      </c>
      <c r="E370" s="220">
        <v>6.4700000000000001E-5</v>
      </c>
      <c r="F370" s="215">
        <v>1616.32</v>
      </c>
      <c r="G370" s="215">
        <v>0</v>
      </c>
      <c r="H370" s="215">
        <v>20</v>
      </c>
      <c r="I370" s="215" t="s">
        <v>12</v>
      </c>
      <c r="J370" s="215">
        <v>1.2050000000000001</v>
      </c>
      <c r="K370" s="215">
        <v>2.2709999999999999</v>
      </c>
    </row>
    <row r="371" spans="1:11">
      <c r="A371" s="215" t="s">
        <v>64</v>
      </c>
      <c r="B371" s="215">
        <v>13.53</v>
      </c>
      <c r="C371" s="219">
        <v>0.4</v>
      </c>
      <c r="D371" s="215">
        <v>1.0800000000000001E-2</v>
      </c>
      <c r="E371" s="220">
        <v>6.4700000000000001E-5</v>
      </c>
      <c r="F371" s="215">
        <v>1616.32</v>
      </c>
      <c r="G371" s="215">
        <v>0</v>
      </c>
      <c r="H371" s="215">
        <v>20</v>
      </c>
      <c r="I371" s="215" t="s">
        <v>12</v>
      </c>
      <c r="J371" s="215">
        <v>1.2050000000000001</v>
      </c>
      <c r="K371" s="215">
        <v>2.2799999999999998</v>
      </c>
    </row>
    <row r="372" spans="1:11">
      <c r="A372" s="215" t="s">
        <v>64</v>
      </c>
      <c r="B372" s="215">
        <v>14.97</v>
      </c>
      <c r="C372" s="219">
        <v>0.4</v>
      </c>
      <c r="D372" s="215">
        <v>1.0800000000000001E-2</v>
      </c>
      <c r="E372" s="220">
        <v>6.4700000000000001E-5</v>
      </c>
      <c r="F372" s="215">
        <v>1616.32</v>
      </c>
      <c r="G372" s="215">
        <v>0</v>
      </c>
      <c r="H372" s="215">
        <v>20</v>
      </c>
      <c r="I372" s="215" t="s">
        <v>12</v>
      </c>
      <c r="J372" s="215">
        <v>1.2050000000000001</v>
      </c>
      <c r="K372" s="215">
        <v>2.319</v>
      </c>
    </row>
    <row r="373" spans="1:11">
      <c r="A373" s="215" t="s">
        <v>64</v>
      </c>
      <c r="B373" s="215">
        <v>18.02</v>
      </c>
      <c r="C373" s="219">
        <v>0.4</v>
      </c>
      <c r="D373" s="215">
        <v>1.0800000000000001E-2</v>
      </c>
      <c r="E373" s="220">
        <v>6.4700000000000001E-5</v>
      </c>
      <c r="F373" s="215">
        <v>1616.32</v>
      </c>
      <c r="G373" s="215">
        <v>0</v>
      </c>
      <c r="H373" s="215">
        <v>20</v>
      </c>
      <c r="I373" s="215" t="s">
        <v>12</v>
      </c>
      <c r="J373" s="215">
        <v>1.2050000000000001</v>
      </c>
      <c r="K373" s="215">
        <v>2.379</v>
      </c>
    </row>
    <row r="374" spans="1:11">
      <c r="A374" s="215" t="s">
        <v>64</v>
      </c>
      <c r="B374" s="215">
        <v>20.02</v>
      </c>
      <c r="C374" s="219">
        <v>0.4</v>
      </c>
      <c r="D374" s="215">
        <v>1.0800000000000001E-2</v>
      </c>
      <c r="E374" s="220">
        <v>6.4700000000000001E-5</v>
      </c>
      <c r="F374" s="215">
        <v>1616.32</v>
      </c>
      <c r="G374" s="215">
        <v>0</v>
      </c>
      <c r="H374" s="215">
        <v>20</v>
      </c>
      <c r="I374" s="215" t="s">
        <v>12</v>
      </c>
      <c r="J374" s="215">
        <v>1.2050000000000001</v>
      </c>
      <c r="K374" s="215">
        <v>2.3889999999999998</v>
      </c>
    </row>
    <row r="375" spans="1:11">
      <c r="A375" s="215" t="s">
        <v>64</v>
      </c>
      <c r="B375" s="215">
        <v>2.39</v>
      </c>
      <c r="C375" s="219">
        <v>0.27</v>
      </c>
      <c r="D375" s="215">
        <v>1.0800000000000001E-2</v>
      </c>
      <c r="E375" s="220">
        <v>6.4700000000000001E-5</v>
      </c>
      <c r="F375" s="215">
        <v>1616.32</v>
      </c>
      <c r="G375" s="215">
        <v>0</v>
      </c>
      <c r="H375" s="215">
        <v>20</v>
      </c>
      <c r="I375" s="215" t="s">
        <v>12</v>
      </c>
      <c r="J375" s="215">
        <v>1.2050000000000001</v>
      </c>
      <c r="K375" s="215">
        <v>1.706</v>
      </c>
    </row>
    <row r="376" spans="1:11">
      <c r="A376" s="215" t="s">
        <v>64</v>
      </c>
      <c r="B376" s="215">
        <v>3.09</v>
      </c>
      <c r="C376" s="219">
        <v>0.27</v>
      </c>
      <c r="D376" s="215">
        <v>1.0800000000000001E-2</v>
      </c>
      <c r="E376" s="220">
        <v>6.4700000000000001E-5</v>
      </c>
      <c r="F376" s="215">
        <v>1616.32</v>
      </c>
      <c r="G376" s="215">
        <v>0</v>
      </c>
      <c r="H376" s="215">
        <v>20</v>
      </c>
      <c r="I376" s="215" t="s">
        <v>12</v>
      </c>
      <c r="J376" s="215">
        <v>1.2050000000000001</v>
      </c>
      <c r="K376" s="215">
        <v>1.7110000000000001</v>
      </c>
    </row>
    <row r="377" spans="1:11">
      <c r="A377" s="215" t="s">
        <v>64</v>
      </c>
      <c r="B377" s="215">
        <v>3.9</v>
      </c>
      <c r="C377" s="219">
        <v>0.27</v>
      </c>
      <c r="D377" s="215">
        <v>1.0800000000000001E-2</v>
      </c>
      <c r="E377" s="220">
        <v>6.4700000000000001E-5</v>
      </c>
      <c r="F377" s="215">
        <v>1616.32</v>
      </c>
      <c r="G377" s="215">
        <v>0</v>
      </c>
      <c r="H377" s="215">
        <v>20</v>
      </c>
      <c r="I377" s="215" t="s">
        <v>12</v>
      </c>
      <c r="J377" s="215">
        <v>1.2050000000000001</v>
      </c>
      <c r="K377" s="215">
        <v>1.7270000000000001</v>
      </c>
    </row>
    <row r="378" spans="1:11">
      <c r="A378" s="215" t="s">
        <v>64</v>
      </c>
      <c r="B378" s="215">
        <v>4.51</v>
      </c>
      <c r="C378" s="219">
        <v>0.27</v>
      </c>
      <c r="D378" s="215">
        <v>1.0800000000000001E-2</v>
      </c>
      <c r="E378" s="220">
        <v>6.4700000000000001E-5</v>
      </c>
      <c r="F378" s="215">
        <v>1616.32</v>
      </c>
      <c r="G378" s="215">
        <v>0</v>
      </c>
      <c r="H378" s="215">
        <v>20</v>
      </c>
      <c r="I378" s="215" t="s">
        <v>12</v>
      </c>
      <c r="J378" s="215">
        <v>1.2050000000000001</v>
      </c>
      <c r="K378" s="215">
        <v>1.7310000000000001</v>
      </c>
    </row>
    <row r="379" spans="1:11">
      <c r="A379" s="215" t="s">
        <v>64</v>
      </c>
      <c r="B379" s="215">
        <v>5.0199999999999996</v>
      </c>
      <c r="C379" s="219">
        <v>0.27</v>
      </c>
      <c r="D379" s="215">
        <v>1.0800000000000001E-2</v>
      </c>
      <c r="E379" s="220">
        <v>6.4700000000000001E-5</v>
      </c>
      <c r="F379" s="215">
        <v>1616.32</v>
      </c>
      <c r="G379" s="215">
        <v>0</v>
      </c>
      <c r="H379" s="215">
        <v>20</v>
      </c>
      <c r="I379" s="215" t="s">
        <v>12</v>
      </c>
      <c r="J379" s="215">
        <v>1.2050000000000001</v>
      </c>
      <c r="K379" s="215">
        <v>1.7310000000000001</v>
      </c>
    </row>
    <row r="380" spans="1:11">
      <c r="A380" s="215" t="s">
        <v>64</v>
      </c>
      <c r="B380" s="215">
        <v>5.54</v>
      </c>
      <c r="C380" s="219">
        <v>0.27</v>
      </c>
      <c r="D380" s="215">
        <v>1.0800000000000001E-2</v>
      </c>
      <c r="E380" s="220">
        <v>6.4700000000000001E-5</v>
      </c>
      <c r="F380" s="215">
        <v>1616.32</v>
      </c>
      <c r="G380" s="215">
        <v>0</v>
      </c>
      <c r="H380" s="215">
        <v>20</v>
      </c>
      <c r="I380" s="215" t="s">
        <v>12</v>
      </c>
      <c r="J380" s="215">
        <v>1.2050000000000001</v>
      </c>
      <c r="K380" s="215">
        <v>1.7370000000000001</v>
      </c>
    </row>
    <row r="381" spans="1:11">
      <c r="A381" s="215" t="s">
        <v>64</v>
      </c>
      <c r="B381" s="215">
        <v>6.06</v>
      </c>
      <c r="C381" s="219">
        <v>0.27</v>
      </c>
      <c r="D381" s="215">
        <v>1.0800000000000001E-2</v>
      </c>
      <c r="E381" s="220">
        <v>6.4700000000000001E-5</v>
      </c>
      <c r="F381" s="215">
        <v>1616.32</v>
      </c>
      <c r="G381" s="215">
        <v>0</v>
      </c>
      <c r="H381" s="215">
        <v>20</v>
      </c>
      <c r="I381" s="215" t="s">
        <v>12</v>
      </c>
      <c r="J381" s="215">
        <v>1.2050000000000001</v>
      </c>
      <c r="K381" s="215">
        <v>1.7529999999999999</v>
      </c>
    </row>
    <row r="382" spans="1:11">
      <c r="A382" s="215" t="s">
        <v>64</v>
      </c>
      <c r="B382" s="215">
        <v>6.94</v>
      </c>
      <c r="C382" s="219">
        <v>0.27</v>
      </c>
      <c r="D382" s="215">
        <v>1.0800000000000001E-2</v>
      </c>
      <c r="E382" s="220">
        <v>6.4700000000000001E-5</v>
      </c>
      <c r="F382" s="215">
        <v>1616.32</v>
      </c>
      <c r="G382" s="215">
        <v>0</v>
      </c>
      <c r="H382" s="215">
        <v>20</v>
      </c>
      <c r="I382" s="215" t="s">
        <v>12</v>
      </c>
      <c r="J382" s="215">
        <v>1.2050000000000001</v>
      </c>
      <c r="K382" s="215">
        <v>1.788</v>
      </c>
    </row>
    <row r="383" spans="1:11">
      <c r="A383" s="215" t="s">
        <v>64</v>
      </c>
      <c r="B383" s="215">
        <v>7.91</v>
      </c>
      <c r="C383" s="219">
        <v>0.27</v>
      </c>
      <c r="D383" s="215">
        <v>1.0800000000000001E-2</v>
      </c>
      <c r="E383" s="220">
        <v>6.4700000000000001E-5</v>
      </c>
      <c r="F383" s="215">
        <v>1616.32</v>
      </c>
      <c r="G383" s="215">
        <v>0</v>
      </c>
      <c r="H383" s="215">
        <v>20</v>
      </c>
      <c r="I383" s="215" t="s">
        <v>12</v>
      </c>
      <c r="J383" s="215">
        <v>1.2050000000000001</v>
      </c>
      <c r="K383" s="215">
        <v>1.7989999999999999</v>
      </c>
    </row>
    <row r="384" spans="1:11">
      <c r="A384" s="215" t="s">
        <v>64</v>
      </c>
      <c r="B384" s="215">
        <v>9</v>
      </c>
      <c r="C384" s="219">
        <v>0.27</v>
      </c>
      <c r="D384" s="215">
        <v>1.0800000000000001E-2</v>
      </c>
      <c r="E384" s="220">
        <v>6.4700000000000001E-5</v>
      </c>
      <c r="F384" s="215">
        <v>1616.32</v>
      </c>
      <c r="G384" s="215">
        <v>0</v>
      </c>
      <c r="H384" s="215">
        <v>20</v>
      </c>
      <c r="I384" s="215" t="s">
        <v>12</v>
      </c>
      <c r="J384" s="215">
        <v>1.2050000000000001</v>
      </c>
      <c r="K384" s="215">
        <v>1.8240000000000001</v>
      </c>
    </row>
    <row r="385" spans="1:11">
      <c r="A385" s="215" t="s">
        <v>64</v>
      </c>
      <c r="B385" s="215">
        <v>9.9</v>
      </c>
      <c r="C385" s="219">
        <v>0.27</v>
      </c>
      <c r="D385" s="215">
        <v>1.0800000000000001E-2</v>
      </c>
      <c r="E385" s="220">
        <v>6.4700000000000001E-5</v>
      </c>
      <c r="F385" s="215">
        <v>1616.32</v>
      </c>
      <c r="G385" s="215">
        <v>0</v>
      </c>
      <c r="H385" s="215">
        <v>20</v>
      </c>
      <c r="I385" s="215" t="s">
        <v>12</v>
      </c>
      <c r="J385" s="215">
        <v>1.2050000000000001</v>
      </c>
      <c r="K385" s="215">
        <v>1.859</v>
      </c>
    </row>
    <row r="386" spans="1:11">
      <c r="A386" s="215" t="s">
        <v>64</v>
      </c>
      <c r="B386" s="215">
        <v>10.91</v>
      </c>
      <c r="C386" s="219">
        <v>0.27</v>
      </c>
      <c r="D386" s="215">
        <v>1.0800000000000001E-2</v>
      </c>
      <c r="E386" s="220">
        <v>6.4700000000000001E-5</v>
      </c>
      <c r="F386" s="215">
        <v>1616.32</v>
      </c>
      <c r="G386" s="215">
        <v>0</v>
      </c>
      <c r="H386" s="215">
        <v>20</v>
      </c>
      <c r="I386" s="215" t="s">
        <v>12</v>
      </c>
      <c r="J386" s="215">
        <v>1.2050000000000001</v>
      </c>
      <c r="K386" s="215">
        <v>1.911</v>
      </c>
    </row>
    <row r="387" spans="1:11">
      <c r="A387" s="215" t="s">
        <v>64</v>
      </c>
      <c r="B387" s="215">
        <v>11.95</v>
      </c>
      <c r="C387" s="219">
        <v>0.27</v>
      </c>
      <c r="D387" s="215">
        <v>1.0800000000000001E-2</v>
      </c>
      <c r="E387" s="220">
        <v>6.4700000000000001E-5</v>
      </c>
      <c r="F387" s="215">
        <v>1616.32</v>
      </c>
      <c r="G387" s="215">
        <v>0</v>
      </c>
      <c r="H387" s="215">
        <v>20</v>
      </c>
      <c r="I387" s="215" t="s">
        <v>12</v>
      </c>
      <c r="J387" s="215">
        <v>1.2050000000000001</v>
      </c>
      <c r="K387" s="215">
        <v>1.9419999999999999</v>
      </c>
    </row>
    <row r="388" spans="1:11">
      <c r="A388" s="215" t="s">
        <v>64</v>
      </c>
      <c r="B388" s="215">
        <v>13.45</v>
      </c>
      <c r="C388" s="219">
        <v>0.27</v>
      </c>
      <c r="D388" s="215">
        <v>1.0800000000000001E-2</v>
      </c>
      <c r="E388" s="220">
        <v>6.4700000000000001E-5</v>
      </c>
      <c r="F388" s="215">
        <v>1616.32</v>
      </c>
      <c r="G388" s="215">
        <v>0</v>
      </c>
      <c r="H388" s="215">
        <v>20</v>
      </c>
      <c r="I388" s="215" t="s">
        <v>12</v>
      </c>
      <c r="J388" s="215">
        <v>1.2050000000000001</v>
      </c>
      <c r="K388" s="215">
        <v>1.9470000000000001</v>
      </c>
    </row>
    <row r="389" spans="1:11">
      <c r="A389" s="215" t="s">
        <v>64</v>
      </c>
      <c r="B389" s="215">
        <v>1.49</v>
      </c>
      <c r="C389" s="219">
        <v>0.25</v>
      </c>
      <c r="D389" s="215">
        <v>1.0800000000000001E-2</v>
      </c>
      <c r="E389" s="220">
        <v>6.4700000000000001E-5</v>
      </c>
      <c r="F389" s="215">
        <v>1616.32</v>
      </c>
      <c r="G389" s="215">
        <v>0</v>
      </c>
      <c r="H389" s="215">
        <v>20</v>
      </c>
      <c r="I389" s="215" t="s">
        <v>12</v>
      </c>
      <c r="J389" s="215">
        <v>1.2050000000000001</v>
      </c>
      <c r="K389" s="215">
        <v>1.4630000000000001</v>
      </c>
    </row>
    <row r="390" spans="1:11">
      <c r="A390" s="215" t="s">
        <v>64</v>
      </c>
      <c r="B390" s="215">
        <v>2.36</v>
      </c>
      <c r="C390" s="219">
        <v>0.25</v>
      </c>
      <c r="D390" s="215">
        <v>1.0800000000000001E-2</v>
      </c>
      <c r="E390" s="220">
        <v>6.4700000000000001E-5</v>
      </c>
      <c r="F390" s="215">
        <v>1616.32</v>
      </c>
      <c r="G390" s="215">
        <v>0</v>
      </c>
      <c r="H390" s="215">
        <v>20</v>
      </c>
      <c r="I390" s="215" t="s">
        <v>12</v>
      </c>
      <c r="J390" s="215">
        <v>1.2050000000000001</v>
      </c>
      <c r="K390" s="215">
        <v>1.444</v>
      </c>
    </row>
    <row r="391" spans="1:11">
      <c r="A391" s="215" t="s">
        <v>64</v>
      </c>
      <c r="B391" s="215">
        <v>3.14</v>
      </c>
      <c r="C391" s="219">
        <v>0.25</v>
      </c>
      <c r="D391" s="215">
        <v>1.0800000000000001E-2</v>
      </c>
      <c r="E391" s="220">
        <v>6.4700000000000001E-5</v>
      </c>
      <c r="F391" s="215">
        <v>1616.32</v>
      </c>
      <c r="G391" s="215">
        <v>0</v>
      </c>
      <c r="H391" s="215">
        <v>20</v>
      </c>
      <c r="I391" s="215" t="s">
        <v>12</v>
      </c>
      <c r="J391" s="215">
        <v>1.2050000000000001</v>
      </c>
      <c r="K391" s="215">
        <v>1.5249999999999999</v>
      </c>
    </row>
    <row r="392" spans="1:11">
      <c r="A392" s="215" t="s">
        <v>64</v>
      </c>
      <c r="B392" s="215">
        <v>3.94</v>
      </c>
      <c r="C392" s="219">
        <v>0.25</v>
      </c>
      <c r="D392" s="215">
        <v>1.0800000000000001E-2</v>
      </c>
      <c r="E392" s="220">
        <v>6.4700000000000001E-5</v>
      </c>
      <c r="F392" s="215">
        <v>1616.32</v>
      </c>
      <c r="G392" s="215">
        <v>0</v>
      </c>
      <c r="H392" s="215">
        <v>20</v>
      </c>
      <c r="I392" s="215" t="s">
        <v>12</v>
      </c>
      <c r="J392" s="215">
        <v>1.2050000000000001</v>
      </c>
      <c r="K392" s="215">
        <v>1.492</v>
      </c>
    </row>
    <row r="393" spans="1:11">
      <c r="A393" s="215" t="s">
        <v>64</v>
      </c>
      <c r="B393" s="215">
        <v>4.54</v>
      </c>
      <c r="C393" s="219">
        <v>0.25</v>
      </c>
      <c r="D393" s="215">
        <v>1.0800000000000001E-2</v>
      </c>
      <c r="E393" s="220">
        <v>6.4700000000000001E-5</v>
      </c>
      <c r="F393" s="215">
        <v>1616.32</v>
      </c>
      <c r="G393" s="215">
        <v>0</v>
      </c>
      <c r="H393" s="215">
        <v>20</v>
      </c>
      <c r="I393" s="215" t="s">
        <v>12</v>
      </c>
      <c r="J393" s="215">
        <v>1.2050000000000001</v>
      </c>
      <c r="K393" s="215">
        <v>1.546</v>
      </c>
    </row>
    <row r="394" spans="1:11">
      <c r="A394" s="215" t="s">
        <v>64</v>
      </c>
      <c r="B394" s="215">
        <v>5.0999999999999996</v>
      </c>
      <c r="C394" s="219">
        <v>0.25</v>
      </c>
      <c r="D394" s="215">
        <v>1.0800000000000001E-2</v>
      </c>
      <c r="E394" s="220">
        <v>6.4700000000000001E-5</v>
      </c>
      <c r="F394" s="215">
        <v>1616.32</v>
      </c>
      <c r="G394" s="215">
        <v>0</v>
      </c>
      <c r="H394" s="215">
        <v>20</v>
      </c>
      <c r="I394" s="215" t="s">
        <v>12</v>
      </c>
      <c r="J394" s="215">
        <v>1.2050000000000001</v>
      </c>
      <c r="K394" s="215">
        <v>1.55</v>
      </c>
    </row>
    <row r="395" spans="1:11">
      <c r="A395" s="215" t="s">
        <v>64</v>
      </c>
      <c r="B395" s="215">
        <v>5.53</v>
      </c>
      <c r="C395" s="219">
        <v>0.25</v>
      </c>
      <c r="D395" s="215">
        <v>1.0800000000000001E-2</v>
      </c>
      <c r="E395" s="220">
        <v>6.4700000000000001E-5</v>
      </c>
      <c r="F395" s="215">
        <v>1616.32</v>
      </c>
      <c r="G395" s="215">
        <v>0</v>
      </c>
      <c r="H395" s="215">
        <v>20</v>
      </c>
      <c r="I395" s="215" t="s">
        <v>12</v>
      </c>
      <c r="J395" s="215">
        <v>1.2050000000000001</v>
      </c>
      <c r="K395" s="215">
        <v>1.579</v>
      </c>
    </row>
    <row r="396" spans="1:11">
      <c r="A396" s="215" t="s">
        <v>64</v>
      </c>
      <c r="B396" s="215">
        <v>6</v>
      </c>
      <c r="C396" s="219">
        <v>0.25</v>
      </c>
      <c r="D396" s="215">
        <v>1.0800000000000001E-2</v>
      </c>
      <c r="E396" s="220">
        <v>6.4700000000000001E-5</v>
      </c>
      <c r="F396" s="215">
        <v>1616.32</v>
      </c>
      <c r="G396" s="215">
        <v>0</v>
      </c>
      <c r="H396" s="215">
        <v>20</v>
      </c>
      <c r="I396" s="215" t="s">
        <v>12</v>
      </c>
      <c r="J396" s="215">
        <v>1.2050000000000001</v>
      </c>
      <c r="K396" s="215">
        <v>1.609</v>
      </c>
    </row>
    <row r="397" spans="1:11">
      <c r="A397" s="215" t="s">
        <v>64</v>
      </c>
      <c r="B397" s="215">
        <v>6.96</v>
      </c>
      <c r="C397" s="219">
        <v>0.25</v>
      </c>
      <c r="D397" s="215">
        <v>1.0800000000000001E-2</v>
      </c>
      <c r="E397" s="220">
        <v>6.4700000000000001E-5</v>
      </c>
      <c r="F397" s="215">
        <v>1616.32</v>
      </c>
      <c r="G397" s="215">
        <v>0</v>
      </c>
      <c r="H397" s="215">
        <v>20</v>
      </c>
      <c r="I397" s="215" t="s">
        <v>12</v>
      </c>
      <c r="J397" s="215">
        <v>1.2050000000000001</v>
      </c>
      <c r="K397" s="215">
        <v>1.69</v>
      </c>
    </row>
    <row r="398" spans="1:11">
      <c r="A398" s="215" t="s">
        <v>64</v>
      </c>
      <c r="B398" s="215">
        <v>8.01</v>
      </c>
      <c r="C398" s="219">
        <v>0.25</v>
      </c>
      <c r="D398" s="215">
        <v>1.0800000000000001E-2</v>
      </c>
      <c r="E398" s="220">
        <v>6.4700000000000001E-5</v>
      </c>
      <c r="F398" s="215">
        <v>1616.32</v>
      </c>
      <c r="G398" s="215">
        <v>0</v>
      </c>
      <c r="H398" s="215">
        <v>20</v>
      </c>
      <c r="I398" s="215" t="s">
        <v>12</v>
      </c>
      <c r="J398" s="215">
        <v>1.2050000000000001</v>
      </c>
      <c r="K398" s="215">
        <v>1.7010000000000001</v>
      </c>
    </row>
    <row r="399" spans="1:11">
      <c r="A399" s="215" t="s">
        <v>64</v>
      </c>
      <c r="B399" s="215">
        <v>9.02</v>
      </c>
      <c r="C399" s="219">
        <v>0.25</v>
      </c>
      <c r="D399" s="215">
        <v>1.0800000000000001E-2</v>
      </c>
      <c r="E399" s="220">
        <v>6.4700000000000001E-5</v>
      </c>
      <c r="F399" s="215">
        <v>1616.32</v>
      </c>
      <c r="G399" s="215">
        <v>0</v>
      </c>
      <c r="H399" s="215">
        <v>20</v>
      </c>
      <c r="I399" s="215" t="s">
        <v>12</v>
      </c>
      <c r="J399" s="215">
        <v>1.2050000000000001</v>
      </c>
      <c r="K399" s="215">
        <v>1.7929999999999999</v>
      </c>
    </row>
    <row r="400" spans="1:11">
      <c r="A400" s="215" t="s">
        <v>64</v>
      </c>
      <c r="B400" s="215">
        <v>10.029999999999999</v>
      </c>
      <c r="C400" s="219">
        <v>0.25</v>
      </c>
      <c r="D400" s="215">
        <v>1.0800000000000001E-2</v>
      </c>
      <c r="E400" s="220">
        <v>6.4700000000000001E-5</v>
      </c>
      <c r="F400" s="215">
        <v>1616.32</v>
      </c>
      <c r="G400" s="215">
        <v>0</v>
      </c>
      <c r="H400" s="215">
        <v>20</v>
      </c>
      <c r="I400" s="215" t="s">
        <v>12</v>
      </c>
      <c r="J400" s="215">
        <v>1.2050000000000001</v>
      </c>
      <c r="K400" s="215">
        <v>1.8029999999999999</v>
      </c>
    </row>
    <row r="401" spans="1:11">
      <c r="A401" s="215" t="s">
        <v>64</v>
      </c>
      <c r="B401" s="215">
        <v>10.97</v>
      </c>
      <c r="C401" s="219">
        <v>0.25</v>
      </c>
      <c r="D401" s="215">
        <v>1.0800000000000001E-2</v>
      </c>
      <c r="E401" s="220">
        <v>6.4700000000000001E-5</v>
      </c>
      <c r="F401" s="215">
        <v>1616.32</v>
      </c>
      <c r="G401" s="215">
        <v>0</v>
      </c>
      <c r="H401" s="215">
        <v>20</v>
      </c>
      <c r="I401" s="215" t="s">
        <v>12</v>
      </c>
      <c r="J401" s="215">
        <v>1.2050000000000001</v>
      </c>
      <c r="K401" s="215">
        <v>1.8440000000000001</v>
      </c>
    </row>
    <row r="402" spans="1:11">
      <c r="A402" s="215" t="s">
        <v>64</v>
      </c>
      <c r="B402" s="215">
        <v>11.99</v>
      </c>
      <c r="C402" s="219">
        <v>0.25</v>
      </c>
      <c r="D402" s="215">
        <v>1.0800000000000001E-2</v>
      </c>
      <c r="E402" s="220">
        <v>6.4700000000000001E-5</v>
      </c>
      <c r="F402" s="215">
        <v>1616.32</v>
      </c>
      <c r="G402" s="215">
        <v>0</v>
      </c>
      <c r="H402" s="215">
        <v>20</v>
      </c>
      <c r="I402" s="215" t="s">
        <v>12</v>
      </c>
      <c r="J402" s="215">
        <v>1.2050000000000001</v>
      </c>
      <c r="K402" s="215">
        <v>1.98</v>
      </c>
    </row>
    <row r="403" spans="1:11">
      <c r="A403" s="215" t="s">
        <v>64</v>
      </c>
      <c r="B403" s="215">
        <v>13.57</v>
      </c>
      <c r="C403" s="219">
        <v>0.25</v>
      </c>
      <c r="D403" s="215">
        <v>1.0800000000000001E-2</v>
      </c>
      <c r="E403" s="220">
        <v>6.4700000000000001E-5</v>
      </c>
      <c r="F403" s="215">
        <v>1616.32</v>
      </c>
      <c r="G403" s="215">
        <v>0</v>
      </c>
      <c r="H403" s="215">
        <v>20</v>
      </c>
      <c r="I403" s="215" t="s">
        <v>12</v>
      </c>
      <c r="J403" s="215">
        <v>1.2050000000000001</v>
      </c>
      <c r="K403" s="215">
        <v>2.0150000000000001</v>
      </c>
    </row>
    <row r="404" spans="1:11">
      <c r="A404" s="215" t="s">
        <v>64</v>
      </c>
      <c r="B404" s="215">
        <v>1.58</v>
      </c>
      <c r="C404" s="219">
        <v>0.2</v>
      </c>
      <c r="D404" s="215">
        <v>1.0800000000000001E-2</v>
      </c>
      <c r="E404" s="220">
        <v>6.4700000000000001E-5</v>
      </c>
      <c r="F404" s="215">
        <v>1616.32</v>
      </c>
      <c r="G404" s="215">
        <v>0</v>
      </c>
      <c r="H404" s="215">
        <v>20</v>
      </c>
      <c r="I404" s="215" t="s">
        <v>12</v>
      </c>
      <c r="J404" s="215">
        <v>1.2050000000000001</v>
      </c>
      <c r="K404" s="215">
        <v>1.147</v>
      </c>
    </row>
    <row r="405" spans="1:11">
      <c r="A405" s="215" t="s">
        <v>64</v>
      </c>
      <c r="B405" s="215">
        <v>2.42</v>
      </c>
      <c r="C405" s="219">
        <v>0.2</v>
      </c>
      <c r="D405" s="215">
        <v>1.0800000000000001E-2</v>
      </c>
      <c r="E405" s="220">
        <v>6.4700000000000001E-5</v>
      </c>
      <c r="F405" s="215">
        <v>1616.32</v>
      </c>
      <c r="G405" s="215">
        <v>0</v>
      </c>
      <c r="H405" s="215">
        <v>20</v>
      </c>
      <c r="I405" s="215" t="s">
        <v>12</v>
      </c>
      <c r="J405" s="215">
        <v>1.2050000000000001</v>
      </c>
      <c r="K405" s="215">
        <v>1.117</v>
      </c>
    </row>
    <row r="406" spans="1:11">
      <c r="A406" s="215" t="s">
        <v>64</v>
      </c>
      <c r="B406" s="215">
        <v>3.21</v>
      </c>
      <c r="C406" s="219">
        <v>0.2</v>
      </c>
      <c r="D406" s="215">
        <v>1.0800000000000001E-2</v>
      </c>
      <c r="E406" s="220">
        <v>6.4700000000000001E-5</v>
      </c>
      <c r="F406" s="215">
        <v>1616.32</v>
      </c>
      <c r="G406" s="215">
        <v>0</v>
      </c>
      <c r="H406" s="215">
        <v>20</v>
      </c>
      <c r="I406" s="215" t="s">
        <v>12</v>
      </c>
      <c r="J406" s="215">
        <v>1.2050000000000001</v>
      </c>
      <c r="K406" s="215">
        <v>1.1299999999999999</v>
      </c>
    </row>
    <row r="407" spans="1:11">
      <c r="A407" s="215" t="s">
        <v>64</v>
      </c>
      <c r="B407" s="215">
        <v>4.05</v>
      </c>
      <c r="C407" s="219">
        <v>0.2</v>
      </c>
      <c r="D407" s="215">
        <v>1.0800000000000001E-2</v>
      </c>
      <c r="E407" s="220">
        <v>6.4700000000000001E-5</v>
      </c>
      <c r="F407" s="215">
        <v>1616.32</v>
      </c>
      <c r="G407" s="215">
        <v>0</v>
      </c>
      <c r="H407" s="215">
        <v>20</v>
      </c>
      <c r="I407" s="215" t="s">
        <v>12</v>
      </c>
      <c r="J407" s="215">
        <v>1.2050000000000001</v>
      </c>
      <c r="K407" s="215">
        <v>1.2170000000000001</v>
      </c>
    </row>
    <row r="408" spans="1:11">
      <c r="A408" s="215" t="s">
        <v>64</v>
      </c>
      <c r="B408" s="215">
        <v>4.62</v>
      </c>
      <c r="C408" s="219">
        <v>0.2</v>
      </c>
      <c r="D408" s="215">
        <v>1.0800000000000001E-2</v>
      </c>
      <c r="E408" s="220">
        <v>6.4700000000000001E-5</v>
      </c>
      <c r="F408" s="215">
        <v>1616.32</v>
      </c>
      <c r="G408" s="215">
        <v>0</v>
      </c>
      <c r="H408" s="215">
        <v>20</v>
      </c>
      <c r="I408" s="215" t="s">
        <v>12</v>
      </c>
      <c r="J408" s="215">
        <v>1.2050000000000001</v>
      </c>
      <c r="K408" s="215">
        <v>1.226</v>
      </c>
    </row>
    <row r="409" spans="1:11">
      <c r="A409" s="215" t="s">
        <v>64</v>
      </c>
      <c r="B409" s="215">
        <v>5.05</v>
      </c>
      <c r="C409" s="219">
        <v>0.2</v>
      </c>
      <c r="D409" s="215">
        <v>1.0800000000000001E-2</v>
      </c>
      <c r="E409" s="220">
        <v>6.4700000000000001E-5</v>
      </c>
      <c r="F409" s="215">
        <v>1616.32</v>
      </c>
      <c r="G409" s="215">
        <v>0</v>
      </c>
      <c r="H409" s="215">
        <v>20</v>
      </c>
      <c r="I409" s="215" t="s">
        <v>12</v>
      </c>
      <c r="J409" s="215">
        <v>1.2050000000000001</v>
      </c>
      <c r="K409" s="215">
        <v>1.2809999999999999</v>
      </c>
    </row>
    <row r="410" spans="1:11">
      <c r="A410" s="215" t="s">
        <v>64</v>
      </c>
      <c r="B410" s="215">
        <v>5.45</v>
      </c>
      <c r="C410" s="219">
        <v>0.2</v>
      </c>
      <c r="D410" s="215">
        <v>1.0800000000000001E-2</v>
      </c>
      <c r="E410" s="220">
        <v>6.4700000000000001E-5</v>
      </c>
      <c r="F410" s="215">
        <v>1616.32</v>
      </c>
      <c r="G410" s="215">
        <v>0</v>
      </c>
      <c r="H410" s="215">
        <v>20</v>
      </c>
      <c r="I410" s="215" t="s">
        <v>12</v>
      </c>
      <c r="J410" s="215">
        <v>1.2050000000000001</v>
      </c>
      <c r="K410" s="215">
        <v>1.2809999999999999</v>
      </c>
    </row>
    <row r="411" spans="1:11">
      <c r="A411" s="215" t="s">
        <v>64</v>
      </c>
      <c r="B411" s="215">
        <v>6.1</v>
      </c>
      <c r="C411" s="219">
        <v>0.2</v>
      </c>
      <c r="D411" s="215">
        <v>1.0800000000000001E-2</v>
      </c>
      <c r="E411" s="220">
        <v>6.4700000000000001E-5</v>
      </c>
      <c r="F411" s="215">
        <v>1616.32</v>
      </c>
      <c r="G411" s="215">
        <v>0</v>
      </c>
      <c r="H411" s="215">
        <v>20</v>
      </c>
      <c r="I411" s="215" t="s">
        <v>12</v>
      </c>
      <c r="J411" s="215">
        <v>1.2050000000000001</v>
      </c>
      <c r="K411" s="215">
        <v>1.3580000000000001</v>
      </c>
    </row>
    <row r="412" spans="1:11">
      <c r="A412" s="215" t="s">
        <v>64</v>
      </c>
      <c r="B412" s="215">
        <v>7.03</v>
      </c>
      <c r="C412" s="219">
        <v>0.2</v>
      </c>
      <c r="D412" s="215">
        <v>1.0800000000000001E-2</v>
      </c>
      <c r="E412" s="220">
        <v>6.4700000000000001E-5</v>
      </c>
      <c r="F412" s="215">
        <v>1616.32</v>
      </c>
      <c r="G412" s="215">
        <v>0</v>
      </c>
      <c r="H412" s="215">
        <v>20</v>
      </c>
      <c r="I412" s="215" t="s">
        <v>12</v>
      </c>
      <c r="J412" s="215">
        <v>1.2050000000000001</v>
      </c>
      <c r="K412" s="215">
        <v>1.504</v>
      </c>
    </row>
    <row r="413" spans="1:11">
      <c r="A413" s="215" t="s">
        <v>64</v>
      </c>
      <c r="B413" s="215">
        <v>8</v>
      </c>
      <c r="C413" s="219">
        <v>0.2</v>
      </c>
      <c r="D413" s="215">
        <v>1.0800000000000001E-2</v>
      </c>
      <c r="E413" s="220">
        <v>6.4700000000000001E-5</v>
      </c>
      <c r="F413" s="215">
        <v>1616.32</v>
      </c>
      <c r="G413" s="215">
        <v>0</v>
      </c>
      <c r="H413" s="215">
        <v>20</v>
      </c>
      <c r="I413" s="215" t="s">
        <v>12</v>
      </c>
      <c r="J413" s="215">
        <v>1.2050000000000001</v>
      </c>
      <c r="K413" s="215">
        <v>1.538</v>
      </c>
    </row>
    <row r="414" spans="1:11">
      <c r="A414" s="215" t="s">
        <v>64</v>
      </c>
      <c r="B414" s="215">
        <v>9.0399999999999991</v>
      </c>
      <c r="C414" s="219">
        <v>0.2</v>
      </c>
      <c r="D414" s="215">
        <v>1.0800000000000001E-2</v>
      </c>
      <c r="E414" s="220">
        <v>6.4700000000000001E-5</v>
      </c>
      <c r="F414" s="215">
        <v>1616.32</v>
      </c>
      <c r="G414" s="215">
        <v>0</v>
      </c>
      <c r="H414" s="215">
        <v>20</v>
      </c>
      <c r="I414" s="215" t="s">
        <v>12</v>
      </c>
      <c r="J414" s="215">
        <v>1.2050000000000001</v>
      </c>
      <c r="K414" s="215">
        <v>1.62</v>
      </c>
    </row>
    <row r="415" spans="1:11">
      <c r="A415" s="215" t="s">
        <v>64</v>
      </c>
      <c r="B415" s="215">
        <v>10.050000000000001</v>
      </c>
      <c r="C415" s="219">
        <v>0.2</v>
      </c>
      <c r="D415" s="215">
        <v>1.0800000000000001E-2</v>
      </c>
      <c r="E415" s="220">
        <v>6.4700000000000001E-5</v>
      </c>
      <c r="F415" s="215">
        <v>1616.32</v>
      </c>
      <c r="G415" s="215">
        <v>0</v>
      </c>
      <c r="H415" s="215">
        <v>20</v>
      </c>
      <c r="I415" s="215" t="s">
        <v>12</v>
      </c>
      <c r="J415" s="215">
        <v>1.2050000000000001</v>
      </c>
      <c r="K415" s="215">
        <v>1.714</v>
      </c>
    </row>
    <row r="416" spans="1:11">
      <c r="A416" s="215" t="s">
        <v>64</v>
      </c>
      <c r="B416" s="215">
        <v>11.03</v>
      </c>
      <c r="C416" s="219">
        <v>0.2</v>
      </c>
      <c r="D416" s="215">
        <v>1.0800000000000001E-2</v>
      </c>
      <c r="E416" s="220">
        <v>6.4700000000000001E-5</v>
      </c>
      <c r="F416" s="215">
        <v>1616.32</v>
      </c>
      <c r="G416" s="215">
        <v>0</v>
      </c>
      <c r="H416" s="215">
        <v>20</v>
      </c>
      <c r="I416" s="215" t="s">
        <v>12</v>
      </c>
      <c r="J416" s="215">
        <v>1.2050000000000001</v>
      </c>
      <c r="K416" s="215">
        <v>1.7310000000000001</v>
      </c>
    </row>
    <row r="417" spans="1:11">
      <c r="A417" s="215" t="s">
        <v>64</v>
      </c>
      <c r="B417" s="215">
        <v>12.02</v>
      </c>
      <c r="C417" s="219">
        <v>0.2</v>
      </c>
      <c r="D417" s="215">
        <v>1.0800000000000001E-2</v>
      </c>
      <c r="E417" s="220">
        <v>6.4700000000000001E-5</v>
      </c>
      <c r="F417" s="215">
        <v>1616.32</v>
      </c>
      <c r="G417" s="215">
        <v>0</v>
      </c>
      <c r="H417" s="215">
        <v>20</v>
      </c>
      <c r="I417" s="215" t="s">
        <v>12</v>
      </c>
      <c r="J417" s="215">
        <v>1.2050000000000001</v>
      </c>
      <c r="K417" s="215">
        <v>1.794</v>
      </c>
    </row>
    <row r="418" spans="1:11">
      <c r="A418" s="215" t="s">
        <v>64</v>
      </c>
      <c r="B418" s="215">
        <v>1.59</v>
      </c>
      <c r="C418" s="219">
        <v>0.17</v>
      </c>
      <c r="D418" s="215">
        <v>1.0800000000000001E-2</v>
      </c>
      <c r="E418" s="220">
        <v>6.4700000000000001E-5</v>
      </c>
      <c r="F418" s="215">
        <v>1616.32</v>
      </c>
      <c r="G418" s="215">
        <v>0</v>
      </c>
      <c r="H418" s="215">
        <v>20</v>
      </c>
      <c r="I418" s="215" t="s">
        <v>12</v>
      </c>
      <c r="J418" s="215">
        <v>1.2050000000000001</v>
      </c>
      <c r="K418" s="215">
        <v>0.94699999999999995</v>
      </c>
    </row>
    <row r="419" spans="1:11">
      <c r="A419" s="215" t="s">
        <v>64</v>
      </c>
      <c r="B419" s="215">
        <v>2.41</v>
      </c>
      <c r="C419" s="219">
        <v>0.17</v>
      </c>
      <c r="D419" s="215">
        <v>1.0800000000000001E-2</v>
      </c>
      <c r="E419" s="220">
        <v>6.4700000000000001E-5</v>
      </c>
      <c r="F419" s="215">
        <v>1616.32</v>
      </c>
      <c r="G419" s="215">
        <v>0</v>
      </c>
      <c r="H419" s="215">
        <v>20</v>
      </c>
      <c r="I419" s="215" t="s">
        <v>12</v>
      </c>
      <c r="J419" s="215">
        <v>1.2050000000000001</v>
      </c>
      <c r="K419" s="215">
        <v>1.05</v>
      </c>
    </row>
    <row r="420" spans="1:11">
      <c r="A420" s="215" t="s">
        <v>64</v>
      </c>
      <c r="B420" s="215">
        <v>3.2</v>
      </c>
      <c r="C420" s="219">
        <v>0.17</v>
      </c>
      <c r="D420" s="215">
        <v>1.0800000000000001E-2</v>
      </c>
      <c r="E420" s="220">
        <v>6.4700000000000001E-5</v>
      </c>
      <c r="F420" s="215">
        <v>1616.32</v>
      </c>
      <c r="G420" s="215">
        <v>0</v>
      </c>
      <c r="H420" s="215">
        <v>20</v>
      </c>
      <c r="I420" s="215" t="s">
        <v>12</v>
      </c>
      <c r="J420" s="215">
        <v>1.2050000000000001</v>
      </c>
      <c r="K420" s="215">
        <v>1.161</v>
      </c>
    </row>
    <row r="421" spans="1:11">
      <c r="A421" s="215" t="s">
        <v>64</v>
      </c>
      <c r="B421" s="215">
        <v>3.96</v>
      </c>
      <c r="C421" s="219">
        <v>0.17</v>
      </c>
      <c r="D421" s="215">
        <v>1.0800000000000001E-2</v>
      </c>
      <c r="E421" s="220">
        <v>6.4700000000000001E-5</v>
      </c>
      <c r="F421" s="215">
        <v>1616.32</v>
      </c>
      <c r="G421" s="215">
        <v>0</v>
      </c>
      <c r="H421" s="215">
        <v>20</v>
      </c>
      <c r="I421" s="215" t="s">
        <v>12</v>
      </c>
      <c r="J421" s="215">
        <v>1.2050000000000001</v>
      </c>
      <c r="K421" s="215">
        <v>1.1970000000000001</v>
      </c>
    </row>
    <row r="422" spans="1:11">
      <c r="A422" s="215" t="s">
        <v>64</v>
      </c>
      <c r="B422" s="215">
        <v>4.63</v>
      </c>
      <c r="C422" s="219">
        <v>0.17</v>
      </c>
      <c r="D422" s="215">
        <v>1.0800000000000001E-2</v>
      </c>
      <c r="E422" s="220">
        <v>6.4700000000000001E-5</v>
      </c>
      <c r="F422" s="215">
        <v>1616.32</v>
      </c>
      <c r="G422" s="215">
        <v>0</v>
      </c>
      <c r="H422" s="215">
        <v>20</v>
      </c>
      <c r="I422" s="215" t="s">
        <v>12</v>
      </c>
      <c r="J422" s="215">
        <v>1.2050000000000001</v>
      </c>
      <c r="K422" s="215">
        <v>1.27</v>
      </c>
    </row>
    <row r="423" spans="1:11">
      <c r="A423" s="215" t="s">
        <v>64</v>
      </c>
      <c r="B423" s="215">
        <v>4.97</v>
      </c>
      <c r="C423" s="219">
        <v>0.17</v>
      </c>
      <c r="D423" s="215">
        <v>1.0800000000000001E-2</v>
      </c>
      <c r="E423" s="220">
        <v>6.4700000000000001E-5</v>
      </c>
      <c r="F423" s="215">
        <v>1616.32</v>
      </c>
      <c r="G423" s="215">
        <v>0</v>
      </c>
      <c r="H423" s="215">
        <v>20</v>
      </c>
      <c r="I423" s="215" t="s">
        <v>12</v>
      </c>
      <c r="J423" s="215">
        <v>1.2050000000000001</v>
      </c>
      <c r="K423" s="215">
        <v>1.3420000000000001</v>
      </c>
    </row>
    <row r="424" spans="1:11">
      <c r="A424" s="215" t="s">
        <v>64</v>
      </c>
      <c r="B424" s="215">
        <v>5.99</v>
      </c>
      <c r="C424" s="219">
        <v>0.17</v>
      </c>
      <c r="D424" s="215">
        <v>1.0800000000000001E-2</v>
      </c>
      <c r="E424" s="220">
        <v>6.4700000000000001E-5</v>
      </c>
      <c r="F424" s="215">
        <v>1616.32</v>
      </c>
      <c r="G424" s="215">
        <v>0</v>
      </c>
      <c r="H424" s="215">
        <v>20</v>
      </c>
      <c r="I424" s="215" t="s">
        <v>12</v>
      </c>
      <c r="J424" s="215">
        <v>1.2050000000000001</v>
      </c>
      <c r="K424" s="215">
        <v>1.5009999999999999</v>
      </c>
    </row>
    <row r="425" spans="1:11">
      <c r="A425" s="215" t="s">
        <v>64</v>
      </c>
      <c r="B425" s="215">
        <v>7.06</v>
      </c>
      <c r="C425" s="219">
        <v>0.17</v>
      </c>
      <c r="D425" s="215">
        <v>1.0800000000000001E-2</v>
      </c>
      <c r="E425" s="220">
        <v>6.4700000000000001E-5</v>
      </c>
      <c r="F425" s="215">
        <v>1616.32</v>
      </c>
      <c r="G425" s="215">
        <v>0</v>
      </c>
      <c r="H425" s="215">
        <v>20</v>
      </c>
      <c r="I425" s="215" t="s">
        <v>12</v>
      </c>
      <c r="J425" s="215">
        <v>1.2050000000000001</v>
      </c>
      <c r="K425" s="215">
        <v>1.581</v>
      </c>
    </row>
    <row r="426" spans="1:11">
      <c r="A426" s="215" t="s">
        <v>64</v>
      </c>
      <c r="B426" s="215">
        <v>8.0500000000000007</v>
      </c>
      <c r="C426" s="219">
        <v>0.17</v>
      </c>
      <c r="D426" s="215">
        <v>1.0800000000000001E-2</v>
      </c>
      <c r="E426" s="220">
        <v>6.4700000000000001E-5</v>
      </c>
      <c r="F426" s="215">
        <v>1616.32</v>
      </c>
      <c r="G426" s="215">
        <v>0</v>
      </c>
      <c r="H426" s="215">
        <v>20</v>
      </c>
      <c r="I426" s="215" t="s">
        <v>12</v>
      </c>
      <c r="J426" s="215">
        <v>1.2050000000000001</v>
      </c>
      <c r="K426" s="215">
        <v>1.641</v>
      </c>
    </row>
    <row r="427" spans="1:11">
      <c r="A427" s="215" t="s">
        <v>64</v>
      </c>
      <c r="B427" s="215">
        <v>9.0399999999999991</v>
      </c>
      <c r="C427" s="219">
        <v>0.17</v>
      </c>
      <c r="D427" s="215">
        <v>1.0800000000000001E-2</v>
      </c>
      <c r="E427" s="220">
        <v>6.4700000000000001E-5</v>
      </c>
      <c r="F427" s="215">
        <v>1616.32</v>
      </c>
      <c r="G427" s="215">
        <v>0</v>
      </c>
      <c r="H427" s="215">
        <v>20</v>
      </c>
      <c r="I427" s="215" t="s">
        <v>12</v>
      </c>
      <c r="J427" s="215">
        <v>1.2050000000000001</v>
      </c>
      <c r="K427" s="215">
        <v>1.712</v>
      </c>
    </row>
    <row r="428" spans="1:11">
      <c r="A428" s="215" t="s">
        <v>64</v>
      </c>
      <c r="B428" s="215">
        <v>10</v>
      </c>
      <c r="C428" s="219">
        <v>0.17</v>
      </c>
      <c r="D428" s="215">
        <v>1.0800000000000001E-2</v>
      </c>
      <c r="E428" s="220">
        <v>6.4700000000000001E-5</v>
      </c>
      <c r="F428" s="215">
        <v>1616.32</v>
      </c>
      <c r="G428" s="215">
        <v>0</v>
      </c>
      <c r="H428" s="215">
        <v>20</v>
      </c>
      <c r="I428" s="215" t="s">
        <v>12</v>
      </c>
      <c r="J428" s="215">
        <v>1.2050000000000001</v>
      </c>
      <c r="K428" s="215">
        <v>1.7669999999999999</v>
      </c>
    </row>
    <row r="429" spans="1:11">
      <c r="A429" s="221" t="s">
        <v>28</v>
      </c>
      <c r="B429" s="221">
        <v>1.5796725327139001</v>
      </c>
      <c r="C429" s="221">
        <v>0.15</v>
      </c>
      <c r="D429" s="222"/>
      <c r="E429" s="222"/>
      <c r="F429" s="222"/>
      <c r="G429" s="222"/>
      <c r="H429" s="222"/>
      <c r="I429" s="215" t="s">
        <v>12</v>
      </c>
      <c r="J429" s="222"/>
      <c r="K429" s="222"/>
    </row>
    <row r="430" spans="1:11">
      <c r="A430" s="221" t="s">
        <v>28</v>
      </c>
      <c r="B430" s="221">
        <v>2.3755384522475098</v>
      </c>
      <c r="C430" s="221">
        <v>0.15</v>
      </c>
      <c r="D430" s="222"/>
      <c r="E430" s="222"/>
      <c r="F430" s="222"/>
      <c r="G430" s="222"/>
      <c r="H430" s="222"/>
      <c r="I430" s="215" t="s">
        <v>12</v>
      </c>
      <c r="J430" s="222"/>
      <c r="K430" s="222"/>
    </row>
    <row r="431" spans="1:11">
      <c r="A431" s="221" t="s">
        <v>28</v>
      </c>
      <c r="B431" s="221">
        <v>3.18346275813852</v>
      </c>
      <c r="C431" s="221">
        <v>0.15</v>
      </c>
      <c r="D431" s="222"/>
      <c r="E431" s="222"/>
      <c r="F431" s="222"/>
      <c r="G431" s="222"/>
      <c r="H431" s="222"/>
      <c r="I431" s="215" t="s">
        <v>12</v>
      </c>
      <c r="J431" s="222"/>
      <c r="K431" s="222"/>
    </row>
    <row r="432" spans="1:11">
      <c r="A432" s="221" t="s">
        <v>28</v>
      </c>
      <c r="B432" s="221">
        <v>3.48492701705324</v>
      </c>
      <c r="C432" s="221">
        <v>0.15</v>
      </c>
      <c r="D432" s="222"/>
      <c r="E432" s="222"/>
      <c r="F432" s="222"/>
      <c r="G432" s="222"/>
      <c r="H432" s="222"/>
      <c r="I432" s="215" t="s">
        <v>12</v>
      </c>
      <c r="J432" s="222"/>
      <c r="K432" s="222"/>
    </row>
    <row r="433" spans="1:11">
      <c r="A433" s="221" t="s">
        <v>28</v>
      </c>
      <c r="B433" s="221">
        <v>3.99138660403159</v>
      </c>
      <c r="C433" s="221">
        <v>0.15</v>
      </c>
      <c r="D433" s="222"/>
      <c r="E433" s="222"/>
      <c r="F433" s="222"/>
      <c r="G433" s="222"/>
      <c r="H433" s="222"/>
      <c r="I433" s="215" t="s">
        <v>12</v>
      </c>
      <c r="J433" s="222"/>
      <c r="K433" s="222"/>
    </row>
    <row r="434" spans="1:11">
      <c r="A434" s="221" t="s">
        <v>28</v>
      </c>
      <c r="B434" s="221">
        <v>4.5943151218610101</v>
      </c>
      <c r="C434" s="221">
        <v>0.15</v>
      </c>
      <c r="D434" s="222"/>
      <c r="E434" s="222"/>
      <c r="F434" s="222"/>
      <c r="G434" s="222"/>
      <c r="H434" s="222"/>
      <c r="I434" s="215" t="s">
        <v>12</v>
      </c>
      <c r="J434" s="222"/>
      <c r="K434" s="222"/>
    </row>
    <row r="435" spans="1:11">
      <c r="A435" s="221" t="s">
        <v>28</v>
      </c>
      <c r="B435" s="221">
        <v>4.9922483116267902</v>
      </c>
      <c r="C435" s="221">
        <v>0.15</v>
      </c>
      <c r="D435" s="222"/>
      <c r="E435" s="222"/>
      <c r="F435" s="222"/>
      <c r="G435" s="222"/>
      <c r="H435" s="222"/>
      <c r="I435" s="215" t="s">
        <v>12</v>
      </c>
      <c r="J435" s="222"/>
      <c r="K435" s="222"/>
    </row>
    <row r="436" spans="1:11">
      <c r="A436" s="221" t="s">
        <v>28</v>
      </c>
      <c r="B436" s="221">
        <v>5.5107662849625498</v>
      </c>
      <c r="C436" s="221">
        <v>0.15</v>
      </c>
      <c r="D436" s="222"/>
      <c r="E436" s="222"/>
      <c r="F436" s="222"/>
      <c r="G436" s="222"/>
      <c r="H436" s="222"/>
      <c r="I436" s="215" t="s">
        <v>12</v>
      </c>
      <c r="J436" s="222"/>
      <c r="K436" s="222"/>
    </row>
    <row r="437" spans="1:11">
      <c r="A437" s="221" t="s">
        <v>28</v>
      </c>
      <c r="B437" s="221">
        <v>5.99310909922609</v>
      </c>
      <c r="C437" s="221">
        <v>0.15</v>
      </c>
      <c r="D437" s="222"/>
      <c r="E437" s="222"/>
      <c r="F437" s="222"/>
      <c r="G437" s="222"/>
      <c r="H437" s="222"/>
      <c r="I437" s="215" t="s">
        <v>12</v>
      </c>
      <c r="J437" s="222"/>
      <c r="K437" s="222"/>
    </row>
    <row r="438" spans="1:11">
      <c r="A438" s="221" t="s">
        <v>28</v>
      </c>
      <c r="B438" s="221">
        <v>7.0060291931787004</v>
      </c>
      <c r="C438" s="221">
        <v>0.15</v>
      </c>
      <c r="D438" s="222"/>
      <c r="E438" s="222"/>
      <c r="F438" s="222"/>
      <c r="G438" s="222"/>
      <c r="H438" s="222"/>
      <c r="I438" s="215" t="s">
        <v>12</v>
      </c>
      <c r="J438" s="222"/>
      <c r="K438" s="222"/>
    </row>
    <row r="439" spans="1:11">
      <c r="A439" s="221" t="s">
        <v>28</v>
      </c>
      <c r="B439" s="221">
        <v>7.0060291931787004</v>
      </c>
      <c r="C439" s="221">
        <v>0.15</v>
      </c>
      <c r="D439" s="222"/>
      <c r="E439" s="222"/>
      <c r="F439" s="222"/>
      <c r="G439" s="222"/>
      <c r="H439" s="222"/>
      <c r="I439" s="215" t="s">
        <v>12</v>
      </c>
      <c r="J439" s="222"/>
      <c r="K439" s="222"/>
    </row>
    <row r="440" spans="1:11">
      <c r="A440" s="221" t="s">
        <v>28</v>
      </c>
      <c r="B440" s="221">
        <v>9.0077516883731992</v>
      </c>
      <c r="C440" s="221">
        <v>0.15</v>
      </c>
      <c r="D440" s="222"/>
      <c r="E440" s="222"/>
      <c r="F440" s="222"/>
      <c r="G440" s="222"/>
      <c r="H440" s="222"/>
      <c r="I440" s="215" t="s">
        <v>12</v>
      </c>
      <c r="J440" s="222"/>
      <c r="K440" s="222"/>
    </row>
    <row r="441" spans="1:11">
      <c r="A441" s="221" t="s">
        <v>28</v>
      </c>
      <c r="B441" s="221">
        <v>8.9956933020157894</v>
      </c>
      <c r="C441" s="221">
        <v>0.15</v>
      </c>
      <c r="D441" s="222"/>
      <c r="E441" s="222"/>
      <c r="F441" s="222"/>
      <c r="G441" s="222"/>
      <c r="H441" s="222"/>
      <c r="I441" s="215" t="s">
        <v>12</v>
      </c>
      <c r="J441" s="222"/>
      <c r="K441" s="222"/>
    </row>
    <row r="442" spans="1:11">
      <c r="A442" s="221" t="s">
        <v>28</v>
      </c>
      <c r="B442" s="221">
        <v>12.010335891162899</v>
      </c>
      <c r="C442" s="221">
        <v>0.15</v>
      </c>
      <c r="D442" s="222"/>
      <c r="E442" s="222"/>
      <c r="F442" s="222"/>
      <c r="G442" s="222"/>
      <c r="H442" s="222"/>
      <c r="I442" s="215" t="s">
        <v>12</v>
      </c>
      <c r="J442" s="222"/>
      <c r="K442" s="222"/>
    </row>
    <row r="443" spans="1:11">
      <c r="A443" s="221" t="s">
        <v>28</v>
      </c>
      <c r="B443" s="221">
        <v>12.010335891162899</v>
      </c>
      <c r="C443" s="221">
        <v>0.15</v>
      </c>
      <c r="D443" s="222"/>
      <c r="E443" s="222"/>
      <c r="F443" s="222"/>
      <c r="G443" s="222"/>
      <c r="H443" s="222"/>
      <c r="I443" s="215" t="s">
        <v>12</v>
      </c>
      <c r="J443" s="222"/>
      <c r="K443" s="222"/>
    </row>
    <row r="444" spans="1:11">
      <c r="A444" s="221" t="s">
        <v>28</v>
      </c>
      <c r="B444" s="221">
        <v>2.3816795538066402</v>
      </c>
      <c r="C444" s="223">
        <v>0.2</v>
      </c>
      <c r="D444" s="222"/>
      <c r="E444" s="222"/>
      <c r="F444" s="222"/>
      <c r="G444" s="222"/>
      <c r="H444" s="222"/>
      <c r="I444" s="215" t="s">
        <v>12</v>
      </c>
      <c r="J444" s="222"/>
      <c r="K444" s="222"/>
    </row>
    <row r="445" spans="1:11">
      <c r="A445" s="221" t="s">
        <v>28</v>
      </c>
      <c r="B445" s="221">
        <v>3.17557215601237</v>
      </c>
      <c r="C445" s="223">
        <v>0.2</v>
      </c>
      <c r="D445" s="222"/>
      <c r="E445" s="222"/>
      <c r="F445" s="222"/>
      <c r="G445" s="222"/>
      <c r="H445" s="222"/>
      <c r="I445" s="215" t="s">
        <v>12</v>
      </c>
      <c r="J445" s="222"/>
      <c r="K445" s="222"/>
    </row>
    <row r="446" spans="1:11">
      <c r="A446" s="221" t="s">
        <v>28</v>
      </c>
      <c r="B446" s="221">
        <v>4.01526674729622</v>
      </c>
      <c r="C446" s="223">
        <v>0.2</v>
      </c>
      <c r="D446" s="222"/>
      <c r="E446" s="222"/>
      <c r="F446" s="222"/>
      <c r="G446" s="222"/>
      <c r="H446" s="222"/>
      <c r="I446" s="215" t="s">
        <v>12</v>
      </c>
      <c r="J446" s="222"/>
      <c r="K446" s="222"/>
    </row>
    <row r="447" spans="1:11">
      <c r="A447" s="221" t="s">
        <v>28</v>
      </c>
      <c r="B447" s="221">
        <v>4.5801523160937503</v>
      </c>
      <c r="C447" s="223">
        <v>0.2</v>
      </c>
      <c r="D447" s="222"/>
      <c r="E447" s="222"/>
      <c r="F447" s="222"/>
      <c r="G447" s="222"/>
      <c r="H447" s="222"/>
      <c r="I447" s="215" t="s">
        <v>12</v>
      </c>
      <c r="J447" s="222"/>
      <c r="K447" s="222"/>
    </row>
    <row r="448" spans="1:11">
      <c r="A448" s="221" t="s">
        <v>28</v>
      </c>
      <c r="B448" s="221">
        <v>4.9923667234179696</v>
      </c>
      <c r="C448" s="223">
        <v>0.2</v>
      </c>
      <c r="D448" s="222"/>
      <c r="E448" s="222"/>
      <c r="F448" s="222"/>
      <c r="G448" s="222"/>
      <c r="H448" s="222"/>
      <c r="I448" s="215" t="s">
        <v>12</v>
      </c>
      <c r="J448" s="222"/>
      <c r="K448" s="222"/>
    </row>
    <row r="449" spans="1:11">
      <c r="A449" s="221" t="s">
        <v>28</v>
      </c>
      <c r="B449" s="221">
        <v>5.5114497207408801</v>
      </c>
      <c r="C449" s="223">
        <v>0.2</v>
      </c>
      <c r="D449" s="222"/>
      <c r="E449" s="222"/>
      <c r="F449" s="222"/>
      <c r="G449" s="222"/>
      <c r="H449" s="222"/>
      <c r="I449" s="215" t="s">
        <v>12</v>
      </c>
      <c r="J449" s="222"/>
      <c r="K449" s="222"/>
    </row>
    <row r="450" spans="1:11">
      <c r="A450" s="221" t="s">
        <v>28</v>
      </c>
      <c r="B450" s="221">
        <v>6.9923663351536396</v>
      </c>
      <c r="C450" s="223">
        <v>0.2</v>
      </c>
      <c r="D450" s="222"/>
      <c r="E450" s="222"/>
      <c r="F450" s="222"/>
      <c r="G450" s="222"/>
      <c r="H450" s="222"/>
      <c r="I450" s="215" t="s">
        <v>12</v>
      </c>
      <c r="J450" s="222"/>
      <c r="K450" s="222"/>
    </row>
    <row r="451" spans="1:11">
      <c r="A451" s="221" t="s">
        <v>28</v>
      </c>
      <c r="B451" s="221">
        <v>7.99999961173567</v>
      </c>
      <c r="C451" s="223">
        <v>0.2</v>
      </c>
      <c r="D451" s="222"/>
      <c r="E451" s="222"/>
      <c r="F451" s="222"/>
      <c r="G451" s="222"/>
      <c r="H451" s="222"/>
      <c r="I451" s="215" t="s">
        <v>12</v>
      </c>
      <c r="J451" s="222"/>
      <c r="K451" s="222"/>
    </row>
    <row r="452" spans="1:11">
      <c r="A452" s="221" t="s">
        <v>28</v>
      </c>
      <c r="B452" s="221">
        <v>9.0076328883176995</v>
      </c>
      <c r="C452" s="223">
        <v>0.2</v>
      </c>
      <c r="D452" s="222"/>
      <c r="E452" s="222"/>
      <c r="F452" s="222"/>
      <c r="G452" s="222"/>
      <c r="H452" s="222"/>
      <c r="I452" s="215" t="s">
        <v>12</v>
      </c>
      <c r="J452" s="222"/>
      <c r="K452" s="222"/>
    </row>
    <row r="453" spans="1:11">
      <c r="A453" s="221" t="s">
        <v>28</v>
      </c>
      <c r="B453" s="221">
        <v>9.0076328883176995</v>
      </c>
      <c r="C453" s="223">
        <v>0.2</v>
      </c>
      <c r="D453" s="222"/>
      <c r="E453" s="222"/>
      <c r="F453" s="222"/>
      <c r="G453" s="222"/>
      <c r="H453" s="222"/>
      <c r="I453" s="215" t="s">
        <v>12</v>
      </c>
      <c r="J453" s="222"/>
      <c r="K453" s="222"/>
    </row>
    <row r="454" spans="1:11">
      <c r="A454" s="221" t="s">
        <v>28</v>
      </c>
      <c r="B454" s="221">
        <v>11.999998835207</v>
      </c>
      <c r="C454" s="223">
        <v>0.2</v>
      </c>
      <c r="D454" s="222"/>
      <c r="E454" s="222"/>
      <c r="F454" s="222"/>
      <c r="G454" s="222"/>
      <c r="H454" s="222"/>
      <c r="I454" s="215" t="s">
        <v>12</v>
      </c>
      <c r="J454" s="222"/>
      <c r="K454" s="222"/>
    </row>
    <row r="455" spans="1:11">
      <c r="A455" s="221" t="s">
        <v>28</v>
      </c>
      <c r="B455" s="221">
        <v>11.999998835207</v>
      </c>
      <c r="C455" s="223">
        <v>0.2</v>
      </c>
      <c r="D455" s="222"/>
      <c r="E455" s="222"/>
      <c r="F455" s="222"/>
      <c r="G455" s="222"/>
      <c r="H455" s="222"/>
      <c r="I455" s="215" t="s">
        <v>12</v>
      </c>
      <c r="J455" s="222"/>
      <c r="K455" s="222"/>
    </row>
    <row r="456" spans="1:11">
      <c r="A456" s="221" t="s">
        <v>28</v>
      </c>
      <c r="B456" s="221">
        <v>15.007632888317699</v>
      </c>
      <c r="C456" s="223">
        <v>0.2</v>
      </c>
      <c r="D456" s="222"/>
      <c r="E456" s="222"/>
      <c r="F456" s="222"/>
      <c r="G456" s="222"/>
      <c r="H456" s="222"/>
      <c r="I456" s="215" t="s">
        <v>12</v>
      </c>
      <c r="J456" s="222"/>
      <c r="K456" s="222"/>
    </row>
    <row r="457" spans="1:11">
      <c r="A457" s="221" t="s">
        <v>28</v>
      </c>
      <c r="B457" s="221">
        <v>14.992364782096301</v>
      </c>
      <c r="C457" s="223">
        <v>0.2</v>
      </c>
      <c r="D457" s="222"/>
      <c r="E457" s="222"/>
      <c r="F457" s="222"/>
      <c r="G457" s="222"/>
      <c r="H457" s="222"/>
      <c r="I457" s="215" t="s">
        <v>12</v>
      </c>
      <c r="J457" s="222"/>
      <c r="K457" s="222"/>
    </row>
    <row r="458" spans="1:11">
      <c r="A458" s="221" t="s">
        <v>28</v>
      </c>
      <c r="B458" s="221">
        <v>1.63855407605994</v>
      </c>
      <c r="C458" s="221">
        <v>0.25</v>
      </c>
      <c r="D458" s="222"/>
      <c r="E458" s="222"/>
      <c r="F458" s="222"/>
      <c r="G458" s="222"/>
      <c r="H458" s="222"/>
      <c r="I458" s="215" t="s">
        <v>12</v>
      </c>
      <c r="J458" s="222"/>
      <c r="K458" s="222"/>
    </row>
    <row r="459" spans="1:11">
      <c r="A459" s="221" t="s">
        <v>28</v>
      </c>
      <c r="B459" s="221">
        <v>3.22891611513321</v>
      </c>
      <c r="C459" s="221">
        <v>0.25</v>
      </c>
      <c r="D459" s="222"/>
      <c r="E459" s="222"/>
      <c r="F459" s="222"/>
      <c r="G459" s="222"/>
      <c r="H459" s="222"/>
      <c r="I459" s="215" t="s">
        <v>12</v>
      </c>
      <c r="J459" s="222"/>
      <c r="K459" s="222"/>
    </row>
    <row r="460" spans="1:11">
      <c r="A460" s="221" t="s">
        <v>28</v>
      </c>
      <c r="B460" s="221">
        <v>4.0240966750677503</v>
      </c>
      <c r="C460" s="221">
        <v>0.25</v>
      </c>
      <c r="D460" s="222"/>
      <c r="E460" s="222"/>
      <c r="F460" s="222"/>
      <c r="G460" s="222"/>
      <c r="H460" s="222"/>
      <c r="I460" s="215" t="s">
        <v>12</v>
      </c>
      <c r="J460" s="222"/>
      <c r="K460" s="222"/>
    </row>
    <row r="461" spans="1:11">
      <c r="A461" s="221" t="s">
        <v>28</v>
      </c>
      <c r="B461" s="221">
        <v>6.0000005252595301</v>
      </c>
      <c r="C461" s="221">
        <v>0.25</v>
      </c>
      <c r="D461" s="222"/>
      <c r="E461" s="222"/>
      <c r="F461" s="222"/>
      <c r="G461" s="222"/>
      <c r="H461" s="222"/>
      <c r="I461" s="215" t="s">
        <v>12</v>
      </c>
      <c r="J461" s="222"/>
      <c r="K461" s="222"/>
    </row>
    <row r="462" spans="1:11">
      <c r="A462" s="221" t="s">
        <v>28</v>
      </c>
      <c r="B462" s="221">
        <v>7.0361458661483702</v>
      </c>
      <c r="C462" s="221">
        <v>0.25</v>
      </c>
      <c r="D462" s="222"/>
      <c r="E462" s="222"/>
      <c r="F462" s="222"/>
      <c r="G462" s="222"/>
      <c r="H462" s="222"/>
      <c r="I462" s="215" t="s">
        <v>12</v>
      </c>
      <c r="J462" s="222"/>
      <c r="K462" s="222"/>
    </row>
    <row r="463" spans="1:11">
      <c r="A463" s="221" t="s">
        <v>28</v>
      </c>
      <c r="B463" s="221">
        <v>9.0602408341226397</v>
      </c>
      <c r="C463" s="221">
        <v>0.25</v>
      </c>
      <c r="D463" s="222"/>
      <c r="E463" s="222"/>
      <c r="F463" s="222"/>
      <c r="G463" s="222"/>
      <c r="H463" s="222"/>
      <c r="I463" s="215" t="s">
        <v>12</v>
      </c>
      <c r="J463" s="222"/>
      <c r="K463" s="222"/>
    </row>
    <row r="464" spans="1:11">
      <c r="A464" s="221" t="s">
        <v>28</v>
      </c>
      <c r="B464" s="221">
        <v>11.060241622011899</v>
      </c>
      <c r="C464" s="221">
        <v>0.25</v>
      </c>
      <c r="D464" s="222"/>
      <c r="E464" s="222"/>
      <c r="F464" s="222"/>
      <c r="G464" s="222"/>
      <c r="H464" s="222"/>
      <c r="I464" s="215" t="s">
        <v>12</v>
      </c>
      <c r="J464" s="222"/>
      <c r="K464" s="222"/>
    </row>
    <row r="465" spans="1:11">
      <c r="A465" s="221" t="s">
        <v>28</v>
      </c>
      <c r="B465" s="221">
        <v>12.0481930875057</v>
      </c>
      <c r="C465" s="221">
        <v>0.25</v>
      </c>
      <c r="D465" s="222"/>
      <c r="E465" s="222"/>
      <c r="F465" s="222"/>
      <c r="G465" s="222"/>
      <c r="H465" s="222"/>
      <c r="I465" s="215" t="s">
        <v>12</v>
      </c>
      <c r="J465" s="222"/>
      <c r="K465" s="222"/>
    </row>
    <row r="466" spans="1:11">
      <c r="A466" s="221" t="s">
        <v>28</v>
      </c>
      <c r="B466" s="221">
        <v>13.5180722764997</v>
      </c>
      <c r="C466" s="221">
        <v>0.25</v>
      </c>
      <c r="D466" s="222"/>
      <c r="E466" s="222"/>
      <c r="F466" s="222"/>
      <c r="G466" s="222"/>
      <c r="H466" s="222"/>
      <c r="I466" s="215" t="s">
        <v>12</v>
      </c>
      <c r="J466" s="222"/>
      <c r="K466" s="222"/>
    </row>
    <row r="467" spans="1:11">
      <c r="A467" s="221" t="s">
        <v>28</v>
      </c>
      <c r="B467" s="221">
        <v>15.0120493223955</v>
      </c>
      <c r="C467" s="221">
        <v>0.25</v>
      </c>
      <c r="D467" s="222"/>
      <c r="E467" s="222"/>
      <c r="F467" s="222"/>
      <c r="G467" s="222"/>
      <c r="H467" s="222"/>
      <c r="I467" s="215" t="s">
        <v>12</v>
      </c>
      <c r="J467" s="222"/>
      <c r="K467" s="222"/>
    </row>
    <row r="468" spans="1:11">
      <c r="A468" s="221" t="s">
        <v>28</v>
      </c>
      <c r="B468" s="221">
        <v>18.0240975942719</v>
      </c>
      <c r="C468" s="221">
        <v>0.25</v>
      </c>
      <c r="D468" s="222"/>
      <c r="E468" s="222"/>
      <c r="F468" s="222"/>
      <c r="G468" s="222"/>
      <c r="H468" s="222"/>
      <c r="I468" s="215" t="s">
        <v>12</v>
      </c>
      <c r="J468" s="222"/>
      <c r="K468" s="222"/>
    </row>
    <row r="469" spans="1:11">
      <c r="A469" s="221" t="s">
        <v>28</v>
      </c>
      <c r="B469" s="221">
        <v>20.048194400654499</v>
      </c>
      <c r="C469" s="221">
        <v>0.25</v>
      </c>
      <c r="D469" s="222"/>
      <c r="E469" s="222"/>
      <c r="F469" s="222"/>
      <c r="G469" s="222"/>
      <c r="H469" s="222"/>
      <c r="I469" s="215" t="s">
        <v>12</v>
      </c>
      <c r="J469" s="222"/>
      <c r="K469" s="222"/>
    </row>
    <row r="470" spans="1:11">
      <c r="A470" s="221" t="s">
        <v>28</v>
      </c>
      <c r="B470" s="221">
        <v>20.024096543752801</v>
      </c>
      <c r="C470" s="221">
        <v>0.25</v>
      </c>
      <c r="D470" s="222"/>
      <c r="E470" s="222"/>
      <c r="F470" s="222"/>
      <c r="G470" s="222"/>
      <c r="H470" s="222"/>
      <c r="I470" s="215" t="s">
        <v>12</v>
      </c>
      <c r="J470" s="222"/>
      <c r="K470" s="222"/>
    </row>
    <row r="471" spans="1:11">
      <c r="A471" s="221" t="s">
        <v>28</v>
      </c>
      <c r="B471" s="221">
        <v>26.698796617275999</v>
      </c>
      <c r="C471" s="221">
        <v>0.25</v>
      </c>
      <c r="D471" s="222"/>
      <c r="E471" s="222"/>
      <c r="F471" s="222"/>
      <c r="G471" s="222"/>
      <c r="H471" s="222"/>
      <c r="I471" s="215" t="s">
        <v>12</v>
      </c>
      <c r="J471" s="222"/>
      <c r="K471" s="222"/>
    </row>
    <row r="472" spans="1:11">
      <c r="A472" s="221" t="s">
        <v>28</v>
      </c>
      <c r="B472" s="221">
        <v>26.698796617275999</v>
      </c>
      <c r="C472" s="221">
        <v>0.25</v>
      </c>
      <c r="D472" s="222"/>
      <c r="E472" s="222"/>
      <c r="F472" s="222"/>
      <c r="G472" s="222"/>
      <c r="H472" s="222"/>
      <c r="I472" s="215" t="s">
        <v>12</v>
      </c>
      <c r="J472" s="222"/>
      <c r="K472" s="222"/>
    </row>
    <row r="473" spans="1:11">
      <c r="A473" s="221" t="s">
        <v>28</v>
      </c>
      <c r="B473" s="221">
        <v>3.2003371570763499</v>
      </c>
      <c r="C473" s="223">
        <v>0.4</v>
      </c>
      <c r="D473" s="222"/>
      <c r="E473" s="222"/>
      <c r="F473" s="222"/>
      <c r="G473" s="222"/>
      <c r="H473" s="222"/>
      <c r="I473" s="215" t="s">
        <v>12</v>
      </c>
      <c r="J473" s="222"/>
      <c r="K473" s="222"/>
    </row>
    <row r="474" spans="1:11">
      <c r="A474" s="221" t="s">
        <v>28</v>
      </c>
      <c r="B474" s="221">
        <v>4.0831928512181799</v>
      </c>
      <c r="C474" s="223">
        <v>0.4</v>
      </c>
      <c r="D474" s="222"/>
      <c r="E474" s="222"/>
      <c r="F474" s="222"/>
      <c r="G474" s="222"/>
      <c r="H474" s="222"/>
      <c r="I474" s="215" t="s">
        <v>12</v>
      </c>
      <c r="J474" s="222"/>
      <c r="K474" s="222"/>
    </row>
    <row r="475" spans="1:11">
      <c r="A475" s="221" t="s">
        <v>28</v>
      </c>
      <c r="B475" s="221">
        <v>7.0628160847590804</v>
      </c>
      <c r="C475" s="223">
        <v>0.4</v>
      </c>
      <c r="D475" s="222"/>
      <c r="E475" s="222"/>
      <c r="F475" s="222"/>
      <c r="G475" s="222"/>
      <c r="H475" s="222"/>
      <c r="I475" s="215" t="s">
        <v>12</v>
      </c>
      <c r="J475" s="222"/>
      <c r="K475" s="222"/>
    </row>
    <row r="476" spans="1:11">
      <c r="A476" s="221" t="s">
        <v>28</v>
      </c>
      <c r="B476" s="221">
        <v>11.1460089359772</v>
      </c>
      <c r="C476" s="223">
        <v>0.4</v>
      </c>
      <c r="D476" s="222"/>
      <c r="E476" s="222"/>
      <c r="F476" s="222"/>
      <c r="G476" s="222"/>
      <c r="H476" s="222"/>
      <c r="I476" s="215" t="s">
        <v>12</v>
      </c>
      <c r="J476" s="222"/>
      <c r="K476" s="222"/>
    </row>
    <row r="477" spans="1:11">
      <c r="A477" s="221" t="s">
        <v>28</v>
      </c>
      <c r="B477" s="221">
        <v>13.463498818447601</v>
      </c>
      <c r="C477" s="223">
        <v>0.4</v>
      </c>
      <c r="D477" s="222"/>
      <c r="E477" s="222"/>
      <c r="F477" s="222"/>
      <c r="G477" s="222"/>
      <c r="H477" s="222"/>
      <c r="I477" s="215" t="s">
        <v>12</v>
      </c>
      <c r="J477" s="222"/>
      <c r="K477" s="222"/>
    </row>
    <row r="478" spans="1:11">
      <c r="A478" s="221" t="s">
        <v>28</v>
      </c>
      <c r="B478" s="221">
        <v>20.0848912659037</v>
      </c>
      <c r="C478" s="223">
        <v>0.4</v>
      </c>
      <c r="D478" s="222"/>
      <c r="E478" s="222"/>
      <c r="F478" s="222"/>
      <c r="G478" s="222"/>
      <c r="H478" s="222"/>
      <c r="I478" s="215" t="s">
        <v>12</v>
      </c>
      <c r="J478" s="222"/>
      <c r="K478" s="222"/>
    </row>
    <row r="479" spans="1:11">
      <c r="A479" s="221" t="s">
        <v>28</v>
      </c>
      <c r="B479" s="221">
        <v>26.816642780011499</v>
      </c>
      <c r="C479" s="223">
        <v>0.4</v>
      </c>
      <c r="D479" s="222"/>
      <c r="E479" s="222"/>
      <c r="F479" s="222"/>
      <c r="G479" s="222"/>
      <c r="H479" s="222"/>
      <c r="I479" s="215" t="s">
        <v>12</v>
      </c>
      <c r="J479" s="222"/>
      <c r="K479" s="222"/>
    </row>
    <row r="480" spans="1:11">
      <c r="A480" s="221" t="s">
        <v>28</v>
      </c>
      <c r="B480" s="221">
        <v>33.327671951048004</v>
      </c>
      <c r="C480" s="223">
        <v>0.4</v>
      </c>
      <c r="D480" s="222"/>
      <c r="E480" s="222"/>
      <c r="F480" s="222"/>
      <c r="G480" s="222"/>
      <c r="H480" s="222"/>
      <c r="I480" s="215" t="s">
        <v>12</v>
      </c>
      <c r="J480" s="222"/>
      <c r="K480" s="222"/>
    </row>
    <row r="481" spans="1:11">
      <c r="A481" s="221" t="s">
        <v>28</v>
      </c>
      <c r="B481" s="221">
        <v>40.169782531807499</v>
      </c>
      <c r="C481" s="223">
        <v>0.4</v>
      </c>
      <c r="D481" s="222"/>
      <c r="E481" s="222"/>
      <c r="F481" s="222"/>
      <c r="G481" s="222"/>
      <c r="H481" s="222"/>
      <c r="I481" s="215" t="s">
        <v>12</v>
      </c>
      <c r="J481" s="222"/>
      <c r="K481" s="222"/>
    </row>
    <row r="482" spans="1:11">
      <c r="A482" s="221" t="s">
        <v>28</v>
      </c>
      <c r="B482" s="221">
        <v>49.881153069688303</v>
      </c>
      <c r="C482" s="223">
        <v>0.4</v>
      </c>
      <c r="D482" s="222"/>
      <c r="E482" s="222"/>
      <c r="F482" s="222"/>
      <c r="G482" s="222"/>
      <c r="H482" s="222"/>
      <c r="I482" s="215" t="s">
        <v>12</v>
      </c>
      <c r="J482" s="222"/>
      <c r="K482" s="222"/>
    </row>
    <row r="483" spans="1:11">
      <c r="A483" s="221" t="s">
        <v>28</v>
      </c>
      <c r="B483" s="221">
        <v>60.144314731059602</v>
      </c>
      <c r="C483" s="223">
        <v>0.4</v>
      </c>
      <c r="D483" s="222"/>
      <c r="E483" s="222"/>
      <c r="F483" s="222"/>
      <c r="G483" s="222"/>
      <c r="H483" s="222"/>
      <c r="I483" s="215" t="s">
        <v>12</v>
      </c>
      <c r="J483" s="222"/>
      <c r="K483" s="222"/>
    </row>
    <row r="484" spans="1:11">
      <c r="A484" s="221" t="s">
        <v>28</v>
      </c>
      <c r="B484" s="221">
        <v>69.855693688476194</v>
      </c>
      <c r="C484" s="223">
        <v>0.4</v>
      </c>
      <c r="D484" s="222"/>
      <c r="E484" s="222"/>
      <c r="F484" s="222"/>
      <c r="G484" s="222"/>
      <c r="H484" s="222"/>
      <c r="I484" s="215" t="s">
        <v>12</v>
      </c>
      <c r="J484" s="222"/>
      <c r="K484" s="222"/>
    </row>
    <row r="485" spans="1:11">
      <c r="A485" s="221" t="s">
        <v>28</v>
      </c>
      <c r="B485" s="221">
        <v>89.940580744612106</v>
      </c>
      <c r="C485" s="223">
        <v>0.4</v>
      </c>
      <c r="D485" s="222"/>
      <c r="E485" s="222"/>
      <c r="F485" s="222"/>
      <c r="G485" s="222"/>
      <c r="H485" s="222"/>
      <c r="I485" s="215" t="s">
        <v>12</v>
      </c>
      <c r="J485" s="222"/>
      <c r="K485" s="222"/>
    </row>
    <row r="486" spans="1:11">
      <c r="A486" s="221" t="s">
        <v>28</v>
      </c>
      <c r="B486" s="221">
        <v>99.983024272679998</v>
      </c>
      <c r="C486" s="223">
        <v>0.4</v>
      </c>
      <c r="D486" s="222"/>
      <c r="E486" s="222"/>
      <c r="F486" s="222"/>
      <c r="G486" s="222"/>
      <c r="H486" s="222"/>
      <c r="I486" s="215" t="s">
        <v>12</v>
      </c>
      <c r="J486" s="222"/>
      <c r="K486" s="222"/>
    </row>
    <row r="487" spans="1:11">
      <c r="A487" s="221" t="s">
        <v>28</v>
      </c>
      <c r="B487" s="221">
        <v>120.067911328815</v>
      </c>
      <c r="C487" s="223">
        <v>0.4</v>
      </c>
      <c r="D487" s="222"/>
      <c r="E487" s="222"/>
      <c r="F487" s="222"/>
      <c r="G487" s="222"/>
      <c r="H487" s="222"/>
      <c r="I487" s="215" t="s">
        <v>12</v>
      </c>
      <c r="J487" s="222"/>
      <c r="K487" s="2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3:X618"/>
  <sheetViews>
    <sheetView workbookViewId="0"/>
  </sheetViews>
  <sheetFormatPr defaultColWidth="12.6640625" defaultRowHeight="15" customHeight="1"/>
  <cols>
    <col min="18" max="18" width="20.109375" customWidth="1"/>
  </cols>
  <sheetData>
    <row r="3" spans="1:24" ht="13.2">
      <c r="B3" s="84" t="s">
        <v>65</v>
      </c>
    </row>
    <row r="4" spans="1:24" ht="37.799999999999997">
      <c r="A4" s="224" t="s">
        <v>66</v>
      </c>
      <c r="E4" s="225" t="s">
        <v>67</v>
      </c>
      <c r="K4" s="253" t="s">
        <v>68</v>
      </c>
      <c r="L4" s="254"/>
      <c r="M4" s="254"/>
      <c r="N4" s="254"/>
      <c r="O4" s="254"/>
      <c r="P4" s="254"/>
    </row>
    <row r="5" spans="1:24" ht="13.2">
      <c r="A5" s="92" t="s">
        <v>69</v>
      </c>
      <c r="B5" s="92" t="s">
        <v>70</v>
      </c>
      <c r="C5" s="84"/>
      <c r="E5" s="84" t="s">
        <v>71</v>
      </c>
      <c r="F5" s="84" t="s">
        <v>72</v>
      </c>
      <c r="G5" s="84" t="s">
        <v>73</v>
      </c>
      <c r="Q5" s="84" t="s">
        <v>74</v>
      </c>
      <c r="R5" s="84" t="s">
        <v>75</v>
      </c>
      <c r="T5" s="84" t="s">
        <v>76</v>
      </c>
      <c r="U5" s="84" t="s">
        <v>77</v>
      </c>
      <c r="W5" s="84" t="s">
        <v>78</v>
      </c>
      <c r="X5" s="84" t="s">
        <v>79</v>
      </c>
    </row>
    <row r="6" spans="1:24" ht="13.2">
      <c r="A6" s="88">
        <v>499.51633538240702</v>
      </c>
      <c r="B6" s="226">
        <v>6.4211823618696702</v>
      </c>
      <c r="C6" s="226">
        <v>6.5</v>
      </c>
      <c r="E6" s="88">
        <v>0.61339075647007202</v>
      </c>
      <c r="F6" s="85">
        <f t="shared" ref="F6:F40" si="0">E6*60</f>
        <v>36.803445388204324</v>
      </c>
      <c r="G6" s="84">
        <v>4.6319568954296599</v>
      </c>
      <c r="K6" s="25">
        <v>6.5</v>
      </c>
      <c r="L6" s="85">
        <f t="shared" ref="L6:L162" si="1">K6/10</f>
        <v>0.65</v>
      </c>
      <c r="Q6" s="84">
        <v>1.25</v>
      </c>
      <c r="R6" s="84">
        <v>1250</v>
      </c>
      <c r="T6" s="84">
        <v>9.6000000000000002E-2</v>
      </c>
      <c r="U6" s="85">
        <f>T6*10*2</f>
        <v>1.92</v>
      </c>
      <c r="W6" s="84">
        <v>2.5</v>
      </c>
      <c r="X6" s="85">
        <f>2*POWER((3*W6*1000)/(4*PI()), 1/3)</f>
        <v>16.838903009606298</v>
      </c>
    </row>
    <row r="7" spans="1:24" ht="13.2">
      <c r="A7" s="92">
        <v>1002.46512934128</v>
      </c>
      <c r="B7" s="227">
        <v>9.7893698999779399</v>
      </c>
      <c r="C7" s="226"/>
      <c r="E7" s="92">
        <v>0.73434120429737504</v>
      </c>
      <c r="F7" s="85">
        <f t="shared" si="0"/>
        <v>44.060472257842505</v>
      </c>
      <c r="G7" s="84">
        <v>4.5780977557561702</v>
      </c>
      <c r="K7" s="25">
        <v>6.5</v>
      </c>
      <c r="L7" s="85">
        <f t="shared" si="1"/>
        <v>0.65</v>
      </c>
    </row>
    <row r="8" spans="1:24" ht="13.2">
      <c r="A8" s="92">
        <v>1501.9689830561299</v>
      </c>
      <c r="B8" s="227">
        <v>10.4395781170945</v>
      </c>
      <c r="C8" s="226"/>
      <c r="E8" s="92">
        <v>0.82073428715589003</v>
      </c>
      <c r="F8" s="85">
        <f t="shared" si="0"/>
        <v>49.244057229353402</v>
      </c>
      <c r="G8" s="84">
        <v>4.7127476595343802</v>
      </c>
      <c r="K8" s="25">
        <v>6.5</v>
      </c>
      <c r="L8" s="85">
        <f t="shared" si="1"/>
        <v>0.65</v>
      </c>
      <c r="W8" s="92">
        <v>4.5012019230769203E-2</v>
      </c>
      <c r="X8" s="85">
        <f t="shared" ref="X8:X22" si="2">2*POWER((3*W8*1000)/(4*PI()), 1/3)</f>
        <v>4.4134338790100367</v>
      </c>
    </row>
    <row r="9" spans="1:24" ht="13.2">
      <c r="A9" s="92">
        <v>499.96567541423502</v>
      </c>
      <c r="B9" s="227">
        <v>6.9820323547344998</v>
      </c>
      <c r="C9" s="226">
        <v>12</v>
      </c>
      <c r="E9" s="92">
        <v>0.95032392174252101</v>
      </c>
      <c r="F9" s="85">
        <f t="shared" si="0"/>
        <v>57.019435304551259</v>
      </c>
      <c r="G9" s="84">
        <v>4.6806277733635397</v>
      </c>
      <c r="K9" s="25">
        <v>6.5</v>
      </c>
      <c r="L9" s="85">
        <f t="shared" si="1"/>
        <v>0.65</v>
      </c>
      <c r="W9" s="92">
        <v>5.2163461538461499E-2</v>
      </c>
      <c r="X9" s="85">
        <f t="shared" si="2"/>
        <v>4.6357776105626742</v>
      </c>
    </row>
    <row r="10" spans="1:24" ht="13.2">
      <c r="A10" s="92">
        <v>1002.32783099822</v>
      </c>
      <c r="B10" s="227">
        <v>10.2743017267101</v>
      </c>
      <c r="C10" s="226"/>
      <c r="E10" s="92">
        <v>1.0539956870854199</v>
      </c>
      <c r="F10" s="85">
        <f t="shared" si="0"/>
        <v>63.239741225125194</v>
      </c>
      <c r="G10" s="84">
        <v>4.8063011425992501</v>
      </c>
      <c r="K10" s="25">
        <v>6.5</v>
      </c>
      <c r="L10" s="85">
        <f t="shared" si="1"/>
        <v>0.65</v>
      </c>
      <c r="W10" s="92">
        <v>6.3942307692307604E-2</v>
      </c>
      <c r="X10" s="85">
        <f t="shared" si="2"/>
        <v>4.9613122517439976</v>
      </c>
    </row>
    <row r="11" spans="1:24" ht="13.2">
      <c r="A11" s="92">
        <v>1502.53065809592</v>
      </c>
      <c r="B11" s="227">
        <v>11.434687285134199</v>
      </c>
      <c r="C11" s="226"/>
      <c r="E11" s="92">
        <v>1.1519080014546901</v>
      </c>
      <c r="F11" s="85">
        <f t="shared" si="0"/>
        <v>69.114480087281407</v>
      </c>
      <c r="G11" s="84">
        <v>4.8601613047427197</v>
      </c>
      <c r="K11" s="25">
        <v>6.5</v>
      </c>
      <c r="L11" s="85">
        <f t="shared" si="1"/>
        <v>0.65</v>
      </c>
      <c r="W11" s="92">
        <v>7.4459134615384601E-2</v>
      </c>
      <c r="X11" s="85">
        <f t="shared" si="2"/>
        <v>5.2196308266952114</v>
      </c>
    </row>
    <row r="12" spans="1:24" ht="13.2">
      <c r="A12" s="92">
        <v>499.96567541423502</v>
      </c>
      <c r="B12" s="227">
        <v>6.9820323547344998</v>
      </c>
      <c r="C12" s="226">
        <v>31.5</v>
      </c>
      <c r="E12" s="92">
        <v>1.2555797667976001</v>
      </c>
      <c r="F12" s="85">
        <f t="shared" si="0"/>
        <v>75.33478600785601</v>
      </c>
      <c r="G12" s="84">
        <v>4.8601613047427197</v>
      </c>
      <c r="K12" s="25">
        <v>6.5</v>
      </c>
      <c r="L12" s="85">
        <f t="shared" si="1"/>
        <v>0.65</v>
      </c>
      <c r="W12" s="92">
        <v>8.49759615384615E-2</v>
      </c>
      <c r="X12" s="85">
        <f t="shared" si="2"/>
        <v>5.4546365937994432</v>
      </c>
    </row>
    <row r="13" spans="1:24" ht="13.2">
      <c r="A13" s="92">
        <v>1000.0936125066301</v>
      </c>
      <c r="B13" s="227">
        <v>9.3832621978905806</v>
      </c>
      <c r="C13" s="226"/>
      <c r="E13" s="92">
        <v>1.3592515321405101</v>
      </c>
      <c r="F13" s="85">
        <f t="shared" si="0"/>
        <v>81.555091928430599</v>
      </c>
      <c r="G13" s="84">
        <v>4.8781138360429201</v>
      </c>
      <c r="K13" s="25">
        <v>6.5</v>
      </c>
      <c r="L13" s="85">
        <f t="shared" si="1"/>
        <v>0.65</v>
      </c>
      <c r="W13" s="92">
        <v>9.5072115384615297E-2</v>
      </c>
      <c r="X13" s="85">
        <f t="shared" si="2"/>
        <v>5.6626299065744288</v>
      </c>
    </row>
    <row r="14" spans="1:24" ht="13.2">
      <c r="A14" s="92">
        <v>1500.48366461759</v>
      </c>
      <c r="B14" s="227">
        <v>11.7855817754887</v>
      </c>
      <c r="C14" s="226"/>
      <c r="E14" s="92">
        <v>1.46292296791996</v>
      </c>
      <c r="F14" s="85">
        <f t="shared" si="0"/>
        <v>87.775378075197608</v>
      </c>
      <c r="G14" s="84">
        <v>4.8601613047427197</v>
      </c>
      <c r="K14" s="25">
        <v>6.5</v>
      </c>
      <c r="L14" s="85">
        <f t="shared" si="1"/>
        <v>0.65</v>
      </c>
      <c r="W14" s="92">
        <v>0.106430288461538</v>
      </c>
      <c r="X14" s="85">
        <f t="shared" si="2"/>
        <v>5.8797050274711102</v>
      </c>
    </row>
    <row r="15" spans="1:24" ht="13.2">
      <c r="A15" s="92">
        <v>500.40253377851201</v>
      </c>
      <c r="B15" s="227">
        <v>7.3768794675868801</v>
      </c>
      <c r="C15" s="226">
        <v>108</v>
      </c>
      <c r="E15" s="92">
        <v>1.5723541842365101</v>
      </c>
      <c r="F15" s="85">
        <f t="shared" si="0"/>
        <v>94.341251054190607</v>
      </c>
      <c r="G15" s="84">
        <v>4.9499275567837397</v>
      </c>
      <c r="K15" s="228">
        <v>5.0999999999999996</v>
      </c>
      <c r="L15" s="85">
        <f t="shared" si="1"/>
        <v>0.51</v>
      </c>
      <c r="W15" s="92">
        <v>0.12073317307692299</v>
      </c>
      <c r="X15" s="85">
        <f t="shared" si="2"/>
        <v>6.1321014440927115</v>
      </c>
    </row>
    <row r="16" spans="1:24" ht="13.2">
      <c r="A16" s="92">
        <v>1002.32783099822</v>
      </c>
      <c r="B16" s="227">
        <v>10.2743017267101</v>
      </c>
      <c r="C16" s="226"/>
      <c r="E16" s="92">
        <v>1.66450704763213</v>
      </c>
      <c r="F16" s="85">
        <f t="shared" si="0"/>
        <v>99.870422857927792</v>
      </c>
      <c r="G16" s="84">
        <v>5.0217412775245602</v>
      </c>
      <c r="K16" s="228">
        <v>5.0999999999999996</v>
      </c>
      <c r="L16" s="85">
        <f t="shared" si="1"/>
        <v>0.51</v>
      </c>
      <c r="W16" s="92">
        <v>0.14218749999999999</v>
      </c>
      <c r="X16" s="85">
        <f t="shared" si="2"/>
        <v>6.4757130873437294</v>
      </c>
    </row>
    <row r="17" spans="1:24" ht="13.2">
      <c r="A17" s="92">
        <v>1501.3698630136901</v>
      </c>
      <c r="B17" s="227">
        <v>12.120856738839899</v>
      </c>
      <c r="C17" s="226"/>
      <c r="E17" s="92">
        <v>1.75665958146429</v>
      </c>
      <c r="F17" s="85">
        <f t="shared" si="0"/>
        <v>105.3995748878574</v>
      </c>
      <c r="G17" s="84">
        <v>5.1294610881629303</v>
      </c>
      <c r="K17" s="228">
        <v>5.0999999999999996</v>
      </c>
      <c r="L17" s="85">
        <f t="shared" si="1"/>
        <v>0.51</v>
      </c>
      <c r="W17" s="92">
        <v>0.15144230769230699</v>
      </c>
      <c r="X17" s="85">
        <f t="shared" si="2"/>
        <v>6.613269159897591</v>
      </c>
    </row>
    <row r="18" spans="1:24" ht="13.2">
      <c r="A18" s="92">
        <v>501.60077386338799</v>
      </c>
      <c r="B18" s="227">
        <v>10.727994499435599</v>
      </c>
      <c r="C18" s="226">
        <v>378</v>
      </c>
      <c r="E18" s="92">
        <v>1.86609046821739</v>
      </c>
      <c r="F18" s="85">
        <f t="shared" si="0"/>
        <v>111.9654280930434</v>
      </c>
      <c r="G18" s="84">
        <v>5.2371803851527199</v>
      </c>
      <c r="K18" s="228">
        <v>5.0999999999999996</v>
      </c>
      <c r="L18" s="85">
        <f t="shared" si="1"/>
        <v>0.51</v>
      </c>
      <c r="W18" s="92">
        <v>0.162379807692307</v>
      </c>
      <c r="X18" s="85">
        <f t="shared" si="2"/>
        <v>6.7687914501564839</v>
      </c>
    </row>
    <row r="19" spans="1:24" ht="13.2">
      <c r="A19" s="92">
        <v>997.73457733953205</v>
      </c>
      <c r="B19" s="227">
        <v>12.406548785075801</v>
      </c>
      <c r="C19" s="226"/>
      <c r="E19" s="92">
        <v>1.9697625631237601</v>
      </c>
      <c r="F19" s="85">
        <f t="shared" si="0"/>
        <v>118.18575378742561</v>
      </c>
      <c r="G19" s="84">
        <v>5.2730875023474102</v>
      </c>
      <c r="K19" s="228">
        <v>5.0999999999999996</v>
      </c>
      <c r="L19" s="85">
        <f t="shared" si="1"/>
        <v>0.51</v>
      </c>
      <c r="W19" s="92">
        <v>0.16448317307692301</v>
      </c>
      <c r="X19" s="85">
        <f t="shared" si="2"/>
        <v>6.7978923731133829</v>
      </c>
    </row>
    <row r="20" spans="1:24" ht="13.2">
      <c r="A20" s="92">
        <v>1502.3808780853101</v>
      </c>
      <c r="B20" s="227">
        <v>13.632136787618499</v>
      </c>
      <c r="C20" s="226"/>
      <c r="E20" s="92">
        <v>2.0791934498768501</v>
      </c>
      <c r="F20" s="85">
        <f t="shared" si="0"/>
        <v>124.751606992611</v>
      </c>
      <c r="G20" s="84">
        <v>5.3089941058935404</v>
      </c>
      <c r="K20" s="228">
        <v>5.0999999999999996</v>
      </c>
      <c r="L20" s="85">
        <f t="shared" si="1"/>
        <v>0.51</v>
      </c>
      <c r="W20" s="92">
        <v>0.172055288461538</v>
      </c>
      <c r="X20" s="85">
        <f t="shared" si="2"/>
        <v>6.9006468323467187</v>
      </c>
    </row>
    <row r="21" spans="1:24" ht="13.2">
      <c r="A21" s="92">
        <v>499.341592036696</v>
      </c>
      <c r="B21" s="227">
        <v>9.7986326427357504</v>
      </c>
      <c r="C21" s="226">
        <v>849</v>
      </c>
      <c r="E21" s="92">
        <v>2.1828655447832199</v>
      </c>
      <c r="F21" s="85">
        <f t="shared" si="0"/>
        <v>130.9719326869932</v>
      </c>
      <c r="G21" s="84">
        <v>5.3628542680370099</v>
      </c>
      <c r="K21" s="228">
        <v>5.0999999999999996</v>
      </c>
      <c r="L21" s="85">
        <f t="shared" si="1"/>
        <v>0.51</v>
      </c>
      <c r="W21" s="92">
        <v>0.193509615384615</v>
      </c>
      <c r="X21" s="85">
        <f t="shared" si="2"/>
        <v>7.1763119528932693</v>
      </c>
    </row>
    <row r="22" spans="1:24" ht="13.2">
      <c r="A22" s="92">
        <v>1000.33076419009</v>
      </c>
      <c r="B22" s="227">
        <v>13.779432559708299</v>
      </c>
      <c r="C22" s="226"/>
      <c r="E22" s="92">
        <v>2.2922964315363199</v>
      </c>
      <c r="F22" s="85">
        <f t="shared" si="0"/>
        <v>137.53778589217919</v>
      </c>
      <c r="G22" s="84">
        <v>5.3808073129857803</v>
      </c>
      <c r="K22" s="228">
        <v>5.0999999999999996</v>
      </c>
      <c r="L22" s="85">
        <f t="shared" si="1"/>
        <v>0.51</v>
      </c>
      <c r="W22" s="92">
        <v>0.21328124999999901</v>
      </c>
      <c r="X22" s="85">
        <f t="shared" si="2"/>
        <v>7.4128410017713637</v>
      </c>
    </row>
    <row r="23" spans="1:24" ht="13.2">
      <c r="A23" s="92">
        <v>1497.1635410490801</v>
      </c>
      <c r="B23" s="227">
        <v>14.732223706913301</v>
      </c>
      <c r="C23" s="226"/>
      <c r="E23" s="92">
        <v>2.39596852644268</v>
      </c>
      <c r="F23" s="85">
        <f t="shared" si="0"/>
        <v>143.7581115865608</v>
      </c>
      <c r="G23" s="84">
        <v>5.4346674751292499</v>
      </c>
      <c r="K23" s="228">
        <v>5.0999999999999996</v>
      </c>
      <c r="L23" s="85">
        <f t="shared" si="1"/>
        <v>0.51</v>
      </c>
    </row>
    <row r="24" spans="1:24" ht="13.2">
      <c r="A24" s="88"/>
      <c r="B24" s="229"/>
      <c r="C24" s="226"/>
      <c r="E24" s="92">
        <v>2.4996399622221399</v>
      </c>
      <c r="F24" s="85">
        <f t="shared" si="0"/>
        <v>149.97839773332839</v>
      </c>
      <c r="G24" s="84">
        <v>5.5064801685729199</v>
      </c>
      <c r="K24" s="228">
        <v>5.0999999999999996</v>
      </c>
      <c r="L24" s="85">
        <f t="shared" si="1"/>
        <v>0.51</v>
      </c>
      <c r="W24" s="92">
        <v>5.2584134615384602E-2</v>
      </c>
      <c r="X24" s="85">
        <f t="shared" ref="X24:X36" si="3">2*POWER((3*W24*1000)/(4*PI()), 1/3)</f>
        <v>4.6482060282419111</v>
      </c>
    </row>
    <row r="25" spans="1:24" ht="13.2">
      <c r="A25" s="88">
        <v>499.496587294233</v>
      </c>
      <c r="B25" s="230">
        <v>7.6809861689546999</v>
      </c>
      <c r="C25" s="226">
        <v>6.5</v>
      </c>
      <c r="E25" s="92">
        <v>2.5917924960543002</v>
      </c>
      <c r="F25" s="85">
        <f t="shared" si="0"/>
        <v>155.507549763258</v>
      </c>
      <c r="G25" s="84">
        <v>5.5962469342625196</v>
      </c>
      <c r="K25" s="228">
        <v>5.0999999999999996</v>
      </c>
      <c r="L25" s="85">
        <f t="shared" si="1"/>
        <v>0.51</v>
      </c>
      <c r="W25" s="92">
        <v>6.3521634615384598E-2</v>
      </c>
      <c r="X25" s="85">
        <f t="shared" si="3"/>
        <v>4.9504082336210358</v>
      </c>
    </row>
    <row r="26" spans="1:24" ht="13.2">
      <c r="A26" s="84">
        <v>997.00423113746501</v>
      </c>
      <c r="B26" s="84">
        <v>11.016864620288899</v>
      </c>
      <c r="C26" s="226"/>
      <c r="E26" s="84">
        <v>2.7069834929079502</v>
      </c>
      <c r="F26" s="85">
        <f t="shared" si="0"/>
        <v>162.419009574477</v>
      </c>
      <c r="G26" s="84">
        <v>5.6501070964059901</v>
      </c>
      <c r="K26" s="8">
        <v>5.0999999999999996</v>
      </c>
      <c r="L26" s="85">
        <f t="shared" si="1"/>
        <v>0.51</v>
      </c>
      <c r="W26" s="92">
        <v>7.6141826923076902E-2</v>
      </c>
      <c r="X26" s="85">
        <f t="shared" si="3"/>
        <v>5.2586575529323385</v>
      </c>
    </row>
    <row r="27" spans="1:24" ht="13.2">
      <c r="A27" s="84">
        <v>1497.25439327959</v>
      </c>
      <c r="B27" s="84">
        <v>12.548485783330699</v>
      </c>
      <c r="C27" s="226"/>
      <c r="E27" s="92">
        <v>2.8048954777137598</v>
      </c>
      <c r="F27" s="85">
        <f t="shared" si="0"/>
        <v>168.2937286628256</v>
      </c>
      <c r="G27" s="84">
        <v>5.6860131863035397</v>
      </c>
      <c r="K27" s="8">
        <v>5.0999999999999996</v>
      </c>
      <c r="L27" s="85">
        <f t="shared" si="1"/>
        <v>0.51</v>
      </c>
      <c r="W27" s="92">
        <v>8.2451923076923006E-2</v>
      </c>
      <c r="X27" s="85">
        <f t="shared" si="3"/>
        <v>5.400086572703283</v>
      </c>
    </row>
    <row r="28" spans="1:24" ht="13.2">
      <c r="A28" s="84">
        <v>502.38734982550397</v>
      </c>
      <c r="B28" s="84">
        <v>7.6970024165766802</v>
      </c>
      <c r="C28" s="226">
        <v>12</v>
      </c>
      <c r="E28" s="92">
        <v>2.9143270235937702</v>
      </c>
      <c r="F28" s="85">
        <f t="shared" si="0"/>
        <v>174.85962141562621</v>
      </c>
      <c r="G28" s="84">
        <v>5.6680606550033303</v>
      </c>
      <c r="K28" s="8">
        <v>5.0999999999999996</v>
      </c>
      <c r="L28" s="85">
        <f t="shared" si="1"/>
        <v>0.51</v>
      </c>
      <c r="W28" s="92">
        <v>9.7175480769230702E-2</v>
      </c>
      <c r="X28" s="85">
        <f t="shared" si="3"/>
        <v>5.7040854812155697</v>
      </c>
    </row>
    <row r="29" spans="1:24" ht="13.2">
      <c r="A29" s="84">
        <v>998.783161925939</v>
      </c>
      <c r="B29" s="84">
        <v>11.477016813203701</v>
      </c>
      <c r="C29" s="226"/>
      <c r="E29" s="92">
        <v>3.0179984593732199</v>
      </c>
      <c r="F29" s="85">
        <f t="shared" si="0"/>
        <v>181.0799075623932</v>
      </c>
      <c r="G29" s="84">
        <v>5.7757799519931297</v>
      </c>
      <c r="K29" s="8">
        <v>5.0999999999999996</v>
      </c>
      <c r="L29" s="85">
        <f t="shared" si="1"/>
        <v>0.51</v>
      </c>
      <c r="W29" s="92">
        <v>0.11274038461538401</v>
      </c>
      <c r="X29" s="85">
        <f t="shared" si="3"/>
        <v>5.9936810694801235</v>
      </c>
    </row>
    <row r="30" spans="1:24" ht="13.2">
      <c r="A30" s="84">
        <v>1498.69977454523</v>
      </c>
      <c r="B30" s="84">
        <v>14.079926988534099</v>
      </c>
      <c r="C30" s="226"/>
      <c r="E30" s="92">
        <v>3.1216705542795902</v>
      </c>
      <c r="F30" s="85">
        <f t="shared" si="0"/>
        <v>187.30023325677541</v>
      </c>
      <c r="G30" s="84">
        <v>5.7757799519931297</v>
      </c>
      <c r="K30" s="8">
        <v>5.0999999999999996</v>
      </c>
      <c r="L30" s="85">
        <f t="shared" si="1"/>
        <v>0.51</v>
      </c>
      <c r="W30" s="92">
        <v>0.12620192307692299</v>
      </c>
      <c r="X30" s="85">
        <f t="shared" si="3"/>
        <v>6.2233245481514121</v>
      </c>
    </row>
    <row r="31" spans="1:24" ht="13.2">
      <c r="A31" s="84">
        <v>501.79437289601202</v>
      </c>
      <c r="B31" s="84">
        <v>7.9133117383927196</v>
      </c>
      <c r="C31" s="226">
        <v>31.5</v>
      </c>
      <c r="E31" s="92">
        <v>3.2195825390853998</v>
      </c>
      <c r="F31" s="85">
        <f t="shared" si="0"/>
        <v>193.17495234512398</v>
      </c>
      <c r="G31" s="84">
        <v>5.8655467176827196</v>
      </c>
      <c r="K31" s="8">
        <v>5.0999999999999996</v>
      </c>
      <c r="L31" s="85">
        <f t="shared" si="1"/>
        <v>0.51</v>
      </c>
      <c r="W31" s="92">
        <v>0.13671875</v>
      </c>
      <c r="X31" s="85">
        <f t="shared" si="3"/>
        <v>6.3916033971817985</v>
      </c>
    </row>
    <row r="32" spans="1:24" ht="13.2">
      <c r="A32" s="84">
        <v>997.00423113746501</v>
      </c>
      <c r="B32" s="84">
        <v>11.016864620288899</v>
      </c>
      <c r="C32" s="226"/>
      <c r="E32" s="92">
        <v>3.3174945238912001</v>
      </c>
      <c r="F32" s="85">
        <f t="shared" si="0"/>
        <v>199.04967143347201</v>
      </c>
      <c r="G32" s="84">
        <v>5.7937340242390496</v>
      </c>
      <c r="K32" s="8">
        <v>5.0999999999999996</v>
      </c>
      <c r="L32" s="85">
        <f t="shared" si="1"/>
        <v>0.51</v>
      </c>
      <c r="W32" s="92">
        <v>0.153966346153846</v>
      </c>
      <c r="X32" s="85">
        <f t="shared" si="3"/>
        <v>6.6498073000651061</v>
      </c>
    </row>
    <row r="33" spans="1:24" ht="13.2">
      <c r="A33" s="84">
        <v>1496.8590753266001</v>
      </c>
      <c r="B33" s="84">
        <v>11.4924931873104</v>
      </c>
      <c r="C33" s="226"/>
      <c r="E33" s="92">
        <v>3.42116661879757</v>
      </c>
      <c r="F33" s="85">
        <f t="shared" si="0"/>
        <v>205.2699971278542</v>
      </c>
      <c r="G33" s="84">
        <v>6.0091731318672101</v>
      </c>
      <c r="K33" s="8">
        <v>5.0999999999999996</v>
      </c>
      <c r="L33" s="85">
        <f t="shared" si="1"/>
        <v>0.51</v>
      </c>
      <c r="W33" s="92">
        <v>0.165745192307692</v>
      </c>
      <c r="X33" s="85">
        <f t="shared" si="3"/>
        <v>6.8152340104303066</v>
      </c>
    </row>
    <row r="34" spans="1:24" ht="13.2">
      <c r="A34" s="84">
        <v>501.79437289601202</v>
      </c>
      <c r="B34" s="84">
        <v>7.9133117383927196</v>
      </c>
      <c r="C34" s="226">
        <v>108</v>
      </c>
      <c r="E34" s="92">
        <v>3.5133191526297298</v>
      </c>
      <c r="F34" s="85">
        <f t="shared" si="0"/>
        <v>210.7991491577838</v>
      </c>
      <c r="G34" s="84">
        <v>5.9373604384235401</v>
      </c>
      <c r="K34" s="8">
        <v>5.0999999999999996</v>
      </c>
      <c r="L34" s="85">
        <f t="shared" si="1"/>
        <v>0.51</v>
      </c>
      <c r="W34" s="92">
        <v>0.19014423076923001</v>
      </c>
      <c r="X34" s="85">
        <f t="shared" si="3"/>
        <v>7.1344666170573543</v>
      </c>
    </row>
    <row r="35" spans="1:24" ht="13.2">
      <c r="A35" s="84">
        <v>1000.17912844745</v>
      </c>
      <c r="B35" s="84">
        <v>13.1436063550825</v>
      </c>
      <c r="C35" s="226"/>
      <c r="E35" s="92">
        <v>3.6400290514306799</v>
      </c>
      <c r="F35" s="85">
        <f t="shared" si="0"/>
        <v>218.40174308584079</v>
      </c>
      <c r="G35" s="84">
        <v>6.0091731318672101</v>
      </c>
      <c r="K35" s="8">
        <v>5.0999999999999996</v>
      </c>
      <c r="L35" s="85">
        <f t="shared" si="1"/>
        <v>0.51</v>
      </c>
      <c r="W35" s="92">
        <v>0.20360576923076901</v>
      </c>
      <c r="X35" s="85">
        <f t="shared" si="3"/>
        <v>7.2990076550712537</v>
      </c>
    </row>
    <row r="36" spans="1:24" ht="13.2">
      <c r="A36" s="84">
        <v>1498.69977454523</v>
      </c>
      <c r="B36" s="84">
        <v>14.079926988534099</v>
      </c>
      <c r="C36" s="226"/>
      <c r="E36" s="92">
        <v>3.7552193891574199</v>
      </c>
      <c r="F36" s="85">
        <f t="shared" si="0"/>
        <v>225.3131633494452</v>
      </c>
      <c r="G36" s="84">
        <v>6.0091731318672101</v>
      </c>
      <c r="K36" s="8">
        <v>5.0999999999999996</v>
      </c>
      <c r="L36" s="85">
        <f t="shared" si="1"/>
        <v>0.51</v>
      </c>
      <c r="W36" s="92">
        <v>0.22800480769230699</v>
      </c>
      <c r="X36" s="85">
        <f t="shared" si="3"/>
        <v>7.5796379360954651</v>
      </c>
    </row>
    <row r="37" spans="1:24" ht="13.2">
      <c r="A37" s="84">
        <v>501.36199388492503</v>
      </c>
      <c r="B37" s="84">
        <v>9.8860095634736993</v>
      </c>
      <c r="C37" s="226">
        <v>378</v>
      </c>
      <c r="E37" s="92">
        <v>3.8416124720159401</v>
      </c>
      <c r="F37" s="85">
        <f t="shared" si="0"/>
        <v>230.49674832095641</v>
      </c>
      <c r="G37" s="84">
        <v>6.0450792217647598</v>
      </c>
      <c r="K37" s="8">
        <v>5.0999999999999996</v>
      </c>
      <c r="L37" s="85">
        <f t="shared" si="1"/>
        <v>0.51</v>
      </c>
    </row>
    <row r="38" spans="1:24" ht="13.2">
      <c r="A38" s="84">
        <v>999.09200407671597</v>
      </c>
      <c r="B38" s="84">
        <v>13.613836186950399</v>
      </c>
      <c r="C38" s="226"/>
      <c r="E38" s="92">
        <v>3.9452845669222998</v>
      </c>
      <c r="F38" s="85">
        <f t="shared" si="0"/>
        <v>236.717074015338</v>
      </c>
      <c r="G38" s="84">
        <v>6.0809868526080297</v>
      </c>
      <c r="K38" s="8">
        <v>9.1999999999999993</v>
      </c>
      <c r="L38" s="85">
        <f t="shared" si="1"/>
        <v>0.91999999999999993</v>
      </c>
      <c r="W38" s="92">
        <v>5.9735576923076898E-2</v>
      </c>
      <c r="X38" s="85">
        <f t="shared" ref="X38:X104" si="4">2*POWER((3*W38*1000)/(4*PI()), 1/3)</f>
        <v>4.8500343377885056</v>
      </c>
    </row>
    <row r="39" spans="1:24" ht="13.2">
      <c r="A39" s="84">
        <v>1496.0807931066399</v>
      </c>
      <c r="B39" s="84">
        <v>14.8368296570517</v>
      </c>
      <c r="C39" s="226"/>
      <c r="E39" s="84">
        <v>4.0431965517281103</v>
      </c>
      <c r="F39" s="85">
        <f t="shared" si="0"/>
        <v>242.59179310368663</v>
      </c>
      <c r="G39" s="84">
        <v>6.0809868526080297</v>
      </c>
      <c r="K39" s="8">
        <v>9.1999999999999993</v>
      </c>
      <c r="L39" s="85">
        <f t="shared" si="1"/>
        <v>0.91999999999999993</v>
      </c>
      <c r="W39" s="92">
        <v>6.8569711538461503E-2</v>
      </c>
      <c r="X39" s="85">
        <f t="shared" si="4"/>
        <v>5.0782167472073256</v>
      </c>
    </row>
    <row r="40" spans="1:24" ht="13.2">
      <c r="A40" s="84">
        <v>503.07915624324397</v>
      </c>
      <c r="B40" s="84">
        <v>11.474497403465399</v>
      </c>
      <c r="C40" s="226">
        <v>849</v>
      </c>
      <c r="E40" s="88">
        <v>4.1526280976081198</v>
      </c>
      <c r="F40" s="85">
        <f t="shared" si="0"/>
        <v>249.15768585648718</v>
      </c>
      <c r="G40" s="84">
        <v>6.1348459874543497</v>
      </c>
      <c r="K40" s="8">
        <v>9.1999999999999993</v>
      </c>
      <c r="L40" s="85">
        <f t="shared" si="1"/>
        <v>0.91999999999999993</v>
      </c>
      <c r="W40" s="92">
        <v>7.9507211538461506E-2</v>
      </c>
      <c r="X40" s="85">
        <f t="shared" si="4"/>
        <v>5.3350189532247283</v>
      </c>
    </row>
    <row r="41" spans="1:24" ht="13.2">
      <c r="A41" s="84">
        <v>998.585502949442</v>
      </c>
      <c r="B41" s="84">
        <v>17.403028433338399</v>
      </c>
      <c r="C41" s="226"/>
      <c r="E41" s="92"/>
      <c r="G41" s="92"/>
      <c r="K41" s="8">
        <v>9.1999999999999993</v>
      </c>
      <c r="L41" s="85">
        <f t="shared" si="1"/>
        <v>0.91999999999999993</v>
      </c>
      <c r="W41" s="92">
        <v>9.0865384615384598E-2</v>
      </c>
      <c r="X41" s="85">
        <f t="shared" si="4"/>
        <v>5.5778472338902931</v>
      </c>
    </row>
    <row r="42" spans="1:24" ht="13.2">
      <c r="A42" s="84">
        <v>1498.50211556873</v>
      </c>
      <c r="B42" s="84">
        <v>18.078590158876999</v>
      </c>
      <c r="C42" s="226"/>
      <c r="E42" s="92" t="s">
        <v>80</v>
      </c>
      <c r="F42" s="92"/>
      <c r="G42" s="88"/>
      <c r="K42" s="8">
        <v>9.1999999999999993</v>
      </c>
      <c r="L42" s="85">
        <f t="shared" si="1"/>
        <v>0.91999999999999993</v>
      </c>
      <c r="W42" s="92">
        <v>0.102223557692307</v>
      </c>
      <c r="X42" s="85">
        <f t="shared" si="4"/>
        <v>5.801194899334992</v>
      </c>
    </row>
    <row r="43" spans="1:24" ht="13.2">
      <c r="E43" s="92">
        <v>0.30868188342529801</v>
      </c>
      <c r="F43" s="85">
        <f t="shared" ref="F43:F73" si="5">E43*60</f>
        <v>18.52091300551788</v>
      </c>
      <c r="G43" s="92">
        <v>3.8665709571681801</v>
      </c>
      <c r="K43" s="8">
        <v>9.1999999999999993</v>
      </c>
      <c r="L43" s="85">
        <f t="shared" si="1"/>
        <v>0.91999999999999993</v>
      </c>
      <c r="W43" s="92">
        <v>0.116947115384615</v>
      </c>
      <c r="X43" s="85">
        <f t="shared" si="4"/>
        <v>6.0673208796800457</v>
      </c>
    </row>
    <row r="44" spans="1:24" ht="13.2">
      <c r="A44" s="84">
        <v>497.50764384323099</v>
      </c>
      <c r="B44" s="84">
        <v>8.1758414514715696</v>
      </c>
      <c r="C44" s="226">
        <v>6.5</v>
      </c>
      <c r="E44" s="92">
        <v>0.41157568102162201</v>
      </c>
      <c r="F44" s="85">
        <f t="shared" si="5"/>
        <v>24.69454086129732</v>
      </c>
      <c r="G44" s="92">
        <v>3.8837873377359702</v>
      </c>
      <c r="K44" s="8">
        <v>9.1999999999999993</v>
      </c>
      <c r="L44" s="85">
        <f t="shared" si="1"/>
        <v>0.91999999999999993</v>
      </c>
      <c r="W44" s="92">
        <v>0.13419471153846099</v>
      </c>
      <c r="X44" s="85">
        <f t="shared" si="4"/>
        <v>6.3520258907862219</v>
      </c>
    </row>
    <row r="45" spans="1:24" ht="13.2">
      <c r="A45" s="84">
        <v>998.49902714722498</v>
      </c>
      <c r="B45" s="84">
        <v>12.706303798773201</v>
      </c>
      <c r="C45" s="226"/>
      <c r="E45" s="92">
        <v>0.51446947861794601</v>
      </c>
      <c r="F45" s="85">
        <f t="shared" si="5"/>
        <v>30.86816871707676</v>
      </c>
      <c r="G45" s="92">
        <v>3.9469153800101502</v>
      </c>
      <c r="K45" s="8">
        <v>9.1999999999999993</v>
      </c>
      <c r="L45" s="85">
        <f t="shared" si="1"/>
        <v>0.91999999999999993</v>
      </c>
      <c r="W45" s="92">
        <v>0.14387019230769199</v>
      </c>
      <c r="X45" s="85">
        <f t="shared" si="4"/>
        <v>6.5011581938706202</v>
      </c>
    </row>
    <row r="46" spans="1:24" ht="13.2">
      <c r="A46" s="84">
        <v>1494.74659501528</v>
      </c>
      <c r="B46" s="84">
        <v>13.3757795989897</v>
      </c>
      <c r="C46" s="226"/>
      <c r="E46" s="92">
        <v>0.61736327621426901</v>
      </c>
      <c r="F46" s="85">
        <f t="shared" si="5"/>
        <v>37.041796572856143</v>
      </c>
      <c r="G46" s="92">
        <v>3.9870873725101901</v>
      </c>
      <c r="K46" s="8">
        <v>9.1999999999999993</v>
      </c>
      <c r="L46" s="85">
        <f t="shared" si="1"/>
        <v>0.91999999999999993</v>
      </c>
      <c r="W46" s="92">
        <v>0.16658653846153801</v>
      </c>
      <c r="X46" s="85">
        <f t="shared" si="4"/>
        <v>6.8267462519231215</v>
      </c>
    </row>
    <row r="47" spans="1:24" ht="13.2">
      <c r="A47" s="84">
        <v>500.39840637450197</v>
      </c>
      <c r="B47" s="84">
        <v>8.7488016081645199</v>
      </c>
      <c r="C47" s="226">
        <v>12</v>
      </c>
      <c r="E47" s="92">
        <v>0.73311910515783896</v>
      </c>
      <c r="F47" s="85">
        <f t="shared" si="5"/>
        <v>43.98714630947034</v>
      </c>
      <c r="G47" s="92">
        <v>4.0903871883634704</v>
      </c>
      <c r="K47" s="8">
        <v>9.1999999999999993</v>
      </c>
      <c r="L47" s="85">
        <f t="shared" si="1"/>
        <v>0.91999999999999993</v>
      </c>
      <c r="W47" s="92">
        <v>0.17668269230769201</v>
      </c>
      <c r="X47" s="85">
        <f t="shared" si="4"/>
        <v>6.9619643550006884</v>
      </c>
    </row>
    <row r="48" spans="1:24" ht="13.2">
      <c r="A48" s="84">
        <v>998.49902714722498</v>
      </c>
      <c r="B48" s="84">
        <v>12.706303798773201</v>
      </c>
      <c r="C48" s="226"/>
      <c r="E48" s="92">
        <v>0.82315136204324502</v>
      </c>
      <c r="F48" s="85">
        <f t="shared" si="5"/>
        <v>49.389081722594703</v>
      </c>
      <c r="G48" s="92">
        <v>4.14777599927318</v>
      </c>
      <c r="K48" s="8">
        <v>9.1999999999999993</v>
      </c>
      <c r="L48" s="85">
        <f t="shared" si="1"/>
        <v>0.91999999999999993</v>
      </c>
      <c r="W48" s="92">
        <v>0.19561298076923</v>
      </c>
      <c r="X48" s="85">
        <f t="shared" si="4"/>
        <v>7.2022194409567177</v>
      </c>
    </row>
    <row r="49" spans="1:24" ht="13.2">
      <c r="A49" s="84">
        <v>1496.2043299669499</v>
      </c>
      <c r="B49" s="84">
        <v>13.6597340343281</v>
      </c>
      <c r="C49" s="226"/>
      <c r="E49" s="92">
        <v>0.93890670035048596</v>
      </c>
      <c r="F49" s="85">
        <f t="shared" si="5"/>
        <v>56.334402021029156</v>
      </c>
      <c r="G49" s="92">
        <v>4.22238162859255</v>
      </c>
      <c r="K49" s="8">
        <v>9.1999999999999993</v>
      </c>
      <c r="L49" s="85">
        <f t="shared" si="1"/>
        <v>0.91999999999999993</v>
      </c>
      <c r="W49" s="92">
        <v>0.208653846153846</v>
      </c>
      <c r="X49" s="85">
        <f t="shared" si="4"/>
        <v>7.3588382556978162</v>
      </c>
    </row>
    <row r="50" spans="1:24" ht="13.2">
      <c r="A50" s="84">
        <v>496.40816578646599</v>
      </c>
      <c r="B50" s="84">
        <v>10.3460904077109</v>
      </c>
      <c r="C50" s="226">
        <v>31.5</v>
      </c>
      <c r="E50" s="92">
        <v>1.02893895723589</v>
      </c>
      <c r="F50" s="85">
        <f t="shared" si="5"/>
        <v>61.736337434153398</v>
      </c>
      <c r="G50" s="92">
        <v>4.2740314270587199</v>
      </c>
      <c r="K50" s="8">
        <v>9.1999999999999993</v>
      </c>
      <c r="L50" s="85">
        <f t="shared" si="1"/>
        <v>0.91999999999999993</v>
      </c>
      <c r="W50" s="92">
        <v>0.214963942307692</v>
      </c>
      <c r="X50" s="85">
        <f t="shared" si="4"/>
        <v>7.432284608216289</v>
      </c>
    </row>
    <row r="51" spans="1:24" ht="13.2">
      <c r="A51" s="84">
        <v>997.10306062571397</v>
      </c>
      <c r="B51" s="84">
        <v>13.3779444358538</v>
      </c>
      <c r="C51" s="226"/>
      <c r="E51" s="92">
        <v>1.1446947861794601</v>
      </c>
      <c r="F51" s="85">
        <f t="shared" si="5"/>
        <v>68.681687170767603</v>
      </c>
      <c r="G51" s="92">
        <v>4.3486368374571498</v>
      </c>
      <c r="K51" s="8">
        <v>9.1999999999999993</v>
      </c>
      <c r="L51" s="85">
        <f t="shared" si="1"/>
        <v>0.91999999999999993</v>
      </c>
      <c r="W51" s="92">
        <v>0.22421874999999999</v>
      </c>
      <c r="X51" s="85">
        <f t="shared" si="4"/>
        <v>7.5374498382220949</v>
      </c>
    </row>
    <row r="52" spans="1:24" ht="13.2">
      <c r="A52" s="84">
        <v>1497.5508817443399</v>
      </c>
      <c r="B52" s="84">
        <v>15.702979227874801</v>
      </c>
      <c r="C52" s="226"/>
      <c r="E52" s="92">
        <v>1.2411578134203201</v>
      </c>
      <c r="F52" s="85">
        <f t="shared" si="5"/>
        <v>74.469468805219208</v>
      </c>
      <c r="G52" s="92">
        <v>4.4060256483668603</v>
      </c>
      <c r="K52" s="8">
        <v>9.1999999999999993</v>
      </c>
      <c r="L52" s="85">
        <f t="shared" si="1"/>
        <v>0.91999999999999993</v>
      </c>
      <c r="W52" s="92">
        <v>0.246093749999999</v>
      </c>
      <c r="X52" s="85">
        <f t="shared" si="4"/>
        <v>7.7750045874505602</v>
      </c>
    </row>
    <row r="53" spans="1:24" ht="13.2">
      <c r="A53" s="84">
        <v>496.51934896074602</v>
      </c>
      <c r="B53" s="84">
        <v>10.349518066079</v>
      </c>
      <c r="C53" s="226">
        <v>108</v>
      </c>
      <c r="E53" s="92">
        <v>1.3504823813721001</v>
      </c>
      <c r="F53" s="85">
        <f t="shared" si="5"/>
        <v>81.028942882326007</v>
      </c>
      <c r="G53" s="92">
        <v>4.4863696333669401</v>
      </c>
      <c r="K53" s="8">
        <v>9.1999999999999993</v>
      </c>
      <c r="L53" s="85">
        <f t="shared" si="1"/>
        <v>0.91999999999999993</v>
      </c>
      <c r="W53" s="88">
        <v>0.254086538461538</v>
      </c>
      <c r="X53" s="85">
        <f t="shared" si="4"/>
        <v>7.8582832377220635</v>
      </c>
    </row>
    <row r="54" spans="1:24" ht="13.2">
      <c r="A54" s="84">
        <v>996.60891318447102</v>
      </c>
      <c r="B54" s="84">
        <v>14.559223751353001</v>
      </c>
      <c r="C54" s="226"/>
      <c r="E54" s="92">
        <v>1.4598074399602099</v>
      </c>
      <c r="F54" s="85">
        <f t="shared" si="5"/>
        <v>87.5884463976126</v>
      </c>
      <c r="G54" s="92">
        <v>4.5552366880846602</v>
      </c>
      <c r="K54" s="8">
        <v>9.1999999999999993</v>
      </c>
      <c r="L54" s="85">
        <f t="shared" si="1"/>
        <v>0.91999999999999993</v>
      </c>
      <c r="X54" s="85">
        <f t="shared" si="4"/>
        <v>0</v>
      </c>
    </row>
    <row r="55" spans="1:24" ht="13.2">
      <c r="A55" s="84">
        <v>1497.5755891163999</v>
      </c>
      <c r="B55" s="84">
        <v>15.684578114530099</v>
      </c>
      <c r="C55" s="226"/>
      <c r="E55" s="92">
        <v>1.5562704672010801</v>
      </c>
      <c r="F55" s="85">
        <f t="shared" si="5"/>
        <v>93.376228032064802</v>
      </c>
      <c r="G55" s="92">
        <v>4.6068864865508301</v>
      </c>
      <c r="K55" s="8">
        <v>9.1999999999999993</v>
      </c>
      <c r="L55" s="85">
        <f t="shared" si="1"/>
        <v>0.91999999999999993</v>
      </c>
      <c r="W55" s="92">
        <v>5.0480769230769197E-2</v>
      </c>
      <c r="X55" s="85">
        <f t="shared" si="4"/>
        <v>4.5853847323303514</v>
      </c>
    </row>
    <row r="56" spans="1:24" ht="13.2">
      <c r="A56" s="84">
        <v>502.22675190709998</v>
      </c>
      <c r="B56" s="84">
        <v>11.791840626771799</v>
      </c>
      <c r="C56" s="226">
        <v>378</v>
      </c>
      <c r="E56" s="92">
        <v>1.6655950351528599</v>
      </c>
      <c r="F56" s="85">
        <f t="shared" si="5"/>
        <v>99.935702109171586</v>
      </c>
      <c r="G56" s="92">
        <v>4.6642752974605299</v>
      </c>
      <c r="K56" s="8">
        <v>9.1999999999999993</v>
      </c>
      <c r="L56" s="85">
        <f t="shared" si="1"/>
        <v>0.91999999999999993</v>
      </c>
      <c r="W56" s="88">
        <v>6.5624999999999906E-2</v>
      </c>
      <c r="X56" s="85">
        <f t="shared" si="4"/>
        <v>5.0044562629623979</v>
      </c>
    </row>
    <row r="57" spans="1:24" ht="13.2">
      <c r="A57" s="84">
        <v>997.60956175298804</v>
      </c>
      <c r="B57" s="84">
        <v>15.4751301479305</v>
      </c>
      <c r="C57" s="226"/>
      <c r="E57" s="92">
        <v>1.74919652168281</v>
      </c>
      <c r="F57" s="85">
        <f t="shared" si="5"/>
        <v>104.95179130096861</v>
      </c>
      <c r="G57" s="92">
        <v>4.6470586979718096</v>
      </c>
      <c r="K57" s="8">
        <v>9.1999999999999993</v>
      </c>
      <c r="L57" s="85">
        <f t="shared" si="1"/>
        <v>0.91999999999999993</v>
      </c>
      <c r="W57" s="92">
        <v>8.5817307692307596E-2</v>
      </c>
      <c r="X57" s="85">
        <f t="shared" si="4"/>
        <v>5.4725796065565042</v>
      </c>
    </row>
    <row r="58" spans="1:24" ht="13.2">
      <c r="A58" s="84">
        <v>1497.5755891163999</v>
      </c>
      <c r="B58" s="84">
        <v>15.684578114530099</v>
      </c>
      <c r="C58" s="226"/>
      <c r="E58" s="92">
        <v>1.8713826303455099</v>
      </c>
      <c r="F58" s="85">
        <f t="shared" si="5"/>
        <v>112.28295782073059</v>
      </c>
      <c r="G58" s="92">
        <v>4.6757531034266604</v>
      </c>
      <c r="K58" s="8">
        <v>9.1999999999999993</v>
      </c>
      <c r="L58" s="85">
        <f t="shared" si="1"/>
        <v>0.91999999999999993</v>
      </c>
      <c r="W58" s="92">
        <v>0.10979567307692301</v>
      </c>
      <c r="X58" s="85">
        <f t="shared" si="4"/>
        <v>5.9410362327699495</v>
      </c>
    </row>
    <row r="59" spans="1:24" ht="13.2">
      <c r="A59" s="84">
        <v>496.51934896074602</v>
      </c>
      <c r="B59" s="84">
        <v>10.349518066079</v>
      </c>
      <c r="C59" s="226">
        <v>849</v>
      </c>
      <c r="E59" s="92">
        <v>1.9742769185781599</v>
      </c>
      <c r="F59" s="85">
        <f t="shared" si="5"/>
        <v>118.4566151146896</v>
      </c>
      <c r="G59" s="92">
        <v>4.7847919317234799</v>
      </c>
      <c r="K59" s="8">
        <v>5.0999999999999996</v>
      </c>
      <c r="L59" s="85">
        <f t="shared" si="1"/>
        <v>0.51</v>
      </c>
      <c r="W59" s="92">
        <v>0.127043269230769</v>
      </c>
      <c r="X59" s="85">
        <f t="shared" si="4"/>
        <v>6.2371235391120363</v>
      </c>
    </row>
    <row r="60" spans="1:24" ht="13.2">
      <c r="A60" s="84">
        <v>997.05364588159</v>
      </c>
      <c r="B60" s="84">
        <v>14.8998247513014</v>
      </c>
      <c r="E60" s="92">
        <v>2.0771707161744799</v>
      </c>
      <c r="F60" s="85">
        <f t="shared" si="5"/>
        <v>124.6302429704688</v>
      </c>
      <c r="G60" s="92">
        <v>4.8364417301896498</v>
      </c>
      <c r="K60" s="8">
        <v>5.0999999999999996</v>
      </c>
      <c r="L60" s="85">
        <f t="shared" si="1"/>
        <v>0.51</v>
      </c>
      <c r="W60" s="92">
        <v>0.14513221153846101</v>
      </c>
      <c r="X60" s="85">
        <f t="shared" si="4"/>
        <v>6.5201121150948902</v>
      </c>
    </row>
    <row r="61" spans="1:24" ht="13.2">
      <c r="A61" s="84">
        <v>1497.89678495321</v>
      </c>
      <c r="B61" s="84">
        <v>16.979150559249501</v>
      </c>
      <c r="E61" s="92">
        <v>2.1800645137708101</v>
      </c>
      <c r="F61" s="85">
        <f t="shared" si="5"/>
        <v>130.80387082624861</v>
      </c>
      <c r="G61" s="92">
        <v>4.9110473595090198</v>
      </c>
      <c r="K61" s="8">
        <v>5.0999999999999996</v>
      </c>
      <c r="L61" s="85">
        <f t="shared" si="1"/>
        <v>0.51</v>
      </c>
      <c r="W61" s="92">
        <v>0.15733173076922999</v>
      </c>
      <c r="X61" s="85">
        <f t="shared" si="4"/>
        <v>6.6979088438307191</v>
      </c>
    </row>
    <row r="62" spans="1:24" ht="13.2">
      <c r="E62" s="92">
        <v>2.2829583113671301</v>
      </c>
      <c r="F62" s="85">
        <f t="shared" si="5"/>
        <v>136.9774986820278</v>
      </c>
      <c r="G62" s="92">
        <v>5.0086081629187698</v>
      </c>
      <c r="K62" s="8">
        <v>5.0999999999999996</v>
      </c>
      <c r="L62" s="85">
        <f t="shared" si="1"/>
        <v>0.51</v>
      </c>
      <c r="W62" s="92">
        <v>0.177524038461538</v>
      </c>
      <c r="X62" s="85">
        <f t="shared" si="4"/>
        <v>6.9729975974771898</v>
      </c>
    </row>
    <row r="63" spans="1:24" ht="13.2">
      <c r="E63" s="92">
        <v>2.4051449106661602</v>
      </c>
      <c r="F63" s="85">
        <f t="shared" si="5"/>
        <v>144.30869463996962</v>
      </c>
      <c r="G63" s="92">
        <v>5.0946913792833302</v>
      </c>
      <c r="K63" s="8">
        <v>40.5</v>
      </c>
      <c r="L63" s="85">
        <f t="shared" si="1"/>
        <v>4.05</v>
      </c>
      <c r="W63" s="92">
        <v>0.195192307692307</v>
      </c>
      <c r="X63" s="85">
        <f t="shared" si="4"/>
        <v>7.1970528542187608</v>
      </c>
    </row>
    <row r="64" spans="1:24" ht="27.6">
      <c r="A64" s="231" t="s">
        <v>81</v>
      </c>
      <c r="E64" s="92">
        <v>2.4823151362043201</v>
      </c>
      <c r="F64" s="85">
        <f t="shared" si="5"/>
        <v>148.9389081722592</v>
      </c>
      <c r="G64" s="92">
        <v>5.1635579961591596</v>
      </c>
      <c r="K64" s="8">
        <v>40.5</v>
      </c>
      <c r="L64" s="85">
        <f t="shared" si="1"/>
        <v>4.05</v>
      </c>
      <c r="W64" s="92">
        <v>0.210757211538461</v>
      </c>
      <c r="X64" s="85">
        <f t="shared" si="4"/>
        <v>7.3834829080311728</v>
      </c>
    </row>
    <row r="65" spans="1:24" ht="13.2">
      <c r="A65" s="84" t="s">
        <v>82</v>
      </c>
      <c r="E65" s="92">
        <v>2.5852094244369699</v>
      </c>
      <c r="F65" s="85">
        <f t="shared" si="5"/>
        <v>155.1125654662182</v>
      </c>
      <c r="G65" s="92">
        <v>5.2152080135462802</v>
      </c>
      <c r="K65" s="8">
        <v>40.5</v>
      </c>
      <c r="L65" s="85">
        <f t="shared" si="1"/>
        <v>4.05</v>
      </c>
      <c r="W65" s="92">
        <v>0.22295673076923</v>
      </c>
      <c r="X65" s="85">
        <f t="shared" si="4"/>
        <v>7.5232816660236601</v>
      </c>
    </row>
    <row r="66" spans="1:24" ht="13.2">
      <c r="A66" s="88">
        <v>0.16123755734626699</v>
      </c>
      <c r="B66" s="85">
        <f t="shared" ref="B66:B73" si="6">A66*60</f>
        <v>9.6742534407760203</v>
      </c>
      <c r="C66" s="88">
        <v>4.3749997071150997</v>
      </c>
      <c r="E66" s="92">
        <v>2.6945339923887501</v>
      </c>
      <c r="F66" s="85">
        <f t="shared" si="5"/>
        <v>161.67203954332501</v>
      </c>
      <c r="G66" s="92">
        <v>5.2840746304221096</v>
      </c>
      <c r="K66" s="8">
        <v>40.5</v>
      </c>
      <c r="L66" s="85">
        <f t="shared" si="1"/>
        <v>4.05</v>
      </c>
      <c r="W66" s="92">
        <v>0.23179086538461499</v>
      </c>
      <c r="X66" s="85">
        <f t="shared" si="4"/>
        <v>7.6213615542572102</v>
      </c>
    </row>
    <row r="67" spans="1:24" ht="13.2">
      <c r="A67" s="92">
        <v>0.54234481606884599</v>
      </c>
      <c r="B67" s="85">
        <f t="shared" si="6"/>
        <v>32.540688964130759</v>
      </c>
      <c r="C67" s="92">
        <v>5.40948247424061</v>
      </c>
      <c r="E67" s="92">
        <v>2.81028982133232</v>
      </c>
      <c r="F67" s="85">
        <f t="shared" si="5"/>
        <v>168.6173892799392</v>
      </c>
      <c r="G67" s="92">
        <v>5.2840746304221096</v>
      </c>
      <c r="K67" s="8">
        <v>40.5</v>
      </c>
      <c r="L67" s="85">
        <f t="shared" si="1"/>
        <v>4.05</v>
      </c>
      <c r="W67" s="92">
        <v>0.242307692307692</v>
      </c>
      <c r="X67" s="85">
        <f t="shared" si="4"/>
        <v>7.7349265324466687</v>
      </c>
    </row>
    <row r="68" spans="1:24" ht="13.2">
      <c r="A68" s="92">
        <v>1.0407163628514999</v>
      </c>
      <c r="B68" s="85">
        <f t="shared" si="6"/>
        <v>62.442981771089997</v>
      </c>
      <c r="C68" s="92">
        <v>6.6249999229250198</v>
      </c>
      <c r="E68" s="92">
        <v>2.9131836189286502</v>
      </c>
      <c r="F68" s="85">
        <f t="shared" si="5"/>
        <v>174.79101713571902</v>
      </c>
      <c r="G68" s="92">
        <v>5.3127690358769604</v>
      </c>
      <c r="K68" s="8">
        <v>40.5</v>
      </c>
      <c r="L68" s="85">
        <f t="shared" si="1"/>
        <v>4.05</v>
      </c>
      <c r="W68" s="92">
        <v>0.285216346153846</v>
      </c>
      <c r="X68" s="85">
        <f t="shared" si="4"/>
        <v>8.1669255495668516</v>
      </c>
    </row>
    <row r="69" spans="1:24" ht="13.2">
      <c r="A69" s="92">
        <v>1.5684034224916199</v>
      </c>
      <c r="B69" s="85">
        <f t="shared" si="6"/>
        <v>94.104205349497192</v>
      </c>
      <c r="C69" s="92">
        <v>7.32327598804667</v>
      </c>
      <c r="E69" s="92">
        <v>3.0096466461695099</v>
      </c>
      <c r="F69" s="85">
        <f t="shared" si="5"/>
        <v>180.57879877017061</v>
      </c>
      <c r="G69" s="92">
        <v>5.4103298392867103</v>
      </c>
      <c r="K69" s="8">
        <v>40.5</v>
      </c>
      <c r="L69" s="85">
        <f t="shared" si="1"/>
        <v>4.05</v>
      </c>
      <c r="X69" s="85">
        <f t="shared" si="4"/>
        <v>0</v>
      </c>
    </row>
    <row r="70" spans="1:24" ht="13.2">
      <c r="A70" s="92">
        <v>2.1107493568755999</v>
      </c>
      <c r="B70" s="85">
        <f t="shared" si="6"/>
        <v>126.64496141253599</v>
      </c>
      <c r="C70" s="92">
        <v>7.9051725445547802</v>
      </c>
      <c r="E70" s="92">
        <v>3.1125404437658299</v>
      </c>
      <c r="F70" s="85">
        <f t="shared" si="5"/>
        <v>186.75242662594979</v>
      </c>
      <c r="G70" s="92">
        <v>5.4103298392867103</v>
      </c>
      <c r="K70" s="8">
        <v>40.5</v>
      </c>
      <c r="L70" s="85">
        <f t="shared" si="1"/>
        <v>4.05</v>
      </c>
      <c r="W70" s="84">
        <v>6.9411057692307598E-2</v>
      </c>
      <c r="X70" s="85">
        <f t="shared" si="4"/>
        <v>5.0989021761516042</v>
      </c>
    </row>
    <row r="71" spans="1:24" ht="13.2">
      <c r="A71" s="92">
        <v>3.23941337661461</v>
      </c>
      <c r="B71" s="85">
        <f t="shared" si="6"/>
        <v>194.36480259687661</v>
      </c>
      <c r="C71" s="92">
        <v>8.8491379709008395</v>
      </c>
      <c r="E71" s="92">
        <v>3.2282962727093998</v>
      </c>
      <c r="F71" s="85">
        <f t="shared" si="5"/>
        <v>193.69777636256399</v>
      </c>
      <c r="G71" s="92">
        <v>5.4505020507076898</v>
      </c>
      <c r="K71" s="8">
        <v>40.5</v>
      </c>
      <c r="L71" s="85">
        <f t="shared" si="1"/>
        <v>4.05</v>
      </c>
      <c r="W71" s="84">
        <v>9.0865384615384598E-2</v>
      </c>
      <c r="X71" s="85">
        <f t="shared" si="4"/>
        <v>5.5778472338902931</v>
      </c>
    </row>
    <row r="72" spans="1:24" ht="13.2">
      <c r="A72" s="92">
        <v>4.2508142266086599</v>
      </c>
      <c r="B72" s="85">
        <f t="shared" si="6"/>
        <v>255.04885359651959</v>
      </c>
      <c r="C72" s="92">
        <v>9.4698275325201902</v>
      </c>
      <c r="E72" s="92">
        <v>3.3118972686030199</v>
      </c>
      <c r="F72" s="85">
        <f t="shared" si="5"/>
        <v>198.7138361161812</v>
      </c>
      <c r="G72" s="92">
        <v>5.5480630730383798</v>
      </c>
      <c r="K72" s="8">
        <v>40.5</v>
      </c>
      <c r="L72" s="85">
        <f t="shared" si="1"/>
        <v>4.05</v>
      </c>
      <c r="W72" s="84">
        <v>0.10895432692307599</v>
      </c>
      <c r="X72" s="85">
        <f t="shared" si="4"/>
        <v>5.9258222449602371</v>
      </c>
    </row>
    <row r="73" spans="1:24" ht="13.2">
      <c r="A73" s="92">
        <v>5.3355049770614897</v>
      </c>
      <c r="B73" s="85">
        <f t="shared" si="6"/>
        <v>320.13029862368938</v>
      </c>
      <c r="C73" s="92">
        <v>10.1034481780565</v>
      </c>
      <c r="E73" s="92">
        <v>3.43408386790205</v>
      </c>
      <c r="F73" s="85">
        <f t="shared" si="5"/>
        <v>206.04503207412301</v>
      </c>
      <c r="G73" s="92">
        <v>5.5480630730383798</v>
      </c>
      <c r="K73" s="8">
        <v>40.5</v>
      </c>
      <c r="L73" s="85">
        <f t="shared" si="1"/>
        <v>4.05</v>
      </c>
      <c r="W73" s="84">
        <v>0.12451923076922999</v>
      </c>
      <c r="X73" s="85">
        <f t="shared" si="4"/>
        <v>6.195541479304044</v>
      </c>
    </row>
    <row r="74" spans="1:24" ht="13.2">
      <c r="A74" s="84" t="s">
        <v>83</v>
      </c>
      <c r="E74" s="92"/>
      <c r="K74" s="8">
        <v>40.5</v>
      </c>
      <c r="L74" s="85">
        <f t="shared" si="1"/>
        <v>4.05</v>
      </c>
      <c r="W74" s="84">
        <v>0.15144230769230699</v>
      </c>
      <c r="X74" s="85">
        <f t="shared" si="4"/>
        <v>6.613269159897591</v>
      </c>
    </row>
    <row r="75" spans="1:24" ht="13.2">
      <c r="A75" s="84">
        <v>0.64495134770020301</v>
      </c>
      <c r="B75" s="85">
        <f t="shared" ref="B75:B81" si="7">A75*60</f>
        <v>38.697080862012179</v>
      </c>
      <c r="C75" s="84">
        <v>6.2887932209211597</v>
      </c>
      <c r="E75" s="92" t="s">
        <v>84</v>
      </c>
      <c r="K75" s="8">
        <v>40.5</v>
      </c>
      <c r="L75" s="85">
        <f t="shared" si="1"/>
        <v>4.05</v>
      </c>
      <c r="W75" s="84">
        <v>0.16700721153846099</v>
      </c>
      <c r="X75" s="85">
        <f t="shared" si="4"/>
        <v>6.8324878410483114</v>
      </c>
    </row>
    <row r="76" spans="1:24" ht="13.2">
      <c r="A76" s="84">
        <v>1.0993485068815501</v>
      </c>
      <c r="B76" s="85">
        <f t="shared" si="7"/>
        <v>65.960910412893</v>
      </c>
      <c r="C76" s="84">
        <v>7.1293104692106404</v>
      </c>
      <c r="E76" s="92">
        <v>0.40514491066616298</v>
      </c>
      <c r="F76" s="85">
        <f t="shared" ref="F76:F103" si="8">E76*60</f>
        <v>24.308694639969779</v>
      </c>
      <c r="G76" s="92">
        <v>4.0616927829086196</v>
      </c>
      <c r="K76" s="8">
        <v>40.5</v>
      </c>
      <c r="L76" s="85">
        <f t="shared" si="1"/>
        <v>4.05</v>
      </c>
      <c r="W76" s="84">
        <v>0.18425480769230701</v>
      </c>
      <c r="X76" s="85">
        <f t="shared" si="4"/>
        <v>7.0600330712399204</v>
      </c>
    </row>
    <row r="77" spans="1:24" ht="13.2">
      <c r="A77" s="84">
        <v>1.70032546698044</v>
      </c>
      <c r="B77" s="85">
        <f t="shared" si="7"/>
        <v>102.01952801882639</v>
      </c>
      <c r="C77" s="84">
        <v>7.9051725445547802</v>
      </c>
      <c r="E77" s="92">
        <v>0.51446947861794601</v>
      </c>
      <c r="F77" s="85">
        <f t="shared" si="8"/>
        <v>30.86816871707676</v>
      </c>
      <c r="G77" s="92">
        <v>4.1133423624538503</v>
      </c>
      <c r="K77" s="8">
        <v>40.5</v>
      </c>
      <c r="L77" s="85">
        <f t="shared" si="1"/>
        <v>4.05</v>
      </c>
      <c r="W77" s="84">
        <v>0.20823317307692299</v>
      </c>
      <c r="X77" s="85">
        <f t="shared" si="4"/>
        <v>7.3538894725941617</v>
      </c>
    </row>
    <row r="78" spans="1:24" ht="13.2">
      <c r="A78" s="84">
        <v>2.4039089587106801</v>
      </c>
      <c r="B78" s="85">
        <f t="shared" si="7"/>
        <v>144.23453752264081</v>
      </c>
      <c r="C78" s="84">
        <v>8.7456895462043391</v>
      </c>
      <c r="E78" s="92">
        <v>0.61736327621426901</v>
      </c>
      <c r="F78" s="85">
        <f t="shared" si="8"/>
        <v>37.041796572856143</v>
      </c>
      <c r="G78" s="92">
        <v>4.1305593997844499</v>
      </c>
      <c r="K78" s="8">
        <v>40.5</v>
      </c>
      <c r="L78" s="85">
        <f t="shared" si="1"/>
        <v>4.05</v>
      </c>
      <c r="W78" s="84">
        <v>0.23137019230769201</v>
      </c>
      <c r="X78" s="85">
        <f t="shared" si="4"/>
        <v>7.6167481381454847</v>
      </c>
    </row>
    <row r="79" spans="1:24" ht="13.2">
      <c r="A79" s="84">
        <v>3.6058628789084599</v>
      </c>
      <c r="B79" s="85">
        <f t="shared" si="7"/>
        <v>216.35177273450759</v>
      </c>
      <c r="C79" s="84">
        <v>9.6379308835221202</v>
      </c>
      <c r="E79" s="92">
        <v>0.72668833480237904</v>
      </c>
      <c r="F79" s="85">
        <f t="shared" si="8"/>
        <v>43.601300088142743</v>
      </c>
      <c r="G79" s="92">
        <v>4.2051648101828798</v>
      </c>
      <c r="K79" s="8">
        <v>40.5</v>
      </c>
      <c r="L79" s="85">
        <f t="shared" si="1"/>
        <v>4.05</v>
      </c>
      <c r="W79" s="84">
        <v>0.24567307692307599</v>
      </c>
      <c r="X79" s="85">
        <f t="shared" si="4"/>
        <v>7.770571858674769</v>
      </c>
    </row>
    <row r="80" spans="1:24" ht="13.2">
      <c r="A80" s="84">
        <v>4.60260597247379</v>
      </c>
      <c r="B80" s="85">
        <f t="shared" si="7"/>
        <v>276.15635834842737</v>
      </c>
      <c r="C80" s="84">
        <v>10.232758523947201</v>
      </c>
      <c r="E80" s="92">
        <v>0.81672059168778599</v>
      </c>
      <c r="F80" s="85">
        <f t="shared" si="8"/>
        <v>49.003235501267156</v>
      </c>
      <c r="G80" s="92">
        <v>4.2969870389909799</v>
      </c>
      <c r="K80" s="8">
        <v>40.5</v>
      </c>
      <c r="L80" s="85">
        <f t="shared" si="1"/>
        <v>4.05</v>
      </c>
      <c r="W80" s="84">
        <v>0.25745192307692299</v>
      </c>
      <c r="X80" s="85">
        <f t="shared" si="4"/>
        <v>7.8928255860292058</v>
      </c>
    </row>
    <row r="81" spans="1:24" ht="13.2">
      <c r="A81" s="84">
        <v>4.91042333073759</v>
      </c>
      <c r="B81" s="85">
        <f t="shared" si="7"/>
        <v>294.62539984425541</v>
      </c>
      <c r="C81" s="84">
        <v>10.387931037672001</v>
      </c>
      <c r="E81" s="92">
        <v>0.93890670035048596</v>
      </c>
      <c r="F81" s="85">
        <f t="shared" si="8"/>
        <v>56.334402021029156</v>
      </c>
      <c r="G81" s="92">
        <v>4.3773312429119997</v>
      </c>
      <c r="K81" s="8">
        <v>25.32</v>
      </c>
      <c r="L81" s="85">
        <f t="shared" si="1"/>
        <v>2.532</v>
      </c>
      <c r="W81" s="84">
        <v>0.27049278846153801</v>
      </c>
      <c r="X81" s="85">
        <f t="shared" si="4"/>
        <v>8.0239033630019794</v>
      </c>
    </row>
    <row r="82" spans="1:24" ht="13.2">
      <c r="E82" s="92">
        <v>1.02250818688043</v>
      </c>
      <c r="F82" s="85">
        <f t="shared" si="8"/>
        <v>61.350491212825801</v>
      </c>
      <c r="G82" s="92">
        <v>4.4117646608103902</v>
      </c>
      <c r="K82" s="8">
        <v>25.32</v>
      </c>
      <c r="L82" s="85">
        <f t="shared" si="1"/>
        <v>2.532</v>
      </c>
      <c r="W82" s="84">
        <v>0.29362980769230701</v>
      </c>
      <c r="X82" s="85">
        <f t="shared" si="4"/>
        <v>8.2464527094407636</v>
      </c>
    </row>
    <row r="83" spans="1:24" ht="13.2">
      <c r="A83" s="84" t="s">
        <v>85</v>
      </c>
      <c r="E83" s="92">
        <v>1.1446947861794601</v>
      </c>
      <c r="F83" s="85">
        <f t="shared" si="8"/>
        <v>68.681687170767603</v>
      </c>
      <c r="G83" s="92">
        <v>4.49210886473141</v>
      </c>
      <c r="K83" s="8">
        <v>25.32</v>
      </c>
      <c r="L83" s="85">
        <f t="shared" si="1"/>
        <v>2.532</v>
      </c>
      <c r="W83" s="84">
        <v>0.324338942307692</v>
      </c>
      <c r="X83" s="85">
        <f t="shared" si="4"/>
        <v>8.524458966948556</v>
      </c>
    </row>
    <row r="84" spans="1:24" ht="13.2">
      <c r="A84" s="84">
        <v>1.1200000000000001</v>
      </c>
      <c r="E84" s="92">
        <v>1.2540193541312401</v>
      </c>
      <c r="F84" s="85">
        <f t="shared" si="8"/>
        <v>75.241161247874402</v>
      </c>
      <c r="G84" s="92">
        <v>4.51506403882179</v>
      </c>
      <c r="K84" s="8">
        <v>25.32</v>
      </c>
      <c r="L84" s="85">
        <f t="shared" si="1"/>
        <v>2.532</v>
      </c>
      <c r="X84" s="85">
        <f t="shared" si="4"/>
        <v>0</v>
      </c>
    </row>
    <row r="85" spans="1:24" ht="13.2">
      <c r="A85" s="84">
        <v>6.01374601980239E-2</v>
      </c>
      <c r="B85" s="85">
        <f t="shared" ref="B85:B92" si="9">A85*60</f>
        <v>3.6082476118814339</v>
      </c>
      <c r="C85" s="84">
        <v>3.2725401230153901</v>
      </c>
      <c r="E85" s="92">
        <v>1.3569131517275601</v>
      </c>
      <c r="F85" s="85">
        <f t="shared" si="8"/>
        <v>81.414789103653604</v>
      </c>
      <c r="G85" s="92">
        <v>4.6068864865508301</v>
      </c>
      <c r="K85" s="8">
        <v>25.32</v>
      </c>
      <c r="L85" s="85">
        <f t="shared" si="1"/>
        <v>2.532</v>
      </c>
      <c r="W85" s="84">
        <v>8.5396634615384603E-2</v>
      </c>
      <c r="X85" s="85">
        <f t="shared" si="4"/>
        <v>5.4636228317817439</v>
      </c>
    </row>
    <row r="86" spans="1:24" ht="13.2">
      <c r="A86" s="84">
        <v>0.15635684593996799</v>
      </c>
      <c r="B86" s="85">
        <f t="shared" si="9"/>
        <v>9.3814107563980791</v>
      </c>
      <c r="C86" s="84">
        <v>3.9897527298244801</v>
      </c>
      <c r="E86" s="92">
        <v>1.4533761789684301</v>
      </c>
      <c r="F86" s="85">
        <f t="shared" si="8"/>
        <v>87.202570738105806</v>
      </c>
      <c r="G86" s="92">
        <v>4.6642752974605299</v>
      </c>
      <c r="K86" s="8">
        <v>25.32</v>
      </c>
      <c r="L86" s="85">
        <f t="shared" si="1"/>
        <v>2.532</v>
      </c>
      <c r="W86" s="84">
        <v>0.101802884615384</v>
      </c>
      <c r="X86" s="85">
        <f t="shared" si="4"/>
        <v>5.7932262149920142</v>
      </c>
    </row>
    <row r="87" spans="1:24" ht="13.2">
      <c r="A87" s="84">
        <v>0.22852253227745301</v>
      </c>
      <c r="B87" s="85">
        <f t="shared" si="9"/>
        <v>13.71135193664718</v>
      </c>
      <c r="C87" s="84">
        <v>4.4774589878005102</v>
      </c>
      <c r="E87" s="92">
        <v>1.5691320079119999</v>
      </c>
      <c r="F87" s="85">
        <f t="shared" si="8"/>
        <v>94.147920474719996</v>
      </c>
      <c r="G87" s="92">
        <v>4.7618363197912199</v>
      </c>
      <c r="K87" s="8">
        <v>25.32</v>
      </c>
      <c r="L87" s="85">
        <f t="shared" si="1"/>
        <v>2.532</v>
      </c>
      <c r="W87" s="84">
        <v>0.116526442307692</v>
      </c>
      <c r="X87" s="85">
        <f t="shared" si="4"/>
        <v>6.060037174142856</v>
      </c>
    </row>
    <row r="88" spans="1:24" ht="13.2">
      <c r="A88" s="84">
        <v>0.48109968158418798</v>
      </c>
      <c r="B88" s="85">
        <f t="shared" si="9"/>
        <v>28.86598089505128</v>
      </c>
      <c r="C88" s="84">
        <v>5.3668028610074696</v>
      </c>
      <c r="E88" s="92">
        <v>1.6398714630947</v>
      </c>
      <c r="F88" s="85">
        <f t="shared" si="8"/>
        <v>98.392287785682001</v>
      </c>
      <c r="G88" s="92">
        <v>4.83070293666706</v>
      </c>
      <c r="K88" s="8">
        <v>25.32</v>
      </c>
      <c r="L88" s="85">
        <f t="shared" si="1"/>
        <v>2.532</v>
      </c>
      <c r="W88" s="84">
        <v>0.13924278846153801</v>
      </c>
      <c r="X88" s="85">
        <f t="shared" si="4"/>
        <v>6.4306967446843917</v>
      </c>
    </row>
    <row r="89" spans="1:24" ht="13.2">
      <c r="A89" s="84">
        <v>0.69759398772217995</v>
      </c>
      <c r="B89" s="85">
        <f t="shared" si="9"/>
        <v>41.855639263330801</v>
      </c>
      <c r="C89" s="84">
        <v>5.7971307534070498</v>
      </c>
      <c r="E89" s="92">
        <v>1.7620580623937301</v>
      </c>
      <c r="F89" s="85">
        <f t="shared" si="8"/>
        <v>105.7234837436238</v>
      </c>
      <c r="G89" s="92">
        <v>4.83070293666706</v>
      </c>
      <c r="K89" s="8">
        <v>25.32</v>
      </c>
      <c r="L89" s="85">
        <f t="shared" si="1"/>
        <v>2.532</v>
      </c>
      <c r="W89" s="84">
        <v>0.16532451923076899</v>
      </c>
      <c r="X89" s="85">
        <f t="shared" si="4"/>
        <v>6.8094632760786125</v>
      </c>
    </row>
    <row r="90" spans="1:24" ht="13.2">
      <c r="A90" s="84">
        <v>0.950172054653734</v>
      </c>
      <c r="B90" s="85">
        <f t="shared" si="9"/>
        <v>57.010323279224039</v>
      </c>
      <c r="C90" s="84">
        <v>6.3709012766064896</v>
      </c>
      <c r="E90" s="92">
        <v>1.8585210896345901</v>
      </c>
      <c r="F90" s="85">
        <f t="shared" si="8"/>
        <v>111.51126537807541</v>
      </c>
      <c r="G90" s="92">
        <v>4.8823529540541699</v>
      </c>
      <c r="K90" s="8">
        <v>25.32</v>
      </c>
      <c r="L90" s="85">
        <f t="shared" si="1"/>
        <v>2.532</v>
      </c>
      <c r="W90" s="84">
        <v>0.195192307692307</v>
      </c>
      <c r="X90" s="85">
        <f t="shared" si="4"/>
        <v>7.1970528542187608</v>
      </c>
    </row>
    <row r="91" spans="1:24" ht="13.2">
      <c r="A91" s="84">
        <v>1.4914091964359399</v>
      </c>
      <c r="B91" s="85">
        <f t="shared" si="9"/>
        <v>89.484551786156402</v>
      </c>
      <c r="C91" s="84">
        <v>6.97336043540394</v>
      </c>
      <c r="E91" s="92">
        <v>1.9742769185781599</v>
      </c>
      <c r="F91" s="85">
        <f t="shared" si="8"/>
        <v>118.4566151146896</v>
      </c>
      <c r="G91" s="92">
        <v>4.9225249465542102</v>
      </c>
      <c r="K91" s="8">
        <v>25.32</v>
      </c>
      <c r="L91" s="85">
        <f t="shared" si="1"/>
        <v>2.532</v>
      </c>
      <c r="W91" s="84">
        <v>0.21538461538461501</v>
      </c>
      <c r="X91" s="85">
        <f t="shared" si="4"/>
        <v>7.4371296451870528</v>
      </c>
    </row>
    <row r="92" spans="1:24" ht="13.2">
      <c r="A92" s="84">
        <v>1.8041238059407001</v>
      </c>
      <c r="B92" s="85">
        <f t="shared" si="9"/>
        <v>108.247428356442</v>
      </c>
      <c r="C92" s="84">
        <v>7.1024590219999002</v>
      </c>
      <c r="E92" s="92">
        <v>2.0900322568854</v>
      </c>
      <c r="F92" s="85">
        <f t="shared" si="8"/>
        <v>125.40193541312399</v>
      </c>
      <c r="G92" s="92">
        <v>4.9799137574639198</v>
      </c>
      <c r="K92" s="8">
        <v>25.32</v>
      </c>
      <c r="L92" s="85">
        <f t="shared" si="1"/>
        <v>2.532</v>
      </c>
      <c r="W92" s="84">
        <v>0.26502403846153799</v>
      </c>
      <c r="X92" s="85">
        <f t="shared" si="4"/>
        <v>7.9694597533179081</v>
      </c>
    </row>
    <row r="93" spans="1:24" ht="13.2">
      <c r="E93" s="92">
        <v>2.1800645137708101</v>
      </c>
      <c r="F93" s="85">
        <f t="shared" si="8"/>
        <v>130.80387082624861</v>
      </c>
      <c r="G93" s="92">
        <v>5.0487803743397501</v>
      </c>
      <c r="K93" s="8">
        <v>25.32</v>
      </c>
      <c r="L93" s="85">
        <f t="shared" si="1"/>
        <v>2.532</v>
      </c>
      <c r="W93" s="84">
        <v>0.29615384615384599</v>
      </c>
      <c r="X93" s="85">
        <f t="shared" si="4"/>
        <v>8.2700141309394262</v>
      </c>
    </row>
    <row r="94" spans="1:24" ht="13.2">
      <c r="E94" s="92">
        <v>2.2700967706562101</v>
      </c>
      <c r="F94" s="85">
        <f t="shared" si="8"/>
        <v>136.20580623937261</v>
      </c>
      <c r="G94" s="92">
        <v>5.0774747797946098</v>
      </c>
      <c r="K94" s="8">
        <v>25.32</v>
      </c>
      <c r="L94" s="85">
        <f t="shared" si="1"/>
        <v>2.532</v>
      </c>
      <c r="W94" s="84">
        <v>0.34579326923076897</v>
      </c>
      <c r="X94" s="85">
        <f t="shared" si="4"/>
        <v>8.7084187545094522</v>
      </c>
    </row>
    <row r="95" spans="1:24" ht="13.2">
      <c r="E95" s="92">
        <v>2.4051449106661602</v>
      </c>
      <c r="F95" s="85">
        <f t="shared" si="8"/>
        <v>144.30869463996962</v>
      </c>
      <c r="G95" s="92">
        <v>5.22094680706887</v>
      </c>
      <c r="K95" s="8">
        <v>25.32</v>
      </c>
      <c r="L95" s="85">
        <f t="shared" si="1"/>
        <v>2.532</v>
      </c>
      <c r="X95" s="85">
        <f t="shared" si="4"/>
        <v>0</v>
      </c>
    </row>
    <row r="96" spans="1:24" ht="13.2">
      <c r="A96" s="232">
        <v>2.40546170292813E-2</v>
      </c>
      <c r="B96" s="85">
        <f t="shared" ref="B96:B105" si="10">A96*60</f>
        <v>1.443277021756878</v>
      </c>
      <c r="C96" s="84">
        <v>4.1475404992086604</v>
      </c>
      <c r="E96" s="92">
        <v>2.4823151362043201</v>
      </c>
      <c r="F96" s="85">
        <f t="shared" si="8"/>
        <v>148.9389081722592</v>
      </c>
      <c r="G96" s="92">
        <v>5.2381634065575904</v>
      </c>
      <c r="K96" s="8">
        <v>25.32</v>
      </c>
      <c r="L96" s="85">
        <f t="shared" si="1"/>
        <v>2.532</v>
      </c>
      <c r="W96" s="84">
        <v>2.1</v>
      </c>
      <c r="X96" s="85">
        <f t="shared" si="4"/>
        <v>15.888158272710713</v>
      </c>
    </row>
    <row r="97" spans="1:24" ht="13.2">
      <c r="A97" s="84">
        <v>0.30068730099011698</v>
      </c>
      <c r="B97" s="85">
        <f t="shared" si="10"/>
        <v>18.041238059407018</v>
      </c>
      <c r="C97" s="84">
        <v>5.2233602302076099</v>
      </c>
      <c r="E97" s="92">
        <v>2.5916401947924301</v>
      </c>
      <c r="F97" s="85">
        <f t="shared" si="8"/>
        <v>155.4984116875458</v>
      </c>
      <c r="G97" s="92">
        <v>5.3242466229221499</v>
      </c>
      <c r="K97" s="8">
        <v>25.32</v>
      </c>
      <c r="L97" s="85">
        <f t="shared" si="1"/>
        <v>2.532</v>
      </c>
      <c r="W97" s="84">
        <v>2.6</v>
      </c>
      <c r="X97" s="85">
        <f t="shared" si="4"/>
        <v>17.060492934198507</v>
      </c>
    </row>
    <row r="98" spans="1:24" ht="13.2">
      <c r="A98" s="92">
        <v>0.48109968158418798</v>
      </c>
      <c r="B98" s="85">
        <f t="shared" si="10"/>
        <v>28.86598089505128</v>
      </c>
      <c r="C98" s="84">
        <v>5.8114753448011598</v>
      </c>
      <c r="E98" s="92">
        <v>2.6881032220333001</v>
      </c>
      <c r="F98" s="85">
        <f t="shared" si="8"/>
        <v>161.28619332199801</v>
      </c>
      <c r="G98" s="92">
        <v>5.37015784678667</v>
      </c>
      <c r="K98" s="25">
        <v>40.5</v>
      </c>
      <c r="L98" s="85">
        <f t="shared" si="1"/>
        <v>4.05</v>
      </c>
      <c r="W98" s="84">
        <v>3.2</v>
      </c>
      <c r="X98" s="85">
        <f t="shared" si="4"/>
        <v>18.283125989363327</v>
      </c>
    </row>
    <row r="99" spans="1:24" ht="13.2">
      <c r="A99" s="88">
        <v>1.1907218954458201</v>
      </c>
      <c r="B99" s="85">
        <f t="shared" si="10"/>
        <v>71.44331372674921</v>
      </c>
      <c r="C99" s="84">
        <v>7.28893433260167</v>
      </c>
      <c r="E99" s="92">
        <v>2.8038585603405402</v>
      </c>
      <c r="F99" s="85">
        <f t="shared" si="8"/>
        <v>168.23151362043239</v>
      </c>
      <c r="G99" s="92">
        <v>5.4791964561625504</v>
      </c>
      <c r="K99" s="25">
        <v>40.5</v>
      </c>
      <c r="L99" s="85">
        <f t="shared" si="1"/>
        <v>4.05</v>
      </c>
      <c r="W99" s="84">
        <v>1.6</v>
      </c>
      <c r="X99" s="85">
        <f t="shared" si="4"/>
        <v>14.51132671439124</v>
      </c>
    </row>
    <row r="100" spans="1:24" ht="13.2">
      <c r="A100" s="92">
        <v>1.61168411683199</v>
      </c>
      <c r="B100" s="85">
        <f t="shared" si="10"/>
        <v>96.701047009919392</v>
      </c>
      <c r="C100" s="84">
        <v>7.8483608115972103</v>
      </c>
      <c r="E100" s="92">
        <v>2.9067528485731899</v>
      </c>
      <c r="F100" s="85">
        <f t="shared" si="8"/>
        <v>174.40517091439139</v>
      </c>
      <c r="G100" s="92">
        <v>5.4734576626399498</v>
      </c>
      <c r="K100" s="25">
        <v>40.5</v>
      </c>
      <c r="L100" s="85">
        <f t="shared" si="1"/>
        <v>4.05</v>
      </c>
      <c r="W100" s="84">
        <v>2.4</v>
      </c>
      <c r="X100" s="85">
        <f t="shared" si="4"/>
        <v>16.61132236830829</v>
      </c>
    </row>
    <row r="101" spans="1:24" ht="13.2">
      <c r="A101" s="92">
        <v>2.3573882562375501</v>
      </c>
      <c r="B101" s="85">
        <f t="shared" si="10"/>
        <v>141.44329537425301</v>
      </c>
      <c r="C101" s="84">
        <v>8.5368853299984906</v>
      </c>
      <c r="E101" s="92">
        <v>3.02250818688043</v>
      </c>
      <c r="F101" s="85">
        <f t="shared" si="8"/>
        <v>181.3504912128258</v>
      </c>
      <c r="G101" s="92">
        <v>5.4906742621286799</v>
      </c>
      <c r="K101" s="25">
        <v>40.5</v>
      </c>
      <c r="L101" s="85">
        <f t="shared" si="1"/>
        <v>4.05</v>
      </c>
      <c r="W101" s="84">
        <v>3</v>
      </c>
      <c r="X101" s="85">
        <f t="shared" si="4"/>
        <v>17.894004578792991</v>
      </c>
    </row>
    <row r="102" spans="1:24" ht="13.2">
      <c r="A102" s="92">
        <v>3.16322985584114</v>
      </c>
      <c r="B102" s="85">
        <f t="shared" si="10"/>
        <v>189.79379135046841</v>
      </c>
      <c r="C102" s="84">
        <v>9.0532788555970107</v>
      </c>
      <c r="E102" s="92">
        <v>3.1061096734103799</v>
      </c>
      <c r="F102" s="85">
        <f t="shared" si="8"/>
        <v>186.36658040462279</v>
      </c>
      <c r="G102" s="92">
        <v>5.5193686675835298</v>
      </c>
      <c r="K102" s="25">
        <v>40.5</v>
      </c>
      <c r="L102" s="85">
        <f t="shared" si="1"/>
        <v>4.05</v>
      </c>
      <c r="W102" s="84">
        <v>1.3</v>
      </c>
      <c r="X102" s="85">
        <f t="shared" si="4"/>
        <v>13.54092221542137</v>
      </c>
    </row>
    <row r="103" spans="1:24" ht="13.2">
      <c r="A103" s="92">
        <v>3.5240546170292801</v>
      </c>
      <c r="B103" s="85">
        <f t="shared" si="10"/>
        <v>211.44327702175681</v>
      </c>
      <c r="C103" s="84">
        <v>9.02458967280878</v>
      </c>
      <c r="E103" s="92">
        <v>3.2282962727093998</v>
      </c>
      <c r="F103" s="85">
        <f t="shared" si="8"/>
        <v>193.69777636256399</v>
      </c>
      <c r="G103" s="92">
        <v>5.5538018665609803</v>
      </c>
      <c r="K103" s="25">
        <v>40.5</v>
      </c>
      <c r="L103" s="85">
        <f t="shared" si="1"/>
        <v>4.05</v>
      </c>
      <c r="W103" s="84">
        <v>1.8</v>
      </c>
      <c r="X103" s="85">
        <f t="shared" si="4"/>
        <v>15.092387974813073</v>
      </c>
    </row>
    <row r="104" spans="1:24" ht="13.2">
      <c r="A104" s="92">
        <v>5.21993172871339</v>
      </c>
      <c r="B104" s="85">
        <f t="shared" si="10"/>
        <v>313.19590372280339</v>
      </c>
      <c r="C104" s="84">
        <v>9.6987704206012708</v>
      </c>
      <c r="K104" s="25">
        <v>40.5</v>
      </c>
      <c r="L104" s="85">
        <f t="shared" si="1"/>
        <v>4.05</v>
      </c>
      <c r="W104" s="84">
        <v>2.2000000000000002</v>
      </c>
      <c r="X104" s="85">
        <f t="shared" si="4"/>
        <v>16.136450850276375</v>
      </c>
    </row>
    <row r="105" spans="1:24" ht="13.2">
      <c r="A105" s="92">
        <v>7.6254292190095097</v>
      </c>
      <c r="B105" s="85">
        <f t="shared" si="10"/>
        <v>457.5257531405706</v>
      </c>
      <c r="C105" s="84">
        <v>10.473360845796501</v>
      </c>
      <c r="E105" s="84">
        <v>1.35</v>
      </c>
      <c r="K105" s="25">
        <v>40.5</v>
      </c>
      <c r="L105" s="85">
        <f t="shared" si="1"/>
        <v>4.05</v>
      </c>
    </row>
    <row r="106" spans="1:24" ht="13.2">
      <c r="A106" s="92"/>
      <c r="C106" s="92"/>
      <c r="E106" s="92">
        <v>0.52733150996519096</v>
      </c>
      <c r="F106" s="85">
        <f t="shared" ref="F106:F140" si="11">E106*60</f>
        <v>31.639890597911457</v>
      </c>
      <c r="G106" s="92">
        <v>4.3371592504119603</v>
      </c>
      <c r="K106" s="25">
        <v>40.5</v>
      </c>
      <c r="L106" s="85">
        <f t="shared" si="1"/>
        <v>4.05</v>
      </c>
      <c r="W106" s="84">
        <v>0.46</v>
      </c>
      <c r="X106" s="85">
        <f t="shared" ref="X106:X112" si="12">2*POWER((3*W106*1000)/(4*PI()), 1/3)</f>
        <v>9.5775200491885002</v>
      </c>
    </row>
    <row r="107" spans="1:24" ht="13.2">
      <c r="A107" s="92" t="s">
        <v>86</v>
      </c>
      <c r="C107" s="92"/>
      <c r="E107" s="92">
        <v>0.61093250585880998</v>
      </c>
      <c r="F107" s="85">
        <f t="shared" si="11"/>
        <v>36.655950351528602</v>
      </c>
      <c r="G107" s="92">
        <v>4.3486368374571498</v>
      </c>
      <c r="K107" s="25">
        <v>40.5</v>
      </c>
      <c r="L107" s="85">
        <f t="shared" si="1"/>
        <v>4.05</v>
      </c>
      <c r="W107" s="84">
        <v>0.51</v>
      </c>
      <c r="X107" s="85">
        <f t="shared" si="12"/>
        <v>9.9126670211312771</v>
      </c>
    </row>
    <row r="108" spans="1:24" ht="13.2">
      <c r="A108" s="92"/>
      <c r="C108" s="92"/>
      <c r="E108" s="92">
        <v>0.73954987551329698</v>
      </c>
      <c r="F108" s="85">
        <f t="shared" si="11"/>
        <v>44.372992530797816</v>
      </c>
      <c r="G108" s="92">
        <v>4.4060256483668603</v>
      </c>
      <c r="K108" s="25">
        <v>40.5</v>
      </c>
      <c r="L108" s="85">
        <f t="shared" si="1"/>
        <v>4.05</v>
      </c>
      <c r="W108" s="84">
        <v>0.55000000000000004</v>
      </c>
      <c r="X108" s="85">
        <f t="shared" si="12"/>
        <v>10.165327048428615</v>
      </c>
    </row>
    <row r="109" spans="1:24" ht="13.2">
      <c r="A109" s="92">
        <v>0.77435111440562199</v>
      </c>
      <c r="B109" s="85">
        <f t="shared" ref="B109:B116" si="13">A109*60</f>
        <v>46.461066864337319</v>
      </c>
      <c r="C109" s="84">
        <v>3.62035004228408</v>
      </c>
      <c r="E109" s="92">
        <v>0.81028933069599896</v>
      </c>
      <c r="F109" s="85">
        <f t="shared" si="11"/>
        <v>48.617359841759935</v>
      </c>
      <c r="G109" s="92">
        <v>4.4634144592765601</v>
      </c>
      <c r="K109" s="25">
        <v>40.5</v>
      </c>
      <c r="L109" s="85">
        <f t="shared" si="1"/>
        <v>4.05</v>
      </c>
      <c r="W109" s="84">
        <v>0.26</v>
      </c>
      <c r="X109" s="85">
        <f t="shared" si="12"/>
        <v>7.9187793499305492</v>
      </c>
    </row>
    <row r="110" spans="1:24" ht="13.2">
      <c r="A110" s="92">
        <v>1.0081171310255601</v>
      </c>
      <c r="B110" s="85">
        <f t="shared" si="13"/>
        <v>60.487027861533605</v>
      </c>
      <c r="C110" s="84">
        <v>3.8435453832617599</v>
      </c>
      <c r="E110" s="92">
        <v>0.93247592999502704</v>
      </c>
      <c r="F110" s="85">
        <f t="shared" si="11"/>
        <v>55.948555799701623</v>
      </c>
      <c r="G110" s="92">
        <v>4.5208032701862697</v>
      </c>
      <c r="K110" s="25">
        <v>40.5</v>
      </c>
      <c r="L110" s="85">
        <f t="shared" si="1"/>
        <v>4.05</v>
      </c>
      <c r="W110" s="84">
        <v>0.3</v>
      </c>
      <c r="X110" s="85">
        <f t="shared" si="12"/>
        <v>8.3056611841541468</v>
      </c>
    </row>
    <row r="111" spans="1:24" ht="13.2">
      <c r="A111" s="92">
        <v>1.46103899723</v>
      </c>
      <c r="B111" s="85">
        <f t="shared" si="13"/>
        <v>87.662339833800004</v>
      </c>
      <c r="C111" s="84">
        <v>4.3030634647278703</v>
      </c>
      <c r="E111" s="92">
        <v>1.0482317589385901</v>
      </c>
      <c r="F111" s="85">
        <f t="shared" si="11"/>
        <v>62.893905536315408</v>
      </c>
      <c r="G111" s="92">
        <v>4.6068864865508301</v>
      </c>
      <c r="K111" s="25">
        <v>40.5</v>
      </c>
      <c r="L111" s="85">
        <f t="shared" si="1"/>
        <v>4.05</v>
      </c>
      <c r="W111" s="84">
        <v>0.56000000000000005</v>
      </c>
      <c r="X111" s="85">
        <f t="shared" si="12"/>
        <v>10.226565435490876</v>
      </c>
    </row>
    <row r="112" spans="1:24" ht="13.2">
      <c r="A112" s="92">
        <v>2.3522725626034502</v>
      </c>
      <c r="B112" s="85">
        <f t="shared" si="13"/>
        <v>141.136353756207</v>
      </c>
      <c r="C112" s="84">
        <v>5.07767970212808</v>
      </c>
      <c r="D112" s="233"/>
      <c r="E112" s="92">
        <v>1.12540198447675</v>
      </c>
      <c r="F112" s="85">
        <f t="shared" si="11"/>
        <v>67.524119068605003</v>
      </c>
      <c r="G112" s="92">
        <v>4.5954088995056397</v>
      </c>
      <c r="K112" s="25">
        <v>40.5</v>
      </c>
      <c r="L112" s="85">
        <f t="shared" si="1"/>
        <v>4.05</v>
      </c>
      <c r="W112" s="84">
        <v>0.67</v>
      </c>
      <c r="X112" s="85">
        <f t="shared" si="12"/>
        <v>10.856555581472675</v>
      </c>
    </row>
    <row r="113" spans="1:24" ht="13.2">
      <c r="A113" s="92">
        <v>3.3165580778383998</v>
      </c>
      <c r="B113" s="85">
        <f t="shared" si="13"/>
        <v>198.99348467030399</v>
      </c>
      <c r="C113" s="84">
        <v>5.60284479785809</v>
      </c>
      <c r="E113" s="92">
        <v>1.22829578207308</v>
      </c>
      <c r="F113" s="85">
        <f t="shared" si="11"/>
        <v>73.697746924384802</v>
      </c>
      <c r="G113" s="92">
        <v>4.7044475088815201</v>
      </c>
      <c r="K113" s="25">
        <v>40.5</v>
      </c>
      <c r="L113" s="85">
        <f t="shared" si="1"/>
        <v>4.05</v>
      </c>
    </row>
    <row r="114" spans="1:24" ht="13.8">
      <c r="A114" s="92">
        <v>4.6022728412745302</v>
      </c>
      <c r="B114" s="85">
        <f t="shared" si="13"/>
        <v>276.13637047647182</v>
      </c>
      <c r="C114" s="84">
        <v>6.1936544036744596</v>
      </c>
      <c r="E114" s="92">
        <v>1.3633444127193499</v>
      </c>
      <c r="F114" s="85">
        <f t="shared" si="11"/>
        <v>81.800664763160995</v>
      </c>
      <c r="G114" s="92">
        <v>4.7675753322347596</v>
      </c>
      <c r="K114" s="25">
        <v>40.5</v>
      </c>
      <c r="L114" s="85">
        <f t="shared" si="1"/>
        <v>4.05</v>
      </c>
      <c r="Q114" s="86"/>
      <c r="W114" s="84">
        <v>4.5</v>
      </c>
      <c r="X114" s="85">
        <f t="shared" ref="X114:X122" si="14">2*POWER((3*W114*1000)/(4*PI()), 1/3)</f>
        <v>20.483521897658868</v>
      </c>
    </row>
    <row r="115" spans="1:24" ht="13.8">
      <c r="A115" s="92">
        <v>5.99025988864304</v>
      </c>
      <c r="B115" s="85">
        <f t="shared" si="13"/>
        <v>359.41559331858241</v>
      </c>
      <c r="C115" s="84">
        <v>6.6400440839588102</v>
      </c>
      <c r="E115" s="92">
        <v>1.44051463825751</v>
      </c>
      <c r="F115" s="85">
        <f t="shared" si="11"/>
        <v>86.430878295450597</v>
      </c>
      <c r="G115" s="92">
        <v>4.8077473247347999</v>
      </c>
      <c r="K115" s="25">
        <v>40.5</v>
      </c>
      <c r="L115" s="85">
        <f t="shared" si="1"/>
        <v>4.05</v>
      </c>
      <c r="Q115" s="86"/>
      <c r="W115" s="84">
        <v>5</v>
      </c>
      <c r="X115" s="85">
        <f t="shared" si="14"/>
        <v>21.215688358941101</v>
      </c>
    </row>
    <row r="116" spans="1:24" ht="13.8">
      <c r="A116" s="92">
        <v>7.0860391365655397</v>
      </c>
      <c r="B116" s="85">
        <f t="shared" si="13"/>
        <v>425.16234819393236</v>
      </c>
      <c r="C116" s="84">
        <v>7.1389498731477499</v>
      </c>
      <c r="E116" s="92">
        <v>1.5627012375565399</v>
      </c>
      <c r="F116" s="85">
        <f t="shared" si="11"/>
        <v>93.762074253392399</v>
      </c>
      <c r="G116" s="92">
        <v>4.8880917475767598</v>
      </c>
      <c r="K116" s="25">
        <v>40.5</v>
      </c>
      <c r="L116" s="85">
        <f t="shared" si="1"/>
        <v>4.05</v>
      </c>
      <c r="Q116" s="86"/>
      <c r="W116" s="84">
        <v>5.8</v>
      </c>
      <c r="X116" s="85">
        <f t="shared" si="14"/>
        <v>22.29169661382436</v>
      </c>
    </row>
    <row r="117" spans="1:24" ht="13.8">
      <c r="A117" s="92"/>
      <c r="C117" s="92"/>
      <c r="E117" s="92">
        <v>1.6527334944419401</v>
      </c>
      <c r="F117" s="85">
        <f t="shared" si="11"/>
        <v>99.164009666516407</v>
      </c>
      <c r="G117" s="92">
        <v>4.9626971579751897</v>
      </c>
      <c r="K117" s="25">
        <v>40.5</v>
      </c>
      <c r="L117" s="85">
        <f t="shared" si="1"/>
        <v>4.05</v>
      </c>
      <c r="Q117" s="12"/>
      <c r="W117" s="84">
        <v>3.9</v>
      </c>
      <c r="X117" s="85">
        <f t="shared" si="14"/>
        <v>19.529389246757503</v>
      </c>
    </row>
    <row r="118" spans="1:24" ht="13.8">
      <c r="A118" s="92" t="s">
        <v>87</v>
      </c>
      <c r="C118" s="92"/>
      <c r="D118" s="233"/>
      <c r="E118" s="92">
        <v>1.74919652168281</v>
      </c>
      <c r="F118" s="85">
        <f t="shared" si="11"/>
        <v>104.95179130096861</v>
      </c>
      <c r="G118" s="92">
        <v>5.0487803743397501</v>
      </c>
      <c r="K118" s="25">
        <v>40.5</v>
      </c>
      <c r="L118" s="85">
        <f t="shared" si="1"/>
        <v>4.05</v>
      </c>
      <c r="Q118" s="12"/>
      <c r="W118" s="84">
        <v>4.0999999999999996</v>
      </c>
      <c r="X118" s="85">
        <f t="shared" si="14"/>
        <v>19.857675590690974</v>
      </c>
    </row>
    <row r="119" spans="1:24" ht="13.8">
      <c r="A119" s="92">
        <v>0.40909136509812</v>
      </c>
      <c r="B119" s="85">
        <f t="shared" ref="B119:B124" si="15">A119*60</f>
        <v>24.5454819058872</v>
      </c>
      <c r="C119" s="84">
        <v>3.9879653087937799</v>
      </c>
      <c r="E119" s="92">
        <v>1.8649518599900501</v>
      </c>
      <c r="F119" s="85">
        <f t="shared" si="11"/>
        <v>111.897111599403</v>
      </c>
      <c r="G119" s="92">
        <v>5.0946913792833302</v>
      </c>
      <c r="K119" s="25">
        <v>40.5</v>
      </c>
      <c r="L119" s="85">
        <f t="shared" si="1"/>
        <v>4.05</v>
      </c>
      <c r="Q119" s="12"/>
      <c r="W119" s="84">
        <v>4.5999999999999996</v>
      </c>
      <c r="X119" s="85">
        <f t="shared" si="14"/>
        <v>20.634141438447571</v>
      </c>
    </row>
    <row r="120" spans="1:24" ht="13.8">
      <c r="A120" s="92">
        <v>1.1542210307485601</v>
      </c>
      <c r="B120" s="85">
        <f t="shared" si="15"/>
        <v>69.253261844913609</v>
      </c>
      <c r="C120" s="84">
        <v>4.6050332194801999</v>
      </c>
      <c r="E120" s="92">
        <v>1.9678456575863701</v>
      </c>
      <c r="F120" s="85">
        <f t="shared" si="11"/>
        <v>118.07073945518221</v>
      </c>
      <c r="G120" s="92">
        <v>5.1233857847381801</v>
      </c>
      <c r="K120" s="25">
        <v>40.5</v>
      </c>
      <c r="L120" s="85">
        <f t="shared" si="1"/>
        <v>4.05</v>
      </c>
      <c r="Q120" s="12"/>
      <c r="W120" s="84">
        <v>3.9</v>
      </c>
      <c r="X120" s="85">
        <f t="shared" si="14"/>
        <v>19.529389246757503</v>
      </c>
    </row>
    <row r="121" spans="1:24" ht="13.8">
      <c r="A121" s="92">
        <v>2.29383077977739</v>
      </c>
      <c r="B121" s="85">
        <f t="shared" si="15"/>
        <v>137.62984678664341</v>
      </c>
      <c r="C121" s="84">
        <v>5.5765864929880404</v>
      </c>
      <c r="E121" s="92">
        <v>2.0643086848272398</v>
      </c>
      <c r="F121" s="85">
        <f t="shared" si="11"/>
        <v>123.85852108963439</v>
      </c>
      <c r="G121" s="92">
        <v>5.1635579961591596</v>
      </c>
      <c r="K121" s="25">
        <v>40.5</v>
      </c>
      <c r="L121" s="85">
        <f t="shared" si="1"/>
        <v>4.05</v>
      </c>
      <c r="Q121" s="12"/>
      <c r="W121" s="84">
        <v>4.3</v>
      </c>
      <c r="X121" s="85">
        <f t="shared" si="14"/>
        <v>20.175452211500982</v>
      </c>
    </row>
    <row r="122" spans="1:24" ht="13.8">
      <c r="A122" s="92">
        <v>3.9009736767304002</v>
      </c>
      <c r="B122" s="85">
        <f t="shared" si="15"/>
        <v>234.058420603824</v>
      </c>
      <c r="C122" s="84">
        <v>6.4431075486866796</v>
      </c>
      <c r="E122" s="92">
        <v>2.1800645137708101</v>
      </c>
      <c r="F122" s="85">
        <f t="shared" si="11"/>
        <v>130.80387082624861</v>
      </c>
      <c r="G122" s="92">
        <v>5.2037302075801497</v>
      </c>
      <c r="K122" s="25">
        <v>25.32</v>
      </c>
      <c r="L122" s="85">
        <f t="shared" si="1"/>
        <v>2.532</v>
      </c>
      <c r="Q122" s="12"/>
      <c r="W122" s="84">
        <v>4.7</v>
      </c>
      <c r="X122" s="85">
        <f t="shared" si="14"/>
        <v>20.782593603257155</v>
      </c>
    </row>
    <row r="123" spans="1:24" ht="13.2">
      <c r="A123" s="92">
        <v>4.7922083567881399</v>
      </c>
      <c r="B123" s="85">
        <f t="shared" si="15"/>
        <v>287.53250140728841</v>
      </c>
      <c r="C123" s="84">
        <v>6.9288839350228502</v>
      </c>
      <c r="E123" s="92">
        <v>2.2829583113671301</v>
      </c>
      <c r="F123" s="85">
        <f t="shared" si="11"/>
        <v>136.9774986820278</v>
      </c>
      <c r="G123" s="92">
        <v>5.2840746304221096</v>
      </c>
      <c r="K123" s="25">
        <v>25.32</v>
      </c>
      <c r="L123" s="85">
        <f t="shared" si="1"/>
        <v>2.532</v>
      </c>
    </row>
    <row r="124" spans="1:24" ht="13.2">
      <c r="A124" s="92">
        <v>7.6266231196669301</v>
      </c>
      <c r="B124" s="85">
        <f t="shared" si="15"/>
        <v>457.5973871800158</v>
      </c>
      <c r="C124" s="84">
        <v>7.9529543191062997</v>
      </c>
      <c r="E124" s="92">
        <v>2.3922833699552402</v>
      </c>
      <c r="F124" s="85">
        <f t="shared" si="11"/>
        <v>143.53700219731442</v>
      </c>
      <c r="G124" s="92">
        <v>5.3414634413318201</v>
      </c>
      <c r="K124" s="25">
        <v>25.32</v>
      </c>
      <c r="L124" s="85">
        <f t="shared" si="1"/>
        <v>2.532</v>
      </c>
      <c r="W124" s="88">
        <v>1.0946796959826199</v>
      </c>
      <c r="X124" s="85">
        <f t="shared" ref="X124:X139" si="16">2*POWER((3*W124*1000)/(4*PI()), 1/3)</f>
        <v>12.78682771026039</v>
      </c>
    </row>
    <row r="125" spans="1:24" ht="13.2">
      <c r="A125" s="92"/>
      <c r="C125" s="92"/>
      <c r="E125" s="92">
        <v>2.4823151362043201</v>
      </c>
      <c r="F125" s="85">
        <f t="shared" si="11"/>
        <v>148.9389081722592</v>
      </c>
      <c r="G125" s="92">
        <v>5.4045910457641204</v>
      </c>
      <c r="K125" s="25">
        <v>25.32</v>
      </c>
      <c r="L125" s="85">
        <f t="shared" si="1"/>
        <v>2.532</v>
      </c>
      <c r="W125" s="92">
        <v>1.2492942453854501</v>
      </c>
      <c r="X125" s="85">
        <f t="shared" si="16"/>
        <v>13.362530384048663</v>
      </c>
    </row>
    <row r="126" spans="1:24" ht="13.2">
      <c r="A126" s="92" t="s">
        <v>88</v>
      </c>
      <c r="C126" s="92"/>
      <c r="E126" s="92">
        <v>2.6045017355033502</v>
      </c>
      <c r="F126" s="85">
        <f t="shared" si="11"/>
        <v>156.27010413020102</v>
      </c>
      <c r="G126" s="92">
        <v>5.4791964561625504</v>
      </c>
      <c r="K126" s="25">
        <v>25.32</v>
      </c>
      <c r="L126" s="85">
        <f t="shared" si="1"/>
        <v>2.532</v>
      </c>
      <c r="W126" s="92">
        <v>1.3127035830618801</v>
      </c>
      <c r="X126" s="85">
        <f t="shared" si="16"/>
        <v>13.58488655705343</v>
      </c>
    </row>
    <row r="127" spans="1:24" ht="13.2">
      <c r="A127" s="84" t="s">
        <v>89</v>
      </c>
      <c r="B127" s="84" t="s">
        <v>90</v>
      </c>
      <c r="C127" s="84" t="s">
        <v>91</v>
      </c>
      <c r="E127" s="92">
        <v>2.7009647627442099</v>
      </c>
      <c r="F127" s="85">
        <f t="shared" si="11"/>
        <v>162.05788576465261</v>
      </c>
      <c r="G127" s="92">
        <v>5.5365852670722502</v>
      </c>
      <c r="K127" s="25">
        <v>25.32</v>
      </c>
      <c r="L127" s="85">
        <f t="shared" si="1"/>
        <v>2.532</v>
      </c>
      <c r="W127" s="92">
        <v>1.38306188925081</v>
      </c>
      <c r="X127" s="85">
        <f t="shared" si="16"/>
        <v>13.823382670152311</v>
      </c>
    </row>
    <row r="128" spans="1:24" ht="13.2">
      <c r="A128" s="88">
        <v>293</v>
      </c>
      <c r="B128" s="85">
        <f t="shared" ref="B128:B139" si="17">A128-273.15</f>
        <v>19.850000000000023</v>
      </c>
      <c r="C128" s="88">
        <v>6.6506022453630997</v>
      </c>
      <c r="E128" s="92">
        <v>2.8167205916877802</v>
      </c>
      <c r="F128" s="85">
        <f t="shared" si="11"/>
        <v>169.0032355012668</v>
      </c>
      <c r="G128" s="92">
        <v>5.5538018665609803</v>
      </c>
      <c r="K128" s="25">
        <v>25.32</v>
      </c>
      <c r="L128" s="85">
        <f t="shared" si="1"/>
        <v>2.532</v>
      </c>
      <c r="W128" s="92">
        <v>1.4221498371335499</v>
      </c>
      <c r="X128" s="85">
        <f t="shared" si="16"/>
        <v>13.952399764893507</v>
      </c>
    </row>
    <row r="129" spans="1:24" ht="13.2">
      <c r="A129" s="92">
        <v>293</v>
      </c>
      <c r="B129" s="85">
        <f t="shared" si="17"/>
        <v>19.850000000000023</v>
      </c>
      <c r="C129" s="92">
        <v>7.3574296844207199</v>
      </c>
      <c r="E129" s="92">
        <v>2.9003215875813999</v>
      </c>
      <c r="F129" s="85">
        <f t="shared" si="11"/>
        <v>174.01929525488399</v>
      </c>
      <c r="G129" s="92">
        <v>5.5824962720158302</v>
      </c>
      <c r="K129" s="25">
        <v>25.32</v>
      </c>
      <c r="L129" s="85">
        <f t="shared" si="1"/>
        <v>2.532</v>
      </c>
      <c r="W129" s="92">
        <v>1.47166123778501</v>
      </c>
      <c r="X129" s="85">
        <f t="shared" si="16"/>
        <v>14.112471447525516</v>
      </c>
    </row>
    <row r="130" spans="1:24" ht="13.2">
      <c r="A130" s="92">
        <v>293</v>
      </c>
      <c r="B130" s="85">
        <f t="shared" si="17"/>
        <v>19.850000000000023</v>
      </c>
      <c r="C130" s="92">
        <v>7.9518071956914103</v>
      </c>
      <c r="E130" s="92">
        <v>3.0032158758140501</v>
      </c>
      <c r="F130" s="85">
        <f t="shared" si="11"/>
        <v>180.19295254884301</v>
      </c>
      <c r="G130" s="92">
        <v>5.6111906774706801</v>
      </c>
      <c r="K130" s="25">
        <v>25.32</v>
      </c>
      <c r="L130" s="85">
        <f t="shared" si="1"/>
        <v>2.532</v>
      </c>
      <c r="W130" s="92">
        <v>1.5263843648208399</v>
      </c>
      <c r="X130" s="85">
        <f t="shared" si="16"/>
        <v>14.285269197643052</v>
      </c>
    </row>
    <row r="131" spans="1:24" ht="13.2">
      <c r="A131" s="92">
        <v>373</v>
      </c>
      <c r="B131" s="85">
        <f t="shared" si="17"/>
        <v>99.850000000000023</v>
      </c>
      <c r="C131" s="92">
        <v>4.6265059964095103</v>
      </c>
      <c r="E131" s="92">
        <v>3.1189712141212902</v>
      </c>
      <c r="F131" s="85">
        <f t="shared" si="11"/>
        <v>187.13827284727742</v>
      </c>
      <c r="G131" s="92">
        <v>5.7431851176997597</v>
      </c>
      <c r="K131" s="25">
        <v>25.32</v>
      </c>
      <c r="L131" s="85">
        <f t="shared" si="1"/>
        <v>2.532</v>
      </c>
      <c r="W131" s="92">
        <v>1.6054288816503799</v>
      </c>
      <c r="X131" s="85">
        <f t="shared" si="16"/>
        <v>14.527720743781121</v>
      </c>
    </row>
    <row r="132" spans="1:24" ht="13.2">
      <c r="A132" s="92">
        <v>373</v>
      </c>
      <c r="B132" s="85">
        <f t="shared" si="17"/>
        <v>99.850000000000023</v>
      </c>
      <c r="C132" s="92">
        <v>5.1566257713990398</v>
      </c>
      <c r="E132" s="92">
        <v>3.22186501171762</v>
      </c>
      <c r="F132" s="85">
        <f t="shared" si="11"/>
        <v>193.3119007030572</v>
      </c>
      <c r="G132" s="92">
        <v>5.7202295057674997</v>
      </c>
      <c r="K132" s="25">
        <v>25.32</v>
      </c>
      <c r="L132" s="85">
        <f t="shared" si="1"/>
        <v>2.532</v>
      </c>
      <c r="X132" s="85">
        <f t="shared" si="16"/>
        <v>0</v>
      </c>
    </row>
    <row r="133" spans="1:24" ht="13.2">
      <c r="A133" s="92">
        <v>373</v>
      </c>
      <c r="B133" s="85">
        <f t="shared" si="17"/>
        <v>99.850000000000023</v>
      </c>
      <c r="C133" s="92">
        <v>5.6867467719941898</v>
      </c>
      <c r="E133" s="92">
        <v>3.33119007030573</v>
      </c>
      <c r="F133" s="85">
        <f t="shared" si="11"/>
        <v>199.8714042183438</v>
      </c>
      <c r="G133" s="92">
        <v>5.7546627047449501</v>
      </c>
      <c r="K133" s="25">
        <v>25.32</v>
      </c>
      <c r="L133" s="85">
        <f t="shared" si="1"/>
        <v>2.532</v>
      </c>
      <c r="W133" s="84">
        <v>1.14853420195439</v>
      </c>
      <c r="X133" s="85">
        <f t="shared" si="16"/>
        <v>12.993169481951371</v>
      </c>
    </row>
    <row r="134" spans="1:24" ht="13.2">
      <c r="A134" s="92">
        <v>423</v>
      </c>
      <c r="B134" s="85">
        <f t="shared" si="17"/>
        <v>149.85000000000002</v>
      </c>
      <c r="C134" s="92">
        <v>5.0763044819516301</v>
      </c>
      <c r="E134" s="92">
        <v>3.43408386790205</v>
      </c>
      <c r="F134" s="85">
        <f t="shared" si="11"/>
        <v>206.04503207412301</v>
      </c>
      <c r="G134" s="92">
        <v>5.7776183166772102</v>
      </c>
      <c r="K134" s="25">
        <v>25.32</v>
      </c>
      <c r="L134" s="85">
        <f t="shared" si="1"/>
        <v>2.532</v>
      </c>
      <c r="W134" s="84">
        <v>1.4334419109663401</v>
      </c>
      <c r="X134" s="85">
        <f t="shared" si="16"/>
        <v>13.989230474764293</v>
      </c>
    </row>
    <row r="135" spans="1:24" ht="13.2">
      <c r="A135" s="92">
        <v>423</v>
      </c>
      <c r="B135" s="85">
        <f t="shared" si="17"/>
        <v>149.85000000000002</v>
      </c>
      <c r="C135" s="92">
        <v>4.6746980347145897</v>
      </c>
      <c r="E135" s="92">
        <v>3.5241161247874602</v>
      </c>
      <c r="F135" s="85">
        <f t="shared" si="11"/>
        <v>211.4469674872476</v>
      </c>
      <c r="G135" s="92">
        <v>5.8866570355135597</v>
      </c>
      <c r="K135" s="25">
        <v>25.32</v>
      </c>
      <c r="L135" s="85">
        <f t="shared" si="1"/>
        <v>2.532</v>
      </c>
      <c r="W135" s="84">
        <v>1.4846905537459201</v>
      </c>
      <c r="X135" s="85">
        <f t="shared" si="16"/>
        <v>14.153997275942151</v>
      </c>
    </row>
    <row r="136" spans="1:24" ht="13.2">
      <c r="A136" s="92">
        <v>423</v>
      </c>
      <c r="B136" s="85">
        <f t="shared" si="17"/>
        <v>149.85000000000002</v>
      </c>
      <c r="C136" s="92">
        <v>4.1445779533236502</v>
      </c>
      <c r="E136" s="92">
        <v>3.6398714630947002</v>
      </c>
      <c r="F136" s="85">
        <f t="shared" si="11"/>
        <v>218.39228778568202</v>
      </c>
      <c r="G136" s="92">
        <v>5.8981346225587403</v>
      </c>
      <c r="K136" s="25">
        <v>25.32</v>
      </c>
      <c r="L136" s="85">
        <f t="shared" si="1"/>
        <v>2.532</v>
      </c>
      <c r="W136" s="84">
        <v>1.5289902280130201</v>
      </c>
      <c r="X136" s="85">
        <f t="shared" si="16"/>
        <v>14.293393908166221</v>
      </c>
    </row>
    <row r="137" spans="1:24" ht="13.2">
      <c r="A137" s="92">
        <v>473</v>
      </c>
      <c r="B137" s="85">
        <f t="shared" si="17"/>
        <v>199.85000000000002</v>
      </c>
      <c r="C137" s="92">
        <v>3.7911641571944901</v>
      </c>
      <c r="E137" s="92">
        <v>3.7299037199801099</v>
      </c>
      <c r="F137" s="85">
        <f t="shared" si="11"/>
        <v>223.79422319880661</v>
      </c>
      <c r="G137" s="92">
        <v>5.9555234334684499</v>
      </c>
      <c r="K137" s="25">
        <v>25.32</v>
      </c>
      <c r="L137" s="85">
        <f t="shared" si="1"/>
        <v>2.532</v>
      </c>
      <c r="W137" s="84">
        <v>1.58371335504886</v>
      </c>
      <c r="X137" s="85">
        <f t="shared" si="16"/>
        <v>14.461921025149067</v>
      </c>
    </row>
    <row r="138" spans="1:24" ht="13.2">
      <c r="A138" s="92">
        <v>473</v>
      </c>
      <c r="B138" s="85">
        <f t="shared" si="17"/>
        <v>199.85000000000002</v>
      </c>
      <c r="C138" s="92">
        <v>4.2891565194501098</v>
      </c>
      <c r="E138" s="92">
        <v>3.8392287785682102</v>
      </c>
      <c r="F138" s="85">
        <f t="shared" si="11"/>
        <v>230.3537267140926</v>
      </c>
      <c r="G138" s="92">
        <v>5.9727402518781103</v>
      </c>
      <c r="K138" s="25">
        <v>25.32</v>
      </c>
      <c r="L138" s="85">
        <f t="shared" si="1"/>
        <v>2.532</v>
      </c>
      <c r="W138" s="84">
        <v>1.6610206297502701</v>
      </c>
      <c r="X138" s="85">
        <f t="shared" si="16"/>
        <v>14.693507129378458</v>
      </c>
    </row>
    <row r="139" spans="1:24" ht="13.2">
      <c r="A139" s="92">
        <v>473</v>
      </c>
      <c r="B139" s="85">
        <f t="shared" si="17"/>
        <v>199.85000000000002</v>
      </c>
      <c r="C139" s="92">
        <v>4.7550193241619896</v>
      </c>
      <c r="E139" s="92">
        <v>3.94855383715633</v>
      </c>
      <c r="F139" s="85">
        <f t="shared" si="11"/>
        <v>236.91323022937979</v>
      </c>
      <c r="G139" s="92">
        <v>6.0530846747200799</v>
      </c>
      <c r="K139" s="25">
        <v>25.32</v>
      </c>
      <c r="L139" s="85">
        <f t="shared" si="1"/>
        <v>2.532</v>
      </c>
      <c r="W139" s="84">
        <v>1.7583061889250799</v>
      </c>
      <c r="X139" s="85">
        <f t="shared" si="16"/>
        <v>14.974947005330627</v>
      </c>
    </row>
    <row r="140" spans="1:24" ht="13.2">
      <c r="E140" s="88">
        <v>4.0450168643971898</v>
      </c>
      <c r="F140" s="85">
        <f t="shared" si="11"/>
        <v>242.70101186383138</v>
      </c>
      <c r="G140" s="88">
        <v>6.0989954607427199</v>
      </c>
      <c r="K140" s="25">
        <v>25.32</v>
      </c>
      <c r="L140" s="85">
        <f t="shared" si="1"/>
        <v>2.532</v>
      </c>
    </row>
    <row r="141" spans="1:24" ht="13.2">
      <c r="A141" s="84">
        <v>293</v>
      </c>
      <c r="B141" s="85">
        <f t="shared" ref="B141:B145" si="18">A141-273.15</f>
        <v>19.850000000000023</v>
      </c>
      <c r="C141" s="84">
        <v>10.3348213487437</v>
      </c>
      <c r="K141" s="25">
        <v>25.32</v>
      </c>
      <c r="L141" s="85">
        <f t="shared" si="1"/>
        <v>2.532</v>
      </c>
    </row>
    <row r="142" spans="1:24" ht="13.2">
      <c r="A142" s="84">
        <v>293</v>
      </c>
      <c r="B142" s="85">
        <f t="shared" si="18"/>
        <v>19.850000000000023</v>
      </c>
      <c r="C142" s="84">
        <v>8.7053567703281995</v>
      </c>
      <c r="E142" s="84" t="s">
        <v>92</v>
      </c>
      <c r="K142" s="25">
        <v>25.32</v>
      </c>
      <c r="L142" s="85">
        <f t="shared" si="1"/>
        <v>2.532</v>
      </c>
    </row>
    <row r="143" spans="1:24" ht="13.2">
      <c r="A143" s="84">
        <v>373</v>
      </c>
      <c r="B143" s="85">
        <f t="shared" si="18"/>
        <v>99.850000000000023</v>
      </c>
      <c r="C143" s="84">
        <v>7.7232146582432204</v>
      </c>
      <c r="E143" s="84">
        <v>0.82958213239870304</v>
      </c>
      <c r="F143" s="85">
        <f t="shared" ref="F143:F159" si="19">E143*60</f>
        <v>49.774927943922179</v>
      </c>
      <c r="G143" s="84">
        <v>4.8134863371783299</v>
      </c>
      <c r="K143" s="25">
        <v>25.32</v>
      </c>
      <c r="L143" s="85">
        <f t="shared" si="1"/>
        <v>2.532</v>
      </c>
    </row>
    <row r="144" spans="1:24" ht="13.2">
      <c r="A144" s="84">
        <v>423</v>
      </c>
      <c r="B144" s="85">
        <f t="shared" si="18"/>
        <v>149.85000000000002</v>
      </c>
      <c r="C144" s="84">
        <v>7.1428579943518598</v>
      </c>
      <c r="E144" s="84">
        <v>1.0482317589385901</v>
      </c>
      <c r="F144" s="85">
        <f t="shared" si="19"/>
        <v>62.893905536315408</v>
      </c>
      <c r="G144" s="84">
        <v>4.8995695535428903</v>
      </c>
      <c r="K144" s="25">
        <v>25.32</v>
      </c>
      <c r="L144" s="85">
        <f t="shared" si="1"/>
        <v>2.532</v>
      </c>
    </row>
    <row r="145" spans="1:12" ht="13.2">
      <c r="A145" s="84">
        <v>473</v>
      </c>
      <c r="B145" s="85">
        <f t="shared" si="18"/>
        <v>199.85000000000002</v>
      </c>
      <c r="C145" s="84">
        <v>6.8526788109114598</v>
      </c>
      <c r="E145" s="84">
        <v>1.2411578134203201</v>
      </c>
      <c r="F145" s="85">
        <f t="shared" si="19"/>
        <v>74.469468805219208</v>
      </c>
      <c r="G145" s="84">
        <v>5.0258249813284301</v>
      </c>
      <c r="K145" s="25">
        <v>25.32</v>
      </c>
      <c r="L145" s="85">
        <f t="shared" si="1"/>
        <v>2.532</v>
      </c>
    </row>
    <row r="146" spans="1:12" ht="13.2">
      <c r="E146" s="84">
        <v>1.4469454086129701</v>
      </c>
      <c r="F146" s="85">
        <f t="shared" si="19"/>
        <v>86.816724516778208</v>
      </c>
      <c r="G146" s="84">
        <v>5.0373025683736197</v>
      </c>
      <c r="K146" s="25">
        <v>25.32</v>
      </c>
      <c r="L146" s="85">
        <f t="shared" si="1"/>
        <v>2.532</v>
      </c>
    </row>
    <row r="147" spans="1:12" ht="13.2">
      <c r="A147" s="84">
        <v>293</v>
      </c>
      <c r="B147" s="85">
        <f t="shared" ref="B147:B158" si="20">A147-273.15</f>
        <v>19.850000000000023</v>
      </c>
      <c r="C147" s="84">
        <v>5.4705883437197604</v>
      </c>
      <c r="E147" s="84">
        <v>1.6591642647974001</v>
      </c>
      <c r="F147" s="85">
        <f t="shared" si="19"/>
        <v>99.549855887844004</v>
      </c>
      <c r="G147" s="84">
        <v>5.1578192026365697</v>
      </c>
      <c r="K147" s="25">
        <v>25.32</v>
      </c>
      <c r="L147" s="85">
        <f t="shared" si="1"/>
        <v>2.532</v>
      </c>
    </row>
    <row r="148" spans="1:12" ht="13.2">
      <c r="A148" s="84">
        <v>293</v>
      </c>
      <c r="B148" s="85">
        <f t="shared" si="20"/>
        <v>19.850000000000023</v>
      </c>
      <c r="C148" s="84">
        <v>6.3949580842109599</v>
      </c>
      <c r="E148" s="84">
        <v>1.8713826303455099</v>
      </c>
      <c r="F148" s="85">
        <f t="shared" si="19"/>
        <v>112.28295782073059</v>
      </c>
      <c r="G148" s="84">
        <v>5.31850782939956</v>
      </c>
      <c r="K148" s="25">
        <v>25.32</v>
      </c>
      <c r="L148" s="85">
        <f t="shared" si="1"/>
        <v>2.532</v>
      </c>
    </row>
    <row r="149" spans="1:12" ht="13.2">
      <c r="A149" s="84">
        <v>293</v>
      </c>
      <c r="B149" s="85">
        <f t="shared" si="20"/>
        <v>19.850000000000023</v>
      </c>
      <c r="C149" s="84">
        <v>7.0504201997194302</v>
      </c>
      <c r="E149" s="84">
        <v>2.0707399458190201</v>
      </c>
      <c r="F149" s="85">
        <f t="shared" si="19"/>
        <v>124.2443967491412</v>
      </c>
      <c r="G149" s="84">
        <v>5.43902424474157</v>
      </c>
      <c r="K149" s="25">
        <v>25.32</v>
      </c>
      <c r="L149" s="85">
        <f t="shared" si="1"/>
        <v>2.532</v>
      </c>
    </row>
    <row r="150" spans="1:12" ht="13.2">
      <c r="A150" s="84">
        <v>373</v>
      </c>
      <c r="B150" s="85">
        <f t="shared" si="20"/>
        <v>99.850000000000023</v>
      </c>
      <c r="C150" s="84">
        <v>5.0336128520676002</v>
      </c>
      <c r="E150" s="84">
        <v>2.2765275410116699</v>
      </c>
      <c r="F150" s="85">
        <f t="shared" si="19"/>
        <v>136.5916524607002</v>
      </c>
      <c r="G150" s="84">
        <v>5.5480630730383798</v>
      </c>
      <c r="K150" s="25">
        <v>25.32</v>
      </c>
      <c r="L150" s="85">
        <f t="shared" si="1"/>
        <v>2.532</v>
      </c>
    </row>
    <row r="151" spans="1:12" ht="13.2">
      <c r="A151" s="84">
        <v>373</v>
      </c>
      <c r="B151" s="85">
        <f t="shared" si="20"/>
        <v>99.850000000000023</v>
      </c>
      <c r="C151" s="84">
        <v>4.41176463045581</v>
      </c>
      <c r="E151" s="84">
        <v>2.4887463971961101</v>
      </c>
      <c r="F151" s="85">
        <f t="shared" si="19"/>
        <v>149.32478383176661</v>
      </c>
      <c r="G151" s="84">
        <v>5.6513628888916703</v>
      </c>
      <c r="K151" s="25">
        <v>25.32</v>
      </c>
      <c r="L151" s="85">
        <f t="shared" si="1"/>
        <v>2.532</v>
      </c>
    </row>
    <row r="152" spans="1:12" ht="13.2">
      <c r="A152" s="84">
        <v>373</v>
      </c>
      <c r="B152" s="85">
        <f t="shared" si="20"/>
        <v>99.850000000000023</v>
      </c>
      <c r="C152" s="84">
        <v>3.7563025149473401</v>
      </c>
      <c r="E152" s="84">
        <v>2.7073955330996702</v>
      </c>
      <c r="F152" s="85">
        <f t="shared" si="19"/>
        <v>162.44373198598021</v>
      </c>
      <c r="G152" s="84">
        <v>5.7890961226433397</v>
      </c>
      <c r="K152" s="25">
        <v>25.32</v>
      </c>
      <c r="L152" s="85">
        <f t="shared" si="1"/>
        <v>2.532</v>
      </c>
    </row>
    <row r="153" spans="1:12" ht="13.2">
      <c r="A153" s="84">
        <v>423</v>
      </c>
      <c r="B153" s="85">
        <f t="shared" si="20"/>
        <v>149.85000000000002</v>
      </c>
      <c r="C153" s="84">
        <v>3.3865544905257399</v>
      </c>
      <c r="E153" s="84">
        <v>2.9131836189286502</v>
      </c>
      <c r="F153" s="85">
        <f t="shared" si="19"/>
        <v>174.79101713571902</v>
      </c>
      <c r="G153" s="84">
        <v>5.8407458116490396</v>
      </c>
      <c r="K153" s="25">
        <v>25.32</v>
      </c>
      <c r="L153" s="85">
        <f t="shared" si="1"/>
        <v>2.532</v>
      </c>
    </row>
    <row r="154" spans="1:12" ht="13.2">
      <c r="A154" s="84">
        <v>423</v>
      </c>
      <c r="B154" s="85">
        <f t="shared" si="20"/>
        <v>149.85000000000002</v>
      </c>
      <c r="C154" s="84">
        <v>3.9747901004920201</v>
      </c>
      <c r="E154" s="84">
        <v>3.1189712141212902</v>
      </c>
      <c r="F154" s="85">
        <f t="shared" si="19"/>
        <v>187.13827284727742</v>
      </c>
      <c r="G154" s="84">
        <v>5.9727402518781103</v>
      </c>
      <c r="K154" s="25">
        <v>25.32</v>
      </c>
      <c r="L154" s="85">
        <f t="shared" si="1"/>
        <v>2.532</v>
      </c>
    </row>
    <row r="155" spans="1:12" ht="13.2">
      <c r="A155" s="84">
        <v>423</v>
      </c>
      <c r="B155" s="85">
        <f t="shared" si="20"/>
        <v>149.85000000000002</v>
      </c>
      <c r="C155" s="84">
        <v>4.46218499045664</v>
      </c>
      <c r="E155" s="84">
        <v>3.3247592999502702</v>
      </c>
      <c r="F155" s="85">
        <f t="shared" si="19"/>
        <v>199.4855579970162</v>
      </c>
      <c r="G155" s="84">
        <v>6.0186513662821604</v>
      </c>
      <c r="K155" s="25">
        <v>25.32</v>
      </c>
      <c r="L155" s="85">
        <f t="shared" si="1"/>
        <v>2.532</v>
      </c>
    </row>
    <row r="156" spans="1:12" ht="13.2">
      <c r="A156" s="84">
        <v>473</v>
      </c>
      <c r="B156" s="85">
        <f t="shared" si="20"/>
        <v>199.85000000000002</v>
      </c>
      <c r="C156" s="84">
        <v>4.1092431115763999</v>
      </c>
      <c r="E156" s="84">
        <v>3.53697766549837</v>
      </c>
      <c r="F156" s="85">
        <f t="shared" si="19"/>
        <v>212.2186599299022</v>
      </c>
      <c r="G156" s="84">
        <v>6.0989954607427199</v>
      </c>
      <c r="K156" s="25">
        <v>25.32</v>
      </c>
      <c r="L156" s="85">
        <f t="shared" si="1"/>
        <v>2.532</v>
      </c>
    </row>
    <row r="157" spans="1:12" ht="13.2">
      <c r="A157" s="84">
        <v>473</v>
      </c>
      <c r="B157" s="85">
        <f t="shared" si="20"/>
        <v>199.85000000000002</v>
      </c>
      <c r="C157" s="84">
        <v>3.4705881032976702</v>
      </c>
      <c r="E157" s="84">
        <v>3.74276575132735</v>
      </c>
      <c r="F157" s="85">
        <f t="shared" si="19"/>
        <v>224.56594507964101</v>
      </c>
      <c r="G157" s="84">
        <v>6.1850786771072697</v>
      </c>
      <c r="K157" s="25">
        <v>25.32</v>
      </c>
      <c r="L157" s="85">
        <f t="shared" si="1"/>
        <v>2.532</v>
      </c>
    </row>
    <row r="158" spans="1:12" ht="13.2">
      <c r="A158" s="84">
        <v>473</v>
      </c>
      <c r="B158" s="85">
        <f t="shared" si="20"/>
        <v>199.85000000000002</v>
      </c>
      <c r="C158" s="84">
        <v>3.1848736916479998</v>
      </c>
      <c r="E158" s="84">
        <v>3.95498411687546</v>
      </c>
      <c r="F158" s="85">
        <f t="shared" si="19"/>
        <v>237.29904701252761</v>
      </c>
      <c r="G158" s="84">
        <v>6.2367288039548603</v>
      </c>
      <c r="K158" s="25">
        <v>25.32</v>
      </c>
      <c r="L158" s="85">
        <f t="shared" si="1"/>
        <v>2.532</v>
      </c>
    </row>
    <row r="159" spans="1:12" ht="13.2">
      <c r="E159" s="84">
        <v>4.1672029730598901</v>
      </c>
      <c r="F159" s="85">
        <f t="shared" si="19"/>
        <v>250.03217838359342</v>
      </c>
      <c r="G159" s="84">
        <v>6.2883787118815002</v>
      </c>
      <c r="K159" s="25">
        <v>25.32</v>
      </c>
      <c r="L159" s="85">
        <f t="shared" si="1"/>
        <v>2.532</v>
      </c>
    </row>
    <row r="160" spans="1:12" ht="13.2">
      <c r="A160" s="92">
        <v>293</v>
      </c>
      <c r="B160" s="85">
        <f t="shared" ref="B160:B171" si="21">A160-273.15</f>
        <v>19.850000000000023</v>
      </c>
      <c r="C160" s="92">
        <v>9.6930691498703503</v>
      </c>
      <c r="K160" s="25">
        <v>25.32</v>
      </c>
      <c r="L160" s="85">
        <f t="shared" si="1"/>
        <v>2.532</v>
      </c>
    </row>
    <row r="161" spans="1:12" ht="13.2">
      <c r="A161" s="92">
        <v>293</v>
      </c>
      <c r="B161" s="85">
        <f t="shared" si="21"/>
        <v>19.850000000000023</v>
      </c>
      <c r="C161" s="92">
        <v>8.4851481782936204</v>
      </c>
      <c r="E161" s="84">
        <v>1.75</v>
      </c>
      <c r="K161" s="25">
        <v>25.32</v>
      </c>
      <c r="L161" s="85">
        <f t="shared" si="1"/>
        <v>2.532</v>
      </c>
    </row>
    <row r="162" spans="1:12" ht="13.2">
      <c r="A162" s="92">
        <v>293</v>
      </c>
      <c r="B162" s="85">
        <f t="shared" si="21"/>
        <v>19.850000000000023</v>
      </c>
      <c r="C162" s="92">
        <v>7.2970296356587196</v>
      </c>
      <c r="E162" s="84">
        <v>1.03536972759135</v>
      </c>
      <c r="F162" s="85">
        <f t="shared" ref="F162:F192" si="22">E162*60</f>
        <v>62.122183655481003</v>
      </c>
      <c r="G162" s="84">
        <v>5.2324246130349996</v>
      </c>
      <c r="K162" s="25">
        <v>25.32</v>
      </c>
      <c r="L162" s="85">
        <f t="shared" si="1"/>
        <v>2.532</v>
      </c>
    </row>
    <row r="163" spans="1:12" ht="13.2">
      <c r="A163" s="84">
        <v>373</v>
      </c>
      <c r="B163" s="85">
        <f t="shared" si="21"/>
        <v>99.850000000000023</v>
      </c>
      <c r="C163" s="92">
        <v>5.1188130628801698</v>
      </c>
      <c r="E163" s="84">
        <v>1.1382640158240001</v>
      </c>
      <c r="F163" s="85">
        <f t="shared" si="22"/>
        <v>68.295840949440006</v>
      </c>
      <c r="G163" s="84">
        <v>5.1922524016140201</v>
      </c>
    </row>
    <row r="164" spans="1:12" ht="13.2">
      <c r="A164" s="84">
        <v>373</v>
      </c>
      <c r="B164" s="85">
        <f t="shared" si="21"/>
        <v>99.850000000000023</v>
      </c>
      <c r="C164" s="92">
        <v>6.0297036434127502</v>
      </c>
      <c r="E164" s="84">
        <v>1.2411578134203201</v>
      </c>
      <c r="F164" s="85">
        <f t="shared" si="22"/>
        <v>74.469468805219208</v>
      </c>
      <c r="G164" s="84">
        <v>5.3127690358769604</v>
      </c>
    </row>
    <row r="165" spans="1:12" ht="13.2">
      <c r="A165" s="84">
        <v>373</v>
      </c>
      <c r="B165" s="85">
        <f t="shared" si="21"/>
        <v>99.850000000000023</v>
      </c>
      <c r="C165" s="92">
        <v>7.1584164099929897</v>
      </c>
      <c r="E165" s="84">
        <v>1.3504823813721001</v>
      </c>
      <c r="F165" s="85">
        <f t="shared" si="22"/>
        <v>81.028942882326007</v>
      </c>
      <c r="G165" s="84">
        <v>5.3988522522415199</v>
      </c>
    </row>
    <row r="166" spans="1:12" ht="13.2">
      <c r="A166" s="84">
        <v>423</v>
      </c>
      <c r="B166" s="85">
        <f t="shared" si="21"/>
        <v>149.85000000000002</v>
      </c>
      <c r="C166" s="92">
        <v>6.4653465047372096</v>
      </c>
      <c r="E166" s="84">
        <v>1.44051463825751</v>
      </c>
      <c r="F166" s="85">
        <f t="shared" si="22"/>
        <v>86.430878295450597</v>
      </c>
      <c r="G166" s="84">
        <v>5.3529410283770096</v>
      </c>
    </row>
    <row r="167" spans="1:12" ht="13.2">
      <c r="A167" s="84">
        <v>423</v>
      </c>
      <c r="B167" s="85">
        <f t="shared" si="21"/>
        <v>149.85000000000002</v>
      </c>
      <c r="C167" s="92">
        <v>5.3168328199859802</v>
      </c>
      <c r="E167" s="84">
        <v>1.5627012375565399</v>
      </c>
      <c r="F167" s="85">
        <f t="shared" si="22"/>
        <v>93.762074253392399</v>
      </c>
      <c r="G167" s="84">
        <v>5.3529410283770096</v>
      </c>
    </row>
    <row r="168" spans="1:12" ht="13.2">
      <c r="A168" s="84">
        <v>423</v>
      </c>
      <c r="B168" s="85">
        <f t="shared" si="21"/>
        <v>149.85000000000002</v>
      </c>
      <c r="C168" s="92">
        <v>4.7227735486685303</v>
      </c>
      <c r="E168" s="84">
        <v>1.6591642647974001</v>
      </c>
      <c r="F168" s="85">
        <f t="shared" si="22"/>
        <v>99.549855887844004</v>
      </c>
      <c r="G168" s="84">
        <v>5.3816354338318604</v>
      </c>
    </row>
    <row r="169" spans="1:12" ht="13.2">
      <c r="A169" s="84">
        <v>473</v>
      </c>
      <c r="B169" s="85">
        <f t="shared" si="21"/>
        <v>199.85000000000002</v>
      </c>
      <c r="C169" s="92">
        <v>4.4653472601226296</v>
      </c>
      <c r="E169" s="84">
        <v>1.7684888327491799</v>
      </c>
      <c r="F169" s="85">
        <f t="shared" si="22"/>
        <v>106.10932996495079</v>
      </c>
      <c r="G169" s="84">
        <v>5.4275466576963796</v>
      </c>
    </row>
    <row r="170" spans="1:12" ht="13.2">
      <c r="A170" s="84">
        <v>473</v>
      </c>
      <c r="B170" s="85">
        <f t="shared" si="21"/>
        <v>199.85000000000002</v>
      </c>
      <c r="C170" s="92">
        <v>5.1584164099929897</v>
      </c>
      <c r="E170" s="84">
        <v>1.8585210896345901</v>
      </c>
      <c r="F170" s="85">
        <f t="shared" si="22"/>
        <v>111.51126537807541</v>
      </c>
      <c r="G170" s="84">
        <v>5.4964130556512698</v>
      </c>
    </row>
    <row r="171" spans="1:12" ht="13.2">
      <c r="A171" s="84">
        <v>473</v>
      </c>
      <c r="B171" s="85">
        <f t="shared" si="21"/>
        <v>199.85000000000002</v>
      </c>
      <c r="C171" s="92">
        <v>6.2277234005185704</v>
      </c>
      <c r="E171" s="84">
        <v>1.99356922964454</v>
      </c>
      <c r="F171" s="85">
        <f t="shared" si="22"/>
        <v>119.6141537786724</v>
      </c>
      <c r="G171" s="84">
        <v>5.5767574784932403</v>
      </c>
    </row>
    <row r="172" spans="1:12" ht="13.2">
      <c r="A172" s="92"/>
      <c r="C172" s="92"/>
      <c r="E172" s="84">
        <v>2.0771707161744799</v>
      </c>
      <c r="F172" s="85">
        <f t="shared" si="22"/>
        <v>124.6302429704688</v>
      </c>
      <c r="G172" s="84">
        <v>5.6571019013352002</v>
      </c>
    </row>
    <row r="173" spans="1:12" ht="13.2">
      <c r="A173" s="92"/>
      <c r="B173" s="92"/>
      <c r="C173" s="92"/>
      <c r="E173" s="84">
        <v>2.1800645137708101</v>
      </c>
      <c r="F173" s="85">
        <f t="shared" si="22"/>
        <v>130.80387082624861</v>
      </c>
      <c r="G173" s="84">
        <v>5.7317073117336301</v>
      </c>
    </row>
    <row r="174" spans="1:12" ht="13.2">
      <c r="A174" s="88">
        <v>423</v>
      </c>
      <c r="B174" s="85">
        <f>A174-273.15</f>
        <v>149.85000000000002</v>
      </c>
      <c r="C174" s="88">
        <v>4.5056603807535502</v>
      </c>
      <c r="E174" s="84">
        <v>2.2829583113671301</v>
      </c>
      <c r="F174" s="85">
        <f t="shared" si="22"/>
        <v>136.9774986820278</v>
      </c>
      <c r="G174" s="84">
        <v>5.7833571101998</v>
      </c>
    </row>
    <row r="175" spans="1:12" ht="13.2">
      <c r="E175" s="84">
        <v>2.3987141403107</v>
      </c>
      <c r="F175" s="85">
        <f t="shared" si="22"/>
        <v>143.92284841864199</v>
      </c>
      <c r="G175" s="84">
        <v>5.7833571101998</v>
      </c>
    </row>
    <row r="176" spans="1:12" ht="13.2">
      <c r="E176" s="84">
        <v>2.4951771675515699</v>
      </c>
      <c r="F176" s="85">
        <f t="shared" si="22"/>
        <v>149.71063005309421</v>
      </c>
      <c r="G176" s="84">
        <v>5.8694402171038904</v>
      </c>
    </row>
    <row r="177" spans="1:7" ht="13.2">
      <c r="A177" s="92">
        <v>373</v>
      </c>
      <c r="B177" s="85">
        <f t="shared" ref="B177:B185" si="23">A177-273.15</f>
        <v>99.850000000000023</v>
      </c>
      <c r="C177" s="84">
        <v>3.7220339415916501</v>
      </c>
      <c r="E177" s="84">
        <v>2.6045017355033502</v>
      </c>
      <c r="F177" s="85">
        <f t="shared" si="22"/>
        <v>156.27010413020102</v>
      </c>
      <c r="G177" s="84">
        <v>5.90387374446275</v>
      </c>
    </row>
    <row r="178" spans="1:7" ht="13.2">
      <c r="A178" s="92">
        <v>373</v>
      </c>
      <c r="B178" s="85">
        <f t="shared" si="23"/>
        <v>99.850000000000023</v>
      </c>
      <c r="C178" s="84">
        <v>3.2338983045368099</v>
      </c>
      <c r="E178" s="84">
        <v>2.7073955330996702</v>
      </c>
      <c r="F178" s="85">
        <f t="shared" si="22"/>
        <v>162.44373198598021</v>
      </c>
      <c r="G178" s="84">
        <v>5.9497847494063301</v>
      </c>
    </row>
    <row r="179" spans="1:7" ht="13.2">
      <c r="A179" s="92">
        <v>423</v>
      </c>
      <c r="B179" s="85">
        <f t="shared" si="23"/>
        <v>149.85000000000002</v>
      </c>
      <c r="C179" s="84">
        <v>3.1118644599289902</v>
      </c>
      <c r="E179" s="84">
        <v>2.8167205916877802</v>
      </c>
      <c r="F179" s="85">
        <f t="shared" si="22"/>
        <v>169.0032355012668</v>
      </c>
      <c r="G179" s="84">
        <v>5.9842178389232998</v>
      </c>
    </row>
    <row r="180" spans="1:7" ht="13.2">
      <c r="A180" s="92">
        <v>423</v>
      </c>
      <c r="B180" s="85">
        <f t="shared" si="23"/>
        <v>149.85000000000002</v>
      </c>
      <c r="C180" s="84">
        <v>3.64745738712476</v>
      </c>
      <c r="E180" s="84">
        <v>2.9067528485731899</v>
      </c>
      <c r="F180" s="85">
        <f t="shared" si="22"/>
        <v>174.40517091439139</v>
      </c>
      <c r="G180" s="84">
        <v>6.0129122443781604</v>
      </c>
    </row>
    <row r="181" spans="1:7" ht="13.2">
      <c r="A181" s="92">
        <v>293</v>
      </c>
      <c r="B181" s="85">
        <f t="shared" si="23"/>
        <v>19.850000000000023</v>
      </c>
      <c r="C181" s="84">
        <v>3.3694915226840698</v>
      </c>
      <c r="E181" s="84">
        <v>3.0160774165249702</v>
      </c>
      <c r="F181" s="85">
        <f t="shared" si="22"/>
        <v>180.9646449914982</v>
      </c>
      <c r="G181" s="84">
        <v>6.0932567766805903</v>
      </c>
    </row>
    <row r="182" spans="1:7" ht="13.2">
      <c r="A182" s="92">
        <v>293</v>
      </c>
      <c r="B182" s="85">
        <f t="shared" si="23"/>
        <v>19.850000000000023</v>
      </c>
      <c r="C182" s="84">
        <v>3.7694914903561298</v>
      </c>
      <c r="E182" s="84">
        <v>3.0996789030549201</v>
      </c>
      <c r="F182" s="85">
        <f t="shared" si="22"/>
        <v>185.9807341832952</v>
      </c>
      <c r="G182" s="84">
        <v>6.1449066846072302</v>
      </c>
    </row>
    <row r="183" spans="1:7" ht="13.2">
      <c r="A183" s="92">
        <v>293</v>
      </c>
      <c r="B183" s="85">
        <f t="shared" si="23"/>
        <v>19.850000000000023</v>
      </c>
      <c r="C183" s="84">
        <v>4.6101694816626599</v>
      </c>
      <c r="E183" s="84">
        <v>3.2154342413621602</v>
      </c>
      <c r="F183" s="85">
        <f t="shared" si="22"/>
        <v>192.92605448172961</v>
      </c>
      <c r="G183" s="84">
        <v>6.1850786771072697</v>
      </c>
    </row>
    <row r="184" spans="1:7" ht="13.2">
      <c r="A184" s="84">
        <v>473</v>
      </c>
      <c r="B184" s="85">
        <f t="shared" si="23"/>
        <v>199.85000000000002</v>
      </c>
      <c r="C184" s="84">
        <v>3.8372880994297498</v>
      </c>
      <c r="E184" s="84">
        <v>3.33119007030573</v>
      </c>
      <c r="F184" s="85">
        <f t="shared" si="22"/>
        <v>199.8714042183438</v>
      </c>
      <c r="G184" s="84">
        <v>6.2769010153758398</v>
      </c>
    </row>
    <row r="185" spans="1:7" ht="13.2">
      <c r="A185" s="92">
        <v>473</v>
      </c>
      <c r="B185" s="85">
        <f t="shared" si="23"/>
        <v>199.85000000000002</v>
      </c>
      <c r="C185" s="84">
        <v>3.30847447106839</v>
      </c>
      <c r="E185" s="84">
        <v>3.43408386790205</v>
      </c>
      <c r="F185" s="85">
        <f t="shared" si="22"/>
        <v>206.04503207412301</v>
      </c>
      <c r="G185" s="84">
        <v>6.2482066099209899</v>
      </c>
    </row>
    <row r="186" spans="1:7" ht="13.2">
      <c r="E186" s="84">
        <v>3.53697766549837</v>
      </c>
      <c r="F186" s="85">
        <f t="shared" si="22"/>
        <v>212.2186599299022</v>
      </c>
      <c r="G186" s="84">
        <v>6.2998562989266897</v>
      </c>
    </row>
    <row r="187" spans="1:7" ht="13.2">
      <c r="A187" s="84">
        <v>293</v>
      </c>
      <c r="B187" s="85">
        <f t="shared" ref="B187:B194" si="24">A187-273.15</f>
        <v>19.850000000000023</v>
      </c>
      <c r="C187" s="84">
        <v>4.6568722486950902</v>
      </c>
      <c r="E187" s="84">
        <v>3.6527334944419398</v>
      </c>
      <c r="F187" s="85">
        <f t="shared" si="22"/>
        <v>219.16400966651639</v>
      </c>
      <c r="G187" s="84">
        <v>6.3457675227912</v>
      </c>
    </row>
    <row r="188" spans="1:7" ht="13.2">
      <c r="A188" s="92">
        <v>293</v>
      </c>
      <c r="B188" s="85">
        <f t="shared" si="24"/>
        <v>19.850000000000023</v>
      </c>
      <c r="C188" s="84">
        <v>5.4388626851958399</v>
      </c>
      <c r="E188" s="84">
        <v>3.74276575132735</v>
      </c>
      <c r="F188" s="85">
        <f t="shared" si="22"/>
        <v>224.56594507964101</v>
      </c>
      <c r="G188" s="84">
        <v>6.3285507043815397</v>
      </c>
    </row>
    <row r="189" spans="1:7" ht="13.2">
      <c r="A189" s="84">
        <v>373</v>
      </c>
      <c r="B189" s="85">
        <f t="shared" si="24"/>
        <v>99.850000000000023</v>
      </c>
      <c r="C189" s="84">
        <v>4.59526073633773</v>
      </c>
      <c r="E189" s="84">
        <v>3.8327975175764299</v>
      </c>
      <c r="F189" s="85">
        <f t="shared" si="22"/>
        <v>229.96785105458579</v>
      </c>
      <c r="G189" s="84">
        <v>6.4031563337009096</v>
      </c>
    </row>
    <row r="190" spans="1:7" ht="13.2">
      <c r="A190" s="92">
        <v>373</v>
      </c>
      <c r="B190" s="85">
        <f t="shared" si="24"/>
        <v>99.850000000000023</v>
      </c>
      <c r="C190" s="84">
        <v>5.4199052689641496</v>
      </c>
      <c r="E190" s="84">
        <v>3.9356913151727499</v>
      </c>
      <c r="F190" s="85">
        <f t="shared" si="22"/>
        <v>236.14147891036501</v>
      </c>
      <c r="G190" s="84">
        <v>6.4261118361726997</v>
      </c>
    </row>
    <row r="191" spans="1:7" ht="13.2">
      <c r="A191" s="84">
        <v>423</v>
      </c>
      <c r="B191" s="85">
        <f t="shared" si="24"/>
        <v>149.85000000000002</v>
      </c>
      <c r="C191" s="84">
        <v>5.3819902557094297</v>
      </c>
      <c r="E191" s="84">
        <v>4.0192928017026999</v>
      </c>
      <c r="F191" s="85">
        <f t="shared" si="22"/>
        <v>241.157568102162</v>
      </c>
      <c r="G191" s="84">
        <v>6.4146339207461001</v>
      </c>
    </row>
    <row r="192" spans="1:7" ht="13.2">
      <c r="A192" s="84">
        <v>423</v>
      </c>
      <c r="B192" s="85">
        <f t="shared" si="24"/>
        <v>149.85000000000002</v>
      </c>
      <c r="C192" s="84">
        <v>4.50521328042415</v>
      </c>
      <c r="E192" s="84">
        <v>4.1607717120681</v>
      </c>
      <c r="F192" s="85">
        <f t="shared" si="22"/>
        <v>249.64630272408601</v>
      </c>
      <c r="G192" s="84">
        <v>6.4605451446106201</v>
      </c>
    </row>
    <row r="193" spans="1:7" ht="13.2">
      <c r="A193" s="84">
        <v>473</v>
      </c>
      <c r="B193" s="85">
        <f t="shared" si="24"/>
        <v>199.85000000000002</v>
      </c>
      <c r="C193" s="84">
        <v>4.6047396252448998</v>
      </c>
    </row>
    <row r="194" spans="1:7" ht="13.8">
      <c r="A194" s="84">
        <v>473</v>
      </c>
      <c r="B194" s="85">
        <f t="shared" si="24"/>
        <v>199.85000000000002</v>
      </c>
      <c r="C194" s="84">
        <v>5.7137441358075396</v>
      </c>
      <c r="E194" s="12" t="s">
        <v>93</v>
      </c>
    </row>
    <row r="195" spans="1:7" ht="13.8">
      <c r="E195" s="203">
        <v>1.1446947861794601</v>
      </c>
      <c r="F195" s="85">
        <f t="shared" ref="F195:F216" si="25">E195*60</f>
        <v>68.681687170767603</v>
      </c>
      <c r="G195" s="84">
        <v>5.3873744462753903</v>
      </c>
    </row>
    <row r="196" spans="1:7" ht="13.8">
      <c r="E196" s="203">
        <v>1.23472704306486</v>
      </c>
      <c r="F196" s="85">
        <f t="shared" si="25"/>
        <v>74.083622583891596</v>
      </c>
      <c r="G196" s="84">
        <v>5.4791964561625504</v>
      </c>
    </row>
    <row r="197" spans="1:7" ht="13.8">
      <c r="E197" s="203">
        <v>1.3504823813721001</v>
      </c>
      <c r="F197" s="85">
        <f t="shared" si="25"/>
        <v>81.028942882326007</v>
      </c>
      <c r="G197" s="84">
        <v>5.5308464735496603</v>
      </c>
    </row>
    <row r="198" spans="1:7" ht="13.8">
      <c r="E198" s="203">
        <v>1.4598074399602099</v>
      </c>
      <c r="F198" s="85">
        <f t="shared" si="25"/>
        <v>87.5884463976126</v>
      </c>
      <c r="G198" s="84">
        <v>5.4791964561625504</v>
      </c>
    </row>
    <row r="199" spans="1:7" ht="13.8">
      <c r="A199" s="84" t="s">
        <v>69</v>
      </c>
      <c r="C199" s="84" t="s">
        <v>70</v>
      </c>
      <c r="E199" s="203">
        <v>1.5691320079119999</v>
      </c>
      <c r="F199" s="85">
        <f t="shared" si="25"/>
        <v>94.147920474719996</v>
      </c>
      <c r="G199" s="84">
        <v>5.4447632571850999</v>
      </c>
    </row>
    <row r="200" spans="1:7" ht="13.8">
      <c r="A200" s="84">
        <v>2.4368639876597001E-2</v>
      </c>
      <c r="B200" s="85">
        <f t="shared" ref="B200:B209" si="26">A200*60</f>
        <v>1.4621183925958201</v>
      </c>
      <c r="C200" s="84">
        <v>2.75536461240445</v>
      </c>
      <c r="E200" s="203">
        <v>1.6655950351528599</v>
      </c>
      <c r="F200" s="85">
        <f t="shared" si="25"/>
        <v>99.935702109171586</v>
      </c>
      <c r="G200" s="84">
        <v>5.5308464735496603</v>
      </c>
    </row>
    <row r="201" spans="1:7" ht="13.8">
      <c r="A201" s="84">
        <v>0.239111602419495</v>
      </c>
      <c r="B201" s="85">
        <f t="shared" si="26"/>
        <v>14.3466961451697</v>
      </c>
      <c r="C201" s="84">
        <v>3.10300370160701</v>
      </c>
      <c r="E201" s="203">
        <v>1.7620580623937301</v>
      </c>
      <c r="F201" s="85">
        <f t="shared" si="25"/>
        <v>105.7234837436238</v>
      </c>
      <c r="G201" s="84">
        <v>5.5193686675835298</v>
      </c>
    </row>
    <row r="202" spans="1:7" ht="13.8">
      <c r="A202" s="84">
        <v>0.464158659656769</v>
      </c>
      <c r="B202" s="85">
        <f t="shared" si="26"/>
        <v>27.849519579406142</v>
      </c>
      <c r="C202" s="84">
        <v>3.3605139379500102</v>
      </c>
      <c r="E202" s="203">
        <v>1.8585210896345901</v>
      </c>
      <c r="F202" s="85">
        <f t="shared" si="25"/>
        <v>111.51126537807541</v>
      </c>
      <c r="G202" s="84">
        <v>5.5824962720158302</v>
      </c>
    </row>
    <row r="203" spans="1:7" ht="13.8">
      <c r="A203" s="84">
        <v>0.64669478842897199</v>
      </c>
      <c r="B203" s="85">
        <f t="shared" si="26"/>
        <v>38.801687305738319</v>
      </c>
      <c r="C203" s="84">
        <v>3.5793991368879099</v>
      </c>
      <c r="E203" s="203">
        <v>1.9742769185781599</v>
      </c>
      <c r="F203" s="85">
        <f t="shared" si="25"/>
        <v>118.4566151146896</v>
      </c>
      <c r="G203" s="84">
        <v>5.6571019013352002</v>
      </c>
    </row>
    <row r="204" spans="1:7" ht="13.8">
      <c r="A204" s="84">
        <v>0.99056852205621204</v>
      </c>
      <c r="B204" s="85">
        <f t="shared" si="26"/>
        <v>59.434111323372726</v>
      </c>
      <c r="C204" s="84">
        <v>3.79828335350033</v>
      </c>
      <c r="E204" s="203">
        <v>2.0643086848272398</v>
      </c>
      <c r="F204" s="85">
        <f t="shared" si="25"/>
        <v>123.85852108963439</v>
      </c>
      <c r="G204" s="84">
        <v>5.7144907122449098</v>
      </c>
    </row>
    <row r="205" spans="1:7" ht="13.8">
      <c r="A205" s="84">
        <v>1.44708338075479</v>
      </c>
      <c r="B205" s="85">
        <f t="shared" si="26"/>
        <v>86.825002845287401</v>
      </c>
      <c r="C205" s="84">
        <v>4.2231759556522599</v>
      </c>
      <c r="E205" s="203">
        <v>2.1800645137708101</v>
      </c>
      <c r="F205" s="85">
        <f t="shared" si="25"/>
        <v>130.80387082624861</v>
      </c>
      <c r="G205" s="84">
        <v>5.8120515156546597</v>
      </c>
    </row>
    <row r="206" spans="1:7" ht="13.8">
      <c r="A206" s="84">
        <v>1.92287180062957</v>
      </c>
      <c r="B206" s="85">
        <f t="shared" si="26"/>
        <v>115.3723080377742</v>
      </c>
      <c r="C206" s="84">
        <v>4.5965662158379397</v>
      </c>
      <c r="E206" s="203">
        <v>2.2765275410116699</v>
      </c>
      <c r="F206" s="85">
        <f t="shared" si="25"/>
        <v>136.5916524607002</v>
      </c>
      <c r="G206" s="84">
        <v>5.9096126474458099</v>
      </c>
    </row>
    <row r="207" spans="1:7" ht="13.8">
      <c r="A207" s="84">
        <v>2.4834854274135401</v>
      </c>
      <c r="B207" s="85">
        <f t="shared" si="26"/>
        <v>149.0091256448124</v>
      </c>
      <c r="C207" s="84">
        <v>4.7124452573551503</v>
      </c>
      <c r="E207" s="203">
        <v>2.3794213386080001</v>
      </c>
      <c r="F207" s="85">
        <f t="shared" si="25"/>
        <v>142.76528031648002</v>
      </c>
      <c r="G207" s="84">
        <v>5.9153514409684096</v>
      </c>
    </row>
    <row r="208" spans="1:7" ht="13.8">
      <c r="A208" s="84">
        <v>3.6974386346643699</v>
      </c>
      <c r="B208" s="85">
        <f t="shared" si="26"/>
        <v>221.84631807986219</v>
      </c>
      <c r="C208" s="84">
        <v>5.4592272512147098</v>
      </c>
      <c r="E208" s="203">
        <v>2.4887463971961101</v>
      </c>
      <c r="F208" s="85">
        <f t="shared" si="25"/>
        <v>149.32478383176661</v>
      </c>
      <c r="G208" s="84">
        <v>5.9555234334684499</v>
      </c>
    </row>
    <row r="209" spans="1:15" ht="13.8">
      <c r="A209" s="84">
        <v>4.7754240956479803</v>
      </c>
      <c r="B209" s="85">
        <f t="shared" si="26"/>
        <v>286.52544573887883</v>
      </c>
      <c r="C209" s="84">
        <v>5.8841198533666397</v>
      </c>
      <c r="E209" s="203">
        <v>2.61093250585881</v>
      </c>
      <c r="F209" s="85">
        <f t="shared" si="25"/>
        <v>156.65595035152859</v>
      </c>
      <c r="G209" s="84">
        <v>6.0129122443781604</v>
      </c>
    </row>
    <row r="210" spans="1:15" ht="13.8">
      <c r="E210" s="203">
        <v>2.72025756444692</v>
      </c>
      <c r="F210" s="85">
        <f t="shared" si="25"/>
        <v>163.21545386681521</v>
      </c>
      <c r="G210" s="84">
        <v>6.0703010552878602</v>
      </c>
    </row>
    <row r="211" spans="1:15" ht="13.8">
      <c r="A211" s="84">
        <v>0.45115000682496298</v>
      </c>
      <c r="B211" s="85">
        <f t="shared" ref="B211:B217" si="27">A211*60</f>
        <v>27.069000409497779</v>
      </c>
      <c r="C211" s="84">
        <v>4.1845494447589404</v>
      </c>
      <c r="E211" s="203">
        <v>2.81028982133232</v>
      </c>
      <c r="F211" s="85">
        <f t="shared" si="25"/>
        <v>168.6173892799392</v>
      </c>
      <c r="G211" s="84">
        <v>6.1506455875902999</v>
      </c>
    </row>
    <row r="212" spans="1:15" ht="13.8">
      <c r="A212" s="84">
        <v>1.0685785573526001</v>
      </c>
      <c r="B212" s="85">
        <f t="shared" si="27"/>
        <v>64.114713441155999</v>
      </c>
      <c r="C212" s="84">
        <v>4.7253215795908101</v>
      </c>
      <c r="E212" s="203">
        <v>2.9131836189286502</v>
      </c>
      <c r="F212" s="85">
        <f t="shared" si="25"/>
        <v>174.79101713571902</v>
      </c>
      <c r="G212" s="84">
        <v>6.1506455875902999</v>
      </c>
    </row>
    <row r="213" spans="1:15" ht="13.8">
      <c r="A213" s="84">
        <v>2.1749455644638598</v>
      </c>
      <c r="B213" s="85">
        <f t="shared" si="27"/>
        <v>130.49673386783158</v>
      </c>
      <c r="C213" s="84">
        <v>5.3948495693382803</v>
      </c>
      <c r="E213" s="203">
        <v>3.02250818688043</v>
      </c>
      <c r="F213" s="85">
        <f t="shared" si="25"/>
        <v>181.3504912128258</v>
      </c>
      <c r="G213" s="84">
        <v>6.2309899009717897</v>
      </c>
    </row>
    <row r="214" spans="1:15" ht="13.8">
      <c r="A214" s="84">
        <v>3.4275124636666998</v>
      </c>
      <c r="B214" s="85">
        <f t="shared" si="27"/>
        <v>205.65074782000198</v>
      </c>
      <c r="C214" s="84">
        <v>5.9613733663159998</v>
      </c>
      <c r="E214" s="203">
        <v>3.1125404437658299</v>
      </c>
      <c r="F214" s="85">
        <f t="shared" si="25"/>
        <v>186.75242662594979</v>
      </c>
      <c r="G214" s="84">
        <v>6.2654232094097102</v>
      </c>
    </row>
    <row r="215" spans="1:15" ht="13.8">
      <c r="A215" s="84">
        <v>4.5114968067281396</v>
      </c>
      <c r="B215" s="85">
        <f t="shared" si="27"/>
        <v>270.6898084036884</v>
      </c>
      <c r="C215" s="84">
        <v>6.5021459923106004</v>
      </c>
      <c r="E215" s="203">
        <v>3.2154342413621602</v>
      </c>
      <c r="F215" s="85">
        <f t="shared" si="25"/>
        <v>192.92605448172961</v>
      </c>
      <c r="G215" s="84">
        <v>6.3113342143532902</v>
      </c>
    </row>
    <row r="216" spans="1:15" ht="13.8">
      <c r="A216" s="84">
        <v>6.9104418406687698</v>
      </c>
      <c r="B216" s="85">
        <f t="shared" si="27"/>
        <v>414.6265104401262</v>
      </c>
      <c r="C216" s="84">
        <v>7.4291842184010699</v>
      </c>
      <c r="E216" s="203">
        <v>3.3183280389584802</v>
      </c>
      <c r="F216" s="85">
        <f t="shared" si="25"/>
        <v>199.0996823375088</v>
      </c>
      <c r="G216" s="84">
        <v>6.3572451098363896</v>
      </c>
    </row>
    <row r="217" spans="1:15" ht="13.8">
      <c r="A217" s="232">
        <v>9.4473149501433493</v>
      </c>
      <c r="B217" s="85">
        <f t="shared" si="27"/>
        <v>566.83889700860095</v>
      </c>
      <c r="C217" s="84">
        <v>8.3819741066374007</v>
      </c>
      <c r="E217" s="203"/>
    </row>
    <row r="218" spans="1:15" ht="13.2">
      <c r="E218" s="92" t="s">
        <v>69</v>
      </c>
      <c r="J218" s="25"/>
      <c r="L218" s="25"/>
      <c r="M218" s="25"/>
      <c r="O218" s="25"/>
    </row>
    <row r="219" spans="1:15" ht="13.2">
      <c r="A219" s="84" t="s">
        <v>69</v>
      </c>
      <c r="C219" s="84" t="s">
        <v>70</v>
      </c>
      <c r="E219" s="92">
        <v>0.84380014084278498</v>
      </c>
      <c r="F219" s="85">
        <f t="shared" ref="F219:F228" si="28">E219*60</f>
        <v>50.628008450567101</v>
      </c>
      <c r="G219" s="92">
        <v>4.8160919436281997</v>
      </c>
      <c r="J219" s="26"/>
      <c r="L219" s="26"/>
      <c r="M219" s="25"/>
      <c r="O219" s="26"/>
    </row>
    <row r="220" spans="1:15" ht="13.2">
      <c r="A220" s="84">
        <v>0.110152614121957</v>
      </c>
      <c r="B220" s="85">
        <f t="shared" ref="B220:B224" si="29">A220*60</f>
        <v>6.6091568473174194</v>
      </c>
      <c r="C220" s="84">
        <v>2.90987164199215</v>
      </c>
      <c r="E220" s="92">
        <v>1.0305957119121201</v>
      </c>
      <c r="F220" s="85">
        <f t="shared" si="28"/>
        <v>61.835742714727203</v>
      </c>
      <c r="G220" s="92">
        <v>4.9022988373449801</v>
      </c>
      <c r="J220" s="26"/>
      <c r="L220" s="26"/>
      <c r="M220" s="25"/>
      <c r="O220" s="26"/>
    </row>
    <row r="221" spans="1:15" ht="13.2">
      <c r="A221" s="84">
        <v>0.21285510470434099</v>
      </c>
      <c r="B221" s="85">
        <f t="shared" si="29"/>
        <v>12.771306282260459</v>
      </c>
      <c r="C221" s="84">
        <v>2.9613739818503899</v>
      </c>
      <c r="E221" s="92">
        <v>1.2560385238928999</v>
      </c>
      <c r="F221" s="85">
        <f t="shared" si="28"/>
        <v>75.362311433573993</v>
      </c>
      <c r="G221" s="92">
        <v>5.02298851047202</v>
      </c>
      <c r="J221" s="26"/>
      <c r="L221" s="26"/>
      <c r="M221" s="25"/>
      <c r="O221" s="26"/>
    </row>
    <row r="222" spans="1:15" ht="13.2">
      <c r="A222" s="84">
        <v>0.499071474784963</v>
      </c>
      <c r="B222" s="85">
        <f t="shared" si="29"/>
        <v>29.944288487097779</v>
      </c>
      <c r="C222" s="84">
        <v>3.1287558496455898</v>
      </c>
      <c r="E222" s="92">
        <v>1.46215796113112</v>
      </c>
      <c r="F222" s="85">
        <f t="shared" si="28"/>
        <v>87.729477667867201</v>
      </c>
      <c r="G222" s="92">
        <v>5.0402299549860201</v>
      </c>
      <c r="J222" s="26"/>
      <c r="L222" s="26"/>
      <c r="M222" s="25"/>
      <c r="O222" s="26"/>
    </row>
    <row r="223" spans="1:15" ht="13.2">
      <c r="A223" s="84">
        <v>1.41981265269789</v>
      </c>
      <c r="B223" s="85">
        <f t="shared" si="29"/>
        <v>85.188759161873406</v>
      </c>
      <c r="C223" s="84">
        <v>3.5793996043356899</v>
      </c>
      <c r="E223" s="92">
        <v>1.6747180318571999</v>
      </c>
      <c r="F223" s="85">
        <f t="shared" si="28"/>
        <v>100.483081911432</v>
      </c>
      <c r="G223" s="92">
        <v>5.1724138148379897</v>
      </c>
      <c r="J223" s="26"/>
      <c r="L223" s="26"/>
      <c r="M223" s="25"/>
      <c r="O223" s="26"/>
    </row>
    <row r="224" spans="1:15" ht="13.2">
      <c r="A224" s="84">
        <v>1.9558634238553401</v>
      </c>
      <c r="B224" s="85">
        <f t="shared" si="29"/>
        <v>117.3518054313204</v>
      </c>
      <c r="C224" s="84">
        <v>3.68240379288945</v>
      </c>
      <c r="E224" s="92">
        <v>1.8808374690954199</v>
      </c>
      <c r="F224" s="85">
        <f t="shared" si="28"/>
        <v>112.8502481457252</v>
      </c>
      <c r="G224" s="92">
        <v>5.33620693482343</v>
      </c>
      <c r="J224" s="26"/>
      <c r="L224" s="26"/>
      <c r="M224" s="25"/>
      <c r="O224" s="26"/>
    </row>
    <row r="225" spans="1:15" ht="13.2">
      <c r="E225" s="92">
        <v>2.0869564149073101</v>
      </c>
      <c r="F225" s="85">
        <f t="shared" si="28"/>
        <v>125.21738489443861</v>
      </c>
      <c r="G225" s="92">
        <v>5.4482759405023398</v>
      </c>
      <c r="J225" s="26"/>
      <c r="L225" s="26"/>
      <c r="O225" s="26"/>
    </row>
    <row r="226" spans="1:15" ht="13.2">
      <c r="A226" s="84" t="s">
        <v>69</v>
      </c>
      <c r="C226" s="234" t="s">
        <v>70</v>
      </c>
      <c r="E226" s="92">
        <v>2.2995169770597199</v>
      </c>
      <c r="F226" s="85">
        <f t="shared" si="28"/>
        <v>137.97101862358321</v>
      </c>
      <c r="G226" s="92">
        <v>5.5373563534959196</v>
      </c>
      <c r="J226" s="26"/>
      <c r="L226" s="26"/>
      <c r="O226" s="26"/>
    </row>
    <row r="227" spans="1:15" ht="13.2">
      <c r="A227" s="84">
        <v>0.49606446284250399</v>
      </c>
      <c r="B227" s="85">
        <f t="shared" ref="B227:B231" si="30">A227*60</f>
        <v>29.763867770550238</v>
      </c>
      <c r="C227" s="234">
        <v>3.9914163585507398</v>
      </c>
      <c r="E227" s="92">
        <v>2.5120770477857999</v>
      </c>
      <c r="F227" s="85">
        <f t="shared" si="28"/>
        <v>150.72462286714799</v>
      </c>
      <c r="G227" s="92">
        <v>5.6494253591748302</v>
      </c>
      <c r="J227" s="26"/>
      <c r="L227" s="26"/>
      <c r="O227" s="26"/>
    </row>
    <row r="228" spans="1:15" ht="13.2">
      <c r="A228" s="84">
        <v>1.2281145589467</v>
      </c>
      <c r="B228" s="85">
        <f t="shared" si="30"/>
        <v>73.686873536801997</v>
      </c>
      <c r="C228" s="234">
        <v>4.5708154717237202</v>
      </c>
      <c r="E228" s="92">
        <v>2.9049915646670299</v>
      </c>
      <c r="F228" s="85">
        <f t="shared" si="28"/>
        <v>174.2994938800218</v>
      </c>
      <c r="G228" s="92">
        <v>5.8419540007814597</v>
      </c>
      <c r="J228" s="26"/>
      <c r="L228" s="26"/>
      <c r="O228" s="26"/>
    </row>
    <row r="229" spans="1:15" ht="13.2">
      <c r="A229" s="84">
        <v>2.3731661306204002</v>
      </c>
      <c r="B229" s="85">
        <f t="shared" si="30"/>
        <v>142.38996783722402</v>
      </c>
      <c r="C229" s="234">
        <v>5.3047211133087</v>
      </c>
      <c r="E229" s="92" t="s">
        <v>94</v>
      </c>
      <c r="G229" s="234"/>
      <c r="J229" s="26"/>
      <c r="L229" s="26"/>
      <c r="O229" s="26"/>
    </row>
    <row r="230" spans="1:15" ht="13.8">
      <c r="A230" s="84">
        <v>3.4938718677849998</v>
      </c>
      <c r="B230" s="85">
        <f t="shared" si="30"/>
        <v>209.63231206709997</v>
      </c>
      <c r="C230" s="234">
        <v>5.7296136980696701</v>
      </c>
      <c r="E230" s="203">
        <v>0.63124007011670802</v>
      </c>
      <c r="F230" s="85">
        <f t="shared" ref="F230:F238" si="31">E230*60</f>
        <v>37.874404207002485</v>
      </c>
      <c r="G230" s="84">
        <v>4.6005747093362404</v>
      </c>
      <c r="J230" s="87"/>
      <c r="K230" s="87"/>
      <c r="L230" s="12"/>
      <c r="M230" s="92"/>
      <c r="O230" s="26"/>
    </row>
    <row r="231" spans="1:15" ht="13.8">
      <c r="A231" s="84">
        <v>5.4642772160151596</v>
      </c>
      <c r="B231" s="85">
        <f t="shared" si="30"/>
        <v>327.85663296090956</v>
      </c>
      <c r="C231" s="234">
        <v>6.077253264206</v>
      </c>
      <c r="E231" s="203">
        <v>0.83735901592860196</v>
      </c>
      <c r="F231" s="85">
        <f t="shared" si="31"/>
        <v>50.241540955716118</v>
      </c>
      <c r="G231" s="84">
        <v>4.6494254139836997</v>
      </c>
      <c r="J231" s="87"/>
      <c r="K231" s="87"/>
      <c r="L231" s="12"/>
      <c r="M231" s="92"/>
      <c r="O231" s="26"/>
    </row>
    <row r="232" spans="1:15" ht="13.8">
      <c r="B232" s="71"/>
      <c r="E232" s="203">
        <v>1.049919578081</v>
      </c>
      <c r="F232" s="85">
        <f t="shared" si="31"/>
        <v>62.995174684860004</v>
      </c>
      <c r="G232" s="84">
        <v>4.7413793462540799</v>
      </c>
      <c r="J232" s="87"/>
      <c r="K232" s="87"/>
      <c r="L232" s="12"/>
      <c r="M232" s="92"/>
      <c r="O232" s="26"/>
    </row>
    <row r="233" spans="1:15" ht="13.8">
      <c r="B233" s="71"/>
      <c r="E233" s="203">
        <v>1.2495973989787099</v>
      </c>
      <c r="F233" s="85">
        <f t="shared" si="31"/>
        <v>74.975843938722591</v>
      </c>
      <c r="G233" s="84">
        <v>4.8275862399708602</v>
      </c>
      <c r="J233" s="87"/>
      <c r="K233" s="87"/>
      <c r="L233" s="12"/>
      <c r="M233" s="92"/>
      <c r="O233" s="26"/>
    </row>
    <row r="234" spans="1:15" ht="13.8">
      <c r="A234" s="84">
        <v>7.8911931129041907E-2</v>
      </c>
      <c r="B234" s="85">
        <f t="shared" ref="B234:B242" si="32">A234*60</f>
        <v>4.7347158677425147</v>
      </c>
      <c r="C234" s="234">
        <v>2.5499995095389201</v>
      </c>
      <c r="E234" s="203">
        <v>1.4492752198764201</v>
      </c>
      <c r="F234" s="85">
        <f t="shared" si="31"/>
        <v>86.956513192585206</v>
      </c>
      <c r="G234" s="84">
        <v>4.9425287649265703</v>
      </c>
      <c r="J234" s="87"/>
      <c r="K234" s="87"/>
      <c r="L234" s="12"/>
      <c r="M234" s="92"/>
      <c r="O234" s="26"/>
    </row>
    <row r="235" spans="1:15" ht="13.8">
      <c r="A235" s="84">
        <v>0.33551672087486401</v>
      </c>
      <c r="B235" s="85">
        <f t="shared" si="32"/>
        <v>20.131003252491841</v>
      </c>
      <c r="C235" s="234">
        <v>2.8499982016427099</v>
      </c>
      <c r="E235" s="203">
        <v>1.6811591567713799</v>
      </c>
      <c r="F235" s="85">
        <f t="shared" si="31"/>
        <v>100.8695494062828</v>
      </c>
      <c r="G235" s="84">
        <v>5.0660919573304204</v>
      </c>
      <c r="J235" s="87"/>
      <c r="K235" s="87"/>
      <c r="L235" s="12"/>
      <c r="M235" s="92"/>
      <c r="O235" s="26"/>
    </row>
    <row r="236" spans="1:15" ht="13.8">
      <c r="A236" s="84">
        <v>0.68278774568286704</v>
      </c>
      <c r="B236" s="85">
        <f t="shared" si="32"/>
        <v>40.96726474097202</v>
      </c>
      <c r="C236" s="234">
        <v>3.3642858777727298</v>
      </c>
      <c r="E236" s="203">
        <v>1.8808374690954199</v>
      </c>
      <c r="F236" s="85">
        <f t="shared" si="31"/>
        <v>112.8502481457252</v>
      </c>
      <c r="G236" s="84">
        <v>5.1637929281543897</v>
      </c>
      <c r="J236" s="87"/>
      <c r="K236" s="87"/>
      <c r="L236" s="12"/>
      <c r="M236" s="92"/>
      <c r="O236" s="26"/>
    </row>
    <row r="237" spans="1:15" ht="13.8">
      <c r="A237" s="84">
        <v>0.99999974903814504</v>
      </c>
      <c r="B237" s="85">
        <f t="shared" si="32"/>
        <v>59.999984942288705</v>
      </c>
      <c r="C237" s="234">
        <v>3.7499999999999898</v>
      </c>
      <c r="E237" s="203">
        <v>2.0933975398214999</v>
      </c>
      <c r="F237" s="85">
        <f t="shared" si="31"/>
        <v>125.60385238929</v>
      </c>
      <c r="G237" s="84">
        <v>5.2241379291445202</v>
      </c>
      <c r="J237" s="87"/>
      <c r="K237" s="87"/>
      <c r="L237" s="12"/>
      <c r="M237" s="92"/>
      <c r="O237" s="26"/>
    </row>
    <row r="238" spans="1:15" ht="13.8">
      <c r="A238" s="84">
        <v>1.23432299885045</v>
      </c>
      <c r="B238" s="85">
        <f t="shared" si="32"/>
        <v>74.059379931026996</v>
      </c>
      <c r="C238" s="234">
        <v>3.8357137952531999</v>
      </c>
      <c r="E238" s="203">
        <v>2.29307536071921</v>
      </c>
      <c r="F238" s="85">
        <f t="shared" si="31"/>
        <v>137.58452164315261</v>
      </c>
      <c r="G238" s="84">
        <v>5.3247126384807597</v>
      </c>
      <c r="J238" s="87"/>
      <c r="K238" s="87"/>
      <c r="L238" s="12"/>
      <c r="M238" s="92"/>
      <c r="O238" s="26"/>
    </row>
    <row r="239" spans="1:15" ht="13.2">
      <c r="A239" s="92">
        <v>1.73780154398923</v>
      </c>
      <c r="B239" s="85">
        <f t="shared" si="32"/>
        <v>104.2680926393538</v>
      </c>
      <c r="C239" s="234">
        <v>4.1142858777727396</v>
      </c>
      <c r="E239" s="92"/>
      <c r="G239" s="234"/>
      <c r="I239" s="235"/>
      <c r="J239" s="26"/>
      <c r="L239" s="26"/>
      <c r="M239" s="25"/>
      <c r="O239" s="26"/>
    </row>
    <row r="240" spans="1:15" ht="13.2">
      <c r="A240" s="92">
        <v>2.4146675020576498</v>
      </c>
      <c r="B240" s="85">
        <f t="shared" si="32"/>
        <v>144.880050123459</v>
      </c>
      <c r="C240" s="234">
        <v>4.8857141222272604</v>
      </c>
      <c r="E240" s="92" t="s">
        <v>95</v>
      </c>
      <c r="G240" s="234"/>
      <c r="I240" s="235"/>
      <c r="J240" s="26"/>
      <c r="L240" s="26"/>
      <c r="M240" s="25"/>
      <c r="O240" s="26"/>
    </row>
    <row r="241" spans="1:15" ht="13.2">
      <c r="A241" s="92">
        <v>3.7769667346413498</v>
      </c>
      <c r="B241" s="85">
        <f t="shared" si="32"/>
        <v>226.61800407848099</v>
      </c>
      <c r="C241" s="234">
        <v>5.4000001634870198</v>
      </c>
      <c r="E241" s="92">
        <v>0.618357328862009</v>
      </c>
      <c r="F241" s="85">
        <f t="shared" ref="F241:F250" si="33">E241*60</f>
        <v>37.101439731720539</v>
      </c>
      <c r="G241" s="92">
        <v>4.5545977432010503</v>
      </c>
      <c r="I241" s="235"/>
      <c r="J241" s="26"/>
      <c r="L241" s="26"/>
      <c r="M241" s="25"/>
      <c r="O241" s="26"/>
    </row>
    <row r="242" spans="1:15" ht="13.2">
      <c r="A242" s="92">
        <v>3.7275933193932702</v>
      </c>
      <c r="B242" s="85">
        <f t="shared" si="32"/>
        <v>223.65559916359621</v>
      </c>
      <c r="C242" s="234">
        <v>5.7428569793701101</v>
      </c>
      <c r="E242" s="92">
        <v>0.83091789101441604</v>
      </c>
      <c r="F242" s="85">
        <f t="shared" si="33"/>
        <v>49.855073460864965</v>
      </c>
      <c r="G242" s="92">
        <v>4.6522989332605</v>
      </c>
      <c r="I242" s="235"/>
      <c r="J242" s="26"/>
      <c r="L242" s="26"/>
      <c r="M242" s="25"/>
      <c r="O242" s="26"/>
    </row>
    <row r="243" spans="1:15" ht="13.2">
      <c r="A243" s="92"/>
      <c r="E243" s="92">
        <v>1.04347845316682</v>
      </c>
      <c r="F243" s="85">
        <f t="shared" si="33"/>
        <v>62.608707190009198</v>
      </c>
      <c r="G243" s="92">
        <v>4.73563230770048</v>
      </c>
      <c r="I243" s="235"/>
      <c r="J243" s="26"/>
      <c r="L243" s="26"/>
      <c r="M243" s="25"/>
      <c r="O243" s="26"/>
    </row>
    <row r="244" spans="1:15" ht="13.2">
      <c r="A244" s="92">
        <v>0.310047716984785</v>
      </c>
      <c r="B244" s="85">
        <f t="shared" ref="B244:B250" si="34">A244*60</f>
        <v>18.602863019087099</v>
      </c>
      <c r="C244" s="234">
        <v>3.5999982016427099</v>
      </c>
      <c r="E244" s="92">
        <v>1.2431562740645301</v>
      </c>
      <c r="F244" s="85">
        <f t="shared" si="33"/>
        <v>74.589376443871799</v>
      </c>
      <c r="G244" s="92">
        <v>4.8448275748671303</v>
      </c>
      <c r="I244" s="235"/>
      <c r="J244" s="26"/>
      <c r="L244" s="26"/>
      <c r="M244" s="25"/>
      <c r="O244" s="26"/>
    </row>
    <row r="245" spans="1:15" ht="13.2">
      <c r="A245" s="92">
        <v>0.56791798478918198</v>
      </c>
      <c r="B245" s="85">
        <f t="shared" si="34"/>
        <v>34.075079087350922</v>
      </c>
      <c r="C245" s="234">
        <v>3.8357137952531999</v>
      </c>
      <c r="E245" s="92">
        <v>1.4557163447906101</v>
      </c>
      <c r="F245" s="85">
        <f t="shared" si="33"/>
        <v>87.342980687436608</v>
      </c>
      <c r="G245" s="92">
        <v>4.9655173576119003</v>
      </c>
      <c r="I245" s="235"/>
      <c r="J245" s="26"/>
      <c r="L245" s="26"/>
      <c r="M245" s="25"/>
      <c r="O245" s="26"/>
    </row>
    <row r="246" spans="1:15" ht="13.2">
      <c r="A246" s="92">
        <v>1.46458398868873</v>
      </c>
      <c r="B246" s="85">
        <f t="shared" si="34"/>
        <v>87.875039321323797</v>
      </c>
      <c r="C246" s="234">
        <v>4.6714284079415398</v>
      </c>
      <c r="E246" s="92">
        <v>1.6618357820288301</v>
      </c>
      <c r="F246" s="85">
        <f t="shared" si="33"/>
        <v>99.710146921729802</v>
      </c>
      <c r="G246" s="92">
        <v>5.0804597729498804</v>
      </c>
      <c r="I246" s="235"/>
      <c r="J246" s="26"/>
      <c r="L246" s="26"/>
      <c r="M246" s="25"/>
      <c r="O246" s="26"/>
    </row>
    <row r="247" spans="1:15" ht="13.2">
      <c r="A247" s="92">
        <v>2.8276691834735801</v>
      </c>
      <c r="B247" s="85">
        <f t="shared" si="34"/>
        <v>169.6601510084148</v>
      </c>
      <c r="C247" s="234">
        <v>5.6999996730259399</v>
      </c>
      <c r="E247" s="92">
        <v>1.8808374690954199</v>
      </c>
      <c r="F247" s="85">
        <f t="shared" si="33"/>
        <v>112.8502481457252</v>
      </c>
      <c r="G247" s="92">
        <v>5.1666666666666599</v>
      </c>
      <c r="I247" s="235"/>
      <c r="J247" s="26"/>
      <c r="L247" s="26"/>
      <c r="M247" s="25"/>
      <c r="O247" s="26"/>
    </row>
    <row r="248" spans="1:15" ht="13.2">
      <c r="A248" s="92">
        <v>4.1413600507473403</v>
      </c>
      <c r="B248" s="85">
        <f t="shared" si="34"/>
        <v>248.48160304484043</v>
      </c>
      <c r="C248" s="234">
        <v>6.21428571428571</v>
      </c>
      <c r="E248" s="92">
        <v>2.0805152899931301</v>
      </c>
      <c r="F248" s="85">
        <f t="shared" si="33"/>
        <v>124.8309173995878</v>
      </c>
      <c r="G248" s="92">
        <v>5.2327587062103804</v>
      </c>
      <c r="I248" s="235"/>
      <c r="J248" s="26"/>
      <c r="L248" s="26"/>
      <c r="M248" s="25"/>
      <c r="O248" s="26"/>
    </row>
    <row r="249" spans="1:15" ht="13.2">
      <c r="A249" s="92">
        <v>6.1457031612675097</v>
      </c>
      <c r="B249" s="85">
        <f t="shared" si="34"/>
        <v>368.7421896760506</v>
      </c>
      <c r="C249" s="234">
        <v>7.5642855507986804</v>
      </c>
      <c r="E249" s="92">
        <v>2.2866342358050198</v>
      </c>
      <c r="F249" s="85">
        <f t="shared" si="33"/>
        <v>137.1980541483012</v>
      </c>
      <c r="G249" s="92">
        <v>5.3189655999271697</v>
      </c>
      <c r="I249" s="235"/>
      <c r="J249" s="26"/>
      <c r="L249" s="26"/>
      <c r="M249" s="25"/>
      <c r="O249" s="26"/>
    </row>
    <row r="250" spans="1:15" ht="13.2">
      <c r="A250" s="92">
        <v>10.680004401725</v>
      </c>
      <c r="B250" s="85">
        <f t="shared" si="34"/>
        <v>640.80026410350001</v>
      </c>
      <c r="C250" s="234">
        <v>8.7642848151070698</v>
      </c>
      <c r="E250" s="92">
        <v>2.49275367304325</v>
      </c>
      <c r="F250" s="85">
        <f t="shared" si="33"/>
        <v>149.56522038259499</v>
      </c>
      <c r="G250" s="92">
        <v>5.3908046780244803</v>
      </c>
      <c r="I250" s="235"/>
      <c r="J250" s="26"/>
      <c r="L250" s="26"/>
      <c r="M250" s="25"/>
      <c r="O250" s="26"/>
    </row>
    <row r="251" spans="1:15" ht="13.2">
      <c r="A251" s="92"/>
      <c r="I251" s="235"/>
      <c r="J251" s="26"/>
      <c r="L251" s="26"/>
      <c r="M251" s="25"/>
      <c r="O251" s="26"/>
    </row>
    <row r="252" spans="1:15" ht="13.2">
      <c r="A252" s="92">
        <v>0.120315416890067</v>
      </c>
      <c r="B252" s="85">
        <f t="shared" ref="B252:B268" si="35">A252*60</f>
        <v>7.2189250134040197</v>
      </c>
      <c r="C252" s="234">
        <v>2.3937278798224102</v>
      </c>
      <c r="E252" s="92"/>
      <c r="F252" s="71"/>
      <c r="G252" s="234"/>
      <c r="I252" s="235"/>
      <c r="J252" s="26"/>
      <c r="L252" s="26"/>
      <c r="M252" s="25"/>
      <c r="O252" s="26"/>
    </row>
    <row r="253" spans="1:15" ht="13.2">
      <c r="A253" s="92">
        <v>0.22150409016467701</v>
      </c>
      <c r="B253" s="85">
        <f t="shared" si="35"/>
        <v>13.290245409880621</v>
      </c>
      <c r="C253" s="234">
        <v>2.58188151642862</v>
      </c>
      <c r="E253" s="92"/>
      <c r="F253" s="71"/>
      <c r="G253" s="234"/>
      <c r="I253" s="235"/>
      <c r="J253" s="26"/>
      <c r="L253" s="26"/>
      <c r="M253" s="25"/>
      <c r="O253" s="26"/>
    </row>
    <row r="254" spans="1:15" ht="13.2">
      <c r="A254" s="92">
        <v>0.25446186754370498</v>
      </c>
      <c r="B254" s="85">
        <f t="shared" si="35"/>
        <v>15.267712052622299</v>
      </c>
      <c r="C254" s="234">
        <v>2.66550473464426</v>
      </c>
      <c r="E254" s="92"/>
      <c r="F254" s="71"/>
      <c r="G254" s="234"/>
      <c r="I254" s="235"/>
      <c r="J254" s="26"/>
      <c r="L254" s="26"/>
      <c r="M254" s="25"/>
      <c r="O254" s="26"/>
    </row>
    <row r="255" spans="1:15" ht="13.2">
      <c r="A255" s="92">
        <v>0.39298646794051101</v>
      </c>
      <c r="B255" s="85">
        <f t="shared" si="35"/>
        <v>23.579188076430661</v>
      </c>
      <c r="C255" s="234">
        <v>2.72822314517814</v>
      </c>
      <c r="E255" s="92"/>
      <c r="F255" s="71"/>
      <c r="G255" s="234"/>
      <c r="I255" s="235"/>
      <c r="J255" s="26"/>
      <c r="L255" s="26"/>
      <c r="M255" s="25"/>
      <c r="O255" s="26"/>
    </row>
    <row r="256" spans="1:15" ht="13.2">
      <c r="A256" s="92">
        <v>0.49979878862459598</v>
      </c>
      <c r="B256" s="85">
        <f t="shared" si="35"/>
        <v>29.987927317475759</v>
      </c>
      <c r="C256" s="234">
        <v>2.7491271553621899</v>
      </c>
      <c r="E256" s="92"/>
      <c r="F256" s="71"/>
      <c r="G256" s="234"/>
      <c r="I256" s="235"/>
      <c r="J256" s="26"/>
      <c r="L256" s="26"/>
      <c r="M256" s="25"/>
      <c r="O256" s="26"/>
    </row>
    <row r="257" spans="1:15" ht="13.2">
      <c r="A257" s="92">
        <v>0.77905190569514804</v>
      </c>
      <c r="B257" s="85">
        <f t="shared" si="35"/>
        <v>46.743114341708882</v>
      </c>
      <c r="C257" s="234">
        <v>3</v>
      </c>
      <c r="E257" s="92"/>
      <c r="F257" s="71"/>
      <c r="G257" s="234"/>
      <c r="I257" s="235"/>
      <c r="J257" s="26"/>
      <c r="L257" s="26"/>
      <c r="M257" s="25"/>
      <c r="O257" s="26"/>
    </row>
    <row r="258" spans="1:15" ht="13.2">
      <c r="A258" s="236">
        <v>0.91167356030906099</v>
      </c>
      <c r="B258" s="85">
        <f t="shared" si="35"/>
        <v>54.700413618543656</v>
      </c>
      <c r="C258" s="234">
        <v>3.1045296208928401</v>
      </c>
      <c r="F258" s="71"/>
      <c r="G258" s="71"/>
      <c r="I258" s="235"/>
      <c r="J258" s="26"/>
      <c r="L258" s="26"/>
      <c r="M258" s="25"/>
      <c r="O258" s="26"/>
    </row>
    <row r="259" spans="1:15" ht="13.2">
      <c r="A259" s="88">
        <v>1.6025792294408501</v>
      </c>
      <c r="B259" s="85">
        <f t="shared" si="35"/>
        <v>96.154753766451009</v>
      </c>
      <c r="C259" s="234">
        <v>3.29268246000133</v>
      </c>
      <c r="E259" s="237"/>
      <c r="F259" s="71"/>
      <c r="G259" s="234"/>
      <c r="I259" s="235"/>
      <c r="J259" s="26"/>
      <c r="L259" s="26"/>
      <c r="M259" s="25"/>
      <c r="O259" s="26"/>
    </row>
    <row r="260" spans="1:15" ht="13.2">
      <c r="A260" s="92">
        <v>1.9104007535919501</v>
      </c>
      <c r="B260" s="85">
        <f t="shared" si="35"/>
        <v>114.624045215517</v>
      </c>
      <c r="C260" s="234">
        <v>3.29268246000133</v>
      </c>
      <c r="E260" s="238"/>
      <c r="F260" s="71"/>
      <c r="G260" s="234"/>
      <c r="I260" s="235"/>
      <c r="J260" s="26"/>
      <c r="L260" s="26"/>
      <c r="M260" s="25"/>
      <c r="O260" s="26"/>
    </row>
    <row r="261" spans="1:15" ht="13.2">
      <c r="A261" s="92"/>
      <c r="B261" s="85">
        <f t="shared" si="35"/>
        <v>0</v>
      </c>
      <c r="E261" s="238"/>
      <c r="F261" s="71"/>
      <c r="G261" s="234"/>
      <c r="I261" s="235"/>
      <c r="J261" s="26"/>
      <c r="L261" s="26"/>
      <c r="M261" s="25"/>
      <c r="O261" s="26"/>
    </row>
    <row r="262" spans="1:15" ht="13.2">
      <c r="A262" s="92" t="s">
        <v>69</v>
      </c>
      <c r="B262" s="85" t="e">
        <f t="shared" si="35"/>
        <v>#VALUE!</v>
      </c>
      <c r="C262" s="234" t="s">
        <v>70</v>
      </c>
      <c r="E262" s="238"/>
      <c r="F262" s="71"/>
      <c r="G262" s="234"/>
      <c r="I262" s="235"/>
      <c r="J262" s="26"/>
      <c r="L262" s="26"/>
      <c r="M262" s="25"/>
      <c r="O262" s="26"/>
    </row>
    <row r="263" spans="1:15" ht="13.2">
      <c r="A263" s="92">
        <v>0.37871567322072403</v>
      </c>
      <c r="B263" s="85">
        <f t="shared" si="35"/>
        <v>22.722940393243441</v>
      </c>
      <c r="C263" s="234">
        <v>3.4808345016121098</v>
      </c>
      <c r="E263" s="238"/>
      <c r="F263" s="71"/>
      <c r="G263" s="234"/>
      <c r="I263" s="235"/>
      <c r="J263" s="26"/>
      <c r="L263" s="26"/>
      <c r="M263" s="25"/>
      <c r="O263" s="26"/>
    </row>
    <row r="264" spans="1:15" ht="13.2">
      <c r="A264" s="92">
        <v>0.61256022169237001</v>
      </c>
      <c r="B264" s="85">
        <f t="shared" si="35"/>
        <v>36.753613301542202</v>
      </c>
      <c r="C264" s="234">
        <v>3.7317073462499102</v>
      </c>
      <c r="E264" s="238"/>
      <c r="F264" s="71"/>
      <c r="G264" s="234"/>
      <c r="I264" s="235"/>
      <c r="J264" s="26"/>
      <c r="L264" s="26"/>
      <c r="M264" s="25"/>
      <c r="O264" s="26"/>
    </row>
    <row r="265" spans="1:15" ht="13.2">
      <c r="A265" s="92">
        <v>1.22561279351571</v>
      </c>
      <c r="B265" s="85">
        <f t="shared" si="35"/>
        <v>73.536767610942604</v>
      </c>
      <c r="C265" s="234">
        <v>4.3170714687548699</v>
      </c>
      <c r="E265" s="238"/>
      <c r="F265" s="71"/>
      <c r="G265" s="234"/>
      <c r="I265" s="235"/>
      <c r="J265" s="26"/>
      <c r="L265" s="26"/>
      <c r="M265" s="25"/>
      <c r="O265" s="26"/>
    </row>
    <row r="266" spans="1:15" ht="13.2">
      <c r="A266" s="92">
        <v>2.1544351966941</v>
      </c>
      <c r="B266" s="85">
        <f t="shared" si="35"/>
        <v>129.26611180164599</v>
      </c>
      <c r="C266" s="234">
        <v>5.0487804100002203</v>
      </c>
      <c r="E266" s="238"/>
      <c r="F266" s="71"/>
      <c r="G266" s="234"/>
      <c r="I266" s="235"/>
      <c r="J266" s="26"/>
      <c r="L266" s="26"/>
      <c r="M266" s="25"/>
      <c r="O266" s="26"/>
    </row>
    <row r="267" spans="1:15" ht="13.2">
      <c r="A267" s="92">
        <v>3.4847260463299499</v>
      </c>
      <c r="B267" s="85">
        <f t="shared" si="35"/>
        <v>209.08356277979698</v>
      </c>
      <c r="C267" s="234">
        <v>5.6968637405367701</v>
      </c>
      <c r="E267" s="238"/>
      <c r="F267" s="71"/>
      <c r="G267" s="234"/>
      <c r="I267" s="235"/>
      <c r="J267" s="26"/>
      <c r="L267" s="26"/>
      <c r="M267" s="25"/>
      <c r="O267" s="26"/>
    </row>
    <row r="268" spans="1:15" ht="13.2">
      <c r="A268" s="92">
        <v>4.5145925060436598</v>
      </c>
      <c r="B268" s="85">
        <f t="shared" si="35"/>
        <v>270.87555036261961</v>
      </c>
      <c r="C268" s="234">
        <v>5.9477349901791401</v>
      </c>
      <c r="E268" s="238"/>
      <c r="F268" s="71"/>
      <c r="G268" s="234"/>
      <c r="I268" s="235"/>
      <c r="J268" s="26"/>
      <c r="L268" s="26"/>
      <c r="M268" s="25"/>
      <c r="O268" s="26"/>
    </row>
    <row r="269" spans="1:15" ht="13.2">
      <c r="A269" s="92"/>
      <c r="E269" s="238"/>
      <c r="F269" s="71"/>
      <c r="G269" s="234"/>
      <c r="I269" s="235"/>
      <c r="J269" s="26"/>
      <c r="L269" s="26"/>
      <c r="M269" s="25"/>
      <c r="O269" s="26"/>
    </row>
    <row r="270" spans="1:15" ht="13.2">
      <c r="A270" s="92">
        <v>0.29203706231802501</v>
      </c>
      <c r="B270" s="85">
        <f t="shared" ref="B270:B276" si="36">A270*60</f>
        <v>17.5222237390815</v>
      </c>
      <c r="C270" s="234">
        <v>2.78217775636343</v>
      </c>
      <c r="E270" s="238"/>
      <c r="F270" s="71"/>
      <c r="G270" s="234"/>
      <c r="I270" s="235"/>
      <c r="J270" s="26"/>
      <c r="L270" s="26"/>
      <c r="M270" s="25"/>
      <c r="O270" s="26"/>
    </row>
    <row r="271" spans="1:15" ht="13.2">
      <c r="A271" s="92">
        <v>0.58207249582172904</v>
      </c>
      <c r="B271" s="85">
        <f t="shared" si="36"/>
        <v>34.924349749303744</v>
      </c>
      <c r="C271" s="234">
        <v>3.1782177529747702</v>
      </c>
      <c r="E271" s="238"/>
      <c r="F271" s="71"/>
      <c r="G271" s="234"/>
      <c r="I271" s="235"/>
      <c r="J271" s="26"/>
      <c r="L271" s="26"/>
      <c r="M271" s="25"/>
      <c r="O271" s="26"/>
    </row>
    <row r="272" spans="1:15" ht="13.2">
      <c r="A272" s="92">
        <v>1.08283480017428</v>
      </c>
      <c r="B272" s="85">
        <f t="shared" si="36"/>
        <v>64.970088010456806</v>
      </c>
      <c r="C272" s="234">
        <v>3.6435640030497898</v>
      </c>
      <c r="E272" s="238"/>
      <c r="F272" s="71"/>
      <c r="G272" s="234"/>
      <c r="I272" s="235"/>
      <c r="J272" s="26"/>
      <c r="L272" s="26"/>
      <c r="M272" s="25"/>
      <c r="O272" s="26"/>
    </row>
    <row r="273" spans="1:15" ht="13.2">
      <c r="A273" s="92">
        <v>1.3107246312031999</v>
      </c>
      <c r="B273" s="85">
        <f t="shared" si="36"/>
        <v>78.643477872191994</v>
      </c>
      <c r="C273" s="234">
        <v>3.8514850295977001</v>
      </c>
      <c r="E273" s="238"/>
      <c r="F273" s="71"/>
      <c r="G273" s="234"/>
      <c r="I273" s="235"/>
      <c r="J273" s="26"/>
      <c r="L273" s="26"/>
      <c r="M273" s="25"/>
      <c r="O273" s="26"/>
    </row>
    <row r="274" spans="1:15" ht="13.2">
      <c r="A274" s="92">
        <v>2.0685605678812098</v>
      </c>
      <c r="B274" s="85">
        <f t="shared" si="36"/>
        <v>124.11363407287259</v>
      </c>
      <c r="C274" s="234">
        <v>4.5544552021009697</v>
      </c>
      <c r="E274" s="238"/>
      <c r="F274" s="71"/>
      <c r="G274" s="234"/>
      <c r="I274" s="235"/>
      <c r="J274" s="26"/>
      <c r="L274" s="26"/>
      <c r="M274" s="25"/>
      <c r="O274" s="26"/>
    </row>
    <row r="275" spans="1:15" ht="13.2">
      <c r="A275" s="92">
        <v>2.59864201750193</v>
      </c>
      <c r="B275" s="85">
        <f t="shared" si="36"/>
        <v>155.9185210501158</v>
      </c>
      <c r="C275" s="234">
        <v>4.9108910857433301</v>
      </c>
      <c r="E275" s="238"/>
      <c r="F275" s="71"/>
      <c r="G275" s="234"/>
      <c r="I275" s="235"/>
      <c r="J275" s="26"/>
      <c r="L275" s="26"/>
      <c r="M275" s="25"/>
      <c r="O275" s="26"/>
    </row>
    <row r="276" spans="1:15" ht="13.2">
      <c r="A276" s="92">
        <v>3.9726308846438099</v>
      </c>
      <c r="B276" s="85">
        <f t="shared" si="36"/>
        <v>238.35785307862858</v>
      </c>
      <c r="C276" s="234">
        <v>5.6336633147310797</v>
      </c>
      <c r="E276" s="238"/>
      <c r="F276" s="71"/>
      <c r="G276" s="234"/>
      <c r="I276" s="235"/>
      <c r="J276" s="26"/>
      <c r="L276" s="26"/>
      <c r="M276" s="25"/>
      <c r="O276" s="26"/>
    </row>
    <row r="277" spans="1:15" ht="13.2">
      <c r="A277" s="92"/>
      <c r="E277" s="238"/>
      <c r="F277" s="71"/>
      <c r="G277" s="234"/>
      <c r="I277" s="235"/>
      <c r="J277" s="26"/>
      <c r="L277" s="26"/>
      <c r="M277" s="25"/>
      <c r="O277" s="26"/>
    </row>
    <row r="278" spans="1:15" ht="13.2">
      <c r="A278" s="92">
        <v>0.42789428229930498</v>
      </c>
      <c r="B278" s="85">
        <f t="shared" ref="B278:B282" si="37">A278*60</f>
        <v>25.673656937958299</v>
      </c>
      <c r="C278" s="234">
        <v>3.5841574559035099</v>
      </c>
      <c r="E278" s="238"/>
      <c r="F278" s="71"/>
      <c r="G278" s="234"/>
      <c r="I278" s="235"/>
      <c r="J278" s="26"/>
      <c r="L278" s="26"/>
      <c r="M278" s="25"/>
      <c r="O278" s="26"/>
    </row>
    <row r="279" spans="1:15" ht="13.2">
      <c r="A279" s="92">
        <v>1.3317538839565799</v>
      </c>
      <c r="B279" s="85">
        <f t="shared" si="37"/>
        <v>79.905233037394794</v>
      </c>
      <c r="C279" s="234">
        <v>4.5346531456164803</v>
      </c>
      <c r="E279" s="238"/>
      <c r="F279" s="71"/>
      <c r="G279" s="234"/>
      <c r="I279" s="235"/>
      <c r="J279" s="26"/>
      <c r="L279" s="26"/>
      <c r="M279" s="25"/>
      <c r="O279" s="26"/>
    </row>
    <row r="280" spans="1:15" ht="13.2">
      <c r="A280" s="92">
        <v>2.87425492409018</v>
      </c>
      <c r="B280" s="85">
        <f t="shared" si="37"/>
        <v>172.4552954454108</v>
      </c>
      <c r="C280" s="234">
        <v>5.6336633147310797</v>
      </c>
      <c r="E280" s="238"/>
      <c r="F280" s="71"/>
      <c r="G280" s="234"/>
      <c r="I280" s="235"/>
      <c r="J280" s="26"/>
      <c r="L280" s="26"/>
      <c r="M280" s="25"/>
      <c r="O280" s="26"/>
    </row>
    <row r="281" spans="1:15" ht="13.2">
      <c r="A281" s="92">
        <v>5.7899206924992503</v>
      </c>
      <c r="B281" s="85">
        <f t="shared" si="37"/>
        <v>347.39524154995502</v>
      </c>
      <c r="C281" s="234">
        <v>7.0891088009488197</v>
      </c>
      <c r="E281" s="238"/>
      <c r="F281" s="71"/>
      <c r="G281" s="234"/>
      <c r="I281" s="235"/>
      <c r="J281" s="26"/>
      <c r="L281" s="26"/>
      <c r="M281" s="25"/>
      <c r="O281" s="26"/>
    </row>
    <row r="282" spans="1:15" ht="13.2">
      <c r="A282" s="92">
        <v>7.3903246455544203</v>
      </c>
      <c r="B282" s="85">
        <f t="shared" si="37"/>
        <v>443.41947873326524</v>
      </c>
      <c r="C282" s="234">
        <v>7.8217822470252196</v>
      </c>
      <c r="E282" s="238"/>
      <c r="F282" s="71"/>
      <c r="G282" s="234"/>
      <c r="I282" s="235"/>
      <c r="J282" s="26"/>
      <c r="L282" s="26"/>
      <c r="M282" s="25"/>
      <c r="O282" s="26"/>
    </row>
    <row r="283" spans="1:15" ht="13.2">
      <c r="A283" s="92"/>
      <c r="E283" s="238"/>
      <c r="F283" s="71"/>
      <c r="G283" s="234"/>
      <c r="I283" s="235"/>
      <c r="J283" s="26"/>
      <c r="L283" s="26"/>
      <c r="M283" s="25"/>
      <c r="O283" s="26"/>
    </row>
    <row r="284" spans="1:15" ht="13.2">
      <c r="A284" s="92" t="s">
        <v>96</v>
      </c>
      <c r="E284" s="238"/>
      <c r="F284" s="71"/>
      <c r="G284" s="234"/>
      <c r="I284" s="235"/>
      <c r="J284" s="26"/>
      <c r="L284" s="26"/>
      <c r="M284" s="25"/>
      <c r="O284" s="26"/>
    </row>
    <row r="285" spans="1:15" ht="13.2">
      <c r="A285" s="84">
        <v>293</v>
      </c>
      <c r="B285" s="85">
        <f t="shared" ref="B285:B296" si="38">A285-273.15</f>
        <v>19.850000000000023</v>
      </c>
      <c r="C285" s="84">
        <v>3.9181816688253601</v>
      </c>
      <c r="E285" s="238"/>
      <c r="F285" s="71"/>
      <c r="G285" s="234"/>
      <c r="I285" s="235"/>
      <c r="J285" s="26"/>
      <c r="L285" s="26"/>
      <c r="M285" s="25"/>
      <c r="O285" s="26"/>
    </row>
    <row r="286" spans="1:15" ht="13.2">
      <c r="A286" s="84">
        <v>293</v>
      </c>
      <c r="B286" s="85">
        <f t="shared" si="38"/>
        <v>19.850000000000023</v>
      </c>
      <c r="C286" s="84">
        <v>4.2863636389251498</v>
      </c>
      <c r="F286" s="71"/>
      <c r="G286" s="71"/>
      <c r="I286" s="235"/>
      <c r="J286" s="26"/>
      <c r="L286" s="26"/>
      <c r="M286" s="25"/>
      <c r="O286" s="26"/>
    </row>
    <row r="287" spans="1:15" ht="13.2">
      <c r="A287" s="84">
        <v>293</v>
      </c>
      <c r="B287" s="85">
        <f t="shared" si="38"/>
        <v>19.850000000000023</v>
      </c>
      <c r="C287" s="84">
        <v>4.7954544755052799</v>
      </c>
      <c r="E287" s="92"/>
      <c r="F287" s="71"/>
      <c r="G287" s="234"/>
      <c r="I287" s="235"/>
      <c r="J287" s="26"/>
      <c r="L287" s="26"/>
      <c r="M287" s="25"/>
      <c r="O287" s="26"/>
    </row>
    <row r="288" spans="1:15" ht="13.2">
      <c r="A288" s="84">
        <v>323</v>
      </c>
      <c r="B288" s="85">
        <f t="shared" si="38"/>
        <v>49.850000000000023</v>
      </c>
      <c r="C288" s="84">
        <v>3.9318181729513699</v>
      </c>
      <c r="E288" s="92"/>
      <c r="F288" s="71"/>
      <c r="G288" s="234"/>
      <c r="I288" s="235"/>
      <c r="J288" s="26"/>
      <c r="L288" s="26"/>
      <c r="M288" s="25"/>
      <c r="O288" s="26"/>
    </row>
    <row r="289" spans="1:15" ht="13.2">
      <c r="A289" s="84">
        <v>323</v>
      </c>
      <c r="B289" s="85">
        <f t="shared" si="38"/>
        <v>49.850000000000023</v>
      </c>
      <c r="C289" s="84">
        <v>4.2863636389251498</v>
      </c>
      <c r="E289" s="92"/>
      <c r="F289" s="71"/>
      <c r="G289" s="234"/>
      <c r="I289" s="235"/>
      <c r="J289" s="26"/>
      <c r="L289" s="26"/>
      <c r="M289" s="25"/>
      <c r="O289" s="26"/>
    </row>
    <row r="290" spans="1:15" ht="13.2">
      <c r="A290" s="84">
        <v>323</v>
      </c>
      <c r="B290" s="85">
        <f t="shared" si="38"/>
        <v>49.850000000000023</v>
      </c>
      <c r="C290" s="84">
        <v>5.0863636736042199</v>
      </c>
      <c r="E290" s="92"/>
      <c r="F290" s="71"/>
      <c r="G290" s="234"/>
      <c r="I290" s="235"/>
      <c r="J290" s="26"/>
      <c r="L290" s="26"/>
      <c r="M290" s="25"/>
      <c r="O290" s="26"/>
    </row>
    <row r="291" spans="1:15" ht="13.2">
      <c r="A291" s="84">
        <v>353</v>
      </c>
      <c r="B291" s="85">
        <f t="shared" si="38"/>
        <v>79.850000000000023</v>
      </c>
      <c r="C291" s="84">
        <v>4.16818170133699</v>
      </c>
      <c r="E291" s="92"/>
      <c r="F291" s="71"/>
      <c r="G291" s="234"/>
      <c r="I291" s="235"/>
      <c r="J291" s="26"/>
      <c r="L291" s="26"/>
      <c r="M291" s="25"/>
      <c r="O291" s="26"/>
    </row>
    <row r="292" spans="1:15" ht="13.2">
      <c r="A292" s="84">
        <v>353</v>
      </c>
      <c r="B292" s="85">
        <f t="shared" si="38"/>
        <v>79.850000000000023</v>
      </c>
      <c r="C292" s="84">
        <v>4.7272726484566503</v>
      </c>
      <c r="E292" s="92"/>
      <c r="F292" s="71"/>
      <c r="G292" s="234"/>
      <c r="I292" s="235"/>
      <c r="J292" s="26"/>
      <c r="L292" s="26"/>
      <c r="M292" s="25"/>
      <c r="O292" s="26"/>
    </row>
    <row r="293" spans="1:15" ht="13.2">
      <c r="A293" s="84">
        <v>353</v>
      </c>
      <c r="B293" s="85">
        <f t="shared" si="38"/>
        <v>79.850000000000023</v>
      </c>
      <c r="C293" s="84">
        <v>5.8136364954562403</v>
      </c>
      <c r="E293" s="92"/>
      <c r="F293" s="71"/>
      <c r="G293" s="234"/>
      <c r="I293" s="235"/>
      <c r="J293" s="26"/>
      <c r="L293" s="26"/>
      <c r="M293" s="25"/>
      <c r="O293" s="26"/>
    </row>
    <row r="294" spans="1:15" ht="13.2">
      <c r="A294" s="84">
        <v>363</v>
      </c>
      <c r="B294" s="85">
        <f t="shared" si="38"/>
        <v>89.850000000000023</v>
      </c>
      <c r="C294" s="84">
        <v>4.4090907888963997</v>
      </c>
      <c r="E294" s="92"/>
      <c r="F294" s="71"/>
      <c r="G294" s="234"/>
      <c r="I294" s="235"/>
      <c r="J294" s="26"/>
      <c r="L294" s="26"/>
      <c r="M294" s="25"/>
      <c r="O294" s="26"/>
    </row>
    <row r="295" spans="1:15" ht="13.2">
      <c r="A295" s="84">
        <v>363</v>
      </c>
      <c r="B295" s="85">
        <f t="shared" si="38"/>
        <v>89.850000000000023</v>
      </c>
      <c r="C295" s="84">
        <v>5.1409091699221996</v>
      </c>
      <c r="E295" s="92"/>
      <c r="F295" s="71"/>
      <c r="G295" s="234"/>
      <c r="I295" s="235"/>
      <c r="J295" s="26"/>
      <c r="L295" s="26"/>
      <c r="M295" s="25"/>
      <c r="O295" s="26"/>
    </row>
    <row r="296" spans="1:15" ht="13.2">
      <c r="A296" s="84">
        <v>363</v>
      </c>
      <c r="B296" s="85">
        <f t="shared" si="38"/>
        <v>89.850000000000023</v>
      </c>
      <c r="C296" s="84">
        <v>6.1954547095890096</v>
      </c>
      <c r="E296" s="92"/>
      <c r="F296" s="71"/>
      <c r="G296" s="234"/>
      <c r="I296" s="235"/>
      <c r="J296" s="26"/>
      <c r="L296" s="26"/>
      <c r="M296" s="25"/>
      <c r="O296" s="26"/>
    </row>
    <row r="297" spans="1:15" ht="13.2">
      <c r="A297" s="92"/>
      <c r="E297" s="92"/>
      <c r="F297" s="71"/>
      <c r="G297" s="234"/>
      <c r="I297" s="235"/>
      <c r="J297" s="26"/>
      <c r="L297" s="26"/>
      <c r="M297" s="25"/>
      <c r="O297" s="26"/>
    </row>
    <row r="298" spans="1:15" ht="13.2">
      <c r="A298" s="92">
        <v>293</v>
      </c>
      <c r="B298" s="85">
        <f t="shared" ref="B298:B302" si="39">A298-273.15</f>
        <v>19.850000000000023</v>
      </c>
      <c r="C298" s="84">
        <v>3.75312490384094</v>
      </c>
      <c r="E298" s="92"/>
      <c r="F298" s="71"/>
      <c r="G298" s="234"/>
      <c r="I298" s="235"/>
      <c r="J298" s="26"/>
      <c r="L298" s="26"/>
      <c r="M298" s="25"/>
      <c r="O298" s="26"/>
    </row>
    <row r="299" spans="1:15" ht="13.2">
      <c r="A299" s="92">
        <v>323</v>
      </c>
      <c r="B299" s="85">
        <f t="shared" si="39"/>
        <v>49.850000000000023</v>
      </c>
      <c r="C299" s="84">
        <v>3.7257811542483901</v>
      </c>
      <c r="E299" s="92"/>
      <c r="F299" s="71"/>
      <c r="G299" s="234"/>
      <c r="I299" s="235"/>
      <c r="J299" s="26"/>
      <c r="L299" s="26"/>
      <c r="M299" s="25"/>
      <c r="O299" s="26"/>
    </row>
    <row r="300" spans="1:15" ht="13.2">
      <c r="A300" s="92">
        <v>353</v>
      </c>
      <c r="B300" s="85">
        <f t="shared" si="39"/>
        <v>79.850000000000023</v>
      </c>
      <c r="C300" s="84">
        <v>3.70390627974411</v>
      </c>
      <c r="E300" s="92"/>
      <c r="F300" s="71"/>
      <c r="G300" s="234"/>
      <c r="I300" s="235"/>
      <c r="J300" s="26"/>
      <c r="L300" s="26"/>
      <c r="M300" s="25"/>
      <c r="O300" s="26"/>
    </row>
    <row r="301" spans="1:15" ht="13.2">
      <c r="A301" s="92">
        <v>353</v>
      </c>
      <c r="B301" s="85">
        <f t="shared" si="39"/>
        <v>79.850000000000023</v>
      </c>
      <c r="C301" s="84">
        <v>3.75312490384094</v>
      </c>
      <c r="E301" s="92"/>
      <c r="F301" s="71"/>
      <c r="G301" s="234"/>
      <c r="I301" s="235"/>
      <c r="J301" s="26"/>
      <c r="L301" s="26"/>
      <c r="M301" s="25"/>
      <c r="O301" s="26"/>
    </row>
    <row r="302" spans="1:15" ht="13.2">
      <c r="A302" s="92">
        <v>393</v>
      </c>
      <c r="B302" s="85">
        <f t="shared" si="39"/>
        <v>119.85000000000002</v>
      </c>
      <c r="C302" s="84">
        <v>3.601367166618</v>
      </c>
      <c r="E302" s="92"/>
      <c r="F302" s="71"/>
      <c r="G302" s="234"/>
      <c r="I302" s="235"/>
      <c r="J302" s="26"/>
      <c r="L302" s="26"/>
      <c r="M302" s="25"/>
      <c r="O302" s="26"/>
    </row>
    <row r="303" spans="1:15" ht="13.2">
      <c r="A303" s="92"/>
      <c r="E303" s="92"/>
      <c r="F303" s="71"/>
      <c r="G303" s="234"/>
      <c r="I303" s="235"/>
      <c r="J303" s="26"/>
      <c r="L303" s="26"/>
      <c r="M303" s="25"/>
      <c r="O303" s="26"/>
    </row>
    <row r="304" spans="1:15" ht="13.2">
      <c r="A304" s="92">
        <v>0.10241901542938101</v>
      </c>
      <c r="B304" s="85">
        <f t="shared" ref="B304:B316" si="40">A304*60</f>
        <v>6.1451409257628606</v>
      </c>
      <c r="C304" s="84">
        <v>3.7094346276972501</v>
      </c>
      <c r="E304" s="92"/>
      <c r="F304" s="71"/>
      <c r="G304" s="234"/>
      <c r="I304" s="235"/>
      <c r="J304" s="26"/>
      <c r="L304" s="26"/>
      <c r="M304" s="25"/>
      <c r="O304" s="26"/>
    </row>
    <row r="305" spans="1:15" ht="13.2">
      <c r="A305" s="92">
        <v>0.13007290098497701</v>
      </c>
      <c r="B305" s="85">
        <f t="shared" si="40"/>
        <v>7.8043740590986204</v>
      </c>
      <c r="C305" s="84">
        <v>3.67924525857438</v>
      </c>
      <c r="E305" s="92"/>
      <c r="F305" s="71"/>
      <c r="G305" s="234"/>
      <c r="I305" s="235"/>
      <c r="J305" s="26"/>
      <c r="L305" s="26"/>
      <c r="M305" s="25"/>
      <c r="O305" s="26"/>
    </row>
    <row r="306" spans="1:15" ht="13.2">
      <c r="A306" s="92">
        <v>0.19373014754509801</v>
      </c>
      <c r="B306" s="85">
        <f t="shared" si="40"/>
        <v>11.623808852705881</v>
      </c>
      <c r="C306" s="84">
        <v>3.8000004318524998</v>
      </c>
      <c r="E306" s="92"/>
      <c r="F306" s="71"/>
      <c r="G306" s="234"/>
      <c r="I306" s="235"/>
      <c r="J306" s="26"/>
      <c r="L306" s="26"/>
      <c r="M306" s="25"/>
      <c r="O306" s="26"/>
    </row>
    <row r="307" spans="1:15" ht="13.2">
      <c r="A307" s="92">
        <v>0.406440172513724</v>
      </c>
      <c r="B307" s="85">
        <f t="shared" si="40"/>
        <v>24.386410350823439</v>
      </c>
      <c r="C307" s="84">
        <v>3.8603780184915601</v>
      </c>
      <c r="E307" s="92"/>
      <c r="F307" s="71"/>
      <c r="G307" s="234"/>
      <c r="I307" s="235"/>
      <c r="J307" s="26"/>
      <c r="L307" s="26"/>
      <c r="M307" s="25"/>
      <c r="O307" s="26"/>
    </row>
    <row r="308" spans="1:15" ht="13.2">
      <c r="A308" s="92">
        <v>0.60535064562320595</v>
      </c>
      <c r="B308" s="85">
        <f t="shared" si="40"/>
        <v>36.321038737392357</v>
      </c>
      <c r="C308" s="84">
        <v>3.9811326159663398</v>
      </c>
      <c r="E308" s="92"/>
      <c r="F308" s="71"/>
      <c r="G308" s="234"/>
      <c r="I308" s="235"/>
      <c r="J308" s="26"/>
      <c r="L308" s="26"/>
      <c r="M308" s="25"/>
      <c r="O308" s="26"/>
    </row>
    <row r="309" spans="1:15" ht="13.2">
      <c r="A309" s="92">
        <v>0.98419153255599701</v>
      </c>
      <c r="B309" s="85">
        <f t="shared" si="40"/>
        <v>59.051491953359822</v>
      </c>
      <c r="C309" s="84">
        <v>4.31320761507114</v>
      </c>
      <c r="E309" s="92"/>
      <c r="F309" s="71"/>
      <c r="G309" s="234"/>
      <c r="I309" s="235"/>
      <c r="J309" s="26"/>
      <c r="L309" s="26"/>
      <c r="M309" s="25"/>
      <c r="O309" s="26"/>
    </row>
    <row r="310" spans="1:15" ht="13.2">
      <c r="A310" s="92">
        <v>1.9841660016360101</v>
      </c>
      <c r="B310" s="85">
        <f t="shared" si="40"/>
        <v>119.04996009816061</v>
      </c>
      <c r="C310" s="84">
        <v>4.8113212653350299</v>
      </c>
      <c r="E310" s="92"/>
      <c r="F310" s="71"/>
      <c r="G310" s="234"/>
      <c r="I310" s="235"/>
      <c r="J310" s="26"/>
      <c r="L310" s="26"/>
      <c r="M310" s="25"/>
      <c r="O310" s="26"/>
    </row>
    <row r="311" spans="1:15" ht="13.2">
      <c r="A311" s="92">
        <v>2.9084915942226299</v>
      </c>
      <c r="B311" s="85">
        <f t="shared" si="40"/>
        <v>174.50949565335779</v>
      </c>
      <c r="C311" s="84">
        <v>5.3396231331151096</v>
      </c>
      <c r="E311" s="92"/>
      <c r="F311" s="71"/>
      <c r="G311" s="234"/>
      <c r="I311" s="235"/>
      <c r="J311" s="26"/>
      <c r="L311" s="26"/>
      <c r="M311" s="25"/>
      <c r="O311" s="26"/>
    </row>
    <row r="312" spans="1:15" ht="13.2">
      <c r="A312" s="92">
        <v>3.9369129272109</v>
      </c>
      <c r="B312" s="85">
        <f t="shared" si="40"/>
        <v>236.21477563265401</v>
      </c>
      <c r="C312" s="84">
        <v>5.8377362075756603</v>
      </c>
      <c r="E312" s="92"/>
      <c r="F312" s="71"/>
      <c r="G312" s="234"/>
      <c r="I312" s="235"/>
      <c r="J312" s="26"/>
      <c r="L312" s="26"/>
      <c r="M312" s="25"/>
      <c r="O312" s="26"/>
    </row>
    <row r="313" spans="1:15" ht="13.2">
      <c r="A313" s="92">
        <v>5.6346267693733498</v>
      </c>
      <c r="B313" s="85">
        <f t="shared" si="40"/>
        <v>338.07760616240097</v>
      </c>
      <c r="C313" s="84">
        <v>6.33584928203621</v>
      </c>
      <c r="E313" s="92"/>
      <c r="F313" s="71"/>
      <c r="G313" s="234"/>
      <c r="I313" s="235"/>
      <c r="J313" s="26"/>
      <c r="L313" s="26"/>
      <c r="M313" s="25"/>
      <c r="O313" s="26"/>
    </row>
    <row r="314" spans="1:15" ht="13.2">
      <c r="A314" s="92">
        <v>8.0644452689562591</v>
      </c>
      <c r="B314" s="85">
        <f t="shared" si="40"/>
        <v>483.86671613737553</v>
      </c>
      <c r="C314" s="84">
        <v>7.0603774426882202</v>
      </c>
      <c r="E314" s="92"/>
      <c r="F314" s="71"/>
      <c r="G314" s="234"/>
      <c r="I314" s="235"/>
      <c r="J314" s="26"/>
      <c r="L314" s="26"/>
      <c r="M314" s="25"/>
      <c r="O314" s="26"/>
    </row>
    <row r="315" spans="1:15" ht="13.2">
      <c r="A315" s="92">
        <v>9.5332022506716498</v>
      </c>
      <c r="B315" s="85">
        <f t="shared" si="40"/>
        <v>571.99213504029899</v>
      </c>
      <c r="C315" s="84">
        <v>7.5886793104682999</v>
      </c>
      <c r="E315" s="92"/>
      <c r="F315" s="71"/>
      <c r="G315" s="234"/>
      <c r="I315" s="235"/>
      <c r="J315" s="26"/>
      <c r="L315" s="26"/>
      <c r="M315" s="25"/>
      <c r="O315" s="26"/>
    </row>
    <row r="316" spans="1:15" ht="13.2">
      <c r="A316" s="92">
        <v>11.6344001926554</v>
      </c>
      <c r="B316" s="85">
        <f t="shared" si="40"/>
        <v>698.06401155932406</v>
      </c>
      <c r="C316" s="84">
        <v>8.2226416669650604</v>
      </c>
      <c r="E316" s="92"/>
      <c r="F316" s="71"/>
      <c r="G316" s="234"/>
      <c r="I316" s="235"/>
      <c r="J316" s="26"/>
      <c r="L316" s="26"/>
      <c r="M316" s="25"/>
      <c r="O316" s="26"/>
    </row>
    <row r="317" spans="1:15" ht="13.2">
      <c r="F317" s="71"/>
      <c r="G317" s="71"/>
      <c r="I317" s="235"/>
      <c r="J317" s="26"/>
      <c r="L317" s="26"/>
      <c r="M317" s="25"/>
      <c r="O317" s="26"/>
    </row>
    <row r="318" spans="1:15" ht="13.2">
      <c r="A318" s="92">
        <v>0.157482341322771</v>
      </c>
      <c r="B318" s="85">
        <f t="shared" ref="B318:B328" si="41">A318*60</f>
        <v>9.4489404793662608</v>
      </c>
      <c r="C318" s="84">
        <v>4.5849061791435703</v>
      </c>
      <c r="E318" s="92"/>
      <c r="F318" s="71"/>
      <c r="G318" s="234"/>
      <c r="I318" s="235"/>
      <c r="J318" s="26"/>
      <c r="L318" s="26"/>
      <c r="M318" s="25"/>
      <c r="O318" s="26"/>
    </row>
    <row r="319" spans="1:15" ht="13.2">
      <c r="A319" s="92">
        <v>0.312470965055268</v>
      </c>
      <c r="B319" s="85">
        <f t="shared" si="41"/>
        <v>18.74825790331608</v>
      </c>
      <c r="C319" s="84">
        <v>4.7207548853764401</v>
      </c>
      <c r="E319" s="92"/>
      <c r="F319" s="71"/>
      <c r="G319" s="234"/>
      <c r="I319" s="235"/>
      <c r="J319" s="26"/>
      <c r="L319" s="26"/>
      <c r="M319" s="25"/>
      <c r="O319" s="26"/>
    </row>
    <row r="320" spans="1:15" ht="13.2">
      <c r="A320" s="92">
        <v>0.591052803133572</v>
      </c>
      <c r="B320" s="85">
        <f t="shared" si="41"/>
        <v>35.463168188014322</v>
      </c>
      <c r="C320" s="84">
        <v>4.8867929607321896</v>
      </c>
      <c r="E320" s="92"/>
      <c r="F320" s="71"/>
      <c r="G320" s="234"/>
      <c r="I320" s="235"/>
      <c r="J320" s="26"/>
      <c r="L320" s="26"/>
      <c r="M320" s="25"/>
      <c r="O320" s="26"/>
    </row>
    <row r="321" spans="1:15" ht="13.2">
      <c r="A321" s="92">
        <v>1.1727463424946101</v>
      </c>
      <c r="B321" s="85">
        <f t="shared" si="41"/>
        <v>70.36478054967661</v>
      </c>
      <c r="C321" s="84">
        <v>5.3094343397955797</v>
      </c>
      <c r="E321" s="92"/>
      <c r="F321" s="71"/>
      <c r="G321" s="234"/>
      <c r="I321" s="235"/>
      <c r="J321" s="26"/>
      <c r="L321" s="26"/>
      <c r="M321" s="25"/>
      <c r="O321" s="26"/>
    </row>
    <row r="322" spans="1:15" ht="13.2">
      <c r="A322" s="92">
        <v>1.81767196277022</v>
      </c>
      <c r="B322" s="85">
        <f t="shared" si="41"/>
        <v>109.0603177662132</v>
      </c>
      <c r="C322" s="84">
        <v>5.7471698276170704</v>
      </c>
      <c r="E322" s="92"/>
      <c r="F322" s="71"/>
      <c r="G322" s="234"/>
      <c r="I322" s="235"/>
      <c r="J322" s="26"/>
      <c r="L322" s="26"/>
      <c r="M322" s="25"/>
      <c r="O322" s="26"/>
    </row>
    <row r="323" spans="1:15" ht="13.2">
      <c r="A323" s="92">
        <v>2.40227530257232</v>
      </c>
      <c r="B323" s="85">
        <f t="shared" si="41"/>
        <v>144.1365181543392</v>
      </c>
      <c r="C323" s="84">
        <v>5.89811321841138</v>
      </c>
      <c r="E323" s="92"/>
      <c r="F323" s="71"/>
      <c r="G323" s="234"/>
      <c r="I323" s="235"/>
      <c r="J323" s="26"/>
      <c r="L323" s="26"/>
      <c r="M323" s="25"/>
      <c r="O323" s="26"/>
    </row>
    <row r="324" spans="1:15" ht="13.2">
      <c r="A324" s="92">
        <v>3.0026775466225799</v>
      </c>
      <c r="B324" s="85">
        <f t="shared" si="41"/>
        <v>180.1606527973548</v>
      </c>
      <c r="C324" s="84">
        <v>6.1849058912419004</v>
      </c>
      <c r="E324" s="92"/>
      <c r="F324" s="71"/>
      <c r="G324" s="234"/>
      <c r="I324" s="235"/>
      <c r="J324" s="26"/>
      <c r="L324" s="26"/>
      <c r="M324" s="25"/>
      <c r="O324" s="26"/>
    </row>
    <row r="325" spans="1:15" ht="13.2">
      <c r="A325" s="92">
        <v>5.8636250632163804</v>
      </c>
      <c r="B325" s="85">
        <f t="shared" si="41"/>
        <v>351.81750379298285</v>
      </c>
      <c r="C325" s="84">
        <v>7.2566037355601498</v>
      </c>
      <c r="E325" s="92"/>
      <c r="F325" s="71"/>
      <c r="G325" s="234"/>
      <c r="I325" s="235"/>
      <c r="J325" s="26"/>
      <c r="L325" s="26"/>
      <c r="M325" s="25"/>
      <c r="O325" s="26"/>
    </row>
    <row r="326" spans="1:15" ht="13.2">
      <c r="A326" s="92">
        <v>12.204084091298601</v>
      </c>
      <c r="B326" s="85">
        <f t="shared" si="41"/>
        <v>732.24504547791605</v>
      </c>
      <c r="C326" s="84">
        <v>9.2188675279844894</v>
      </c>
      <c r="E326" s="92"/>
      <c r="F326" s="71"/>
      <c r="G326" s="234"/>
      <c r="I326" s="235"/>
      <c r="J326" s="26"/>
      <c r="L326" s="26"/>
      <c r="M326" s="25"/>
      <c r="O326" s="26"/>
    </row>
    <row r="327" spans="1:15" ht="13.2">
      <c r="A327" s="92">
        <v>18.468692399243999</v>
      </c>
      <c r="B327" s="85">
        <f t="shared" si="41"/>
        <v>1108.1215439546399</v>
      </c>
      <c r="C327" s="84">
        <v>10.6075474142561</v>
      </c>
      <c r="E327" s="92"/>
      <c r="F327" s="71"/>
      <c r="G327" s="234"/>
      <c r="I327" s="235"/>
      <c r="J327" s="26"/>
      <c r="L327" s="26"/>
      <c r="M327" s="25"/>
      <c r="O327" s="26"/>
    </row>
    <row r="328" spans="1:15" ht="13.2">
      <c r="A328" s="92">
        <v>24.6038783448728</v>
      </c>
      <c r="B328" s="85">
        <f t="shared" si="41"/>
        <v>1476.2327006923681</v>
      </c>
      <c r="C328" s="84">
        <v>11.558490661099601</v>
      </c>
      <c r="E328" s="92"/>
      <c r="F328" s="71"/>
      <c r="G328" s="234"/>
      <c r="I328" s="235"/>
      <c r="J328" s="26"/>
      <c r="L328" s="26"/>
      <c r="M328" s="25"/>
      <c r="O328" s="26"/>
    </row>
    <row r="329" spans="1:15" ht="13.2">
      <c r="A329" s="92"/>
      <c r="E329" s="92"/>
      <c r="F329" s="71"/>
      <c r="G329" s="234"/>
      <c r="I329" s="235"/>
      <c r="J329" s="26"/>
      <c r="L329" s="26"/>
      <c r="M329" s="25"/>
      <c r="O329" s="26"/>
    </row>
    <row r="330" spans="1:15" ht="13.2">
      <c r="A330" s="92">
        <v>1.7176213398928299E-2</v>
      </c>
      <c r="B330" s="85">
        <f t="shared" ref="B330:B345" si="42">A330*60</f>
        <v>1.0305728039356981</v>
      </c>
      <c r="C330" s="84">
        <v>3.64179081411943</v>
      </c>
      <c r="E330" s="92"/>
      <c r="F330" s="71"/>
      <c r="G330" s="234"/>
      <c r="I330" s="235"/>
      <c r="J330" s="26"/>
      <c r="L330" s="26"/>
      <c r="M330" s="25"/>
      <c r="O330" s="26"/>
    </row>
    <row r="331" spans="1:15" ht="13.2">
      <c r="A331" s="92">
        <v>7.2215118852492696E-2</v>
      </c>
      <c r="B331" s="85">
        <f t="shared" si="42"/>
        <v>4.3329071311495619</v>
      </c>
      <c r="C331" s="84">
        <v>3.6865673893728599</v>
      </c>
      <c r="E331" s="92"/>
      <c r="F331" s="71"/>
      <c r="G331" s="234"/>
      <c r="I331" s="235"/>
      <c r="J331" s="26"/>
      <c r="L331" s="26"/>
      <c r="M331" s="25"/>
      <c r="O331" s="26"/>
    </row>
    <row r="332" spans="1:15" ht="13.2">
      <c r="A332" s="92">
        <v>0.100962072601986</v>
      </c>
      <c r="B332" s="85">
        <f t="shared" si="42"/>
        <v>6.0577243561191603</v>
      </c>
      <c r="C332" s="84">
        <v>3.7313428259106698</v>
      </c>
      <c r="E332" s="92"/>
      <c r="F332" s="71"/>
      <c r="G332" s="234"/>
      <c r="I332" s="235"/>
      <c r="J332" s="26"/>
      <c r="L332" s="26"/>
      <c r="M332" s="25"/>
      <c r="O332" s="26"/>
    </row>
    <row r="333" spans="1:15" ht="13.2">
      <c r="A333" s="92">
        <v>0.19546106201394201</v>
      </c>
      <c r="B333" s="85">
        <f t="shared" si="42"/>
        <v>11.727663720836521</v>
      </c>
      <c r="C333" s="84">
        <v>3.7761194011641002</v>
      </c>
      <c r="E333" s="92"/>
      <c r="F333" s="71"/>
      <c r="G333" s="234"/>
      <c r="I333" s="235"/>
      <c r="J333" s="26"/>
      <c r="L333" s="26"/>
      <c r="M333" s="25"/>
      <c r="O333" s="26"/>
    </row>
    <row r="334" spans="1:15" ht="13.2">
      <c r="A334" s="92">
        <v>0.27855219097627398</v>
      </c>
      <c r="B334" s="85">
        <f t="shared" si="42"/>
        <v>16.713131458576438</v>
      </c>
      <c r="C334" s="84">
        <v>3.8507462674427302</v>
      </c>
      <c r="E334" s="92"/>
      <c r="F334" s="71"/>
      <c r="G334" s="234"/>
      <c r="I334" s="235"/>
      <c r="J334" s="26"/>
      <c r="L334" s="26"/>
      <c r="M334" s="25"/>
      <c r="O334" s="26"/>
    </row>
    <row r="335" spans="1:15" ht="13.2">
      <c r="A335" s="92">
        <v>0.36769586632847401</v>
      </c>
      <c r="B335" s="85">
        <f t="shared" si="42"/>
        <v>22.06175197970844</v>
      </c>
      <c r="C335" s="84">
        <v>3.9104479882087602</v>
      </c>
      <c r="E335" s="92"/>
      <c r="F335" s="71"/>
      <c r="G335" s="234"/>
      <c r="I335" s="235"/>
      <c r="J335" s="26"/>
      <c r="L335" s="26"/>
      <c r="M335" s="25"/>
      <c r="O335" s="26"/>
    </row>
    <row r="336" spans="1:15" ht="13.2">
      <c r="A336" s="92">
        <v>0.862086445617812</v>
      </c>
      <c r="B336" s="85">
        <f t="shared" si="42"/>
        <v>51.725186737068718</v>
      </c>
      <c r="C336" s="84">
        <v>4.2537314592189102</v>
      </c>
      <c r="E336" s="92"/>
      <c r="F336" s="71"/>
      <c r="G336" s="234"/>
      <c r="I336" s="235"/>
      <c r="J336" s="26"/>
      <c r="L336" s="26"/>
      <c r="M336" s="25"/>
      <c r="O336" s="26"/>
    </row>
    <row r="337" spans="1:15" ht="13.2">
      <c r="A337" s="92">
        <v>1.6689876797263601</v>
      </c>
      <c r="B337" s="85">
        <f t="shared" si="42"/>
        <v>100.13926078358161</v>
      </c>
      <c r="C337" s="84">
        <v>4.7611938082989296</v>
      </c>
      <c r="E337" s="92"/>
      <c r="F337" s="71"/>
      <c r="G337" s="234"/>
      <c r="I337" s="235"/>
      <c r="J337" s="26"/>
      <c r="L337" s="26"/>
      <c r="M337" s="25"/>
      <c r="O337" s="26"/>
    </row>
    <row r="338" spans="1:15" ht="13.2">
      <c r="A338" s="92">
        <v>2.5678124142269301</v>
      </c>
      <c r="B338" s="85">
        <f t="shared" si="42"/>
        <v>154.06874485361581</v>
      </c>
      <c r="C338" s="84">
        <v>5.2537310118663498</v>
      </c>
      <c r="E338" s="92"/>
      <c r="F338" s="71"/>
      <c r="G338" s="234"/>
      <c r="I338" s="235"/>
      <c r="J338" s="26"/>
      <c r="L338" s="26"/>
      <c r="M338" s="25"/>
      <c r="O338" s="26"/>
    </row>
    <row r="339" spans="1:15" ht="13.2">
      <c r="A339" s="92">
        <v>3.4551057414947799</v>
      </c>
      <c r="B339" s="85">
        <f t="shared" si="42"/>
        <v>207.30634448968681</v>
      </c>
      <c r="C339" s="84">
        <v>5.7313430699211603</v>
      </c>
      <c r="E339" s="92"/>
      <c r="F339" s="71"/>
      <c r="G339" s="234"/>
      <c r="I339" s="235"/>
      <c r="J339" s="26"/>
      <c r="L339" s="26"/>
      <c r="M339" s="25"/>
      <c r="O339" s="26"/>
    </row>
    <row r="340" spans="1:15" ht="13.2">
      <c r="A340" s="92">
        <v>4.2651824490934498</v>
      </c>
      <c r="B340" s="85">
        <f t="shared" si="42"/>
        <v>255.91094694560698</v>
      </c>
      <c r="C340" s="84">
        <v>6.1044774013143197</v>
      </c>
      <c r="E340" s="92"/>
      <c r="F340" s="71"/>
      <c r="G340" s="234"/>
      <c r="I340" s="235"/>
      <c r="J340" s="26"/>
      <c r="L340" s="26"/>
      <c r="M340" s="25"/>
      <c r="O340" s="26"/>
    </row>
    <row r="341" spans="1:15" ht="13.2">
      <c r="A341" s="92">
        <v>5.0190734153738097</v>
      </c>
      <c r="B341" s="85">
        <f t="shared" si="42"/>
        <v>301.14440492242858</v>
      </c>
      <c r="C341" s="84">
        <v>6.4626865871948898</v>
      </c>
      <c r="E341" s="92"/>
      <c r="F341" s="71"/>
      <c r="G341" s="234"/>
      <c r="I341" s="235"/>
      <c r="J341" s="26"/>
      <c r="L341" s="26"/>
      <c r="M341" s="25"/>
      <c r="O341" s="26"/>
    </row>
    <row r="342" spans="1:15" ht="13.2">
      <c r="A342" s="84">
        <v>5.8499417666834601</v>
      </c>
      <c r="B342" s="85">
        <f t="shared" si="42"/>
        <v>350.99650600100762</v>
      </c>
      <c r="C342" s="84">
        <v>6.8507460641006599</v>
      </c>
      <c r="F342" s="71"/>
    </row>
    <row r="343" spans="1:15" ht="13.2">
      <c r="A343" s="92">
        <v>7.0170355267674198</v>
      </c>
      <c r="B343" s="85">
        <f t="shared" si="42"/>
        <v>421.02213160604521</v>
      </c>
      <c r="C343" s="84">
        <v>7.1343283837025799</v>
      </c>
      <c r="E343" s="92"/>
      <c r="F343" s="71"/>
    </row>
    <row r="344" spans="1:15" ht="13.2">
      <c r="A344" s="92">
        <v>8.9146391040123607</v>
      </c>
      <c r="B344" s="85">
        <f t="shared" si="42"/>
        <v>534.87834624074162</v>
      </c>
      <c r="C344" s="84">
        <v>7.3582089825384802</v>
      </c>
      <c r="E344" s="92"/>
      <c r="F344" s="71"/>
    </row>
    <row r="345" spans="1:15" ht="13.2">
      <c r="A345" s="92">
        <v>9.5325695337856295</v>
      </c>
      <c r="B345" s="85">
        <f t="shared" si="42"/>
        <v>571.95417202713782</v>
      </c>
      <c r="C345" s="84">
        <v>7.5522387209913697</v>
      </c>
      <c r="E345" s="92"/>
      <c r="F345" s="71"/>
    </row>
    <row r="346" spans="1:15" ht="13.2">
      <c r="A346" s="92"/>
      <c r="E346" s="92"/>
      <c r="F346" s="71"/>
    </row>
    <row r="347" spans="1:15" ht="13.2">
      <c r="A347" s="92">
        <v>0.125832304559409</v>
      </c>
      <c r="B347" s="85">
        <f t="shared" ref="B347:B358" si="43">A347*60</f>
        <v>7.5499382735645399</v>
      </c>
      <c r="C347" s="84">
        <v>4.6567160816372803</v>
      </c>
      <c r="E347" s="92"/>
      <c r="F347" s="71"/>
    </row>
    <row r="348" spans="1:15" ht="13.2">
      <c r="A348" s="92">
        <v>0.17592286034386001</v>
      </c>
      <c r="B348" s="85">
        <f t="shared" si="43"/>
        <v>10.5553716206316</v>
      </c>
      <c r="C348" s="84">
        <v>4.6716417965076902</v>
      </c>
      <c r="E348" s="92"/>
      <c r="F348" s="71"/>
    </row>
    <row r="349" spans="1:15" ht="13.2">
      <c r="A349" s="92">
        <v>0.24595315884843899</v>
      </c>
      <c r="B349" s="85">
        <f t="shared" si="43"/>
        <v>14.75718953090634</v>
      </c>
      <c r="C349" s="84">
        <v>4.7164166636877001</v>
      </c>
      <c r="E349" s="92"/>
      <c r="F349" s="71"/>
    </row>
    <row r="350" spans="1:15" ht="13.2">
      <c r="A350" s="92">
        <v>0.51901130153192498</v>
      </c>
      <c r="B350" s="85">
        <f t="shared" si="43"/>
        <v>31.1406780919155</v>
      </c>
      <c r="C350" s="84">
        <v>4.9253732557266101</v>
      </c>
      <c r="E350" s="92"/>
      <c r="F350" s="71"/>
    </row>
    <row r="351" spans="1:15" ht="13.2">
      <c r="A351" s="92">
        <v>0.75394387920251105</v>
      </c>
      <c r="B351" s="85">
        <f t="shared" si="43"/>
        <v>45.236632752150662</v>
      </c>
      <c r="C351" s="84">
        <v>5.0895509950808702</v>
      </c>
      <c r="E351" s="92"/>
      <c r="F351" s="71"/>
    </row>
    <row r="352" spans="1:15" ht="13.2">
      <c r="A352" s="92">
        <v>1.0340771681688701</v>
      </c>
      <c r="B352" s="85">
        <f t="shared" si="43"/>
        <v>62.044630090132202</v>
      </c>
      <c r="C352" s="84">
        <v>5.22388072084114</v>
      </c>
      <c r="E352" s="92"/>
      <c r="F352" s="71"/>
    </row>
    <row r="353" spans="1:6" ht="13.2">
      <c r="A353" s="92">
        <v>1.2643606237467899</v>
      </c>
      <c r="B353" s="85">
        <f t="shared" si="43"/>
        <v>75.861637424807398</v>
      </c>
      <c r="C353" s="84">
        <v>5.3731344533984</v>
      </c>
      <c r="E353" s="92"/>
      <c r="F353" s="71"/>
    </row>
    <row r="354" spans="1:6" ht="13.2">
      <c r="A354" s="92">
        <v>2.5191116349762002</v>
      </c>
      <c r="B354" s="85">
        <f t="shared" si="43"/>
        <v>151.14669809857202</v>
      </c>
      <c r="C354" s="84">
        <v>6.1194031161847304</v>
      </c>
      <c r="E354" s="92"/>
      <c r="F354" s="71"/>
    </row>
    <row r="355" spans="1:6" ht="13.2">
      <c r="A355" s="92">
        <v>4.8304931469111203</v>
      </c>
      <c r="B355" s="85">
        <f t="shared" si="43"/>
        <v>289.8295888146672</v>
      </c>
      <c r="C355" s="84">
        <v>7.0597015174239504</v>
      </c>
      <c r="E355" s="92"/>
      <c r="F355" s="71"/>
    </row>
    <row r="356" spans="1:6" ht="13.2">
      <c r="A356" s="92">
        <v>7.2215066102962204</v>
      </c>
      <c r="B356" s="85">
        <f t="shared" si="43"/>
        <v>433.29039661777324</v>
      </c>
      <c r="C356" s="84">
        <v>7.6865673080360297</v>
      </c>
      <c r="E356" s="92"/>
      <c r="F356" s="71"/>
    </row>
    <row r="357" spans="1:6" ht="13.2">
      <c r="A357" s="92">
        <v>13.8475259244965</v>
      </c>
      <c r="B357" s="85">
        <f t="shared" si="43"/>
        <v>830.85155546979001</v>
      </c>
      <c r="C357" s="84">
        <v>9.9253730117161201</v>
      </c>
      <c r="E357" s="92"/>
      <c r="F357" s="71"/>
    </row>
    <row r="358" spans="1:6" ht="13.2">
      <c r="A358" s="92">
        <v>16.769968988103098</v>
      </c>
      <c r="B358" s="85">
        <f t="shared" si="43"/>
        <v>1006.1981392861859</v>
      </c>
      <c r="C358" s="84">
        <v>10.402984500413099</v>
      </c>
      <c r="E358" s="92"/>
      <c r="F358" s="71"/>
    </row>
    <row r="359" spans="1:6" ht="13.2">
      <c r="A359" s="92"/>
      <c r="E359" s="92"/>
      <c r="F359" s="71"/>
    </row>
    <row r="360" spans="1:6" ht="13.2">
      <c r="A360" s="92">
        <v>7.6794288237414104E-2</v>
      </c>
      <c r="B360" s="85">
        <f t="shared" ref="B360:B367" si="44">A360*60</f>
        <v>4.6076572942448459</v>
      </c>
      <c r="C360" s="84">
        <v>3.4863731532956099</v>
      </c>
      <c r="E360" s="92"/>
      <c r="F360" s="71"/>
    </row>
    <row r="361" spans="1:6" ht="13.2">
      <c r="A361" s="92">
        <v>0.19051651774641101</v>
      </c>
      <c r="B361" s="85">
        <f t="shared" si="44"/>
        <v>11.43099106478466</v>
      </c>
      <c r="C361" s="84">
        <v>3.6037729036288599</v>
      </c>
      <c r="E361" s="92"/>
      <c r="F361" s="71"/>
    </row>
    <row r="362" spans="1:6" ht="13.2">
      <c r="A362" s="92">
        <v>0.27231772761477002</v>
      </c>
      <c r="B362" s="85">
        <f t="shared" si="44"/>
        <v>16.3390636568862</v>
      </c>
      <c r="C362" s="84">
        <v>3.6624733386043302</v>
      </c>
      <c r="E362" s="92"/>
      <c r="F362" s="71"/>
    </row>
    <row r="363" spans="1:6" ht="13.2">
      <c r="A363" s="92">
        <v>0.47633100503840298</v>
      </c>
      <c r="B363" s="85">
        <f t="shared" si="44"/>
        <v>28.57986030230418</v>
      </c>
      <c r="C363" s="84">
        <v>3.6918241159009</v>
      </c>
      <c r="E363" s="92"/>
      <c r="F363" s="71"/>
    </row>
    <row r="364" spans="1:6" ht="13.2">
      <c r="A364" s="92">
        <v>0.639839188953083</v>
      </c>
      <c r="B364" s="85">
        <f t="shared" si="44"/>
        <v>38.390351337184981</v>
      </c>
      <c r="C364" s="84">
        <v>3.9266247361850799</v>
      </c>
      <c r="E364" s="92"/>
      <c r="F364" s="71"/>
    </row>
    <row r="365" spans="1:6" ht="13.2">
      <c r="A365" s="92">
        <v>0.81399905213570301</v>
      </c>
      <c r="B365" s="85">
        <f t="shared" si="44"/>
        <v>48.839943128142181</v>
      </c>
      <c r="C365" s="84">
        <v>3.9853251711605502</v>
      </c>
      <c r="E365" s="92"/>
      <c r="F365" s="71"/>
    </row>
    <row r="366" spans="1:6" ht="13.2">
      <c r="A366" s="92">
        <v>1.0517741159446099</v>
      </c>
      <c r="B366" s="85">
        <f t="shared" si="44"/>
        <v>63.106446956676592</v>
      </c>
      <c r="C366" s="84">
        <v>4</v>
      </c>
      <c r="E366" s="92"/>
      <c r="F366" s="71"/>
    </row>
    <row r="367" spans="1:6" ht="13.2">
      <c r="A367" s="92">
        <v>2.21666372158171</v>
      </c>
      <c r="B367" s="85">
        <f t="shared" si="44"/>
        <v>132.9998232949026</v>
      </c>
      <c r="C367" s="84">
        <v>4.2054504027964503</v>
      </c>
      <c r="E367" s="92"/>
      <c r="F367" s="71"/>
    </row>
    <row r="368" spans="1:6" ht="13.2">
      <c r="A368" s="92"/>
      <c r="E368" s="92"/>
      <c r="F368" s="71"/>
    </row>
    <row r="369" spans="1:6" ht="13.2">
      <c r="A369" s="92">
        <v>5.5853310174640902E-2</v>
      </c>
      <c r="B369" s="85">
        <f t="shared" ref="B369:B379" si="45">A369*60</f>
        <v>3.3511986104784541</v>
      </c>
      <c r="C369" s="84">
        <v>4.4255761942411898</v>
      </c>
      <c r="E369" s="92"/>
      <c r="F369" s="71"/>
    </row>
    <row r="370" spans="1:6" ht="13.2">
      <c r="A370" s="92">
        <v>0.14293654473426801</v>
      </c>
      <c r="B370" s="85">
        <f t="shared" si="45"/>
        <v>8.57619268405608</v>
      </c>
      <c r="C370" s="84">
        <v>4.4696018003772</v>
      </c>
      <c r="E370" s="92"/>
      <c r="F370" s="71"/>
    </row>
    <row r="371" spans="1:6" ht="13.2">
      <c r="A371" s="92">
        <v>0.29660287415068198</v>
      </c>
      <c r="B371" s="85">
        <f t="shared" si="45"/>
        <v>17.79617244904092</v>
      </c>
      <c r="C371" s="84">
        <v>4.55765077341389</v>
      </c>
      <c r="E371" s="92"/>
      <c r="F371" s="71"/>
    </row>
    <row r="372" spans="1:6" ht="13.2">
      <c r="A372" s="84">
        <v>0.56070620264262105</v>
      </c>
      <c r="B372" s="85">
        <f t="shared" si="45"/>
        <v>33.642372158557265</v>
      </c>
      <c r="C372" s="84">
        <v>4.71907724950084</v>
      </c>
      <c r="F372" s="71"/>
    </row>
    <row r="373" spans="1:6" ht="13.2">
      <c r="A373" s="84">
        <v>1.0849588196642099</v>
      </c>
      <c r="B373" s="85">
        <f t="shared" si="45"/>
        <v>65.0975291798526</v>
      </c>
      <c r="C373" s="84">
        <v>5.0125783047604902</v>
      </c>
      <c r="F373" s="71"/>
    </row>
    <row r="374" spans="1:6" ht="13.2">
      <c r="A374" s="84">
        <v>1.68910238363623</v>
      </c>
      <c r="B374" s="85">
        <f t="shared" si="45"/>
        <v>101.34614301817381</v>
      </c>
      <c r="C374" s="84">
        <v>5.3060793600201404</v>
      </c>
      <c r="F374" s="71"/>
    </row>
    <row r="375" spans="1:6" ht="13.2">
      <c r="A375" s="84">
        <v>2.1825015172041802</v>
      </c>
      <c r="B375" s="85">
        <f t="shared" si="45"/>
        <v>130.95009103225081</v>
      </c>
      <c r="C375" s="84">
        <v>5.5555553689526098</v>
      </c>
      <c r="F375" s="71"/>
    </row>
    <row r="376" spans="1:6" ht="13.2">
      <c r="A376" s="84">
        <v>2.7765635443427099</v>
      </c>
      <c r="B376" s="85">
        <f t="shared" si="45"/>
        <v>166.59381266056261</v>
      </c>
      <c r="C376" s="84">
        <v>5.6729556790947004</v>
      </c>
      <c r="F376" s="71"/>
    </row>
    <row r="377" spans="1:6" ht="13.2">
      <c r="A377" s="84">
        <v>3.1439125940816801</v>
      </c>
      <c r="B377" s="85">
        <f t="shared" si="45"/>
        <v>188.63475564490079</v>
      </c>
      <c r="C377" s="84">
        <v>5.84905642421226</v>
      </c>
      <c r="F377" s="71"/>
    </row>
    <row r="378" spans="1:6" ht="13.2">
      <c r="A378" s="84">
        <v>5.4567087068611499</v>
      </c>
      <c r="B378" s="85">
        <f t="shared" si="45"/>
        <v>327.402522411669</v>
      </c>
      <c r="C378" s="84">
        <v>6.4360585347315498</v>
      </c>
      <c r="F378" s="71"/>
    </row>
    <row r="379" spans="1:6" ht="13.2">
      <c r="A379" s="84">
        <v>6.6776004228190704</v>
      </c>
      <c r="B379" s="85">
        <f t="shared" si="45"/>
        <v>400.65602536914423</v>
      </c>
      <c r="C379" s="84">
        <v>6.6855345436640299</v>
      </c>
      <c r="F379" s="71"/>
    </row>
    <row r="380" spans="1:6" ht="13.2">
      <c r="F380" s="71"/>
    </row>
    <row r="381" spans="1:6" ht="13.2">
      <c r="F381" s="71"/>
    </row>
    <row r="382" spans="1:6" ht="13.2">
      <c r="F382" s="71"/>
    </row>
    <row r="383" spans="1:6" ht="13.2">
      <c r="F383" s="71"/>
    </row>
    <row r="384" spans="1:6" ht="13.2">
      <c r="F384" s="71"/>
    </row>
    <row r="385" spans="6:6" ht="13.2">
      <c r="F385" s="71"/>
    </row>
    <row r="386" spans="6:6" ht="13.2">
      <c r="F386" s="71"/>
    </row>
    <row r="387" spans="6:6" ht="13.2">
      <c r="F387" s="71"/>
    </row>
    <row r="388" spans="6:6" ht="13.2">
      <c r="F388" s="71"/>
    </row>
    <row r="389" spans="6:6" ht="13.2">
      <c r="F389" s="71"/>
    </row>
    <row r="390" spans="6:6" ht="13.2">
      <c r="F390" s="71"/>
    </row>
    <row r="391" spans="6:6" ht="13.2">
      <c r="F391" s="71"/>
    </row>
    <row r="392" spans="6:6" ht="13.2">
      <c r="F392" s="71"/>
    </row>
    <row r="393" spans="6:6" ht="13.2">
      <c r="F393" s="71"/>
    </row>
    <row r="394" spans="6:6" ht="13.2">
      <c r="F394" s="71"/>
    </row>
    <row r="395" spans="6:6" ht="13.2">
      <c r="F395" s="71"/>
    </row>
    <row r="396" spans="6:6" ht="13.2">
      <c r="F396" s="71"/>
    </row>
    <row r="397" spans="6:6" ht="13.2">
      <c r="F397" s="71"/>
    </row>
    <row r="398" spans="6:6" ht="13.2">
      <c r="F398" s="71"/>
    </row>
    <row r="399" spans="6:6" ht="13.2">
      <c r="F399" s="71"/>
    </row>
    <row r="400" spans="6:6" ht="13.2">
      <c r="F400" s="71"/>
    </row>
    <row r="401" spans="6:6" ht="13.2">
      <c r="F401" s="71"/>
    </row>
    <row r="402" spans="6:6" ht="13.2">
      <c r="F402" s="71"/>
    </row>
    <row r="403" spans="6:6" ht="13.2">
      <c r="F403" s="71"/>
    </row>
    <row r="404" spans="6:6" ht="13.2">
      <c r="F404" s="71"/>
    </row>
    <row r="405" spans="6:6" ht="13.2">
      <c r="F405" s="71"/>
    </row>
    <row r="406" spans="6:6" ht="13.2">
      <c r="F406" s="71"/>
    </row>
    <row r="407" spans="6:6" ht="13.2">
      <c r="F407" s="71"/>
    </row>
    <row r="408" spans="6:6" ht="13.2">
      <c r="F408" s="71"/>
    </row>
    <row r="409" spans="6:6" ht="13.2">
      <c r="F409" s="71"/>
    </row>
    <row r="410" spans="6:6" ht="13.2">
      <c r="F410" s="71"/>
    </row>
    <row r="411" spans="6:6" ht="13.2">
      <c r="F411" s="71"/>
    </row>
    <row r="412" spans="6:6" ht="13.2">
      <c r="F412" s="71"/>
    </row>
    <row r="413" spans="6:6" ht="13.2">
      <c r="F413" s="71"/>
    </row>
    <row r="414" spans="6:6" ht="13.2">
      <c r="F414" s="71"/>
    </row>
    <row r="415" spans="6:6" ht="13.2">
      <c r="F415" s="71"/>
    </row>
    <row r="416" spans="6:6" ht="13.2">
      <c r="F416" s="71"/>
    </row>
    <row r="417" spans="6:6" ht="13.2">
      <c r="F417" s="71"/>
    </row>
    <row r="418" spans="6:6" ht="13.2">
      <c r="F418" s="71"/>
    </row>
    <row r="419" spans="6:6" ht="13.2">
      <c r="F419" s="71"/>
    </row>
    <row r="420" spans="6:6" ht="13.2">
      <c r="F420" s="71"/>
    </row>
    <row r="421" spans="6:6" ht="13.2">
      <c r="F421" s="71"/>
    </row>
    <row r="422" spans="6:6" ht="13.2">
      <c r="F422" s="71"/>
    </row>
    <row r="423" spans="6:6" ht="13.2">
      <c r="F423" s="71"/>
    </row>
    <row r="424" spans="6:6" ht="13.2">
      <c r="F424" s="71"/>
    </row>
    <row r="425" spans="6:6" ht="13.2">
      <c r="F425" s="71"/>
    </row>
    <row r="426" spans="6:6" ht="13.2">
      <c r="F426" s="71"/>
    </row>
    <row r="427" spans="6:6" ht="13.2">
      <c r="F427" s="71"/>
    </row>
    <row r="428" spans="6:6" ht="13.2">
      <c r="F428" s="71"/>
    </row>
    <row r="429" spans="6:6" ht="13.2">
      <c r="F429" s="71"/>
    </row>
    <row r="430" spans="6:6" ht="13.2">
      <c r="F430" s="71"/>
    </row>
    <row r="431" spans="6:6" ht="13.2">
      <c r="F431" s="71"/>
    </row>
    <row r="432" spans="6:6" ht="13.2">
      <c r="F432" s="71"/>
    </row>
    <row r="433" spans="1:6" ht="13.2">
      <c r="A433" s="92"/>
      <c r="F433" s="71"/>
    </row>
    <row r="434" spans="1:6" ht="13.2">
      <c r="A434" s="92"/>
      <c r="E434" s="92"/>
      <c r="F434" s="71"/>
    </row>
    <row r="435" spans="1:6" ht="13.2">
      <c r="A435" s="92"/>
      <c r="E435" s="92"/>
      <c r="F435" s="71"/>
    </row>
    <row r="436" spans="1:6" ht="13.2">
      <c r="A436" s="92"/>
      <c r="E436" s="92"/>
      <c r="F436" s="71"/>
    </row>
    <row r="437" spans="1:6" ht="13.2">
      <c r="A437" s="92"/>
      <c r="E437" s="92"/>
      <c r="F437" s="71"/>
    </row>
    <row r="438" spans="1:6" ht="13.2">
      <c r="A438" s="92"/>
      <c r="E438" s="92"/>
      <c r="F438" s="71"/>
    </row>
    <row r="439" spans="1:6" ht="13.2">
      <c r="A439" s="92"/>
      <c r="E439" s="92"/>
      <c r="F439" s="71"/>
    </row>
    <row r="440" spans="1:6" ht="13.2">
      <c r="A440" s="92"/>
      <c r="E440" s="92"/>
      <c r="F440" s="71"/>
    </row>
    <row r="441" spans="1:6" ht="13.2">
      <c r="A441" s="92"/>
      <c r="E441" s="92"/>
      <c r="F441" s="71"/>
    </row>
    <row r="442" spans="1:6" ht="13.2">
      <c r="A442" s="92"/>
      <c r="E442" s="92"/>
      <c r="F442" s="71"/>
    </row>
    <row r="443" spans="1:6" ht="13.2">
      <c r="A443" s="92"/>
      <c r="E443" s="92"/>
      <c r="F443" s="71"/>
    </row>
    <row r="444" spans="1:6" ht="13.2">
      <c r="A444" s="92"/>
      <c r="E444" s="92"/>
      <c r="F444" s="71"/>
    </row>
    <row r="445" spans="1:6" ht="13.2">
      <c r="A445" s="92"/>
      <c r="E445" s="92"/>
      <c r="F445" s="71"/>
    </row>
    <row r="446" spans="1:6" ht="13.2">
      <c r="A446" s="92"/>
      <c r="E446" s="92"/>
      <c r="F446" s="71"/>
    </row>
    <row r="447" spans="1:6" ht="13.2">
      <c r="A447" s="92"/>
      <c r="E447" s="92"/>
      <c r="F447" s="71"/>
    </row>
    <row r="448" spans="1:6" ht="13.2">
      <c r="A448" s="92"/>
      <c r="E448" s="92"/>
      <c r="F448" s="71"/>
    </row>
    <row r="449" spans="1:6" ht="13.2">
      <c r="A449" s="92"/>
      <c r="E449" s="92"/>
      <c r="F449" s="71"/>
    </row>
    <row r="450" spans="1:6" ht="13.2">
      <c r="A450" s="92"/>
      <c r="E450" s="92"/>
      <c r="F450" s="71"/>
    </row>
    <row r="451" spans="1:6" ht="13.2">
      <c r="A451" s="92"/>
      <c r="E451" s="92"/>
      <c r="F451" s="71"/>
    </row>
    <row r="452" spans="1:6" ht="13.2">
      <c r="A452" s="92"/>
      <c r="E452" s="92"/>
      <c r="F452" s="71"/>
    </row>
    <row r="453" spans="1:6" ht="13.2">
      <c r="A453" s="92"/>
      <c r="E453" s="92"/>
      <c r="F453" s="71"/>
    </row>
    <row r="454" spans="1:6" ht="13.2">
      <c r="A454" s="92"/>
      <c r="E454" s="92"/>
      <c r="F454" s="71"/>
    </row>
    <row r="455" spans="1:6" ht="13.2">
      <c r="A455" s="92"/>
      <c r="E455" s="92"/>
      <c r="F455" s="71"/>
    </row>
    <row r="456" spans="1:6" ht="13.2">
      <c r="A456" s="92"/>
      <c r="E456" s="92"/>
      <c r="F456" s="71"/>
    </row>
    <row r="457" spans="1:6" ht="13.2">
      <c r="A457" s="92"/>
      <c r="E457" s="92"/>
      <c r="F457" s="71"/>
    </row>
    <row r="458" spans="1:6" ht="13.2">
      <c r="A458" s="92"/>
      <c r="E458" s="92"/>
      <c r="F458" s="71"/>
    </row>
    <row r="459" spans="1:6" ht="13.2">
      <c r="A459" s="92"/>
      <c r="E459" s="92"/>
      <c r="F459" s="71"/>
    </row>
    <row r="460" spans="1:6" ht="13.2">
      <c r="A460" s="92"/>
      <c r="E460" s="92"/>
      <c r="F460" s="71"/>
    </row>
    <row r="461" spans="1:6" ht="13.2">
      <c r="A461" s="92"/>
      <c r="E461" s="92"/>
      <c r="F461" s="71"/>
    </row>
    <row r="462" spans="1:6" ht="13.2">
      <c r="A462" s="92"/>
      <c r="E462" s="92"/>
      <c r="F462" s="71"/>
    </row>
    <row r="463" spans="1:6" ht="13.2">
      <c r="A463" s="92"/>
      <c r="F463" s="71"/>
    </row>
    <row r="464" spans="1:6" ht="13.2">
      <c r="A464" s="92"/>
      <c r="E464" s="92"/>
      <c r="F464" s="71"/>
    </row>
    <row r="465" spans="1:6" ht="13.2">
      <c r="A465" s="92"/>
      <c r="E465" s="92"/>
      <c r="F465" s="71"/>
    </row>
    <row r="466" spans="1:6" ht="13.2">
      <c r="A466" s="92"/>
      <c r="E466" s="92"/>
      <c r="F466" s="71"/>
    </row>
    <row r="467" spans="1:6" ht="13.2">
      <c r="A467" s="92"/>
      <c r="E467" s="92"/>
      <c r="F467" s="71"/>
    </row>
    <row r="468" spans="1:6" ht="13.2">
      <c r="A468" s="92"/>
      <c r="E468" s="92"/>
      <c r="F468" s="71"/>
    </row>
    <row r="469" spans="1:6" ht="13.2">
      <c r="A469" s="92"/>
      <c r="E469" s="92"/>
      <c r="F469" s="71"/>
    </row>
    <row r="470" spans="1:6" ht="13.2">
      <c r="A470" s="92"/>
      <c r="E470" s="92"/>
      <c r="F470" s="71"/>
    </row>
    <row r="471" spans="1:6" ht="13.2">
      <c r="A471" s="92"/>
      <c r="E471" s="92"/>
      <c r="F471" s="71"/>
    </row>
    <row r="472" spans="1:6" ht="13.2">
      <c r="A472" s="92"/>
      <c r="E472" s="92"/>
      <c r="F472" s="71"/>
    </row>
    <row r="473" spans="1:6" ht="13.2">
      <c r="A473" s="92"/>
      <c r="E473" s="92"/>
      <c r="F473" s="71"/>
    </row>
    <row r="474" spans="1:6" ht="13.2">
      <c r="A474" s="92"/>
      <c r="E474" s="92"/>
      <c r="F474" s="71"/>
    </row>
    <row r="475" spans="1:6" ht="13.2">
      <c r="A475" s="92"/>
      <c r="E475" s="92"/>
      <c r="F475" s="71"/>
    </row>
    <row r="476" spans="1:6" ht="13.2">
      <c r="A476" s="92"/>
      <c r="E476" s="92"/>
      <c r="F476" s="71"/>
    </row>
    <row r="477" spans="1:6" ht="13.2">
      <c r="A477" s="92"/>
      <c r="E477" s="92"/>
      <c r="F477" s="71"/>
    </row>
    <row r="478" spans="1:6" ht="13.2">
      <c r="A478" s="92"/>
      <c r="E478" s="92"/>
      <c r="F478" s="71"/>
    </row>
    <row r="479" spans="1:6" ht="13.2">
      <c r="A479" s="92"/>
      <c r="E479" s="92"/>
      <c r="F479" s="71"/>
    </row>
    <row r="480" spans="1:6" ht="13.2">
      <c r="A480" s="92"/>
      <c r="E480" s="92"/>
      <c r="F480" s="71"/>
    </row>
    <row r="481" spans="1:6" ht="13.2">
      <c r="A481" s="92"/>
      <c r="E481" s="92"/>
      <c r="F481" s="71"/>
    </row>
    <row r="482" spans="1:6" ht="13.2">
      <c r="A482" s="92"/>
      <c r="E482" s="92"/>
      <c r="F482" s="71"/>
    </row>
    <row r="483" spans="1:6" ht="13.2">
      <c r="A483" s="92"/>
      <c r="E483" s="92"/>
      <c r="F483" s="71"/>
    </row>
    <row r="484" spans="1:6" ht="13.2">
      <c r="A484" s="92"/>
      <c r="E484" s="92"/>
      <c r="F484" s="71"/>
    </row>
    <row r="485" spans="1:6" ht="13.2">
      <c r="A485" s="92"/>
      <c r="E485" s="92"/>
      <c r="F485" s="71"/>
    </row>
    <row r="486" spans="1:6" ht="13.2">
      <c r="A486" s="92"/>
      <c r="E486" s="92"/>
      <c r="F486" s="71"/>
    </row>
    <row r="487" spans="1:6" ht="13.2">
      <c r="A487" s="92"/>
      <c r="E487" s="92"/>
      <c r="F487" s="71"/>
    </row>
    <row r="488" spans="1:6" ht="13.2">
      <c r="A488" s="92"/>
      <c r="E488" s="92"/>
      <c r="F488" s="71"/>
    </row>
    <row r="489" spans="1:6" ht="13.2">
      <c r="A489" s="92"/>
      <c r="E489" s="92"/>
      <c r="F489" s="71"/>
    </row>
    <row r="490" spans="1:6" ht="13.2">
      <c r="A490" s="92"/>
      <c r="E490" s="92"/>
      <c r="F490" s="71"/>
    </row>
    <row r="491" spans="1:6" ht="13.2">
      <c r="A491" s="92"/>
      <c r="E491" s="92"/>
      <c r="F491" s="71"/>
    </row>
    <row r="492" spans="1:6" ht="13.2">
      <c r="A492" s="92"/>
      <c r="E492" s="92"/>
      <c r="F492" s="71"/>
    </row>
    <row r="493" spans="1:6" ht="13.2">
      <c r="F493" s="71"/>
    </row>
    <row r="494" spans="1:6" ht="13.2">
      <c r="A494" s="92"/>
      <c r="F494" s="71"/>
    </row>
    <row r="495" spans="1:6" ht="13.2">
      <c r="A495" s="92"/>
      <c r="E495" s="92"/>
      <c r="F495" s="71"/>
    </row>
    <row r="496" spans="1:6" ht="13.2">
      <c r="A496" s="92"/>
      <c r="E496" s="92"/>
      <c r="F496" s="71"/>
    </row>
    <row r="497" spans="1:6" ht="13.2">
      <c r="A497" s="92"/>
      <c r="E497" s="92"/>
      <c r="F497" s="71"/>
    </row>
    <row r="498" spans="1:6" ht="13.2">
      <c r="A498" s="92"/>
      <c r="E498" s="92"/>
      <c r="F498" s="71"/>
    </row>
    <row r="499" spans="1:6" ht="13.2">
      <c r="A499" s="92"/>
      <c r="E499" s="92"/>
      <c r="F499" s="71"/>
    </row>
    <row r="500" spans="1:6" ht="13.2">
      <c r="A500" s="92"/>
      <c r="E500" s="92"/>
      <c r="F500" s="71"/>
    </row>
    <row r="501" spans="1:6" ht="13.2">
      <c r="A501" s="92"/>
      <c r="E501" s="92"/>
      <c r="F501" s="71"/>
    </row>
    <row r="502" spans="1:6" ht="13.2">
      <c r="A502" s="92"/>
      <c r="E502" s="92"/>
      <c r="F502" s="71"/>
    </row>
    <row r="503" spans="1:6" ht="13.2">
      <c r="A503" s="92"/>
      <c r="E503" s="92"/>
      <c r="F503" s="71"/>
    </row>
    <row r="504" spans="1:6" ht="13.2">
      <c r="A504" s="92"/>
      <c r="E504" s="92"/>
      <c r="F504" s="71"/>
    </row>
    <row r="505" spans="1:6" ht="13.2">
      <c r="A505" s="92"/>
      <c r="E505" s="92"/>
      <c r="F505" s="71"/>
    </row>
    <row r="506" spans="1:6" ht="13.2">
      <c r="A506" s="92"/>
      <c r="E506" s="92"/>
      <c r="F506" s="71"/>
    </row>
    <row r="507" spans="1:6" ht="13.2">
      <c r="A507" s="92"/>
      <c r="E507" s="92"/>
      <c r="F507" s="71"/>
    </row>
    <row r="508" spans="1:6" ht="13.2">
      <c r="A508" s="92"/>
      <c r="E508" s="92"/>
      <c r="F508" s="71"/>
    </row>
    <row r="509" spans="1:6" ht="13.2">
      <c r="A509" s="92"/>
      <c r="E509" s="92"/>
      <c r="F509" s="71"/>
    </row>
    <row r="510" spans="1:6" ht="13.2">
      <c r="A510" s="92"/>
      <c r="E510" s="92"/>
      <c r="F510" s="71"/>
    </row>
    <row r="511" spans="1:6" ht="13.2">
      <c r="A511" s="92"/>
      <c r="E511" s="92"/>
      <c r="F511" s="71"/>
    </row>
    <row r="512" spans="1:6" ht="13.2">
      <c r="A512" s="92"/>
      <c r="E512" s="92"/>
      <c r="F512" s="71"/>
    </row>
    <row r="513" spans="1:6" ht="13.2">
      <c r="A513" s="92"/>
      <c r="E513" s="92"/>
      <c r="F513" s="71"/>
    </row>
    <row r="514" spans="1:6" ht="13.2">
      <c r="A514" s="92"/>
      <c r="E514" s="92"/>
      <c r="F514" s="71"/>
    </row>
    <row r="515" spans="1:6" ht="13.2">
      <c r="A515" s="92"/>
      <c r="E515" s="92"/>
      <c r="F515" s="71"/>
    </row>
    <row r="516" spans="1:6" ht="13.2">
      <c r="A516" s="92"/>
      <c r="E516" s="92"/>
      <c r="F516" s="71"/>
    </row>
    <row r="517" spans="1:6" ht="13.2">
      <c r="A517" s="92"/>
      <c r="E517" s="92"/>
      <c r="F517" s="71"/>
    </row>
    <row r="518" spans="1:6" ht="13.2">
      <c r="A518" s="92"/>
      <c r="E518" s="92"/>
      <c r="F518" s="71"/>
    </row>
    <row r="519" spans="1:6" ht="13.2">
      <c r="A519" s="92"/>
      <c r="E519" s="92"/>
      <c r="F519" s="71"/>
    </row>
    <row r="520" spans="1:6" ht="13.2">
      <c r="A520" s="92"/>
      <c r="F520" s="71"/>
    </row>
    <row r="521" spans="1:6" ht="13.2">
      <c r="A521" s="92"/>
      <c r="E521" s="92"/>
      <c r="F521" s="71"/>
    </row>
    <row r="522" spans="1:6" ht="13.2">
      <c r="A522" s="92"/>
      <c r="E522" s="92"/>
      <c r="F522" s="71"/>
    </row>
    <row r="523" spans="1:6" ht="13.2">
      <c r="A523" s="92"/>
      <c r="E523" s="92"/>
      <c r="F523" s="71"/>
    </row>
    <row r="524" spans="1:6" ht="13.2">
      <c r="A524" s="92"/>
      <c r="E524" s="92"/>
      <c r="F524" s="71"/>
    </row>
    <row r="525" spans="1:6" ht="13.2">
      <c r="A525" s="92"/>
      <c r="E525" s="92"/>
      <c r="F525" s="71"/>
    </row>
    <row r="526" spans="1:6" ht="13.2">
      <c r="A526" s="92"/>
      <c r="E526" s="92"/>
      <c r="F526" s="71"/>
    </row>
    <row r="527" spans="1:6" ht="13.2">
      <c r="A527" s="92"/>
      <c r="E527" s="92"/>
      <c r="F527" s="71"/>
    </row>
    <row r="528" spans="1:6" ht="13.2">
      <c r="A528" s="92"/>
      <c r="E528" s="92"/>
      <c r="F528" s="71"/>
    </row>
    <row r="529" spans="1:6" ht="13.2">
      <c r="A529" s="92"/>
      <c r="E529" s="92"/>
      <c r="F529" s="71"/>
    </row>
    <row r="530" spans="1:6" ht="13.2">
      <c r="A530" s="92"/>
      <c r="E530" s="92"/>
      <c r="F530" s="71"/>
    </row>
    <row r="531" spans="1:6" ht="13.2">
      <c r="A531" s="92"/>
      <c r="E531" s="92"/>
      <c r="F531" s="71"/>
    </row>
    <row r="532" spans="1:6" ht="13.2">
      <c r="A532" s="92"/>
      <c r="E532" s="92"/>
      <c r="F532" s="71"/>
    </row>
    <row r="533" spans="1:6" ht="13.2">
      <c r="A533" s="92"/>
      <c r="E533" s="92"/>
      <c r="F533" s="71"/>
    </row>
    <row r="534" spans="1:6" ht="13.2">
      <c r="A534" s="92"/>
      <c r="E534" s="92"/>
      <c r="F534" s="71"/>
    </row>
    <row r="535" spans="1:6" ht="13.2">
      <c r="A535" s="92"/>
      <c r="E535" s="92"/>
      <c r="F535" s="71"/>
    </row>
    <row r="536" spans="1:6" ht="13.2">
      <c r="A536" s="92"/>
      <c r="E536" s="92"/>
      <c r="F536" s="71"/>
    </row>
    <row r="537" spans="1:6" ht="13.2">
      <c r="A537" s="92"/>
      <c r="E537" s="92"/>
      <c r="F537" s="71"/>
    </row>
    <row r="538" spans="1:6" ht="13.2">
      <c r="A538" s="92"/>
      <c r="E538" s="92"/>
      <c r="F538" s="71"/>
    </row>
    <row r="539" spans="1:6" ht="13.2">
      <c r="A539" s="92"/>
      <c r="E539" s="92"/>
      <c r="F539" s="71"/>
    </row>
    <row r="540" spans="1:6" ht="13.2">
      <c r="A540" s="92"/>
      <c r="E540" s="92"/>
      <c r="F540" s="71"/>
    </row>
    <row r="541" spans="1:6" ht="13.2">
      <c r="A541" s="92"/>
      <c r="E541" s="92"/>
      <c r="F541" s="71"/>
    </row>
    <row r="542" spans="1:6" ht="13.2">
      <c r="A542" s="92"/>
      <c r="E542" s="92"/>
      <c r="F542" s="71"/>
    </row>
    <row r="543" spans="1:6" ht="13.2">
      <c r="A543" s="92"/>
      <c r="E543" s="92"/>
      <c r="F543" s="71"/>
    </row>
    <row r="544" spans="1:6" ht="13.2">
      <c r="A544" s="92"/>
      <c r="E544" s="92"/>
      <c r="F544" s="71"/>
    </row>
    <row r="545" spans="1:6" ht="13.2">
      <c r="A545" s="92"/>
      <c r="F545" s="71"/>
    </row>
    <row r="546" spans="1:6" ht="13.2">
      <c r="A546" s="92"/>
      <c r="E546" s="92"/>
      <c r="F546" s="71"/>
    </row>
    <row r="547" spans="1:6" ht="13.2">
      <c r="A547" s="92"/>
      <c r="E547" s="92"/>
      <c r="F547" s="71"/>
    </row>
    <row r="548" spans="1:6" ht="13.2">
      <c r="A548" s="92"/>
      <c r="E548" s="92"/>
      <c r="F548" s="71"/>
    </row>
    <row r="549" spans="1:6" ht="13.2">
      <c r="A549" s="92"/>
      <c r="E549" s="92"/>
      <c r="F549" s="71"/>
    </row>
    <row r="550" spans="1:6" ht="13.2">
      <c r="A550" s="92"/>
      <c r="E550" s="92"/>
      <c r="F550" s="71"/>
    </row>
    <row r="551" spans="1:6" ht="13.2">
      <c r="A551" s="92"/>
      <c r="E551" s="92"/>
      <c r="F551" s="71"/>
    </row>
    <row r="552" spans="1:6" ht="13.2">
      <c r="A552" s="92"/>
      <c r="E552" s="92"/>
      <c r="F552" s="71"/>
    </row>
    <row r="553" spans="1:6" ht="13.2">
      <c r="A553" s="92"/>
      <c r="E553" s="92"/>
      <c r="F553" s="71"/>
    </row>
    <row r="554" spans="1:6" ht="13.2">
      <c r="A554" s="92"/>
      <c r="E554" s="92"/>
      <c r="F554" s="71"/>
    </row>
    <row r="555" spans="1:6" ht="13.2">
      <c r="A555" s="92"/>
      <c r="E555" s="92"/>
      <c r="F555" s="71"/>
    </row>
    <row r="556" spans="1:6" ht="13.2">
      <c r="A556" s="92"/>
      <c r="E556" s="92"/>
      <c r="F556" s="71"/>
    </row>
    <row r="557" spans="1:6" ht="13.2">
      <c r="A557" s="92"/>
      <c r="E557" s="92"/>
      <c r="F557" s="71"/>
    </row>
    <row r="558" spans="1:6" ht="13.2">
      <c r="A558" s="92"/>
      <c r="E558" s="92"/>
      <c r="F558" s="71"/>
    </row>
    <row r="559" spans="1:6" ht="13.2">
      <c r="A559" s="92"/>
      <c r="E559" s="92"/>
      <c r="F559" s="71"/>
    </row>
    <row r="560" spans="1:6" ht="13.2">
      <c r="A560" s="92"/>
      <c r="E560" s="92"/>
      <c r="F560" s="71"/>
    </row>
    <row r="561" spans="1:6" ht="13.2">
      <c r="A561" s="92"/>
      <c r="E561" s="92"/>
      <c r="F561" s="71"/>
    </row>
    <row r="562" spans="1:6" ht="13.2">
      <c r="A562" s="92"/>
      <c r="E562" s="92"/>
      <c r="F562" s="71"/>
    </row>
    <row r="563" spans="1:6" ht="13.2">
      <c r="A563" s="92"/>
      <c r="E563" s="92"/>
      <c r="F563" s="71"/>
    </row>
    <row r="564" spans="1:6" ht="13.2">
      <c r="A564" s="92"/>
      <c r="E564" s="92"/>
      <c r="F564" s="71"/>
    </row>
    <row r="565" spans="1:6" ht="13.2">
      <c r="A565" s="92"/>
      <c r="E565" s="92"/>
      <c r="F565" s="71"/>
    </row>
    <row r="566" spans="1:6" ht="13.2">
      <c r="A566" s="92"/>
      <c r="E566" s="92"/>
      <c r="F566" s="71"/>
    </row>
    <row r="567" spans="1:6" ht="13.2">
      <c r="A567" s="92"/>
      <c r="E567" s="92"/>
      <c r="F567" s="71"/>
    </row>
    <row r="568" spans="1:6" ht="13.2">
      <c r="A568" s="92"/>
      <c r="E568" s="92"/>
      <c r="F568" s="71"/>
    </row>
    <row r="569" spans="1:6" ht="13.2">
      <c r="A569" s="92"/>
      <c r="E569" s="92"/>
      <c r="F569" s="71"/>
    </row>
    <row r="570" spans="1:6" ht="13.2">
      <c r="A570" s="92"/>
      <c r="E570" s="92"/>
      <c r="F570" s="71"/>
    </row>
    <row r="571" spans="1:6" ht="13.2">
      <c r="A571" s="92"/>
      <c r="F571" s="71"/>
    </row>
    <row r="572" spans="1:6" ht="13.2">
      <c r="A572" s="92"/>
      <c r="E572" s="92"/>
      <c r="F572" s="71"/>
    </row>
    <row r="573" spans="1:6" ht="13.2">
      <c r="A573" s="92"/>
      <c r="E573" s="92"/>
      <c r="F573" s="71"/>
    </row>
    <row r="574" spans="1:6" ht="13.2">
      <c r="A574" s="92"/>
      <c r="E574" s="92"/>
      <c r="F574" s="71"/>
    </row>
    <row r="575" spans="1:6" ht="13.2">
      <c r="A575" s="92"/>
      <c r="E575" s="92"/>
      <c r="F575" s="71"/>
    </row>
    <row r="576" spans="1:6" ht="13.2">
      <c r="A576" s="92"/>
      <c r="E576" s="92"/>
      <c r="F576" s="71"/>
    </row>
    <row r="577" spans="1:6" ht="13.2">
      <c r="A577" s="92"/>
      <c r="E577" s="92"/>
      <c r="F577" s="71"/>
    </row>
    <row r="578" spans="1:6" ht="13.2">
      <c r="A578" s="92"/>
      <c r="E578" s="92"/>
      <c r="F578" s="71"/>
    </row>
    <row r="579" spans="1:6" ht="13.2">
      <c r="A579" s="92"/>
      <c r="E579" s="92"/>
      <c r="F579" s="71"/>
    </row>
    <row r="580" spans="1:6" ht="13.2">
      <c r="A580" s="92"/>
      <c r="E580" s="92"/>
      <c r="F580" s="71"/>
    </row>
    <row r="581" spans="1:6" ht="13.2">
      <c r="A581" s="92"/>
      <c r="E581" s="92"/>
      <c r="F581" s="71"/>
    </row>
    <row r="582" spans="1:6" ht="13.2">
      <c r="A582" s="92"/>
      <c r="E582" s="92"/>
      <c r="F582" s="71"/>
    </row>
    <row r="583" spans="1:6" ht="13.2">
      <c r="A583" s="92"/>
      <c r="E583" s="92"/>
      <c r="F583" s="71"/>
    </row>
    <row r="584" spans="1:6" ht="13.2">
      <c r="A584" s="92"/>
      <c r="E584" s="92"/>
      <c r="F584" s="71"/>
    </row>
    <row r="585" spans="1:6" ht="13.2">
      <c r="A585" s="92"/>
      <c r="E585" s="92"/>
      <c r="F585" s="71"/>
    </row>
    <row r="586" spans="1:6" ht="13.2">
      <c r="A586" s="92"/>
      <c r="E586" s="92"/>
      <c r="F586" s="71"/>
    </row>
    <row r="587" spans="1:6" ht="13.2">
      <c r="A587" s="92"/>
      <c r="E587" s="92"/>
      <c r="F587" s="71"/>
    </row>
    <row r="588" spans="1:6" ht="13.2">
      <c r="A588" s="92"/>
      <c r="E588" s="92"/>
      <c r="F588" s="71"/>
    </row>
    <row r="589" spans="1:6" ht="13.2">
      <c r="A589" s="92"/>
      <c r="E589" s="92"/>
      <c r="F589" s="71"/>
    </row>
    <row r="590" spans="1:6" ht="13.2">
      <c r="A590" s="92"/>
      <c r="E590" s="92"/>
      <c r="F590" s="71"/>
    </row>
    <row r="591" spans="1:6" ht="13.2">
      <c r="A591" s="92"/>
      <c r="E591" s="92"/>
      <c r="F591" s="71"/>
    </row>
    <row r="592" spans="1:6" ht="13.2">
      <c r="A592" s="92"/>
      <c r="E592" s="92"/>
      <c r="F592" s="71"/>
    </row>
    <row r="593" spans="1:6" ht="13.2">
      <c r="A593" s="92"/>
      <c r="E593" s="92"/>
      <c r="F593" s="71"/>
    </row>
    <row r="594" spans="1:6" ht="13.2">
      <c r="A594" s="92"/>
      <c r="E594" s="92"/>
      <c r="F594" s="71"/>
    </row>
    <row r="595" spans="1:6" ht="13.2">
      <c r="F595" s="71"/>
    </row>
    <row r="596" spans="1:6" ht="13.2">
      <c r="A596" s="92"/>
      <c r="F596" s="71"/>
    </row>
    <row r="597" spans="1:6" ht="13.2">
      <c r="A597" s="92"/>
      <c r="E597" s="92"/>
      <c r="F597" s="71"/>
    </row>
    <row r="598" spans="1:6" ht="13.2">
      <c r="A598" s="92"/>
      <c r="E598" s="92"/>
      <c r="F598" s="71"/>
    </row>
    <row r="599" spans="1:6" ht="13.2">
      <c r="A599" s="92"/>
      <c r="E599" s="92"/>
      <c r="F599" s="71"/>
    </row>
    <row r="600" spans="1:6" ht="13.2">
      <c r="A600" s="92"/>
      <c r="E600" s="92"/>
      <c r="F600" s="71"/>
    </row>
    <row r="601" spans="1:6" ht="13.2">
      <c r="A601" s="92"/>
      <c r="E601" s="92"/>
      <c r="F601" s="71"/>
    </row>
    <row r="602" spans="1:6" ht="13.2">
      <c r="A602" s="92"/>
      <c r="E602" s="92"/>
      <c r="F602" s="71"/>
    </row>
    <row r="603" spans="1:6" ht="13.2">
      <c r="A603" s="92"/>
      <c r="E603" s="92"/>
      <c r="F603" s="71"/>
    </row>
    <row r="604" spans="1:6" ht="13.2">
      <c r="A604" s="92"/>
      <c r="E604" s="92"/>
      <c r="F604" s="71"/>
    </row>
    <row r="605" spans="1:6" ht="13.2">
      <c r="A605" s="92"/>
      <c r="E605" s="92"/>
      <c r="F605" s="71"/>
    </row>
    <row r="606" spans="1:6" ht="13.2">
      <c r="A606" s="92"/>
      <c r="E606" s="92"/>
      <c r="F606" s="71"/>
    </row>
    <row r="607" spans="1:6" ht="13.2">
      <c r="A607" s="92"/>
      <c r="E607" s="92"/>
      <c r="F607" s="71"/>
    </row>
    <row r="608" spans="1:6" ht="13.2">
      <c r="A608" s="92"/>
      <c r="E608" s="92"/>
      <c r="F608" s="71"/>
    </row>
    <row r="609" spans="1:6" ht="13.2">
      <c r="A609" s="92"/>
      <c r="E609" s="92"/>
      <c r="F609" s="71"/>
    </row>
    <row r="610" spans="1:6" ht="13.2">
      <c r="A610" s="92"/>
      <c r="E610" s="92"/>
      <c r="F610" s="71"/>
    </row>
    <row r="611" spans="1:6" ht="13.2">
      <c r="A611" s="92"/>
      <c r="E611" s="92"/>
      <c r="F611" s="71"/>
    </row>
    <row r="612" spans="1:6" ht="13.2">
      <c r="A612" s="92"/>
      <c r="E612" s="92"/>
      <c r="F612" s="71"/>
    </row>
    <row r="613" spans="1:6" ht="13.2">
      <c r="A613" s="92"/>
      <c r="E613" s="92"/>
      <c r="F613" s="71"/>
    </row>
    <row r="614" spans="1:6" ht="13.2">
      <c r="A614" s="92"/>
      <c r="E614" s="92"/>
      <c r="F614" s="71"/>
    </row>
    <row r="615" spans="1:6" ht="13.2">
      <c r="A615" s="92"/>
      <c r="E615" s="92"/>
      <c r="F615" s="71"/>
    </row>
    <row r="616" spans="1:6" ht="13.2">
      <c r="A616" s="92"/>
      <c r="E616" s="92"/>
      <c r="F616" s="71"/>
    </row>
    <row r="617" spans="1:6" ht="13.2">
      <c r="A617" s="92"/>
      <c r="E617" s="92"/>
      <c r="F617" s="71"/>
    </row>
    <row r="618" spans="1:6" ht="16.5" customHeight="1">
      <c r="A618" s="92"/>
      <c r="E618" s="92"/>
      <c r="F618" s="71"/>
    </row>
  </sheetData>
  <autoFilter ref="A284:C296" xr:uid="{00000000-0009-0000-0000-000007000000}">
    <sortState xmlns:xlrd2="http://schemas.microsoft.com/office/spreadsheetml/2017/richdata2" ref="A284:C296">
      <sortCondition ref="B284:B296"/>
    </sortState>
  </autoFilter>
  <mergeCells count="1">
    <mergeCell ref="K4:P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80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8" max="18" width="20.109375" customWidth="1"/>
  </cols>
  <sheetData>
    <row r="1" spans="1:18">
      <c r="A1" s="255" t="s">
        <v>97</v>
      </c>
      <c r="B1" s="254"/>
      <c r="C1" s="254"/>
      <c r="D1" s="254"/>
      <c r="E1" s="254"/>
      <c r="H1" s="1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4" t="s">
        <v>98</v>
      </c>
      <c r="O1" s="4" t="s">
        <v>7</v>
      </c>
      <c r="P1" s="4" t="s">
        <v>8</v>
      </c>
      <c r="Q1" s="4" t="s">
        <v>9</v>
      </c>
      <c r="R1" s="5" t="s">
        <v>10</v>
      </c>
    </row>
    <row r="2" spans="1:18">
      <c r="A2" s="84" t="s">
        <v>99</v>
      </c>
      <c r="B2" s="84" t="s">
        <v>100</v>
      </c>
      <c r="E2" s="84" t="s">
        <v>101</v>
      </c>
      <c r="H2" s="239" t="s">
        <v>55</v>
      </c>
      <c r="I2" s="142">
        <v>2.15</v>
      </c>
      <c r="J2" s="240"/>
      <c r="K2" s="142">
        <v>7.1999999999999995E-2</v>
      </c>
      <c r="L2" s="142">
        <v>1E-3</v>
      </c>
      <c r="M2" s="142">
        <v>1000</v>
      </c>
      <c r="N2" s="239"/>
      <c r="O2" s="239"/>
      <c r="P2" s="239" t="s">
        <v>12</v>
      </c>
      <c r="Q2" s="239"/>
      <c r="R2" s="142">
        <v>2.06</v>
      </c>
    </row>
    <row r="3" spans="1:18">
      <c r="A3" s="88">
        <v>0.61728395061728303</v>
      </c>
      <c r="B3" s="85">
        <f t="shared" ref="B3:B78" si="0">A3*60</f>
        <v>37.037037037036981</v>
      </c>
      <c r="E3" s="88">
        <v>3.8697394789579098</v>
      </c>
      <c r="H3" s="239" t="s">
        <v>55</v>
      </c>
      <c r="I3" s="142">
        <v>2.75</v>
      </c>
      <c r="J3" s="240"/>
      <c r="K3" s="142">
        <v>7.1999999999999995E-2</v>
      </c>
      <c r="L3" s="142">
        <v>1E-3</v>
      </c>
      <c r="M3" s="142">
        <v>1000</v>
      </c>
      <c r="N3" s="239"/>
      <c r="O3" s="239"/>
      <c r="P3" s="239" t="s">
        <v>12</v>
      </c>
      <c r="Q3" s="239"/>
      <c r="R3" s="142">
        <v>2.1</v>
      </c>
    </row>
    <row r="4" spans="1:18">
      <c r="A4" s="92">
        <v>0.97530864197530798</v>
      </c>
      <c r="B4" s="85">
        <f t="shared" si="0"/>
        <v>58.518518518518476</v>
      </c>
      <c r="E4" s="92">
        <v>3.9979959919839598</v>
      </c>
      <c r="H4" s="239" t="s">
        <v>55</v>
      </c>
      <c r="I4" s="142">
        <v>3.06</v>
      </c>
      <c r="J4" s="240"/>
      <c r="K4" s="142">
        <v>7.1999999999999995E-2</v>
      </c>
      <c r="L4" s="142">
        <v>1E-3</v>
      </c>
      <c r="M4" s="142">
        <v>1000</v>
      </c>
      <c r="N4" s="239"/>
      <c r="O4" s="239"/>
      <c r="P4" s="239" t="s">
        <v>12</v>
      </c>
      <c r="Q4" s="239"/>
      <c r="R4" s="142">
        <v>2.12</v>
      </c>
    </row>
    <row r="5" spans="1:18">
      <c r="A5" s="92">
        <v>1.25925925925925</v>
      </c>
      <c r="B5" s="85">
        <f t="shared" si="0"/>
        <v>75.555555555555003</v>
      </c>
      <c r="E5" s="92">
        <v>4.2064128256512996</v>
      </c>
      <c r="H5" s="239" t="s">
        <v>55</v>
      </c>
      <c r="I5" s="142">
        <v>3.56</v>
      </c>
      <c r="J5" s="240"/>
      <c r="K5" s="142">
        <v>7.1999999999999995E-2</v>
      </c>
      <c r="L5" s="142">
        <v>1E-3</v>
      </c>
      <c r="M5" s="142">
        <v>1000</v>
      </c>
      <c r="N5" s="239"/>
      <c r="O5" s="239"/>
      <c r="P5" s="239" t="s">
        <v>12</v>
      </c>
      <c r="Q5" s="239"/>
      <c r="R5" s="142">
        <v>2.15</v>
      </c>
    </row>
    <row r="6" spans="1:18">
      <c r="A6" s="92">
        <v>1.74074074074074</v>
      </c>
      <c r="B6" s="85">
        <f t="shared" si="0"/>
        <v>104.4444444444444</v>
      </c>
      <c r="E6" s="92">
        <v>4.4468937875751502</v>
      </c>
      <c r="H6" s="239" t="s">
        <v>55</v>
      </c>
      <c r="I6" s="142">
        <v>3.9</v>
      </c>
      <c r="J6" s="240"/>
      <c r="K6" s="142">
        <v>7.1999999999999995E-2</v>
      </c>
      <c r="L6" s="142">
        <v>1E-3</v>
      </c>
      <c r="M6" s="142">
        <v>1000</v>
      </c>
      <c r="N6" s="239"/>
      <c r="O6" s="239"/>
      <c r="P6" s="239" t="s">
        <v>12</v>
      </c>
      <c r="Q6" s="239"/>
      <c r="R6" s="142">
        <v>2.1800000000000002</v>
      </c>
    </row>
    <row r="7" spans="1:18">
      <c r="A7" s="92">
        <v>2.3580246913580201</v>
      </c>
      <c r="B7" s="85">
        <f t="shared" si="0"/>
        <v>141.48148148148121</v>
      </c>
      <c r="E7" s="92">
        <v>4.8316633266532998</v>
      </c>
      <c r="H7" s="239" t="s">
        <v>55</v>
      </c>
      <c r="I7" s="142">
        <v>4.2300000000000004</v>
      </c>
      <c r="J7" s="240"/>
      <c r="K7" s="142">
        <v>7.1999999999999995E-2</v>
      </c>
      <c r="L7" s="142">
        <v>1E-3</v>
      </c>
      <c r="M7" s="142">
        <v>1000</v>
      </c>
      <c r="N7" s="239"/>
      <c r="O7" s="239"/>
      <c r="P7" s="239" t="s">
        <v>12</v>
      </c>
      <c r="Q7" s="239"/>
      <c r="R7" s="142">
        <v>2.2000000000000002</v>
      </c>
    </row>
    <row r="8" spans="1:18">
      <c r="A8" s="92">
        <v>2.87654320987654</v>
      </c>
      <c r="B8" s="85">
        <f t="shared" si="0"/>
        <v>172.59259259259241</v>
      </c>
      <c r="E8" s="92">
        <v>5.0160320641282503</v>
      </c>
      <c r="H8" s="239" t="s">
        <v>55</v>
      </c>
      <c r="I8" s="142">
        <v>4.47</v>
      </c>
      <c r="J8" s="240"/>
      <c r="K8" s="142">
        <v>7.1999999999999995E-2</v>
      </c>
      <c r="L8" s="142">
        <v>1E-3</v>
      </c>
      <c r="M8" s="142">
        <v>1000</v>
      </c>
      <c r="N8" s="239"/>
      <c r="O8" s="239"/>
      <c r="P8" s="239" t="s">
        <v>12</v>
      </c>
      <c r="Q8" s="239"/>
      <c r="R8" s="142">
        <v>2.2200000000000002</v>
      </c>
    </row>
    <row r="9" spans="1:18">
      <c r="A9" s="92">
        <v>3.3827160493827102</v>
      </c>
      <c r="B9" s="85">
        <f t="shared" si="0"/>
        <v>202.96296296296262</v>
      </c>
      <c r="E9" s="92">
        <v>5.33667334669338</v>
      </c>
      <c r="H9" s="239" t="s">
        <v>55</v>
      </c>
      <c r="I9" s="142">
        <v>4.67</v>
      </c>
      <c r="J9" s="240"/>
      <c r="K9" s="142">
        <v>7.1999999999999995E-2</v>
      </c>
      <c r="L9" s="142">
        <v>1E-3</v>
      </c>
      <c r="M9" s="142">
        <v>1000</v>
      </c>
      <c r="N9" s="239"/>
      <c r="O9" s="239"/>
      <c r="P9" s="239" t="s">
        <v>12</v>
      </c>
      <c r="Q9" s="239"/>
      <c r="R9" s="142">
        <v>2.2400000000000002</v>
      </c>
    </row>
    <row r="10" spans="1:18">
      <c r="A10" s="92">
        <v>3.8518518518518499</v>
      </c>
      <c r="B10" s="85">
        <f t="shared" si="0"/>
        <v>231.111111111111</v>
      </c>
      <c r="E10" s="92">
        <v>5.5210420841683296</v>
      </c>
      <c r="H10" s="239" t="s">
        <v>55</v>
      </c>
      <c r="I10" s="142">
        <v>4.84</v>
      </c>
      <c r="J10" s="240"/>
      <c r="K10" s="142">
        <v>7.1999999999999995E-2</v>
      </c>
      <c r="L10" s="142">
        <v>1E-3</v>
      </c>
      <c r="M10" s="142">
        <v>1000</v>
      </c>
      <c r="N10" s="239"/>
      <c r="O10" s="239"/>
      <c r="P10" s="239" t="s">
        <v>12</v>
      </c>
      <c r="Q10" s="239"/>
      <c r="R10" s="142">
        <v>2.25</v>
      </c>
    </row>
    <row r="11" spans="1:18">
      <c r="A11" s="92">
        <v>4.4567901234567797</v>
      </c>
      <c r="B11" s="85">
        <f t="shared" si="0"/>
        <v>267.40740740740677</v>
      </c>
      <c r="E11" s="92">
        <v>5.8016032064128202</v>
      </c>
      <c r="H11" s="239" t="s">
        <v>55</v>
      </c>
      <c r="I11" s="142">
        <v>2.16</v>
      </c>
      <c r="J11" s="240"/>
      <c r="K11" s="142">
        <v>6.7000000000000004E-2</v>
      </c>
      <c r="L11" s="142">
        <v>4.4900000000000002E-2</v>
      </c>
      <c r="M11" s="142">
        <v>1120</v>
      </c>
      <c r="N11" s="239"/>
      <c r="O11" s="239"/>
      <c r="P11" s="239" t="s">
        <v>12</v>
      </c>
      <c r="Q11" s="239"/>
      <c r="R11" s="142">
        <v>2.4</v>
      </c>
    </row>
    <row r="12" spans="1:18">
      <c r="A12" s="92">
        <v>4.9382716049382704</v>
      </c>
      <c r="B12" s="85">
        <f t="shared" si="0"/>
        <v>296.29629629629625</v>
      </c>
      <c r="E12" s="92">
        <v>6.0180360721442803</v>
      </c>
      <c r="H12" s="239" t="s">
        <v>55</v>
      </c>
      <c r="I12" s="142">
        <v>3.03</v>
      </c>
      <c r="J12" s="240"/>
      <c r="K12" s="142">
        <v>6.7000000000000004E-2</v>
      </c>
      <c r="L12" s="142">
        <v>4.4900000000000002E-2</v>
      </c>
      <c r="M12" s="142">
        <v>1120</v>
      </c>
      <c r="N12" s="239"/>
      <c r="O12" s="239"/>
      <c r="P12" s="239" t="s">
        <v>12</v>
      </c>
      <c r="Q12" s="239"/>
      <c r="R12" s="142">
        <v>2.46</v>
      </c>
    </row>
    <row r="13" spans="1:18">
      <c r="A13" s="92">
        <v>5.7283950617283903</v>
      </c>
      <c r="B13" s="85">
        <f t="shared" si="0"/>
        <v>343.70370370370341</v>
      </c>
      <c r="E13" s="92">
        <v>6.2344689378757501</v>
      </c>
      <c r="H13" s="239" t="s">
        <v>55</v>
      </c>
      <c r="I13" s="142">
        <v>3.56</v>
      </c>
      <c r="J13" s="240"/>
      <c r="K13" s="142">
        <v>6.7000000000000004E-2</v>
      </c>
      <c r="L13" s="142">
        <v>4.4900000000000002E-2</v>
      </c>
      <c r="M13" s="142">
        <v>1120</v>
      </c>
      <c r="N13" s="239"/>
      <c r="O13" s="239"/>
      <c r="P13" s="239" t="s">
        <v>12</v>
      </c>
      <c r="Q13" s="239"/>
      <c r="R13" s="142">
        <v>2.5</v>
      </c>
    </row>
    <row r="14" spans="1:18">
      <c r="A14" s="92">
        <v>6.2839506172839501</v>
      </c>
      <c r="B14" s="85">
        <f t="shared" si="0"/>
        <v>377.03703703703701</v>
      </c>
      <c r="E14" s="92">
        <v>6.4188376753506997</v>
      </c>
      <c r="H14" s="239" t="s">
        <v>55</v>
      </c>
      <c r="I14" s="142">
        <v>3.92</v>
      </c>
      <c r="J14" s="240"/>
      <c r="K14" s="142">
        <v>6.7000000000000004E-2</v>
      </c>
      <c r="L14" s="142">
        <v>4.4900000000000002E-2</v>
      </c>
      <c r="M14" s="142">
        <v>1120</v>
      </c>
      <c r="N14" s="239"/>
      <c r="O14" s="239"/>
      <c r="P14" s="239" t="s">
        <v>12</v>
      </c>
      <c r="Q14" s="239"/>
      <c r="R14" s="142">
        <v>2.5299999999999998</v>
      </c>
    </row>
    <row r="15" spans="1:18">
      <c r="A15" s="92">
        <v>6.8888888888888804</v>
      </c>
      <c r="B15" s="85">
        <f t="shared" si="0"/>
        <v>413.3333333333328</v>
      </c>
      <c r="E15" s="92">
        <v>6.7074148296593101</v>
      </c>
      <c r="H15" s="239" t="s">
        <v>55</v>
      </c>
      <c r="I15" s="142">
        <v>4.22</v>
      </c>
      <c r="J15" s="240"/>
      <c r="K15" s="142">
        <v>6.7000000000000004E-2</v>
      </c>
      <c r="L15" s="142">
        <v>4.4900000000000002E-2</v>
      </c>
      <c r="M15" s="142">
        <v>1120</v>
      </c>
      <c r="N15" s="239"/>
      <c r="O15" s="239"/>
      <c r="P15" s="239" t="s">
        <v>12</v>
      </c>
      <c r="Q15" s="239"/>
      <c r="R15" s="142">
        <v>2.5499999999999998</v>
      </c>
    </row>
    <row r="16" spans="1:18">
      <c r="A16" s="92">
        <v>7.5185185185185102</v>
      </c>
      <c r="B16" s="85">
        <f t="shared" si="0"/>
        <v>451.11111111111063</v>
      </c>
      <c r="E16" s="92">
        <v>6.8997995991983903</v>
      </c>
      <c r="H16" s="239" t="s">
        <v>55</v>
      </c>
      <c r="I16" s="142">
        <v>4.45</v>
      </c>
      <c r="J16" s="240"/>
      <c r="K16" s="142">
        <v>6.7000000000000004E-2</v>
      </c>
      <c r="L16" s="142">
        <v>4.4900000000000002E-2</v>
      </c>
      <c r="M16" s="142">
        <v>1120</v>
      </c>
      <c r="N16" s="239"/>
      <c r="O16" s="239"/>
      <c r="P16" s="239" t="s">
        <v>12</v>
      </c>
      <c r="Q16" s="239"/>
      <c r="R16" s="142">
        <v>2.57</v>
      </c>
    </row>
    <row r="17" spans="1:18">
      <c r="A17" s="92">
        <v>8.0493827160493794</v>
      </c>
      <c r="B17" s="85">
        <f t="shared" si="0"/>
        <v>482.96296296296276</v>
      </c>
      <c r="E17" s="92">
        <v>7.0280561122244398</v>
      </c>
      <c r="H17" s="239" t="s">
        <v>55</v>
      </c>
      <c r="I17" s="142">
        <v>4.6399999999999997</v>
      </c>
      <c r="J17" s="240"/>
      <c r="K17" s="142">
        <v>6.7000000000000004E-2</v>
      </c>
      <c r="L17" s="142">
        <v>4.4900000000000002E-2</v>
      </c>
      <c r="M17" s="142">
        <v>1120</v>
      </c>
      <c r="N17" s="239"/>
      <c r="O17" s="239"/>
      <c r="P17" s="239" t="s">
        <v>12</v>
      </c>
      <c r="Q17" s="239"/>
      <c r="R17" s="142">
        <v>2.59</v>
      </c>
    </row>
    <row r="18" spans="1:18">
      <c r="A18" s="92">
        <v>8.9135802469135701</v>
      </c>
      <c r="B18" s="85">
        <f t="shared" si="0"/>
        <v>534.81481481481421</v>
      </c>
      <c r="E18" s="92">
        <v>7.4128256513026001</v>
      </c>
      <c r="H18" s="239" t="s">
        <v>55</v>
      </c>
      <c r="I18" s="142">
        <v>4.82</v>
      </c>
      <c r="J18" s="240"/>
      <c r="K18" s="142">
        <v>6.7000000000000004E-2</v>
      </c>
      <c r="L18" s="142">
        <v>4.4900000000000002E-2</v>
      </c>
      <c r="M18" s="142">
        <v>1120</v>
      </c>
      <c r="N18" s="239"/>
      <c r="O18" s="239"/>
      <c r="P18" s="239" t="s">
        <v>12</v>
      </c>
      <c r="Q18" s="239"/>
      <c r="R18" s="142">
        <v>2.6</v>
      </c>
    </row>
    <row r="19" spans="1:18">
      <c r="A19" s="92">
        <v>9.3580246913580201</v>
      </c>
      <c r="B19" s="85">
        <f t="shared" si="0"/>
        <v>561.48148148148118</v>
      </c>
      <c r="E19" s="92">
        <v>7.5490981963927801</v>
      </c>
      <c r="H19" s="239" t="s">
        <v>55</v>
      </c>
      <c r="I19" s="142">
        <v>4.99</v>
      </c>
      <c r="J19" s="240"/>
      <c r="K19" s="142">
        <v>6.7000000000000004E-2</v>
      </c>
      <c r="L19" s="142">
        <v>4.4900000000000002E-2</v>
      </c>
      <c r="M19" s="142">
        <v>1120</v>
      </c>
      <c r="N19" s="239"/>
      <c r="O19" s="239"/>
      <c r="P19" s="239" t="s">
        <v>12</v>
      </c>
      <c r="Q19" s="239"/>
      <c r="R19" s="142">
        <v>2.62</v>
      </c>
    </row>
    <row r="20" spans="1:18">
      <c r="A20" s="92">
        <v>10.1975308641975</v>
      </c>
      <c r="B20" s="85">
        <f t="shared" si="0"/>
        <v>611.85185185185003</v>
      </c>
      <c r="E20" s="92">
        <v>7.9979959919839603</v>
      </c>
      <c r="H20" s="239" t="s">
        <v>55</v>
      </c>
      <c r="I20" s="142">
        <v>5.1100000000000003</v>
      </c>
      <c r="J20" s="240"/>
      <c r="K20" s="142">
        <v>6.7000000000000004E-2</v>
      </c>
      <c r="L20" s="142">
        <v>4.4900000000000002E-2</v>
      </c>
      <c r="M20" s="142">
        <v>1120</v>
      </c>
      <c r="N20" s="239"/>
      <c r="O20" s="239"/>
      <c r="P20" s="239" t="s">
        <v>12</v>
      </c>
      <c r="Q20" s="239"/>
      <c r="R20" s="142">
        <v>2.63</v>
      </c>
    </row>
    <row r="21" spans="1:18">
      <c r="A21" s="92">
        <v>11.1975308641975</v>
      </c>
      <c r="B21" s="85">
        <f t="shared" si="0"/>
        <v>671.85185185185003</v>
      </c>
      <c r="E21" s="92">
        <v>8.1503006012023995</v>
      </c>
      <c r="H21" s="239" t="s">
        <v>55</v>
      </c>
      <c r="I21" s="142">
        <v>5.23</v>
      </c>
      <c r="J21" s="240"/>
      <c r="K21" s="142">
        <v>6.7000000000000004E-2</v>
      </c>
      <c r="L21" s="142">
        <v>4.4900000000000002E-2</v>
      </c>
      <c r="M21" s="142">
        <v>1120</v>
      </c>
      <c r="N21" s="239"/>
      <c r="O21" s="239"/>
      <c r="P21" s="239" t="s">
        <v>12</v>
      </c>
      <c r="Q21" s="239"/>
      <c r="R21" s="142">
        <v>2.64</v>
      </c>
    </row>
    <row r="22" spans="1:18">
      <c r="A22" s="92">
        <v>0.64197530864197505</v>
      </c>
      <c r="B22" s="85">
        <f t="shared" si="0"/>
        <v>38.518518518518505</v>
      </c>
      <c r="E22" s="92">
        <v>4.23847695390781</v>
      </c>
      <c r="H22" s="239" t="s">
        <v>55</v>
      </c>
      <c r="I22" s="142">
        <v>5.36</v>
      </c>
      <c r="J22" s="240"/>
      <c r="K22" s="142">
        <v>6.7000000000000004E-2</v>
      </c>
      <c r="L22" s="142">
        <v>4.4900000000000002E-2</v>
      </c>
      <c r="M22" s="142">
        <v>1120</v>
      </c>
      <c r="N22" s="239"/>
      <c r="O22" s="239"/>
      <c r="P22" s="239" t="s">
        <v>12</v>
      </c>
      <c r="Q22" s="239"/>
      <c r="R22" s="142">
        <v>2.65</v>
      </c>
    </row>
    <row r="23" spans="1:18">
      <c r="A23" s="92">
        <v>0.86419753086419704</v>
      </c>
      <c r="B23" s="85">
        <f t="shared" si="0"/>
        <v>51.851851851851819</v>
      </c>
      <c r="E23" s="92">
        <v>4.3907815631262501</v>
      </c>
      <c r="H23" s="239" t="s">
        <v>55</v>
      </c>
      <c r="I23" s="142">
        <v>2.16</v>
      </c>
      <c r="J23" s="240"/>
      <c r="K23" s="142">
        <v>6.3E-2</v>
      </c>
      <c r="L23" s="142">
        <v>0.55200000000000005</v>
      </c>
      <c r="M23" s="142">
        <v>1250</v>
      </c>
      <c r="N23" s="239"/>
      <c r="O23" s="239"/>
      <c r="P23" s="239" t="s">
        <v>12</v>
      </c>
      <c r="Q23" s="239"/>
      <c r="R23" s="142">
        <v>3.12</v>
      </c>
    </row>
    <row r="24" spans="1:18">
      <c r="A24" s="88">
        <v>1.2839506172839501</v>
      </c>
      <c r="B24" s="85">
        <f t="shared" si="0"/>
        <v>77.03703703703701</v>
      </c>
      <c r="E24" s="88">
        <v>4.5110220440881701</v>
      </c>
      <c r="H24" s="239" t="s">
        <v>55</v>
      </c>
      <c r="I24" s="142">
        <v>3.03</v>
      </c>
      <c r="J24" s="240"/>
      <c r="K24" s="142">
        <v>6.3E-2</v>
      </c>
      <c r="L24" s="142">
        <v>0.55200000000000005</v>
      </c>
      <c r="M24" s="142">
        <v>1250</v>
      </c>
      <c r="N24" s="239"/>
      <c r="O24" s="239"/>
      <c r="P24" s="239" t="s">
        <v>12</v>
      </c>
      <c r="Q24" s="239"/>
      <c r="R24" s="142">
        <v>3.21</v>
      </c>
    </row>
    <row r="25" spans="1:18">
      <c r="A25" s="92">
        <v>1.75308641975308</v>
      </c>
      <c r="B25" s="85">
        <f t="shared" si="0"/>
        <v>105.18518518518479</v>
      </c>
      <c r="E25" s="92">
        <v>4.8236472945891702</v>
      </c>
      <c r="H25" s="239" t="s">
        <v>55</v>
      </c>
      <c r="I25" s="142">
        <v>3.56</v>
      </c>
      <c r="J25" s="240"/>
      <c r="K25" s="142">
        <v>6.3E-2</v>
      </c>
      <c r="L25" s="142">
        <v>0.55200000000000005</v>
      </c>
      <c r="M25" s="142">
        <v>1250</v>
      </c>
      <c r="N25" s="239"/>
      <c r="O25" s="239"/>
      <c r="P25" s="239" t="s">
        <v>12</v>
      </c>
      <c r="Q25" s="239"/>
      <c r="R25" s="142">
        <v>3.26</v>
      </c>
    </row>
    <row r="26" spans="1:18">
      <c r="A26" s="92">
        <v>2.3703703703703698</v>
      </c>
      <c r="B26" s="85">
        <f t="shared" si="0"/>
        <v>142.2222222222222</v>
      </c>
      <c r="E26" s="92">
        <v>5.2404809619238399</v>
      </c>
      <c r="H26" s="239" t="s">
        <v>55</v>
      </c>
      <c r="I26" s="142">
        <v>3.92</v>
      </c>
      <c r="J26" s="240"/>
      <c r="K26" s="142">
        <v>6.3E-2</v>
      </c>
      <c r="L26" s="142">
        <v>0.55200000000000005</v>
      </c>
      <c r="M26" s="142">
        <v>1250</v>
      </c>
      <c r="N26" s="239"/>
      <c r="O26" s="239"/>
      <c r="P26" s="239" t="s">
        <v>12</v>
      </c>
      <c r="Q26" s="239"/>
      <c r="R26" s="142">
        <v>3.3</v>
      </c>
    </row>
    <row r="27" spans="1:18">
      <c r="A27" s="92">
        <v>2.93827160493827</v>
      </c>
      <c r="B27" s="85">
        <f t="shared" si="0"/>
        <v>176.29629629629619</v>
      </c>
      <c r="E27" s="92">
        <v>5.3126252505010001</v>
      </c>
      <c r="H27" s="239" t="s">
        <v>55</v>
      </c>
      <c r="I27" s="142">
        <v>4.22</v>
      </c>
      <c r="J27" s="240"/>
      <c r="K27" s="142">
        <v>6.3E-2</v>
      </c>
      <c r="L27" s="142">
        <v>0.55200000000000005</v>
      </c>
      <c r="M27" s="142">
        <v>1250</v>
      </c>
      <c r="N27" s="239"/>
      <c r="O27" s="239"/>
      <c r="P27" s="239" t="s">
        <v>12</v>
      </c>
      <c r="Q27" s="239"/>
      <c r="R27" s="142">
        <v>3.33</v>
      </c>
    </row>
    <row r="28" spans="1:18">
      <c r="A28" s="92">
        <v>3.3827160493827102</v>
      </c>
      <c r="B28" s="85">
        <f t="shared" si="0"/>
        <v>202.96296296296262</v>
      </c>
      <c r="E28" s="92">
        <v>5.6252505010020002</v>
      </c>
      <c r="H28" s="239" t="s">
        <v>55</v>
      </c>
      <c r="I28" s="142">
        <v>4.45</v>
      </c>
      <c r="J28" s="240"/>
      <c r="K28" s="142">
        <v>6.3E-2</v>
      </c>
      <c r="L28" s="142">
        <v>0.55200000000000005</v>
      </c>
      <c r="M28" s="142">
        <v>1250</v>
      </c>
      <c r="N28" s="239"/>
      <c r="O28" s="239"/>
      <c r="P28" s="239" t="s">
        <v>12</v>
      </c>
      <c r="Q28" s="239"/>
      <c r="R28" s="142">
        <v>3.36</v>
      </c>
    </row>
    <row r="29" spans="1:18">
      <c r="A29" s="92">
        <v>3.87654320987654</v>
      </c>
      <c r="B29" s="85">
        <f t="shared" si="0"/>
        <v>232.59259259259241</v>
      </c>
      <c r="E29" s="92">
        <v>5.8096192384769498</v>
      </c>
      <c r="H29" s="239" t="s">
        <v>55</v>
      </c>
      <c r="I29" s="142">
        <v>4.6399999999999997</v>
      </c>
      <c r="J29" s="240"/>
      <c r="K29" s="142">
        <v>6.3E-2</v>
      </c>
      <c r="L29" s="142">
        <v>0.55200000000000005</v>
      </c>
      <c r="M29" s="142">
        <v>1250</v>
      </c>
      <c r="N29" s="239"/>
      <c r="O29" s="239"/>
      <c r="P29" s="239" t="s">
        <v>12</v>
      </c>
      <c r="Q29" s="239"/>
      <c r="R29" s="142">
        <v>3.38</v>
      </c>
    </row>
    <row r="30" spans="1:18">
      <c r="A30" s="92">
        <v>4.5185185185185102</v>
      </c>
      <c r="B30" s="85">
        <f t="shared" si="0"/>
        <v>271.11111111111063</v>
      </c>
      <c r="E30" s="92">
        <v>6.0581162324649203</v>
      </c>
      <c r="H30" s="239" t="s">
        <v>55</v>
      </c>
      <c r="I30" s="142">
        <v>4.82</v>
      </c>
      <c r="J30" s="240"/>
      <c r="K30" s="142">
        <v>6.3E-2</v>
      </c>
      <c r="L30" s="142">
        <v>0.55200000000000005</v>
      </c>
      <c r="M30" s="142">
        <v>1250</v>
      </c>
      <c r="N30" s="239"/>
      <c r="O30" s="239"/>
      <c r="P30" s="239" t="s">
        <v>12</v>
      </c>
      <c r="Q30" s="239"/>
      <c r="R30" s="142">
        <v>3.39</v>
      </c>
    </row>
    <row r="31" spans="1:18">
      <c r="A31" s="92">
        <v>5.0370370370370301</v>
      </c>
      <c r="B31" s="85">
        <f t="shared" si="0"/>
        <v>302.22222222222183</v>
      </c>
      <c r="E31" s="92">
        <v>6.3226452905811596</v>
      </c>
      <c r="H31" s="239" t="s">
        <v>55</v>
      </c>
      <c r="I31" s="142">
        <v>4.99</v>
      </c>
      <c r="J31" s="240"/>
      <c r="K31" s="142">
        <v>6.3E-2</v>
      </c>
      <c r="L31" s="142">
        <v>0.55200000000000005</v>
      </c>
      <c r="M31" s="142">
        <v>1250</v>
      </c>
      <c r="N31" s="239"/>
      <c r="O31" s="239"/>
      <c r="P31" s="239" t="s">
        <v>12</v>
      </c>
      <c r="Q31" s="239"/>
      <c r="R31" s="142">
        <v>3.41</v>
      </c>
    </row>
    <row r="32" spans="1:18">
      <c r="A32" s="92">
        <v>5.7283950617283903</v>
      </c>
      <c r="B32" s="85">
        <f t="shared" si="0"/>
        <v>343.70370370370341</v>
      </c>
      <c r="E32" s="92">
        <v>6.5711422845691301</v>
      </c>
      <c r="H32" s="239" t="s">
        <v>55</v>
      </c>
      <c r="I32" s="142">
        <v>5.1100000000000003</v>
      </c>
      <c r="J32" s="240"/>
      <c r="K32" s="142">
        <v>6.3E-2</v>
      </c>
      <c r="L32" s="142">
        <v>0.55200000000000005</v>
      </c>
      <c r="M32" s="142">
        <v>1250</v>
      </c>
      <c r="N32" s="239"/>
      <c r="O32" s="239"/>
      <c r="P32" s="239" t="s">
        <v>12</v>
      </c>
      <c r="Q32" s="239"/>
      <c r="R32" s="142">
        <v>3.42</v>
      </c>
    </row>
    <row r="33" spans="1:18">
      <c r="A33" s="92">
        <v>6.3086419753086398</v>
      </c>
      <c r="B33" s="85">
        <f t="shared" si="0"/>
        <v>378.51851851851836</v>
      </c>
      <c r="E33" s="92">
        <v>6.7955911823647197</v>
      </c>
      <c r="H33" s="239" t="s">
        <v>55</v>
      </c>
      <c r="I33" s="142">
        <v>5.23</v>
      </c>
      <c r="J33" s="240"/>
      <c r="K33" s="142">
        <v>6.3E-2</v>
      </c>
      <c r="L33" s="142">
        <v>0.55200000000000005</v>
      </c>
      <c r="M33" s="142">
        <v>1250</v>
      </c>
      <c r="N33" s="239"/>
      <c r="O33" s="239"/>
      <c r="P33" s="239" t="s">
        <v>12</v>
      </c>
      <c r="Q33" s="239"/>
      <c r="R33" s="142">
        <v>3.43</v>
      </c>
    </row>
    <row r="34" spans="1:18">
      <c r="A34" s="92">
        <v>6.8888888888888804</v>
      </c>
      <c r="B34" s="85">
        <f t="shared" si="0"/>
        <v>413.3333333333328</v>
      </c>
      <c r="E34" s="92">
        <v>7.02004008016032</v>
      </c>
      <c r="H34" s="239" t="s">
        <v>55</v>
      </c>
      <c r="I34" s="142">
        <v>5.36</v>
      </c>
      <c r="J34" s="240"/>
      <c r="K34" s="142">
        <v>6.3E-2</v>
      </c>
      <c r="L34" s="142">
        <v>0.55200000000000005</v>
      </c>
      <c r="M34" s="142">
        <v>1250</v>
      </c>
      <c r="N34" s="239"/>
      <c r="O34" s="239"/>
      <c r="P34" s="239" t="s">
        <v>12</v>
      </c>
      <c r="Q34" s="239"/>
      <c r="R34" s="142">
        <v>3.44</v>
      </c>
    </row>
    <row r="35" spans="1:18">
      <c r="A35" s="92">
        <v>7.5802469135802397</v>
      </c>
      <c r="B35" s="85">
        <f t="shared" si="0"/>
        <v>454.81481481481438</v>
      </c>
      <c r="E35" s="92">
        <v>7.2925851703406801</v>
      </c>
      <c r="H35" s="239" t="s">
        <v>55</v>
      </c>
      <c r="I35" s="142">
        <v>0.94</v>
      </c>
      <c r="J35" s="240"/>
      <c r="K35" s="142">
        <v>6.9000000000000006E-2</v>
      </c>
      <c r="L35" s="142">
        <v>7.0000000000000001E-3</v>
      </c>
      <c r="M35" s="142">
        <v>1050</v>
      </c>
      <c r="N35" s="239"/>
      <c r="O35" s="239"/>
      <c r="P35" s="239" t="s">
        <v>12</v>
      </c>
      <c r="Q35" s="239"/>
      <c r="R35" s="142">
        <v>2.0099999999999998</v>
      </c>
    </row>
    <row r="36" spans="1:18">
      <c r="A36" s="92">
        <v>8.1111111111111107</v>
      </c>
      <c r="B36" s="85">
        <f t="shared" si="0"/>
        <v>486.66666666666663</v>
      </c>
      <c r="E36" s="92">
        <v>7.4929859719438801</v>
      </c>
      <c r="H36" s="239" t="s">
        <v>55</v>
      </c>
      <c r="I36" s="142">
        <v>2.75</v>
      </c>
      <c r="J36" s="240"/>
      <c r="K36" s="142">
        <v>6.9000000000000006E-2</v>
      </c>
      <c r="L36" s="142">
        <v>7.0000000000000001E-3</v>
      </c>
      <c r="M36" s="142">
        <v>1050</v>
      </c>
      <c r="N36" s="239"/>
      <c r="O36" s="239"/>
      <c r="P36" s="239" t="s">
        <v>12</v>
      </c>
      <c r="Q36" s="239"/>
      <c r="R36" s="142">
        <v>2.11</v>
      </c>
    </row>
    <row r="37" spans="1:18">
      <c r="A37" s="92">
        <v>8.8888888888888893</v>
      </c>
      <c r="B37" s="85">
        <f t="shared" si="0"/>
        <v>533.33333333333337</v>
      </c>
      <c r="E37" s="92">
        <v>7.6533066132264498</v>
      </c>
      <c r="H37" s="239" t="s">
        <v>55</v>
      </c>
      <c r="I37" s="142">
        <v>3.27</v>
      </c>
      <c r="J37" s="240"/>
      <c r="K37" s="142">
        <v>6.9000000000000006E-2</v>
      </c>
      <c r="L37" s="142">
        <v>7.0000000000000001E-3</v>
      </c>
      <c r="M37" s="142">
        <v>1050</v>
      </c>
      <c r="N37" s="239"/>
      <c r="O37" s="239"/>
      <c r="P37" s="239" t="s">
        <v>12</v>
      </c>
      <c r="Q37" s="239"/>
      <c r="R37" s="142">
        <v>2.15</v>
      </c>
    </row>
    <row r="38" spans="1:18">
      <c r="A38" s="92">
        <v>9.4691358024691308</v>
      </c>
      <c r="B38" s="85">
        <f t="shared" si="0"/>
        <v>568.14814814814781</v>
      </c>
      <c r="E38" s="92">
        <v>7.8697394789579098</v>
      </c>
      <c r="H38" s="239" t="s">
        <v>55</v>
      </c>
      <c r="I38" s="142">
        <v>3.92</v>
      </c>
      <c r="J38" s="240"/>
      <c r="K38" s="142">
        <v>6.9000000000000006E-2</v>
      </c>
      <c r="L38" s="142">
        <v>7.0000000000000001E-3</v>
      </c>
      <c r="M38" s="142">
        <v>1050</v>
      </c>
      <c r="N38" s="239"/>
      <c r="O38" s="239"/>
      <c r="P38" s="239" t="s">
        <v>12</v>
      </c>
      <c r="Q38" s="239"/>
      <c r="R38" s="142">
        <v>2.19</v>
      </c>
    </row>
    <row r="39" spans="1:18">
      <c r="A39" s="92">
        <v>10.2098765432098</v>
      </c>
      <c r="B39" s="85">
        <f t="shared" si="0"/>
        <v>612.59259259258806</v>
      </c>
      <c r="E39" s="92">
        <v>8.1342685370741403</v>
      </c>
      <c r="H39" s="239" t="s">
        <v>55</v>
      </c>
      <c r="I39" s="142">
        <v>4.22</v>
      </c>
      <c r="J39" s="240"/>
      <c r="K39" s="142">
        <v>6.9000000000000006E-2</v>
      </c>
      <c r="L39" s="142">
        <v>7.0000000000000001E-3</v>
      </c>
      <c r="M39" s="142">
        <v>1050</v>
      </c>
      <c r="N39" s="239"/>
      <c r="O39" s="239"/>
      <c r="P39" s="239" t="s">
        <v>12</v>
      </c>
      <c r="Q39" s="239"/>
      <c r="R39" s="142">
        <v>2.21</v>
      </c>
    </row>
    <row r="40" spans="1:18">
      <c r="A40" s="92">
        <v>11.271604938271601</v>
      </c>
      <c r="B40" s="85">
        <f t="shared" si="0"/>
        <v>676.29629629629608</v>
      </c>
      <c r="E40" s="92">
        <v>8.3907815631262501</v>
      </c>
      <c r="H40" s="239" t="s">
        <v>55</v>
      </c>
      <c r="I40" s="142">
        <v>4.45</v>
      </c>
      <c r="J40" s="240"/>
      <c r="K40" s="142">
        <v>6.9000000000000006E-2</v>
      </c>
      <c r="L40" s="142">
        <v>7.0000000000000001E-3</v>
      </c>
      <c r="M40" s="142">
        <v>1050</v>
      </c>
      <c r="N40" s="239"/>
      <c r="O40" s="239"/>
      <c r="P40" s="239" t="s">
        <v>12</v>
      </c>
      <c r="Q40" s="239"/>
      <c r="R40" s="142">
        <v>2.23</v>
      </c>
    </row>
    <row r="41" spans="1:18">
      <c r="A41" s="88">
        <v>0.58024691358024605</v>
      </c>
      <c r="B41" s="85">
        <f t="shared" si="0"/>
        <v>34.81481481481476</v>
      </c>
      <c r="E41" s="88">
        <v>4.4869739478957902</v>
      </c>
      <c r="H41" s="239" t="s">
        <v>55</v>
      </c>
      <c r="I41" s="142">
        <v>4.63</v>
      </c>
      <c r="J41" s="240"/>
      <c r="K41" s="142">
        <v>6.9000000000000006E-2</v>
      </c>
      <c r="L41" s="142">
        <v>7.0000000000000001E-3</v>
      </c>
      <c r="M41" s="142">
        <v>1050</v>
      </c>
      <c r="N41" s="239"/>
      <c r="O41" s="239"/>
      <c r="P41" s="239" t="s">
        <v>12</v>
      </c>
      <c r="Q41" s="239"/>
      <c r="R41" s="142">
        <v>2.2400000000000002</v>
      </c>
    </row>
    <row r="42" spans="1:18">
      <c r="A42" s="92">
        <v>0.91358024691357997</v>
      </c>
      <c r="B42" s="85">
        <f t="shared" si="0"/>
        <v>54.814814814814795</v>
      </c>
      <c r="E42" s="92">
        <v>4.6633266533066102</v>
      </c>
      <c r="H42" s="239" t="s">
        <v>55</v>
      </c>
      <c r="I42" s="142">
        <v>4.82</v>
      </c>
      <c r="J42" s="240"/>
      <c r="K42" s="142">
        <v>6.9000000000000006E-2</v>
      </c>
      <c r="L42" s="142">
        <v>7.0000000000000001E-3</v>
      </c>
      <c r="M42" s="142">
        <v>1050</v>
      </c>
      <c r="N42" s="239"/>
      <c r="O42" s="239"/>
      <c r="P42" s="239" t="s">
        <v>12</v>
      </c>
      <c r="Q42" s="239"/>
      <c r="R42" s="142">
        <v>2.25</v>
      </c>
    </row>
    <row r="43" spans="1:18">
      <c r="A43" s="92">
        <v>1.1481481481481399</v>
      </c>
      <c r="B43" s="85">
        <f t="shared" si="0"/>
        <v>68.888888888888403</v>
      </c>
      <c r="E43" s="92">
        <v>4.7915831663326598</v>
      </c>
      <c r="H43" s="239" t="s">
        <v>55</v>
      </c>
      <c r="I43" s="142">
        <v>4.1000000000000002E-2</v>
      </c>
      <c r="J43" s="240"/>
      <c r="K43" s="142">
        <v>6.3E-2</v>
      </c>
      <c r="L43" s="142">
        <v>0.51500000000000001</v>
      </c>
      <c r="M43" s="142">
        <v>1230</v>
      </c>
      <c r="N43" s="239"/>
      <c r="O43" s="239"/>
      <c r="P43" s="239" t="s">
        <v>12</v>
      </c>
      <c r="Q43" s="239"/>
      <c r="R43" s="142">
        <v>2.2400000000000002</v>
      </c>
    </row>
    <row r="44" spans="1:18">
      <c r="A44" s="92">
        <v>1.7654320987654299</v>
      </c>
      <c r="B44" s="85">
        <f t="shared" si="0"/>
        <v>105.9259259259258</v>
      </c>
      <c r="E44" s="92">
        <v>5.1122244488977904</v>
      </c>
      <c r="H44" s="239" t="s">
        <v>55</v>
      </c>
      <c r="I44" s="142">
        <v>0.6</v>
      </c>
      <c r="J44" s="240"/>
      <c r="K44" s="142">
        <v>6.3E-2</v>
      </c>
      <c r="L44" s="142">
        <v>0.51500000000000001</v>
      </c>
      <c r="M44" s="142">
        <v>1230</v>
      </c>
      <c r="N44" s="239"/>
      <c r="O44" s="239"/>
      <c r="P44" s="239" t="s">
        <v>12</v>
      </c>
      <c r="Q44" s="239"/>
      <c r="R44" s="142">
        <v>2.27</v>
      </c>
    </row>
    <row r="45" spans="1:18">
      <c r="A45" s="92">
        <v>2.3703703703703698</v>
      </c>
      <c r="B45" s="85">
        <f t="shared" si="0"/>
        <v>142.2222222222222</v>
      </c>
      <c r="E45" s="92">
        <v>5.4088176352705402</v>
      </c>
      <c r="H45" s="239" t="s">
        <v>55</v>
      </c>
      <c r="I45" s="142">
        <v>0.97</v>
      </c>
      <c r="J45" s="240"/>
      <c r="K45" s="142">
        <v>6.3E-2</v>
      </c>
      <c r="L45" s="142">
        <v>0.51500000000000001</v>
      </c>
      <c r="M45" s="142">
        <v>1230</v>
      </c>
      <c r="N45" s="239"/>
      <c r="O45" s="239"/>
      <c r="P45" s="239" t="s">
        <v>12</v>
      </c>
      <c r="Q45" s="239"/>
      <c r="R45" s="142">
        <v>2.2999999999999998</v>
      </c>
    </row>
    <row r="46" spans="1:18">
      <c r="A46" s="92">
        <v>2.8518518518518499</v>
      </c>
      <c r="B46" s="85">
        <f t="shared" si="0"/>
        <v>171.111111111111</v>
      </c>
      <c r="E46" s="92">
        <v>5.5691382765531001</v>
      </c>
      <c r="H46" s="239" t="s">
        <v>55</v>
      </c>
      <c r="I46" s="142">
        <v>1.27</v>
      </c>
      <c r="J46" s="240"/>
      <c r="K46" s="142">
        <v>6.3E-2</v>
      </c>
      <c r="L46" s="142">
        <v>0.51500000000000001</v>
      </c>
      <c r="M46" s="142">
        <v>1230</v>
      </c>
      <c r="N46" s="239"/>
      <c r="O46" s="239"/>
      <c r="P46" s="239" t="s">
        <v>12</v>
      </c>
      <c r="Q46" s="239"/>
      <c r="R46" s="142">
        <v>2.3199999999999998</v>
      </c>
    </row>
    <row r="47" spans="1:18">
      <c r="A47" s="92">
        <v>3.3333333333333299</v>
      </c>
      <c r="B47" s="85">
        <f t="shared" si="0"/>
        <v>199.9999999999998</v>
      </c>
      <c r="E47" s="92">
        <v>5.8817635270541002</v>
      </c>
      <c r="H47" s="239" t="s">
        <v>55</v>
      </c>
      <c r="I47" s="142">
        <v>1.5</v>
      </c>
      <c r="J47" s="240"/>
      <c r="K47" s="142">
        <v>6.3E-2</v>
      </c>
      <c r="L47" s="142">
        <v>0.51500000000000001</v>
      </c>
      <c r="M47" s="142">
        <v>1230</v>
      </c>
      <c r="N47" s="239"/>
      <c r="O47" s="239"/>
      <c r="P47" s="239" t="s">
        <v>12</v>
      </c>
      <c r="Q47" s="239"/>
      <c r="R47" s="142">
        <v>2.33</v>
      </c>
    </row>
    <row r="48" spans="1:18">
      <c r="A48" s="92">
        <v>3.95061728395061</v>
      </c>
      <c r="B48" s="85">
        <f t="shared" si="0"/>
        <v>237.03703703703661</v>
      </c>
      <c r="E48" s="92">
        <v>6.1062124248496898</v>
      </c>
      <c r="H48" s="239" t="s">
        <v>55</v>
      </c>
      <c r="I48" s="142">
        <v>1.68</v>
      </c>
      <c r="J48" s="240"/>
      <c r="K48" s="142">
        <v>6.3E-2</v>
      </c>
      <c r="L48" s="142">
        <v>0.51500000000000001</v>
      </c>
      <c r="M48" s="142">
        <v>1230</v>
      </c>
      <c r="N48" s="239"/>
      <c r="O48" s="239"/>
      <c r="P48" s="239" t="s">
        <v>12</v>
      </c>
      <c r="Q48" s="239"/>
      <c r="R48" s="142">
        <v>2.35</v>
      </c>
    </row>
    <row r="49" spans="1:18">
      <c r="A49" s="92">
        <v>4.4444444444444402</v>
      </c>
      <c r="B49" s="85">
        <f t="shared" si="0"/>
        <v>266.6666666666664</v>
      </c>
      <c r="E49" s="92">
        <v>6.3466933867735396</v>
      </c>
      <c r="H49" s="239" t="s">
        <v>55</v>
      </c>
      <c r="I49" s="142">
        <v>1.85</v>
      </c>
      <c r="J49" s="240"/>
      <c r="K49" s="142">
        <v>6.3E-2</v>
      </c>
      <c r="L49" s="142">
        <v>0.51500000000000001</v>
      </c>
      <c r="M49" s="142">
        <v>1230</v>
      </c>
      <c r="N49" s="239"/>
      <c r="O49" s="239"/>
      <c r="P49" s="239" t="s">
        <v>12</v>
      </c>
      <c r="Q49" s="239"/>
      <c r="R49" s="142">
        <v>2.36</v>
      </c>
    </row>
    <row r="50" spans="1:18">
      <c r="A50" s="92">
        <v>5.0370370370370301</v>
      </c>
      <c r="B50" s="85">
        <f t="shared" si="0"/>
        <v>302.22222222222183</v>
      </c>
      <c r="E50" s="92">
        <v>6.5951903807615198</v>
      </c>
      <c r="H50" s="239" t="s">
        <v>55</v>
      </c>
      <c r="I50" s="142">
        <v>2.74</v>
      </c>
      <c r="J50" s="240"/>
      <c r="K50" s="142">
        <v>5.2999999999999999E-2</v>
      </c>
      <c r="L50" s="142">
        <v>1.2E-2</v>
      </c>
      <c r="M50" s="142">
        <v>1000</v>
      </c>
      <c r="N50" s="239"/>
      <c r="O50" s="239"/>
      <c r="P50" s="239" t="s">
        <v>12</v>
      </c>
      <c r="Q50" s="239"/>
      <c r="R50" s="142">
        <v>2.1</v>
      </c>
    </row>
    <row r="51" spans="1:18">
      <c r="A51" s="92">
        <v>5.7283950617283903</v>
      </c>
      <c r="B51" s="85">
        <f t="shared" si="0"/>
        <v>343.70370370370341</v>
      </c>
      <c r="E51" s="92">
        <v>6.8116232464929798</v>
      </c>
      <c r="H51" s="239" t="s">
        <v>55</v>
      </c>
      <c r="I51" s="142">
        <v>3.04</v>
      </c>
      <c r="J51" s="240"/>
      <c r="K51" s="142">
        <v>5.2999999999999999E-2</v>
      </c>
      <c r="L51" s="142">
        <v>1.2E-2</v>
      </c>
      <c r="M51" s="142">
        <v>1000</v>
      </c>
      <c r="N51" s="239"/>
      <c r="O51" s="239"/>
      <c r="P51" s="239" t="s">
        <v>12</v>
      </c>
      <c r="Q51" s="239"/>
      <c r="R51" s="142">
        <v>2.12</v>
      </c>
    </row>
    <row r="52" spans="1:18">
      <c r="A52" s="92">
        <v>6.3827160493827098</v>
      </c>
      <c r="B52" s="85">
        <f t="shared" si="0"/>
        <v>382.96296296296259</v>
      </c>
      <c r="E52" s="92">
        <v>7.0681362725450896</v>
      </c>
      <c r="H52" s="239" t="s">
        <v>55</v>
      </c>
      <c r="I52" s="142">
        <v>3.57</v>
      </c>
      <c r="J52" s="240"/>
      <c r="K52" s="142">
        <v>5.2999999999999999E-2</v>
      </c>
      <c r="L52" s="142">
        <v>1.2E-2</v>
      </c>
      <c r="M52" s="142">
        <v>1000</v>
      </c>
      <c r="N52" s="239"/>
      <c r="O52" s="239"/>
      <c r="P52" s="239" t="s">
        <v>12</v>
      </c>
      <c r="Q52" s="239"/>
      <c r="R52" s="142">
        <v>2.16</v>
      </c>
    </row>
    <row r="53" spans="1:18">
      <c r="A53" s="92">
        <v>6.9753086419752997</v>
      </c>
      <c r="B53" s="85">
        <f t="shared" si="0"/>
        <v>418.51851851851796</v>
      </c>
      <c r="E53" s="92">
        <v>7.19639278557114</v>
      </c>
      <c r="H53" s="239" t="s">
        <v>55</v>
      </c>
      <c r="I53" s="142">
        <v>3.92</v>
      </c>
      <c r="J53" s="240"/>
      <c r="K53" s="142">
        <v>5.2999999999999999E-2</v>
      </c>
      <c r="L53" s="142">
        <v>1.2E-2</v>
      </c>
      <c r="M53" s="142">
        <v>1000</v>
      </c>
      <c r="N53" s="239"/>
      <c r="O53" s="239"/>
      <c r="P53" s="239" t="s">
        <v>12</v>
      </c>
      <c r="Q53" s="239"/>
      <c r="R53" s="142">
        <v>2.19</v>
      </c>
    </row>
    <row r="54" spans="1:18">
      <c r="A54" s="92">
        <v>7.5802469135802397</v>
      </c>
      <c r="B54" s="85">
        <f t="shared" si="0"/>
        <v>454.81481481481438</v>
      </c>
      <c r="E54" s="92">
        <v>7.4368737474949898</v>
      </c>
      <c r="H54" s="239" t="s">
        <v>55</v>
      </c>
      <c r="I54" s="142">
        <v>4.22</v>
      </c>
      <c r="J54" s="240"/>
      <c r="K54" s="142">
        <v>5.2999999999999999E-2</v>
      </c>
      <c r="L54" s="142">
        <v>1.2E-2</v>
      </c>
      <c r="M54" s="142">
        <v>1000</v>
      </c>
      <c r="N54" s="239"/>
      <c r="O54" s="239"/>
      <c r="P54" s="239" t="s">
        <v>12</v>
      </c>
      <c r="Q54" s="239"/>
      <c r="R54" s="142">
        <v>2.21</v>
      </c>
    </row>
    <row r="55" spans="1:18">
      <c r="A55" s="92">
        <v>8.1481481481481399</v>
      </c>
      <c r="B55" s="85">
        <f t="shared" si="0"/>
        <v>488.8888888888884</v>
      </c>
      <c r="E55" s="92">
        <v>7.6212424849699296</v>
      </c>
      <c r="H55" s="239" t="s">
        <v>55</v>
      </c>
      <c r="I55" s="142">
        <v>4.46</v>
      </c>
      <c r="J55" s="240"/>
      <c r="K55" s="142">
        <v>5.2999999999999999E-2</v>
      </c>
      <c r="L55" s="142">
        <v>1.2E-2</v>
      </c>
      <c r="M55" s="142">
        <v>1000</v>
      </c>
      <c r="N55" s="239"/>
      <c r="O55" s="239"/>
      <c r="P55" s="239" t="s">
        <v>12</v>
      </c>
      <c r="Q55" s="239"/>
      <c r="R55" s="142">
        <v>2.23</v>
      </c>
    </row>
    <row r="56" spans="1:18">
      <c r="A56" s="92">
        <v>9</v>
      </c>
      <c r="B56" s="85">
        <f t="shared" si="0"/>
        <v>540</v>
      </c>
      <c r="E56" s="92">
        <v>7.8136272545090097</v>
      </c>
      <c r="H56" s="239" t="s">
        <v>55</v>
      </c>
      <c r="I56" s="142">
        <v>4.66</v>
      </c>
      <c r="J56" s="240"/>
      <c r="K56" s="142">
        <v>5.2999999999999999E-2</v>
      </c>
      <c r="L56" s="142">
        <v>1.2E-2</v>
      </c>
      <c r="M56" s="142">
        <v>1000</v>
      </c>
      <c r="N56" s="239"/>
      <c r="O56" s="239"/>
      <c r="P56" s="239" t="s">
        <v>12</v>
      </c>
      <c r="Q56" s="239"/>
      <c r="R56" s="142">
        <v>2.25</v>
      </c>
    </row>
    <row r="57" spans="1:18">
      <c r="A57" s="92">
        <v>9.4444444444444393</v>
      </c>
      <c r="B57" s="85">
        <f t="shared" si="0"/>
        <v>566.6666666666664</v>
      </c>
      <c r="E57" s="92">
        <v>8.0060120240480899</v>
      </c>
      <c r="H57" s="239" t="s">
        <v>55</v>
      </c>
      <c r="I57" s="142">
        <v>4.82</v>
      </c>
      <c r="J57" s="240"/>
      <c r="K57" s="142">
        <v>5.2999999999999999E-2</v>
      </c>
      <c r="L57" s="142">
        <v>1.2E-2</v>
      </c>
      <c r="M57" s="142">
        <v>1000</v>
      </c>
      <c r="N57" s="239"/>
      <c r="O57" s="239"/>
      <c r="P57" s="239" t="s">
        <v>12</v>
      </c>
      <c r="Q57" s="239"/>
      <c r="R57" s="142">
        <v>2.25</v>
      </c>
    </row>
    <row r="58" spans="1:18">
      <c r="A58" s="92">
        <v>10.234567901234501</v>
      </c>
      <c r="B58" s="85">
        <f t="shared" si="0"/>
        <v>614.07407407407004</v>
      </c>
      <c r="E58" s="92">
        <v>8.2545090180360692</v>
      </c>
      <c r="H58" s="239" t="s">
        <v>55</v>
      </c>
      <c r="I58" s="142">
        <v>5</v>
      </c>
      <c r="J58" s="240"/>
      <c r="K58" s="142">
        <v>5.2999999999999999E-2</v>
      </c>
      <c r="L58" s="142">
        <v>1.2E-2</v>
      </c>
      <c r="M58" s="142">
        <v>1000</v>
      </c>
      <c r="N58" s="239"/>
      <c r="O58" s="239"/>
      <c r="P58" s="239" t="s">
        <v>12</v>
      </c>
      <c r="Q58" s="239"/>
      <c r="R58" s="142">
        <v>2.2599999999999998</v>
      </c>
    </row>
    <row r="59" spans="1:18">
      <c r="A59" s="92">
        <v>11.2469135802469</v>
      </c>
      <c r="B59" s="85">
        <f t="shared" si="0"/>
        <v>674.81481481481399</v>
      </c>
      <c r="E59" s="92">
        <v>8.4789579158316606</v>
      </c>
      <c r="H59" s="239" t="s">
        <v>55</v>
      </c>
      <c r="I59" s="142">
        <v>5.14</v>
      </c>
      <c r="J59" s="240"/>
      <c r="K59" s="142">
        <v>5.2999999999999999E-2</v>
      </c>
      <c r="L59" s="142">
        <v>1.2E-2</v>
      </c>
      <c r="M59" s="142">
        <v>1000</v>
      </c>
      <c r="N59" s="239"/>
      <c r="O59" s="239"/>
      <c r="P59" s="239" t="s">
        <v>12</v>
      </c>
      <c r="Q59" s="239"/>
      <c r="R59" s="142">
        <v>2.2799999999999998</v>
      </c>
    </row>
    <row r="60" spans="1:18">
      <c r="A60" s="88">
        <v>0.55555555555555503</v>
      </c>
      <c r="B60" s="85">
        <f t="shared" si="0"/>
        <v>33.3333333333333</v>
      </c>
      <c r="E60" s="88">
        <v>4.7835671342685302</v>
      </c>
      <c r="H60" s="239" t="s">
        <v>55</v>
      </c>
      <c r="I60" s="142">
        <v>5.22</v>
      </c>
      <c r="J60" s="240"/>
      <c r="K60" s="142">
        <v>5.2999999999999999E-2</v>
      </c>
      <c r="L60" s="142">
        <v>1.2E-2</v>
      </c>
      <c r="M60" s="142">
        <v>1000</v>
      </c>
      <c r="N60" s="239"/>
      <c r="O60" s="239"/>
      <c r="P60" s="239" t="s">
        <v>12</v>
      </c>
      <c r="Q60" s="239"/>
      <c r="R60" s="142">
        <v>2.29</v>
      </c>
    </row>
    <row r="61" spans="1:18">
      <c r="A61" s="92">
        <v>0.98765432098765404</v>
      </c>
      <c r="B61" s="85">
        <f t="shared" si="0"/>
        <v>59.259259259259245</v>
      </c>
      <c r="E61" s="92">
        <v>4.9919839679358704</v>
      </c>
      <c r="H61" s="239" t="s">
        <v>55</v>
      </c>
      <c r="I61" s="142">
        <v>5.35</v>
      </c>
      <c r="J61" s="240"/>
      <c r="K61" s="142">
        <v>5.2999999999999999E-2</v>
      </c>
      <c r="L61" s="142">
        <v>1.2E-2</v>
      </c>
      <c r="M61" s="142">
        <v>1000</v>
      </c>
      <c r="N61" s="239"/>
      <c r="O61" s="239"/>
      <c r="P61" s="239" t="s">
        <v>12</v>
      </c>
      <c r="Q61" s="239"/>
      <c r="R61" s="142">
        <v>2.2999999999999998</v>
      </c>
    </row>
    <row r="62" spans="1:18">
      <c r="A62" s="92">
        <v>1.18518518518518</v>
      </c>
      <c r="B62" s="85">
        <f t="shared" si="0"/>
        <v>71.111111111110802</v>
      </c>
      <c r="E62" s="92">
        <v>5.2004008016032</v>
      </c>
      <c r="H62" s="239" t="s">
        <v>55</v>
      </c>
      <c r="I62" s="142">
        <v>2.16</v>
      </c>
      <c r="J62" s="240"/>
      <c r="K62" s="142">
        <v>0.08</v>
      </c>
      <c r="L62" s="142">
        <v>0.26900000000000002</v>
      </c>
      <c r="M62" s="142">
        <v>1250</v>
      </c>
      <c r="N62" s="239"/>
      <c r="O62" s="239"/>
      <c r="P62" s="239" t="s">
        <v>12</v>
      </c>
      <c r="Q62" s="239"/>
      <c r="R62" s="142">
        <v>2.13</v>
      </c>
    </row>
    <row r="63" spans="1:18">
      <c r="A63" s="92">
        <v>1.7901234567901201</v>
      </c>
      <c r="B63" s="85">
        <f t="shared" si="0"/>
        <v>107.40740740740721</v>
      </c>
      <c r="E63" s="92">
        <v>5.3847695390781496</v>
      </c>
      <c r="H63" s="239" t="s">
        <v>55</v>
      </c>
      <c r="I63" s="142">
        <v>3.03</v>
      </c>
      <c r="J63" s="240"/>
      <c r="K63" s="142">
        <v>0.08</v>
      </c>
      <c r="L63" s="142">
        <v>0.26900000000000002</v>
      </c>
      <c r="M63" s="142">
        <v>1250</v>
      </c>
      <c r="N63" s="239"/>
      <c r="O63" s="239"/>
      <c r="P63" s="239" t="s">
        <v>12</v>
      </c>
      <c r="Q63" s="239"/>
      <c r="R63" s="142">
        <v>2.19</v>
      </c>
    </row>
    <row r="64" spans="1:18">
      <c r="A64" s="92">
        <v>2.3333333333333299</v>
      </c>
      <c r="B64" s="85">
        <f t="shared" si="0"/>
        <v>139.9999999999998</v>
      </c>
      <c r="E64" s="92">
        <v>5.7054108216432802</v>
      </c>
      <c r="H64" s="239" t="s">
        <v>55</v>
      </c>
      <c r="I64" s="142">
        <v>3.56</v>
      </c>
      <c r="J64" s="240"/>
      <c r="K64" s="142">
        <v>0.08</v>
      </c>
      <c r="L64" s="142">
        <v>0.26900000000000002</v>
      </c>
      <c r="M64" s="142">
        <v>1250</v>
      </c>
      <c r="N64" s="239"/>
      <c r="O64" s="239"/>
      <c r="P64" s="239" t="s">
        <v>12</v>
      </c>
      <c r="Q64" s="239"/>
      <c r="R64" s="142">
        <v>2.2400000000000002</v>
      </c>
    </row>
    <row r="65" spans="1:18">
      <c r="A65" s="92">
        <v>2.7654320987654302</v>
      </c>
      <c r="B65" s="85">
        <f t="shared" si="0"/>
        <v>165.92592592592581</v>
      </c>
      <c r="E65" s="92">
        <v>6.0100200400801498</v>
      </c>
      <c r="H65" s="239" t="s">
        <v>55</v>
      </c>
      <c r="I65" s="142">
        <v>3.93</v>
      </c>
      <c r="J65" s="240"/>
      <c r="K65" s="142">
        <v>0.08</v>
      </c>
      <c r="L65" s="142">
        <v>0.26900000000000002</v>
      </c>
      <c r="M65" s="142">
        <v>1250</v>
      </c>
      <c r="N65" s="239"/>
      <c r="O65" s="239"/>
      <c r="P65" s="239" t="s">
        <v>12</v>
      </c>
      <c r="Q65" s="239"/>
      <c r="R65" s="142">
        <v>2.2599999999999998</v>
      </c>
    </row>
    <row r="66" spans="1:18">
      <c r="A66" s="92">
        <v>3.3580246913580201</v>
      </c>
      <c r="B66" s="85">
        <f t="shared" si="0"/>
        <v>201.48148148148121</v>
      </c>
      <c r="E66" s="92">
        <v>6.1863727454909796</v>
      </c>
      <c r="H66" s="239" t="s">
        <v>55</v>
      </c>
      <c r="I66" s="142">
        <v>4.24</v>
      </c>
      <c r="J66" s="240"/>
      <c r="K66" s="142">
        <v>0.08</v>
      </c>
      <c r="L66" s="142">
        <v>0.26900000000000002</v>
      </c>
      <c r="M66" s="142">
        <v>1250</v>
      </c>
      <c r="N66" s="239"/>
      <c r="O66" s="239"/>
      <c r="P66" s="239" t="s">
        <v>12</v>
      </c>
      <c r="Q66" s="239"/>
      <c r="R66" s="142">
        <v>2.2799999999999998</v>
      </c>
    </row>
    <row r="67" spans="1:18">
      <c r="A67" s="92">
        <v>3.8024691358024598</v>
      </c>
      <c r="B67" s="85">
        <f t="shared" si="0"/>
        <v>228.14814814814758</v>
      </c>
      <c r="E67" s="92">
        <v>6.4589178356713397</v>
      </c>
      <c r="H67" s="239" t="s">
        <v>55</v>
      </c>
      <c r="I67" s="142">
        <v>4.46</v>
      </c>
      <c r="J67" s="240"/>
      <c r="K67" s="142">
        <v>0.08</v>
      </c>
      <c r="L67" s="142">
        <v>0.26900000000000002</v>
      </c>
      <c r="M67" s="142">
        <v>1250</v>
      </c>
      <c r="N67" s="239"/>
      <c r="O67" s="239"/>
      <c r="P67" s="239" t="s">
        <v>12</v>
      </c>
      <c r="Q67" s="239"/>
      <c r="R67" s="142">
        <v>2.2999999999999998</v>
      </c>
    </row>
    <row r="68" spans="1:18">
      <c r="A68" s="92">
        <v>4.4567901234567797</v>
      </c>
      <c r="B68" s="85">
        <f t="shared" si="0"/>
        <v>267.40740740740677</v>
      </c>
      <c r="E68" s="92">
        <v>6.7394789579158303</v>
      </c>
      <c r="H68" s="239" t="s">
        <v>55</v>
      </c>
      <c r="I68" s="142">
        <v>4.6500000000000004</v>
      </c>
      <c r="J68" s="240"/>
      <c r="K68" s="142">
        <v>0.08</v>
      </c>
      <c r="L68" s="142">
        <v>0.26900000000000002</v>
      </c>
      <c r="M68" s="142">
        <v>1250</v>
      </c>
      <c r="N68" s="239"/>
      <c r="O68" s="239"/>
      <c r="P68" s="239" t="s">
        <v>12</v>
      </c>
      <c r="Q68" s="239"/>
      <c r="R68" s="142">
        <v>2.31</v>
      </c>
    </row>
    <row r="69" spans="1:18">
      <c r="A69" s="92">
        <v>5</v>
      </c>
      <c r="B69" s="85">
        <f t="shared" si="0"/>
        <v>300</v>
      </c>
      <c r="E69" s="92">
        <v>6.9879759519037998</v>
      </c>
      <c r="H69" s="239" t="s">
        <v>55</v>
      </c>
      <c r="I69" s="142">
        <v>4.83</v>
      </c>
      <c r="J69" s="240"/>
      <c r="K69" s="142">
        <v>0.08</v>
      </c>
      <c r="L69" s="142">
        <v>0.26900000000000002</v>
      </c>
      <c r="M69" s="142">
        <v>1250</v>
      </c>
      <c r="N69" s="239"/>
      <c r="O69" s="239"/>
      <c r="P69" s="239" t="s">
        <v>12</v>
      </c>
      <c r="Q69" s="239"/>
      <c r="R69" s="142">
        <v>2.3199999999999998</v>
      </c>
    </row>
    <row r="70" spans="1:18">
      <c r="A70" s="92">
        <v>5.6419753086419702</v>
      </c>
      <c r="B70" s="85">
        <f t="shared" si="0"/>
        <v>338.51851851851819</v>
      </c>
      <c r="E70" s="92">
        <v>7.1002004008016</v>
      </c>
      <c r="H70" s="239" t="s">
        <v>55</v>
      </c>
      <c r="I70" s="142">
        <v>5</v>
      </c>
      <c r="J70" s="240"/>
      <c r="K70" s="142">
        <v>0.08</v>
      </c>
      <c r="L70" s="142">
        <v>0.26900000000000002</v>
      </c>
      <c r="M70" s="142">
        <v>1250</v>
      </c>
      <c r="N70" s="239"/>
      <c r="O70" s="239"/>
      <c r="P70" s="239" t="s">
        <v>12</v>
      </c>
      <c r="Q70" s="239"/>
      <c r="R70" s="142">
        <v>2.33</v>
      </c>
    </row>
    <row r="71" spans="1:18">
      <c r="A71" s="92">
        <v>6.3209876543209802</v>
      </c>
      <c r="B71" s="85">
        <f t="shared" si="0"/>
        <v>379.25925925925878</v>
      </c>
      <c r="E71" s="92">
        <v>7.23647294589178</v>
      </c>
      <c r="H71" s="239" t="s">
        <v>55</v>
      </c>
      <c r="I71" s="142">
        <v>5.12</v>
      </c>
      <c r="J71" s="240"/>
      <c r="K71" s="142">
        <v>0.08</v>
      </c>
      <c r="L71" s="142">
        <v>0.26900000000000002</v>
      </c>
      <c r="M71" s="142">
        <v>1250</v>
      </c>
      <c r="N71" s="239"/>
      <c r="O71" s="239"/>
      <c r="P71" s="239" t="s">
        <v>12</v>
      </c>
      <c r="Q71" s="239"/>
      <c r="R71" s="142">
        <v>2.34</v>
      </c>
    </row>
    <row r="72" spans="1:18">
      <c r="A72" s="92">
        <v>6.9012345679012297</v>
      </c>
      <c r="B72" s="85">
        <f t="shared" si="0"/>
        <v>414.07407407407379</v>
      </c>
      <c r="E72" s="92">
        <v>7.5170340681362697</v>
      </c>
      <c r="H72" s="239" t="s">
        <v>55</v>
      </c>
      <c r="I72" s="142">
        <v>5.24</v>
      </c>
      <c r="J72" s="240"/>
      <c r="K72" s="142">
        <v>0.08</v>
      </c>
      <c r="L72" s="142">
        <v>0.26900000000000002</v>
      </c>
      <c r="M72" s="142">
        <v>1250</v>
      </c>
      <c r="N72" s="239"/>
      <c r="O72" s="239"/>
      <c r="P72" s="239" t="s">
        <v>12</v>
      </c>
      <c r="Q72" s="239"/>
      <c r="R72" s="142">
        <v>2.35</v>
      </c>
    </row>
    <row r="73" spans="1:18">
      <c r="A73" s="92">
        <v>7.5679012345679002</v>
      </c>
      <c r="B73" s="85">
        <f t="shared" si="0"/>
        <v>454.07407407407402</v>
      </c>
      <c r="E73" s="92">
        <v>7.7014028056112203</v>
      </c>
      <c r="H73" s="239" t="s">
        <v>55</v>
      </c>
      <c r="I73" s="142">
        <v>5.37</v>
      </c>
      <c r="J73" s="240"/>
      <c r="K73" s="142">
        <v>0.08</v>
      </c>
      <c r="L73" s="142">
        <v>0.26900000000000002</v>
      </c>
      <c r="M73" s="142">
        <v>1250</v>
      </c>
      <c r="N73" s="239"/>
      <c r="O73" s="239"/>
      <c r="P73" s="239" t="s">
        <v>12</v>
      </c>
      <c r="Q73" s="239"/>
      <c r="R73" s="142">
        <v>2.36</v>
      </c>
    </row>
    <row r="74" spans="1:18">
      <c r="A74" s="92">
        <v>8.0617283950617207</v>
      </c>
      <c r="B74" s="85">
        <f t="shared" si="0"/>
        <v>483.70370370370324</v>
      </c>
      <c r="E74" s="92">
        <v>7.8376753507014003</v>
      </c>
      <c r="H74" s="239" t="s">
        <v>55</v>
      </c>
      <c r="I74" s="142">
        <v>2.15</v>
      </c>
      <c r="J74" s="240"/>
      <c r="K74" s="142">
        <v>0.08</v>
      </c>
      <c r="L74" s="142">
        <v>0.26900000000000002</v>
      </c>
      <c r="M74" s="142">
        <v>1250</v>
      </c>
      <c r="N74" s="239"/>
      <c r="O74" s="239"/>
      <c r="P74" s="239" t="s">
        <v>12</v>
      </c>
      <c r="Q74" s="239"/>
      <c r="R74" s="142">
        <v>2.31</v>
      </c>
    </row>
    <row r="75" spans="1:18">
      <c r="A75" s="92">
        <v>8.8395061728394992</v>
      </c>
      <c r="B75" s="85">
        <f t="shared" si="0"/>
        <v>530.37037037036998</v>
      </c>
      <c r="E75" s="92">
        <v>8.0220440881763508</v>
      </c>
      <c r="H75" s="239" t="s">
        <v>55</v>
      </c>
      <c r="I75" s="142">
        <v>3.05</v>
      </c>
      <c r="J75" s="240"/>
      <c r="K75" s="142">
        <v>0.08</v>
      </c>
      <c r="L75" s="142">
        <v>0.26900000000000002</v>
      </c>
      <c r="M75" s="142">
        <v>1250</v>
      </c>
      <c r="N75" s="239"/>
      <c r="O75" s="239"/>
      <c r="P75" s="239" t="s">
        <v>12</v>
      </c>
      <c r="Q75" s="239"/>
      <c r="R75" s="142">
        <v>2.37</v>
      </c>
    </row>
    <row r="76" spans="1:18">
      <c r="A76" s="92">
        <v>9.4444444444444393</v>
      </c>
      <c r="B76" s="85">
        <f t="shared" si="0"/>
        <v>566.6666666666664</v>
      </c>
      <c r="E76" s="92">
        <v>8.1663326653306605</v>
      </c>
      <c r="H76" s="239" t="s">
        <v>55</v>
      </c>
      <c r="I76" s="142">
        <v>3.57</v>
      </c>
      <c r="J76" s="240"/>
      <c r="K76" s="142">
        <v>0.08</v>
      </c>
      <c r="L76" s="142">
        <v>0.26900000000000002</v>
      </c>
      <c r="M76" s="142">
        <v>1250</v>
      </c>
      <c r="N76" s="239"/>
      <c r="O76" s="239"/>
      <c r="P76" s="239" t="s">
        <v>12</v>
      </c>
      <c r="Q76" s="239"/>
      <c r="R76" s="142">
        <v>2.41</v>
      </c>
    </row>
    <row r="77" spans="1:18">
      <c r="A77" s="92">
        <v>10.2962962962962</v>
      </c>
      <c r="B77" s="85">
        <f t="shared" si="0"/>
        <v>617.77777777777203</v>
      </c>
      <c r="E77" s="92">
        <v>8.3507014028056101</v>
      </c>
      <c r="H77" s="239" t="s">
        <v>55</v>
      </c>
      <c r="I77" s="142">
        <v>3.94</v>
      </c>
      <c r="J77" s="240"/>
      <c r="K77" s="142">
        <v>0.08</v>
      </c>
      <c r="L77" s="142">
        <v>0.26900000000000002</v>
      </c>
      <c r="M77" s="142">
        <v>1250</v>
      </c>
      <c r="N77" s="239"/>
      <c r="O77" s="239"/>
      <c r="P77" s="239" t="s">
        <v>12</v>
      </c>
      <c r="Q77" s="239"/>
      <c r="R77" s="142">
        <v>2.4300000000000002</v>
      </c>
    </row>
    <row r="78" spans="1:18">
      <c r="A78" s="92">
        <v>11.234567901234501</v>
      </c>
      <c r="B78" s="85">
        <f t="shared" si="0"/>
        <v>674.07407407407004</v>
      </c>
      <c r="E78" s="92">
        <v>8.6072144288577093</v>
      </c>
      <c r="H78" s="239" t="s">
        <v>55</v>
      </c>
      <c r="I78" s="142">
        <v>4.25</v>
      </c>
      <c r="J78" s="240"/>
      <c r="K78" s="142">
        <v>0.08</v>
      </c>
      <c r="L78" s="142">
        <v>0.26900000000000002</v>
      </c>
      <c r="M78" s="142">
        <v>1250</v>
      </c>
      <c r="N78" s="239"/>
      <c r="O78" s="239"/>
      <c r="P78" s="239" t="s">
        <v>12</v>
      </c>
      <c r="Q78" s="239"/>
      <c r="R78" s="142">
        <v>2.4500000000000002</v>
      </c>
    </row>
    <row r="79" spans="1:18">
      <c r="A79" s="84" t="s">
        <v>99</v>
      </c>
      <c r="B79" s="84" t="s">
        <v>102</v>
      </c>
      <c r="H79" s="239" t="s">
        <v>55</v>
      </c>
      <c r="I79" s="142">
        <v>4.47</v>
      </c>
      <c r="J79" s="240"/>
      <c r="K79" s="142">
        <v>0.08</v>
      </c>
      <c r="L79" s="142">
        <v>0.26900000000000002</v>
      </c>
      <c r="M79" s="142">
        <v>1250</v>
      </c>
      <c r="N79" s="239"/>
      <c r="O79" s="239"/>
      <c r="P79" s="239" t="s">
        <v>12</v>
      </c>
      <c r="Q79" s="239"/>
      <c r="R79" s="142">
        <v>2.46</v>
      </c>
    </row>
    <row r="80" spans="1:18">
      <c r="A80" s="241">
        <v>1.1735458116221E-7</v>
      </c>
      <c r="B80" s="242">
        <f t="shared" ref="B80:B91" si="1">A80*60*10^6</f>
        <v>7.0412748697325993</v>
      </c>
      <c r="E80" s="92">
        <v>4.8480845442536298</v>
      </c>
      <c r="H80" s="239" t="s">
        <v>55</v>
      </c>
      <c r="I80" s="142">
        <v>4.6500000000000004</v>
      </c>
      <c r="J80" s="240"/>
      <c r="K80" s="142">
        <v>0.08</v>
      </c>
      <c r="L80" s="142">
        <v>0.26900000000000002</v>
      </c>
      <c r="M80" s="142">
        <v>1250</v>
      </c>
      <c r="N80" s="239"/>
      <c r="O80" s="239"/>
      <c r="P80" s="239" t="s">
        <v>12</v>
      </c>
      <c r="Q80" s="239"/>
      <c r="R80" s="142">
        <v>2.48</v>
      </c>
    </row>
    <row r="81" spans="1:18">
      <c r="A81" s="92">
        <v>4.9778239446093001E-6</v>
      </c>
      <c r="B81" s="85">
        <f t="shared" si="1"/>
        <v>298.66943667655801</v>
      </c>
      <c r="E81" s="92">
        <v>5.0145310435931298</v>
      </c>
      <c r="H81" s="239" t="s">
        <v>55</v>
      </c>
      <c r="I81" s="142">
        <v>4.83</v>
      </c>
      <c r="J81" s="240"/>
      <c r="K81" s="142">
        <v>0.08</v>
      </c>
      <c r="L81" s="142">
        <v>0.26900000000000002</v>
      </c>
      <c r="M81" s="142">
        <v>1250</v>
      </c>
      <c r="N81" s="239"/>
      <c r="O81" s="239"/>
      <c r="P81" s="239" t="s">
        <v>12</v>
      </c>
      <c r="Q81" s="239"/>
      <c r="R81" s="142">
        <v>2.48</v>
      </c>
    </row>
    <row r="82" spans="1:18">
      <c r="A82" s="92">
        <v>1.0931898914831899E-5</v>
      </c>
      <c r="B82" s="85">
        <f t="shared" si="1"/>
        <v>655.913934889914</v>
      </c>
      <c r="E82" s="92">
        <v>7.5667107001321003</v>
      </c>
      <c r="H82" s="239" t="s">
        <v>55</v>
      </c>
      <c r="I82" s="142">
        <v>4.99</v>
      </c>
      <c r="J82" s="240"/>
      <c r="K82" s="142">
        <v>0.08</v>
      </c>
      <c r="L82" s="142">
        <v>0.26900000000000002</v>
      </c>
      <c r="M82" s="142">
        <v>1250</v>
      </c>
      <c r="N82" s="239"/>
      <c r="O82" s="239"/>
      <c r="P82" s="239" t="s">
        <v>12</v>
      </c>
      <c r="Q82" s="239"/>
      <c r="R82" s="142">
        <v>2.4900000000000002</v>
      </c>
    </row>
    <row r="83" spans="1:18">
      <c r="A83" s="92">
        <v>3.3290057986688599E-5</v>
      </c>
      <c r="B83" s="85">
        <f t="shared" si="1"/>
        <v>1997.4034792013158</v>
      </c>
      <c r="E83" s="92">
        <v>5.6433289299867901</v>
      </c>
      <c r="H83" s="239" t="s">
        <v>55</v>
      </c>
      <c r="I83" s="142">
        <v>5.13</v>
      </c>
      <c r="J83" s="240"/>
      <c r="K83" s="142">
        <v>0.08</v>
      </c>
      <c r="L83" s="142">
        <v>0.26900000000000002</v>
      </c>
      <c r="M83" s="142">
        <v>1250</v>
      </c>
      <c r="N83" s="239"/>
      <c r="O83" s="239"/>
      <c r="P83" s="239" t="s">
        <v>12</v>
      </c>
      <c r="Q83" s="239"/>
      <c r="R83" s="142">
        <v>2.5</v>
      </c>
    </row>
    <row r="84" spans="1:18">
      <c r="A84" s="92">
        <v>3.8272039084221898E-5</v>
      </c>
      <c r="B84" s="85">
        <f t="shared" si="1"/>
        <v>2296.3223450533142</v>
      </c>
      <c r="E84" s="92">
        <v>6.7344782034346098</v>
      </c>
      <c r="H84" s="239" t="s">
        <v>55</v>
      </c>
      <c r="I84" s="142">
        <v>5.24</v>
      </c>
      <c r="J84" s="240"/>
      <c r="K84" s="142">
        <v>0.08</v>
      </c>
      <c r="L84" s="142">
        <v>0.26900000000000002</v>
      </c>
      <c r="M84" s="142">
        <v>1250</v>
      </c>
      <c r="N84" s="239"/>
      <c r="O84" s="239"/>
      <c r="P84" s="239" t="s">
        <v>12</v>
      </c>
      <c r="Q84" s="239"/>
      <c r="R84" s="142">
        <v>2.5099999999999998</v>
      </c>
    </row>
    <row r="85" spans="1:18">
      <c r="A85" s="92">
        <v>4.1188320702290102E-5</v>
      </c>
      <c r="B85" s="85">
        <f t="shared" si="1"/>
        <v>2471.2992421374061</v>
      </c>
      <c r="E85" s="92">
        <v>7.88110964332893</v>
      </c>
      <c r="H85" s="239" t="s">
        <v>55</v>
      </c>
      <c r="I85" s="142">
        <v>5.34</v>
      </c>
      <c r="J85" s="240"/>
      <c r="K85" s="142">
        <v>0.08</v>
      </c>
      <c r="L85" s="142">
        <v>0.26900000000000002</v>
      </c>
      <c r="M85" s="142">
        <v>1250</v>
      </c>
      <c r="N85" s="239"/>
      <c r="O85" s="239"/>
      <c r="P85" s="239" t="s">
        <v>12</v>
      </c>
      <c r="Q85" s="239"/>
      <c r="R85" s="142">
        <v>2.52</v>
      </c>
    </row>
    <row r="86" spans="1:18">
      <c r="A86" s="92">
        <v>5.3096470642735499E-5</v>
      </c>
      <c r="B86" s="85">
        <f t="shared" si="1"/>
        <v>3185.7882385641301</v>
      </c>
      <c r="E86" s="92">
        <v>8.4729194187582504</v>
      </c>
      <c r="H86" s="239" t="s">
        <v>55</v>
      </c>
      <c r="I86" s="142">
        <v>0.56000000000000005</v>
      </c>
      <c r="J86" s="240"/>
      <c r="K86" s="142">
        <v>7.2999999999999995E-2</v>
      </c>
      <c r="L86" s="142">
        <v>1E-3</v>
      </c>
      <c r="M86" s="142">
        <v>1000</v>
      </c>
      <c r="N86" s="239"/>
      <c r="O86" s="239"/>
      <c r="P86" s="239" t="s">
        <v>12</v>
      </c>
      <c r="Q86" s="239"/>
      <c r="R86" s="142">
        <v>20.9</v>
      </c>
    </row>
    <row r="87" spans="1:18">
      <c r="A87" s="92">
        <v>6.6705784860387395E-5</v>
      </c>
      <c r="B87" s="85">
        <f t="shared" si="1"/>
        <v>4002.3470916232436</v>
      </c>
      <c r="E87" s="92">
        <v>8.8612945838837494</v>
      </c>
      <c r="H87" s="239" t="s">
        <v>55</v>
      </c>
      <c r="I87" s="142">
        <v>0.99</v>
      </c>
      <c r="J87" s="240"/>
      <c r="K87" s="142">
        <v>7.2999999999999995E-2</v>
      </c>
      <c r="L87" s="142">
        <v>1E-3</v>
      </c>
      <c r="M87" s="142">
        <v>1000</v>
      </c>
      <c r="N87" s="239"/>
      <c r="O87" s="239"/>
      <c r="P87" s="239" t="s">
        <v>12</v>
      </c>
      <c r="Q87" s="239"/>
      <c r="R87" s="142">
        <v>21.2</v>
      </c>
    </row>
    <row r="88" spans="1:18">
      <c r="A88" s="92">
        <v>6.3546479774146794E-5</v>
      </c>
      <c r="B88" s="85">
        <f t="shared" si="1"/>
        <v>3812.7887864488075</v>
      </c>
      <c r="E88" s="92">
        <v>11.690885072655201</v>
      </c>
      <c r="H88" s="239" t="s">
        <v>55</v>
      </c>
      <c r="I88" s="142">
        <v>1.17</v>
      </c>
      <c r="J88" s="240"/>
      <c r="K88" s="142">
        <v>7.2999999999999995E-2</v>
      </c>
      <c r="L88" s="142">
        <v>1E-3</v>
      </c>
      <c r="M88" s="142">
        <v>1000</v>
      </c>
      <c r="N88" s="239"/>
      <c r="O88" s="239"/>
      <c r="P88" s="239" t="s">
        <v>12</v>
      </c>
      <c r="Q88" s="239"/>
      <c r="R88" s="142">
        <v>21.5</v>
      </c>
    </row>
    <row r="89" spans="1:18">
      <c r="A89" s="92">
        <v>6.8042413935335305E-5</v>
      </c>
      <c r="B89" s="85">
        <f t="shared" si="1"/>
        <v>4082.5448361201179</v>
      </c>
      <c r="E89" s="92">
        <v>12.782034346103</v>
      </c>
      <c r="H89" s="239" t="s">
        <v>55</v>
      </c>
      <c r="I89" s="142">
        <v>1.85</v>
      </c>
      <c r="J89" s="240"/>
      <c r="K89" s="142">
        <v>7.2999999999999995E-2</v>
      </c>
      <c r="L89" s="142">
        <v>1E-3</v>
      </c>
      <c r="M89" s="142">
        <v>1000</v>
      </c>
      <c r="N89" s="239"/>
      <c r="O89" s="239"/>
      <c r="P89" s="239" t="s">
        <v>12</v>
      </c>
      <c r="Q89" s="239"/>
      <c r="R89" s="142">
        <v>21.8</v>
      </c>
    </row>
    <row r="90" spans="1:18">
      <c r="A90" s="92">
        <v>7.5819164916850697E-5</v>
      </c>
      <c r="B90" s="85">
        <f t="shared" si="1"/>
        <v>4549.1498950110417</v>
      </c>
      <c r="E90" s="92">
        <v>14.002642007925999</v>
      </c>
      <c r="H90" s="239" t="s">
        <v>55</v>
      </c>
      <c r="I90" s="142">
        <v>2.35</v>
      </c>
      <c r="J90" s="240"/>
      <c r="K90" s="142">
        <v>7.2999999999999995E-2</v>
      </c>
      <c r="L90" s="142">
        <v>1E-3</v>
      </c>
      <c r="M90" s="142">
        <v>1000</v>
      </c>
      <c r="N90" s="239"/>
      <c r="O90" s="239"/>
      <c r="P90" s="239" t="s">
        <v>12</v>
      </c>
      <c r="Q90" s="239"/>
      <c r="R90" s="142">
        <v>22.1</v>
      </c>
    </row>
    <row r="91" spans="1:18">
      <c r="A91" s="92">
        <v>7.1566254223834501E-5</v>
      </c>
      <c r="B91" s="85">
        <f t="shared" si="1"/>
        <v>4293.9752534300696</v>
      </c>
      <c r="E91" s="92">
        <v>14.816380449141301</v>
      </c>
      <c r="H91" s="239" t="s">
        <v>55</v>
      </c>
      <c r="I91" s="142">
        <v>2.77</v>
      </c>
      <c r="J91" s="240"/>
      <c r="K91" s="142">
        <v>7.2999999999999995E-2</v>
      </c>
      <c r="L91" s="142">
        <v>1E-3</v>
      </c>
      <c r="M91" s="142">
        <v>1000</v>
      </c>
      <c r="N91" s="239"/>
      <c r="O91" s="239"/>
      <c r="P91" s="239" t="s">
        <v>12</v>
      </c>
      <c r="Q91" s="239"/>
      <c r="R91" s="142">
        <v>22.5</v>
      </c>
    </row>
    <row r="92" spans="1:18">
      <c r="A92" s="92">
        <v>1.07330545366855E-5</v>
      </c>
      <c r="B92" s="85">
        <f t="shared" ref="B92:B100" si="2">A92*10^6*60</f>
        <v>643.98327220112992</v>
      </c>
      <c r="E92" s="92">
        <v>5.2338313177720899</v>
      </c>
      <c r="H92" s="239" t="s">
        <v>55</v>
      </c>
      <c r="I92" s="142">
        <v>3.37</v>
      </c>
      <c r="J92" s="240"/>
      <c r="K92" s="142">
        <v>7.2999999999999995E-2</v>
      </c>
      <c r="L92" s="142">
        <v>1E-3</v>
      </c>
      <c r="M92" s="142">
        <v>1000</v>
      </c>
      <c r="N92" s="239"/>
      <c r="O92" s="239"/>
      <c r="P92" s="239" t="s">
        <v>12</v>
      </c>
      <c r="Q92" s="239"/>
      <c r="R92" s="142">
        <v>22.7</v>
      </c>
    </row>
    <row r="93" spans="1:18">
      <c r="A93" s="92">
        <v>3.0506337742282999E-5</v>
      </c>
      <c r="B93" s="85">
        <f t="shared" si="2"/>
        <v>1830.3802645369799</v>
      </c>
      <c r="E93" s="92">
        <v>5.6373397234137004</v>
      </c>
      <c r="H93" s="239" t="s">
        <v>55</v>
      </c>
      <c r="I93" s="142">
        <v>3.78</v>
      </c>
      <c r="J93" s="240"/>
      <c r="K93" s="142">
        <v>7.2999999999999995E-2</v>
      </c>
      <c r="L93" s="142">
        <v>1E-3</v>
      </c>
      <c r="M93" s="142">
        <v>1000</v>
      </c>
      <c r="N93" s="239"/>
      <c r="O93" s="239"/>
      <c r="P93" s="239" t="s">
        <v>12</v>
      </c>
      <c r="Q93" s="239"/>
      <c r="R93" s="142">
        <v>23</v>
      </c>
    </row>
    <row r="94" spans="1:18">
      <c r="A94" s="92">
        <v>3.5919127775949001E-5</v>
      </c>
      <c r="B94" s="85">
        <f t="shared" si="2"/>
        <v>2155.1476665569398</v>
      </c>
      <c r="E94" s="92">
        <v>6.1417260770602402</v>
      </c>
      <c r="H94" s="239" t="s">
        <v>55</v>
      </c>
      <c r="I94" s="142">
        <v>4.46</v>
      </c>
      <c r="J94" s="240"/>
      <c r="K94" s="142">
        <v>7.2999999999999995E-2</v>
      </c>
      <c r="L94" s="142">
        <v>1E-3</v>
      </c>
      <c r="M94" s="142">
        <v>1000</v>
      </c>
      <c r="N94" s="239"/>
      <c r="O94" s="239"/>
      <c r="P94" s="239" t="s">
        <v>12</v>
      </c>
      <c r="Q94" s="239"/>
      <c r="R94" s="142">
        <v>23.3</v>
      </c>
    </row>
    <row r="95" spans="1:18">
      <c r="A95" s="92">
        <v>3.6029588943397702E-5</v>
      </c>
      <c r="B95" s="85">
        <f t="shared" si="2"/>
        <v>2161.7753366038623</v>
      </c>
      <c r="E95" s="92">
        <v>8.2097070792707392</v>
      </c>
      <c r="H95" s="239" t="s">
        <v>55</v>
      </c>
      <c r="I95" s="142">
        <v>5</v>
      </c>
      <c r="J95" s="240"/>
      <c r="K95" s="142">
        <v>7.2999999999999995E-2</v>
      </c>
      <c r="L95" s="142">
        <v>1E-3</v>
      </c>
      <c r="M95" s="142">
        <v>1000</v>
      </c>
      <c r="N95" s="239"/>
      <c r="O95" s="239"/>
      <c r="P95" s="239" t="s">
        <v>12</v>
      </c>
      <c r="Q95" s="239"/>
      <c r="R95" s="142">
        <v>23.6</v>
      </c>
    </row>
    <row r="96" spans="1:18">
      <c r="A96" s="92">
        <v>3.00644634065375E-5</v>
      </c>
      <c r="B96" s="85">
        <f t="shared" si="2"/>
        <v>1803.86780439225</v>
      </c>
      <c r="E96" s="92">
        <v>11.0342659187619</v>
      </c>
      <c r="H96" s="239" t="s">
        <v>55</v>
      </c>
      <c r="I96" s="142">
        <v>5.65</v>
      </c>
      <c r="J96" s="240"/>
      <c r="K96" s="142">
        <v>7.2999999999999995E-2</v>
      </c>
      <c r="L96" s="142">
        <v>1E-3</v>
      </c>
      <c r="M96" s="142">
        <v>1000</v>
      </c>
      <c r="N96" s="239"/>
      <c r="O96" s="239"/>
      <c r="P96" s="239" t="s">
        <v>12</v>
      </c>
      <c r="Q96" s="239"/>
      <c r="R96" s="142">
        <v>23.7</v>
      </c>
    </row>
    <row r="97" spans="1:18">
      <c r="A97" s="92">
        <v>4.3320292988568301E-5</v>
      </c>
      <c r="B97" s="85">
        <f t="shared" si="2"/>
        <v>2599.2175793140977</v>
      </c>
      <c r="E97" s="92">
        <v>9.6892377118245001</v>
      </c>
      <c r="H97" s="239" t="s">
        <v>55</v>
      </c>
      <c r="I97" s="142">
        <v>6.32</v>
      </c>
      <c r="J97" s="240"/>
      <c r="K97" s="142">
        <v>7.2999999999999995E-2</v>
      </c>
      <c r="L97" s="142">
        <v>1E-3</v>
      </c>
      <c r="M97" s="142">
        <v>1000</v>
      </c>
      <c r="N97" s="239"/>
      <c r="O97" s="239"/>
      <c r="P97" s="239" t="s">
        <v>12</v>
      </c>
      <c r="Q97" s="239"/>
      <c r="R97" s="142">
        <v>23.9</v>
      </c>
    </row>
    <row r="98" spans="1:18">
      <c r="A98" s="92">
        <v>5.0390074698841598E-5</v>
      </c>
      <c r="B98" s="85">
        <f t="shared" si="2"/>
        <v>3023.4044819304963</v>
      </c>
      <c r="E98" s="92">
        <v>8.6636538945184505</v>
      </c>
      <c r="H98" s="239" t="s">
        <v>55</v>
      </c>
      <c r="I98" s="142">
        <v>6.87</v>
      </c>
      <c r="J98" s="240"/>
      <c r="K98" s="142">
        <v>7.2999999999999995E-2</v>
      </c>
      <c r="L98" s="142">
        <v>1E-3</v>
      </c>
      <c r="M98" s="142">
        <v>1000</v>
      </c>
      <c r="N98" s="239"/>
      <c r="O98" s="239"/>
      <c r="P98" s="239" t="s">
        <v>12</v>
      </c>
      <c r="Q98" s="239"/>
      <c r="R98" s="142">
        <v>24.2</v>
      </c>
    </row>
    <row r="99" spans="1:18">
      <c r="A99" s="92">
        <v>6.8064499308573997E-5</v>
      </c>
      <c r="B99" s="85">
        <f t="shared" si="2"/>
        <v>4083.86995851444</v>
      </c>
      <c r="E99" s="92">
        <v>9.7564894890290095</v>
      </c>
      <c r="H99" s="239" t="s">
        <v>55</v>
      </c>
      <c r="I99" s="142">
        <v>7.57</v>
      </c>
      <c r="J99" s="240"/>
      <c r="K99" s="142">
        <v>7.2999999999999995E-2</v>
      </c>
      <c r="L99" s="142">
        <v>1E-3</v>
      </c>
      <c r="M99" s="142">
        <v>1000</v>
      </c>
      <c r="N99" s="239"/>
      <c r="O99" s="239"/>
      <c r="P99" s="239" t="s">
        <v>12</v>
      </c>
      <c r="Q99" s="239"/>
      <c r="R99" s="142">
        <v>24.4</v>
      </c>
    </row>
    <row r="100" spans="1:18">
      <c r="A100" s="92">
        <v>6.1436591934046198E-5</v>
      </c>
      <c r="B100" s="85">
        <f t="shared" si="2"/>
        <v>3686.1955160427719</v>
      </c>
      <c r="E100" s="92">
        <v>11.622716288418699</v>
      </c>
      <c r="H100" s="239" t="s">
        <v>55</v>
      </c>
      <c r="I100" s="142">
        <v>8.08</v>
      </c>
      <c r="J100" s="240"/>
      <c r="K100" s="142">
        <v>7.2999999999999995E-2</v>
      </c>
      <c r="L100" s="142">
        <v>1E-3</v>
      </c>
      <c r="M100" s="142">
        <v>1000</v>
      </c>
      <c r="N100" s="239"/>
      <c r="O100" s="239"/>
      <c r="P100" s="239" t="s">
        <v>12</v>
      </c>
      <c r="Q100" s="239"/>
      <c r="R100" s="142">
        <v>24.5</v>
      </c>
    </row>
    <row r="101" spans="1:18">
      <c r="A101" s="173"/>
      <c r="H101" s="239" t="s">
        <v>55</v>
      </c>
      <c r="I101" s="142">
        <v>8.86</v>
      </c>
      <c r="J101" s="240"/>
      <c r="K101" s="142">
        <v>7.2999999999999995E-2</v>
      </c>
      <c r="L101" s="142">
        <v>1E-3</v>
      </c>
      <c r="M101" s="142">
        <v>1000</v>
      </c>
      <c r="N101" s="239"/>
      <c r="O101" s="239"/>
      <c r="P101" s="239" t="s">
        <v>12</v>
      </c>
      <c r="Q101" s="239"/>
      <c r="R101" s="142">
        <v>24.7</v>
      </c>
    </row>
    <row r="102" spans="1:18">
      <c r="A102" s="174"/>
      <c r="H102" s="239" t="s">
        <v>55</v>
      </c>
      <c r="I102" s="142">
        <v>9.4600000000000009</v>
      </c>
      <c r="J102" s="240"/>
      <c r="K102" s="142">
        <v>7.2999999999999995E-2</v>
      </c>
      <c r="L102" s="142">
        <v>1E-3</v>
      </c>
      <c r="M102" s="142">
        <v>1000</v>
      </c>
      <c r="N102" s="239"/>
      <c r="O102" s="239"/>
      <c r="P102" s="239" t="s">
        <v>12</v>
      </c>
      <c r="Q102" s="239"/>
      <c r="R102" s="142">
        <v>24.9</v>
      </c>
    </row>
    <row r="103" spans="1:18">
      <c r="H103" s="239" t="s">
        <v>55</v>
      </c>
      <c r="I103" s="142">
        <v>10.33</v>
      </c>
      <c r="J103" s="240"/>
      <c r="K103" s="142">
        <v>7.2999999999999995E-2</v>
      </c>
      <c r="L103" s="142">
        <v>1E-3</v>
      </c>
      <c r="M103" s="142">
        <v>1000</v>
      </c>
      <c r="N103" s="239"/>
      <c r="O103" s="239"/>
      <c r="P103" s="239" t="s">
        <v>12</v>
      </c>
      <c r="Q103" s="239"/>
      <c r="R103" s="142">
        <v>25.1</v>
      </c>
    </row>
    <row r="104" spans="1:18">
      <c r="H104" s="239" t="s">
        <v>55</v>
      </c>
      <c r="I104" s="142">
        <v>11.25</v>
      </c>
      <c r="J104" s="240"/>
      <c r="K104" s="142">
        <v>7.2999999999999995E-2</v>
      </c>
      <c r="L104" s="142">
        <v>1E-3</v>
      </c>
      <c r="M104" s="142">
        <v>1000</v>
      </c>
      <c r="N104" s="239"/>
      <c r="O104" s="239"/>
      <c r="P104" s="239" t="s">
        <v>12</v>
      </c>
      <c r="Q104" s="239"/>
      <c r="R104" s="142">
        <v>25.3</v>
      </c>
    </row>
    <row r="105" spans="1:18">
      <c r="H105" s="239" t="s">
        <v>55</v>
      </c>
      <c r="I105" s="142">
        <v>0.56999999999999995</v>
      </c>
      <c r="J105" s="240"/>
      <c r="K105" s="142">
        <v>2.3800000000000002E-2</v>
      </c>
      <c r="L105" s="142">
        <v>2.2000000000000001E-3</v>
      </c>
      <c r="M105" s="142">
        <v>803</v>
      </c>
      <c r="N105" s="239"/>
      <c r="O105" s="239"/>
      <c r="P105" s="239" t="s">
        <v>12</v>
      </c>
      <c r="Q105" s="239"/>
      <c r="R105" s="142">
        <v>20.5</v>
      </c>
    </row>
    <row r="106" spans="1:18">
      <c r="H106" s="239" t="s">
        <v>55</v>
      </c>
      <c r="I106" s="142">
        <v>0.92</v>
      </c>
      <c r="J106" s="240"/>
      <c r="K106" s="142">
        <v>2.3800000000000002E-2</v>
      </c>
      <c r="L106" s="142">
        <v>2.2000000000000001E-3</v>
      </c>
      <c r="M106" s="142">
        <v>803</v>
      </c>
      <c r="N106" s="239"/>
      <c r="O106" s="239"/>
      <c r="P106" s="239" t="s">
        <v>12</v>
      </c>
      <c r="Q106" s="239"/>
      <c r="R106" s="142">
        <v>20.8</v>
      </c>
    </row>
    <row r="107" spans="1:18">
      <c r="H107" s="239" t="s">
        <v>55</v>
      </c>
      <c r="I107" s="142">
        <v>1.1599999999999999</v>
      </c>
      <c r="J107" s="240"/>
      <c r="K107" s="142">
        <v>2.3800000000000002E-2</v>
      </c>
      <c r="L107" s="142">
        <v>2.2000000000000001E-3</v>
      </c>
      <c r="M107" s="142">
        <v>803</v>
      </c>
      <c r="N107" s="239"/>
      <c r="O107" s="239"/>
      <c r="P107" s="239" t="s">
        <v>12</v>
      </c>
      <c r="Q107" s="239"/>
      <c r="R107" s="142">
        <v>21</v>
      </c>
    </row>
    <row r="108" spans="1:18">
      <c r="H108" s="239" t="s">
        <v>55</v>
      </c>
      <c r="I108" s="142">
        <v>1.75</v>
      </c>
      <c r="J108" s="240"/>
      <c r="K108" s="142">
        <v>2.3800000000000002E-2</v>
      </c>
      <c r="L108" s="142">
        <v>2.2000000000000001E-3</v>
      </c>
      <c r="M108" s="142">
        <v>803</v>
      </c>
      <c r="N108" s="239"/>
      <c r="O108" s="239"/>
      <c r="P108" s="239" t="s">
        <v>12</v>
      </c>
      <c r="Q108" s="239"/>
      <c r="R108" s="142">
        <v>21.4</v>
      </c>
    </row>
    <row r="109" spans="1:18">
      <c r="H109" s="239" t="s">
        <v>55</v>
      </c>
      <c r="I109" s="142">
        <v>2.37</v>
      </c>
      <c r="J109" s="240"/>
      <c r="K109" s="142">
        <v>2.3800000000000002E-2</v>
      </c>
      <c r="L109" s="142">
        <v>2.2000000000000001E-3</v>
      </c>
      <c r="M109" s="142">
        <v>803</v>
      </c>
      <c r="N109" s="239"/>
      <c r="O109" s="239"/>
      <c r="P109" s="239" t="s">
        <v>12</v>
      </c>
      <c r="Q109" s="239"/>
      <c r="R109" s="142">
        <v>21.7</v>
      </c>
    </row>
    <row r="110" spans="1:18">
      <c r="H110" s="239" t="s">
        <v>55</v>
      </c>
      <c r="I110" s="142">
        <v>2.84</v>
      </c>
      <c r="J110" s="240"/>
      <c r="K110" s="142">
        <v>2.3800000000000002E-2</v>
      </c>
      <c r="L110" s="142">
        <v>2.2000000000000001E-3</v>
      </c>
      <c r="M110" s="142">
        <v>803</v>
      </c>
      <c r="N110" s="239"/>
      <c r="O110" s="239"/>
      <c r="P110" s="239" t="s">
        <v>12</v>
      </c>
      <c r="Q110" s="239"/>
      <c r="R110" s="142">
        <v>21.9</v>
      </c>
    </row>
    <row r="111" spans="1:18">
      <c r="H111" s="239" t="s">
        <v>55</v>
      </c>
      <c r="I111" s="142">
        <v>3.32</v>
      </c>
      <c r="J111" s="240"/>
      <c r="K111" s="142">
        <v>2.3800000000000002E-2</v>
      </c>
      <c r="L111" s="142">
        <v>2.2000000000000001E-3</v>
      </c>
      <c r="M111" s="142">
        <v>803</v>
      </c>
      <c r="N111" s="239"/>
      <c r="O111" s="239"/>
      <c r="P111" s="239" t="s">
        <v>12</v>
      </c>
      <c r="Q111" s="239"/>
      <c r="R111" s="142">
        <v>22.2</v>
      </c>
    </row>
    <row r="112" spans="1:18">
      <c r="H112" s="239" t="s">
        <v>55</v>
      </c>
      <c r="I112" s="142">
        <v>3.95</v>
      </c>
      <c r="J112" s="240"/>
      <c r="K112" s="142">
        <v>2.3800000000000002E-2</v>
      </c>
      <c r="L112" s="142">
        <v>2.2000000000000001E-3</v>
      </c>
      <c r="M112" s="142">
        <v>803</v>
      </c>
      <c r="N112" s="239"/>
      <c r="O112" s="239"/>
      <c r="P112" s="239" t="s">
        <v>12</v>
      </c>
      <c r="Q112" s="239"/>
      <c r="R112" s="142">
        <v>22.4</v>
      </c>
    </row>
    <row r="113" spans="8:18">
      <c r="H113" s="239" t="s">
        <v>55</v>
      </c>
      <c r="I113" s="142">
        <v>4.45</v>
      </c>
      <c r="J113" s="240"/>
      <c r="K113" s="142">
        <v>2.3800000000000002E-2</v>
      </c>
      <c r="L113" s="142">
        <v>2.2000000000000001E-3</v>
      </c>
      <c r="M113" s="142">
        <v>803</v>
      </c>
      <c r="N113" s="239"/>
      <c r="O113" s="239"/>
      <c r="P113" s="239" t="s">
        <v>12</v>
      </c>
      <c r="Q113" s="239"/>
      <c r="R113" s="142">
        <v>22.7</v>
      </c>
    </row>
    <row r="114" spans="8:18">
      <c r="H114" s="239" t="s">
        <v>55</v>
      </c>
      <c r="I114" s="142">
        <v>5.05</v>
      </c>
      <c r="J114" s="240"/>
      <c r="K114" s="142">
        <v>2.3800000000000002E-2</v>
      </c>
      <c r="L114" s="142">
        <v>2.2000000000000001E-3</v>
      </c>
      <c r="M114" s="142">
        <v>803</v>
      </c>
      <c r="N114" s="239"/>
      <c r="O114" s="239"/>
      <c r="P114" s="239" t="s">
        <v>12</v>
      </c>
      <c r="Q114" s="239"/>
      <c r="R114" s="142">
        <v>22.9</v>
      </c>
    </row>
    <row r="115" spans="8:18">
      <c r="H115" s="239" t="s">
        <v>55</v>
      </c>
      <c r="I115" s="142">
        <v>5.73</v>
      </c>
      <c r="J115" s="240"/>
      <c r="K115" s="142">
        <v>2.3800000000000002E-2</v>
      </c>
      <c r="L115" s="142">
        <v>2.2000000000000001E-3</v>
      </c>
      <c r="M115" s="142">
        <v>803</v>
      </c>
      <c r="N115" s="239"/>
      <c r="O115" s="239"/>
      <c r="P115" s="239" t="s">
        <v>12</v>
      </c>
      <c r="Q115" s="239"/>
      <c r="R115" s="142">
        <v>23.1</v>
      </c>
    </row>
    <row r="116" spans="8:18">
      <c r="H116" s="239" t="s">
        <v>55</v>
      </c>
      <c r="I116" s="142">
        <v>6.37</v>
      </c>
      <c r="J116" s="240"/>
      <c r="K116" s="142">
        <v>2.3800000000000002E-2</v>
      </c>
      <c r="L116" s="142">
        <v>2.2000000000000001E-3</v>
      </c>
      <c r="M116" s="142">
        <v>803</v>
      </c>
      <c r="N116" s="239"/>
      <c r="O116" s="239"/>
      <c r="P116" s="239" t="s">
        <v>12</v>
      </c>
      <c r="Q116" s="239"/>
      <c r="R116" s="142">
        <v>23.4</v>
      </c>
    </row>
    <row r="117" spans="8:18">
      <c r="H117" s="239" t="s">
        <v>55</v>
      </c>
      <c r="I117" s="142">
        <v>6.99</v>
      </c>
      <c r="J117" s="240"/>
      <c r="K117" s="142">
        <v>2.3800000000000002E-2</v>
      </c>
      <c r="L117" s="142">
        <v>2.2000000000000001E-3</v>
      </c>
      <c r="M117" s="142">
        <v>803</v>
      </c>
      <c r="N117" s="239"/>
      <c r="O117" s="239"/>
      <c r="P117" s="239" t="s">
        <v>12</v>
      </c>
      <c r="Q117" s="239"/>
      <c r="R117" s="142">
        <v>23.5</v>
      </c>
    </row>
    <row r="118" spans="8:18">
      <c r="H118" s="239" t="s">
        <v>55</v>
      </c>
      <c r="I118" s="142">
        <v>7.58</v>
      </c>
      <c r="J118" s="240"/>
      <c r="K118" s="142">
        <v>2.3800000000000002E-2</v>
      </c>
      <c r="L118" s="142">
        <v>2.2000000000000001E-3</v>
      </c>
      <c r="M118" s="142">
        <v>803</v>
      </c>
      <c r="N118" s="239"/>
      <c r="O118" s="239"/>
      <c r="P118" s="239" t="s">
        <v>12</v>
      </c>
      <c r="Q118" s="239"/>
      <c r="R118" s="142">
        <v>23.7</v>
      </c>
    </row>
    <row r="119" spans="8:18">
      <c r="H119" s="239" t="s">
        <v>55</v>
      </c>
      <c r="I119" s="142">
        <v>8.14</v>
      </c>
      <c r="J119" s="240"/>
      <c r="K119" s="142">
        <v>2.3800000000000002E-2</v>
      </c>
      <c r="L119" s="142">
        <v>2.2000000000000001E-3</v>
      </c>
      <c r="M119" s="142">
        <v>803</v>
      </c>
      <c r="N119" s="239"/>
      <c r="O119" s="239"/>
      <c r="P119" s="239" t="s">
        <v>12</v>
      </c>
      <c r="Q119" s="239"/>
      <c r="R119" s="142">
        <v>23.8</v>
      </c>
    </row>
    <row r="120" spans="8:18">
      <c r="H120" s="239" t="s">
        <v>55</v>
      </c>
      <c r="I120" s="142">
        <v>9.0299999999999994</v>
      </c>
      <c r="J120" s="240"/>
      <c r="K120" s="142">
        <v>2.3800000000000002E-2</v>
      </c>
      <c r="L120" s="142">
        <v>2.2000000000000001E-3</v>
      </c>
      <c r="M120" s="142">
        <v>803</v>
      </c>
      <c r="N120" s="239"/>
      <c r="O120" s="239"/>
      <c r="P120" s="239" t="s">
        <v>12</v>
      </c>
      <c r="Q120" s="239"/>
      <c r="R120" s="142">
        <v>24</v>
      </c>
    </row>
    <row r="121" spans="8:18">
      <c r="H121" s="239" t="s">
        <v>55</v>
      </c>
      <c r="I121" s="142">
        <v>9.4700000000000006</v>
      </c>
      <c r="J121" s="240"/>
      <c r="K121" s="142">
        <v>2.3800000000000002E-2</v>
      </c>
      <c r="L121" s="142">
        <v>2.2000000000000001E-3</v>
      </c>
      <c r="M121" s="142">
        <v>803</v>
      </c>
      <c r="N121" s="239"/>
      <c r="O121" s="239"/>
      <c r="P121" s="239" t="s">
        <v>12</v>
      </c>
      <c r="Q121" s="239"/>
      <c r="R121" s="142">
        <v>24.2</v>
      </c>
    </row>
    <row r="122" spans="8:18">
      <c r="H122" s="239" t="s">
        <v>55</v>
      </c>
      <c r="I122" s="142">
        <v>10.26</v>
      </c>
      <c r="J122" s="240"/>
      <c r="K122" s="142">
        <v>2.3800000000000002E-2</v>
      </c>
      <c r="L122" s="142">
        <v>2.2000000000000001E-3</v>
      </c>
      <c r="M122" s="142">
        <v>803</v>
      </c>
      <c r="N122" s="239"/>
      <c r="O122" s="239"/>
      <c r="P122" s="239" t="s">
        <v>12</v>
      </c>
      <c r="Q122" s="239"/>
      <c r="R122" s="142">
        <v>24.4</v>
      </c>
    </row>
    <row r="123" spans="8:18">
      <c r="H123" s="239" t="s">
        <v>55</v>
      </c>
      <c r="I123" s="142">
        <v>11.24</v>
      </c>
      <c r="J123" s="240"/>
      <c r="K123" s="142">
        <v>2.3800000000000002E-2</v>
      </c>
      <c r="L123" s="142">
        <v>2.2000000000000001E-3</v>
      </c>
      <c r="M123" s="142">
        <v>803</v>
      </c>
      <c r="N123" s="239"/>
      <c r="O123" s="239"/>
      <c r="P123" s="239" t="s">
        <v>12</v>
      </c>
      <c r="Q123" s="239"/>
      <c r="R123" s="142">
        <v>24.6</v>
      </c>
    </row>
    <row r="124" spans="8:18">
      <c r="H124" s="239" t="s">
        <v>55</v>
      </c>
      <c r="I124" s="142">
        <v>0.65</v>
      </c>
      <c r="J124" s="240"/>
      <c r="K124" s="142">
        <v>2.2800000000000001E-2</v>
      </c>
      <c r="L124" s="142">
        <v>1.1999999999999999E-3</v>
      </c>
      <c r="M124" s="142">
        <v>789</v>
      </c>
      <c r="N124" s="239"/>
      <c r="O124" s="239"/>
      <c r="P124" s="239" t="s">
        <v>12</v>
      </c>
      <c r="Q124" s="239"/>
      <c r="R124" s="142">
        <v>20</v>
      </c>
    </row>
    <row r="125" spans="8:18">
      <c r="H125" s="239" t="s">
        <v>55</v>
      </c>
      <c r="I125" s="142">
        <v>0.84</v>
      </c>
      <c r="J125" s="240"/>
      <c r="K125" s="142">
        <v>2.2800000000000001E-2</v>
      </c>
      <c r="L125" s="142">
        <v>1.1999999999999999E-3</v>
      </c>
      <c r="M125" s="142">
        <v>789</v>
      </c>
      <c r="N125" s="239"/>
      <c r="O125" s="239"/>
      <c r="P125" s="239" t="s">
        <v>12</v>
      </c>
      <c r="Q125" s="239"/>
      <c r="R125" s="142">
        <v>20.2</v>
      </c>
    </row>
    <row r="126" spans="8:18">
      <c r="H126" s="239" t="s">
        <v>55</v>
      </c>
      <c r="I126" s="142">
        <v>1.29</v>
      </c>
      <c r="J126" s="240"/>
      <c r="K126" s="142">
        <v>2.2800000000000001E-2</v>
      </c>
      <c r="L126" s="142">
        <v>1.1999999999999999E-3</v>
      </c>
      <c r="M126" s="142">
        <v>789</v>
      </c>
      <c r="N126" s="239"/>
      <c r="O126" s="239"/>
      <c r="P126" s="239" t="s">
        <v>12</v>
      </c>
      <c r="Q126" s="239"/>
      <c r="R126" s="142">
        <v>20.5</v>
      </c>
    </row>
    <row r="127" spans="8:18">
      <c r="H127" s="239" t="s">
        <v>55</v>
      </c>
      <c r="I127" s="142">
        <v>1.76</v>
      </c>
      <c r="J127" s="240"/>
      <c r="K127" s="142">
        <v>2.2800000000000001E-2</v>
      </c>
      <c r="L127" s="142">
        <v>1.1999999999999999E-3</v>
      </c>
      <c r="M127" s="142">
        <v>789</v>
      </c>
      <c r="N127" s="239"/>
      <c r="O127" s="239"/>
      <c r="P127" s="239" t="s">
        <v>12</v>
      </c>
      <c r="Q127" s="239"/>
      <c r="R127" s="142">
        <v>20.9</v>
      </c>
    </row>
    <row r="128" spans="8:18">
      <c r="H128" s="239" t="s">
        <v>55</v>
      </c>
      <c r="I128" s="142">
        <v>2.38</v>
      </c>
      <c r="J128" s="240"/>
      <c r="K128" s="142">
        <v>2.2800000000000001E-2</v>
      </c>
      <c r="L128" s="142">
        <v>1.1999999999999999E-3</v>
      </c>
      <c r="M128" s="142">
        <v>789</v>
      </c>
      <c r="N128" s="239"/>
      <c r="O128" s="239"/>
      <c r="P128" s="239" t="s">
        <v>12</v>
      </c>
      <c r="Q128" s="239"/>
      <c r="R128" s="142">
        <v>21.4</v>
      </c>
    </row>
    <row r="129" spans="8:18">
      <c r="H129" s="239" t="s">
        <v>55</v>
      </c>
      <c r="I129" s="142">
        <v>2.93</v>
      </c>
      <c r="J129" s="240"/>
      <c r="K129" s="142">
        <v>2.2800000000000001E-2</v>
      </c>
      <c r="L129" s="142">
        <v>1.1999999999999999E-3</v>
      </c>
      <c r="M129" s="142">
        <v>789</v>
      </c>
      <c r="N129" s="239"/>
      <c r="O129" s="239"/>
      <c r="P129" s="239" t="s">
        <v>12</v>
      </c>
      <c r="Q129" s="239"/>
      <c r="R129" s="142">
        <v>21.5</v>
      </c>
    </row>
    <row r="130" spans="8:18">
      <c r="H130" s="239" t="s">
        <v>55</v>
      </c>
      <c r="I130" s="142">
        <v>3.39</v>
      </c>
      <c r="J130" s="240"/>
      <c r="K130" s="142">
        <v>2.2800000000000001E-2</v>
      </c>
      <c r="L130" s="142">
        <v>1.1999999999999999E-3</v>
      </c>
      <c r="M130" s="142">
        <v>789</v>
      </c>
      <c r="N130" s="239"/>
      <c r="O130" s="239"/>
      <c r="P130" s="239" t="s">
        <v>12</v>
      </c>
      <c r="Q130" s="239"/>
      <c r="R130" s="142">
        <v>21.8</v>
      </c>
    </row>
    <row r="131" spans="8:18">
      <c r="H131" s="239" t="s">
        <v>55</v>
      </c>
      <c r="I131" s="142">
        <v>3.9</v>
      </c>
      <c r="J131" s="240"/>
      <c r="K131" s="142">
        <v>2.2800000000000001E-2</v>
      </c>
      <c r="L131" s="142">
        <v>1.1999999999999999E-3</v>
      </c>
      <c r="M131" s="142">
        <v>789</v>
      </c>
      <c r="N131" s="239"/>
      <c r="O131" s="239"/>
      <c r="P131" s="239" t="s">
        <v>12</v>
      </c>
      <c r="Q131" s="239"/>
      <c r="R131" s="142">
        <v>22</v>
      </c>
    </row>
    <row r="132" spans="8:18">
      <c r="H132" s="239" t="s">
        <v>55</v>
      </c>
      <c r="I132" s="142">
        <v>4.5199999999999996</v>
      </c>
      <c r="J132" s="240"/>
      <c r="K132" s="142">
        <v>2.2800000000000001E-2</v>
      </c>
      <c r="L132" s="142">
        <v>1.1999999999999999E-3</v>
      </c>
      <c r="M132" s="142">
        <v>789</v>
      </c>
      <c r="N132" s="239"/>
      <c r="O132" s="239"/>
      <c r="P132" s="239" t="s">
        <v>12</v>
      </c>
      <c r="Q132" s="239"/>
      <c r="R132" s="142">
        <v>22.3</v>
      </c>
    </row>
    <row r="133" spans="8:18">
      <c r="H133" s="239" t="s">
        <v>55</v>
      </c>
      <c r="I133" s="142">
        <v>5.03</v>
      </c>
      <c r="J133" s="240"/>
      <c r="K133" s="142">
        <v>2.2800000000000001E-2</v>
      </c>
      <c r="L133" s="142">
        <v>1.1999999999999999E-3</v>
      </c>
      <c r="M133" s="142">
        <v>789</v>
      </c>
      <c r="N133" s="239"/>
      <c r="O133" s="239"/>
      <c r="P133" s="239" t="s">
        <v>12</v>
      </c>
      <c r="Q133" s="239"/>
      <c r="R133" s="142">
        <v>22.5</v>
      </c>
    </row>
    <row r="134" spans="8:18">
      <c r="H134" s="239" t="s">
        <v>55</v>
      </c>
      <c r="I134" s="142">
        <v>5.74</v>
      </c>
      <c r="J134" s="240"/>
      <c r="K134" s="142">
        <v>2.2800000000000001E-2</v>
      </c>
      <c r="L134" s="142">
        <v>1.1999999999999999E-3</v>
      </c>
      <c r="M134" s="142">
        <v>789</v>
      </c>
      <c r="N134" s="239"/>
      <c r="O134" s="239"/>
      <c r="P134" s="239" t="s">
        <v>12</v>
      </c>
      <c r="Q134" s="239"/>
      <c r="R134" s="142">
        <v>22.7</v>
      </c>
    </row>
    <row r="135" spans="8:18">
      <c r="H135" s="239" t="s">
        <v>55</v>
      </c>
      <c r="I135" s="142">
        <v>6.34</v>
      </c>
      <c r="J135" s="240"/>
      <c r="K135" s="142">
        <v>2.2800000000000001E-2</v>
      </c>
      <c r="L135" s="142">
        <v>1.1999999999999999E-3</v>
      </c>
      <c r="M135" s="142">
        <v>789</v>
      </c>
      <c r="N135" s="239"/>
      <c r="O135" s="239"/>
      <c r="P135" s="239" t="s">
        <v>12</v>
      </c>
      <c r="Q135" s="239"/>
      <c r="R135" s="142">
        <v>22.9</v>
      </c>
    </row>
    <row r="136" spans="8:18">
      <c r="H136" s="239" t="s">
        <v>55</v>
      </c>
      <c r="I136" s="142">
        <v>6.92</v>
      </c>
      <c r="J136" s="240"/>
      <c r="K136" s="142">
        <v>2.2800000000000001E-2</v>
      </c>
      <c r="L136" s="142">
        <v>1.1999999999999999E-3</v>
      </c>
      <c r="M136" s="142">
        <v>789</v>
      </c>
      <c r="N136" s="239"/>
      <c r="O136" s="239"/>
      <c r="P136" s="239" t="s">
        <v>12</v>
      </c>
      <c r="Q136" s="239"/>
      <c r="R136" s="142">
        <v>23.1</v>
      </c>
    </row>
    <row r="137" spans="8:18">
      <c r="H137" s="239" t="s">
        <v>55</v>
      </c>
      <c r="I137" s="142">
        <v>7.57</v>
      </c>
      <c r="J137" s="240"/>
      <c r="K137" s="142">
        <v>2.2800000000000001E-2</v>
      </c>
      <c r="L137" s="142">
        <v>1.1999999999999999E-3</v>
      </c>
      <c r="M137" s="142">
        <v>789</v>
      </c>
      <c r="N137" s="239"/>
      <c r="O137" s="239"/>
      <c r="P137" s="239" t="s">
        <v>12</v>
      </c>
      <c r="Q137" s="239"/>
      <c r="R137" s="142">
        <v>23.3</v>
      </c>
    </row>
    <row r="138" spans="8:18">
      <c r="H138" s="239" t="s">
        <v>55</v>
      </c>
      <c r="I138" s="142">
        <v>8.08</v>
      </c>
      <c r="J138" s="240"/>
      <c r="K138" s="142">
        <v>2.2800000000000001E-2</v>
      </c>
      <c r="L138" s="142">
        <v>1.1999999999999999E-3</v>
      </c>
      <c r="M138" s="142">
        <v>789</v>
      </c>
      <c r="N138" s="239"/>
      <c r="O138" s="239"/>
      <c r="P138" s="239" t="s">
        <v>12</v>
      </c>
      <c r="Q138" s="239"/>
      <c r="R138" s="142">
        <v>23.4</v>
      </c>
    </row>
    <row r="139" spans="8:18">
      <c r="H139" s="239" t="s">
        <v>55</v>
      </c>
      <c r="I139" s="142">
        <v>8.91</v>
      </c>
      <c r="J139" s="240"/>
      <c r="K139" s="142">
        <v>2.2800000000000001E-2</v>
      </c>
      <c r="L139" s="142">
        <v>1.1999999999999999E-3</v>
      </c>
      <c r="M139" s="142">
        <v>789</v>
      </c>
      <c r="N139" s="239"/>
      <c r="O139" s="239"/>
      <c r="P139" s="239" t="s">
        <v>12</v>
      </c>
      <c r="Q139" s="239"/>
      <c r="R139" s="142">
        <v>23.5</v>
      </c>
    </row>
    <row r="140" spans="8:18">
      <c r="H140" s="239" t="s">
        <v>55</v>
      </c>
      <c r="I140" s="142">
        <v>9.5</v>
      </c>
      <c r="J140" s="240"/>
      <c r="K140" s="142">
        <v>2.2800000000000001E-2</v>
      </c>
      <c r="L140" s="142">
        <v>1.1999999999999999E-3</v>
      </c>
      <c r="M140" s="142">
        <v>789</v>
      </c>
      <c r="N140" s="239"/>
      <c r="O140" s="239"/>
      <c r="P140" s="239" t="s">
        <v>12</v>
      </c>
      <c r="Q140" s="239"/>
      <c r="R140" s="142">
        <v>23.7</v>
      </c>
    </row>
    <row r="141" spans="8:18">
      <c r="H141" s="239" t="s">
        <v>55</v>
      </c>
      <c r="I141" s="142">
        <v>10.23</v>
      </c>
      <c r="J141" s="240"/>
      <c r="K141" s="142">
        <v>2.2800000000000001E-2</v>
      </c>
      <c r="L141" s="142">
        <v>1.1999999999999999E-3</v>
      </c>
      <c r="M141" s="142">
        <v>789</v>
      </c>
      <c r="N141" s="239"/>
      <c r="O141" s="239"/>
      <c r="P141" s="239" t="s">
        <v>12</v>
      </c>
      <c r="Q141" s="239"/>
      <c r="R141" s="142">
        <v>23.9</v>
      </c>
    </row>
    <row r="142" spans="8:18">
      <c r="H142" s="239" t="s">
        <v>55</v>
      </c>
      <c r="I142" s="142">
        <v>11.3</v>
      </c>
      <c r="J142" s="240"/>
      <c r="K142" s="142">
        <v>2.2800000000000001E-2</v>
      </c>
      <c r="L142" s="142">
        <v>1.1999999999999999E-3</v>
      </c>
      <c r="M142" s="142">
        <v>789</v>
      </c>
      <c r="N142" s="239"/>
      <c r="O142" s="239"/>
      <c r="P142" s="239" t="s">
        <v>12</v>
      </c>
      <c r="Q142" s="239"/>
      <c r="R142" s="142">
        <v>24.1</v>
      </c>
    </row>
    <row r="143" spans="8:18">
      <c r="H143" s="239" t="s">
        <v>55</v>
      </c>
      <c r="I143" s="142">
        <v>0.64</v>
      </c>
      <c r="J143" s="240"/>
      <c r="K143" s="142">
        <v>2.2700000000000001E-2</v>
      </c>
      <c r="L143" s="142">
        <v>5.9999999999999995E-4</v>
      </c>
      <c r="M143" s="142">
        <v>792</v>
      </c>
      <c r="N143" s="239"/>
      <c r="O143" s="239"/>
      <c r="P143" s="239" t="s">
        <v>12</v>
      </c>
      <c r="Q143" s="239"/>
      <c r="R143" s="142">
        <v>19.399999999999999</v>
      </c>
    </row>
    <row r="144" spans="8:18">
      <c r="H144" s="239" t="s">
        <v>55</v>
      </c>
      <c r="I144" s="142">
        <v>0.99</v>
      </c>
      <c r="J144" s="240"/>
      <c r="K144" s="142">
        <v>2.2700000000000001E-2</v>
      </c>
      <c r="L144" s="142">
        <v>5.9999999999999995E-4</v>
      </c>
      <c r="M144" s="142">
        <v>792</v>
      </c>
      <c r="N144" s="239"/>
      <c r="O144" s="239"/>
      <c r="P144" s="239" t="s">
        <v>12</v>
      </c>
      <c r="Q144" s="239"/>
      <c r="R144" s="142">
        <v>19.7</v>
      </c>
    </row>
    <row r="145" spans="1:18">
      <c r="H145" s="239" t="s">
        <v>55</v>
      </c>
      <c r="I145" s="142">
        <v>1.26</v>
      </c>
      <c r="J145" s="240"/>
      <c r="K145" s="142">
        <v>2.2700000000000001E-2</v>
      </c>
      <c r="L145" s="142">
        <v>5.9999999999999995E-4</v>
      </c>
      <c r="M145" s="142">
        <v>792</v>
      </c>
      <c r="N145" s="239"/>
      <c r="O145" s="239"/>
      <c r="P145" s="239" t="s">
        <v>12</v>
      </c>
      <c r="Q145" s="239"/>
      <c r="R145" s="142">
        <v>20</v>
      </c>
    </row>
    <row r="146" spans="1:18">
      <c r="H146" s="239" t="s">
        <v>55</v>
      </c>
      <c r="I146" s="142">
        <v>1.74</v>
      </c>
      <c r="J146" s="240"/>
      <c r="K146" s="142">
        <v>2.2700000000000001E-2</v>
      </c>
      <c r="L146" s="142">
        <v>5.9999999999999995E-4</v>
      </c>
      <c r="M146" s="142">
        <v>792</v>
      </c>
      <c r="N146" s="239"/>
      <c r="O146" s="239"/>
      <c r="P146" s="239" t="s">
        <v>12</v>
      </c>
      <c r="Q146" s="239"/>
      <c r="R146" s="142">
        <v>20.3</v>
      </c>
    </row>
    <row r="147" spans="1:18">
      <c r="H147" s="239" t="s">
        <v>55</v>
      </c>
      <c r="I147" s="142">
        <v>2.36</v>
      </c>
      <c r="J147" s="240"/>
      <c r="K147" s="142">
        <v>2.2700000000000001E-2</v>
      </c>
      <c r="L147" s="142">
        <v>5.9999999999999995E-4</v>
      </c>
      <c r="M147" s="142">
        <v>792</v>
      </c>
      <c r="N147" s="239"/>
      <c r="O147" s="239"/>
      <c r="P147" s="239" t="s">
        <v>12</v>
      </c>
      <c r="Q147" s="239"/>
      <c r="R147" s="142">
        <v>20.9</v>
      </c>
    </row>
    <row r="148" spans="1:18">
      <c r="H148" s="239" t="s">
        <v>55</v>
      </c>
      <c r="I148" s="142">
        <v>2.87</v>
      </c>
      <c r="J148" s="240"/>
      <c r="K148" s="142">
        <v>2.2700000000000001E-2</v>
      </c>
      <c r="L148" s="142">
        <v>5.9999999999999995E-4</v>
      </c>
      <c r="M148" s="142">
        <v>792</v>
      </c>
      <c r="N148" s="239"/>
      <c r="O148" s="239"/>
      <c r="P148" s="239" t="s">
        <v>12</v>
      </c>
      <c r="Q148" s="239"/>
      <c r="R148" s="142">
        <v>21.1</v>
      </c>
    </row>
    <row r="149" spans="1:18">
      <c r="H149" s="239" t="s">
        <v>55</v>
      </c>
      <c r="I149" s="142">
        <v>3.38</v>
      </c>
      <c r="J149" s="240"/>
      <c r="K149" s="142">
        <v>2.2700000000000001E-2</v>
      </c>
      <c r="L149" s="142">
        <v>5.9999999999999995E-4</v>
      </c>
      <c r="M149" s="142">
        <v>792</v>
      </c>
      <c r="N149" s="239"/>
      <c r="O149" s="239"/>
      <c r="P149" s="239" t="s">
        <v>12</v>
      </c>
      <c r="Q149" s="239"/>
      <c r="R149" s="142">
        <v>21.5</v>
      </c>
    </row>
    <row r="150" spans="1:18">
      <c r="H150" s="239" t="s">
        <v>55</v>
      </c>
      <c r="I150" s="142">
        <v>3.85</v>
      </c>
      <c r="J150" s="240"/>
      <c r="K150" s="142">
        <v>2.2700000000000001E-2</v>
      </c>
      <c r="L150" s="142">
        <v>5.9999999999999995E-4</v>
      </c>
      <c r="M150" s="142">
        <v>792</v>
      </c>
      <c r="N150" s="239"/>
      <c r="O150" s="239"/>
      <c r="P150" s="239" t="s">
        <v>12</v>
      </c>
      <c r="Q150" s="239"/>
      <c r="R150" s="142">
        <v>21.7</v>
      </c>
    </row>
    <row r="151" spans="1:18">
      <c r="B151" s="84" t="s">
        <v>103</v>
      </c>
      <c r="C151" s="84" t="s">
        <v>104</v>
      </c>
      <c r="D151" s="84" t="s">
        <v>105</v>
      </c>
      <c r="E151" s="84" t="s">
        <v>106</v>
      </c>
      <c r="F151" s="84" t="s">
        <v>107</v>
      </c>
      <c r="H151" s="239" t="s">
        <v>55</v>
      </c>
      <c r="I151" s="142">
        <v>4.51</v>
      </c>
      <c r="J151" s="240"/>
      <c r="K151" s="142">
        <v>2.2700000000000001E-2</v>
      </c>
      <c r="L151" s="142">
        <v>5.9999999999999995E-4</v>
      </c>
      <c r="M151" s="142">
        <v>792</v>
      </c>
      <c r="N151" s="239"/>
      <c r="O151" s="239"/>
      <c r="P151" s="239" t="s">
        <v>12</v>
      </c>
      <c r="Q151" s="239"/>
      <c r="R151" s="142">
        <v>22</v>
      </c>
    </row>
    <row r="152" spans="1:18">
      <c r="A152" s="84" t="s">
        <v>108</v>
      </c>
      <c r="B152" s="84">
        <v>878</v>
      </c>
      <c r="C152" s="84">
        <v>100</v>
      </c>
      <c r="D152" s="84">
        <v>530</v>
      </c>
      <c r="E152" s="84">
        <v>591</v>
      </c>
      <c r="F152" s="85">
        <f t="shared" ref="F152:F153" si="3">SUM(B152:E152)</f>
        <v>2099</v>
      </c>
      <c r="H152" s="239" t="s">
        <v>55</v>
      </c>
      <c r="I152" s="142">
        <v>4.9800000000000004</v>
      </c>
      <c r="J152" s="240"/>
      <c r="K152" s="142">
        <v>2.2700000000000001E-2</v>
      </c>
      <c r="L152" s="142">
        <v>5.9999999999999995E-4</v>
      </c>
      <c r="M152" s="142">
        <v>792</v>
      </c>
      <c r="N152" s="239"/>
      <c r="O152" s="239"/>
      <c r="P152" s="239" t="s">
        <v>12</v>
      </c>
      <c r="Q152" s="239"/>
      <c r="R152" s="142">
        <v>22.2</v>
      </c>
    </row>
    <row r="153" spans="1:18">
      <c r="A153" s="84" t="s">
        <v>109</v>
      </c>
      <c r="B153" s="84">
        <v>968</v>
      </c>
      <c r="C153" s="84">
        <v>386</v>
      </c>
      <c r="D153" s="84">
        <v>27</v>
      </c>
      <c r="E153" s="84">
        <v>273</v>
      </c>
      <c r="F153" s="85">
        <f t="shared" si="3"/>
        <v>1654</v>
      </c>
      <c r="H153" s="239" t="s">
        <v>55</v>
      </c>
      <c r="I153" s="142">
        <v>5.75</v>
      </c>
      <c r="J153" s="240"/>
      <c r="K153" s="142">
        <v>2.2700000000000001E-2</v>
      </c>
      <c r="L153" s="142">
        <v>5.9999999999999995E-4</v>
      </c>
      <c r="M153" s="142">
        <v>792</v>
      </c>
      <c r="N153" s="239"/>
      <c r="O153" s="239"/>
      <c r="P153" s="239" t="s">
        <v>12</v>
      </c>
      <c r="Q153" s="239"/>
      <c r="R153" s="142">
        <v>22.4</v>
      </c>
    </row>
    <row r="154" spans="1:18">
      <c r="H154" s="239" t="s">
        <v>55</v>
      </c>
      <c r="I154" s="142">
        <v>6.31</v>
      </c>
      <c r="J154" s="240"/>
      <c r="K154" s="142">
        <v>2.2700000000000001E-2</v>
      </c>
      <c r="L154" s="142">
        <v>5.9999999999999995E-4</v>
      </c>
      <c r="M154" s="142">
        <v>792</v>
      </c>
      <c r="N154" s="239"/>
      <c r="O154" s="239"/>
      <c r="P154" s="239" t="s">
        <v>12</v>
      </c>
      <c r="Q154" s="239"/>
      <c r="R154" s="142">
        <v>22.6</v>
      </c>
    </row>
    <row r="155" spans="1:18">
      <c r="H155" s="239" t="s">
        <v>55</v>
      </c>
      <c r="I155" s="142">
        <v>6.9</v>
      </c>
      <c r="J155" s="240"/>
      <c r="K155" s="142">
        <v>2.2700000000000001E-2</v>
      </c>
      <c r="L155" s="142">
        <v>5.9999999999999995E-4</v>
      </c>
      <c r="M155" s="142">
        <v>792</v>
      </c>
      <c r="N155" s="239"/>
      <c r="O155" s="239"/>
      <c r="P155" s="239" t="s">
        <v>12</v>
      </c>
      <c r="Q155" s="239"/>
      <c r="R155" s="142">
        <v>22.9</v>
      </c>
    </row>
    <row r="156" spans="1:18">
      <c r="H156" s="239" t="s">
        <v>55</v>
      </c>
      <c r="I156" s="142">
        <v>7.5</v>
      </c>
      <c r="J156" s="240"/>
      <c r="K156" s="142">
        <v>2.2700000000000001E-2</v>
      </c>
      <c r="L156" s="142">
        <v>5.9999999999999995E-4</v>
      </c>
      <c r="M156" s="142">
        <v>792</v>
      </c>
      <c r="N156" s="239"/>
      <c r="O156" s="239"/>
      <c r="P156" s="239" t="s">
        <v>12</v>
      </c>
      <c r="Q156" s="239"/>
      <c r="R156" s="142">
        <v>23.1</v>
      </c>
    </row>
    <row r="157" spans="1:18">
      <c r="H157" s="239" t="s">
        <v>55</v>
      </c>
      <c r="I157" s="142">
        <v>8.09</v>
      </c>
      <c r="J157" s="240"/>
      <c r="K157" s="142">
        <v>2.2700000000000001E-2</v>
      </c>
      <c r="L157" s="142">
        <v>5.9999999999999995E-4</v>
      </c>
      <c r="M157" s="142">
        <v>792</v>
      </c>
      <c r="N157" s="239"/>
      <c r="O157" s="239"/>
      <c r="P157" s="239" t="s">
        <v>12</v>
      </c>
      <c r="Q157" s="239"/>
      <c r="R157" s="142">
        <v>23.2</v>
      </c>
    </row>
    <row r="158" spans="1:18">
      <c r="A158" s="84" t="s">
        <v>110</v>
      </c>
      <c r="H158" s="239" t="s">
        <v>55</v>
      </c>
      <c r="I158" s="142">
        <v>8.93</v>
      </c>
      <c r="J158" s="240"/>
      <c r="K158" s="142">
        <v>2.2700000000000001E-2</v>
      </c>
      <c r="L158" s="142">
        <v>5.9999999999999995E-4</v>
      </c>
      <c r="M158" s="142">
        <v>792</v>
      </c>
      <c r="N158" s="239"/>
      <c r="O158" s="239"/>
      <c r="P158" s="239" t="s">
        <v>12</v>
      </c>
      <c r="Q158" s="239"/>
      <c r="R158" s="142">
        <v>23.6</v>
      </c>
    </row>
    <row r="159" spans="1:18">
      <c r="H159" s="239" t="s">
        <v>55</v>
      </c>
      <c r="I159" s="142">
        <v>9.3699999999999992</v>
      </c>
      <c r="J159" s="240"/>
      <c r="K159" s="142">
        <v>2.2700000000000001E-2</v>
      </c>
      <c r="L159" s="142">
        <v>5.9999999999999995E-4</v>
      </c>
      <c r="M159" s="142">
        <v>792</v>
      </c>
      <c r="N159" s="239"/>
      <c r="O159" s="239"/>
      <c r="P159" s="239" t="s">
        <v>12</v>
      </c>
      <c r="Q159" s="239"/>
      <c r="R159" s="142">
        <v>23.7</v>
      </c>
    </row>
    <row r="160" spans="1:18">
      <c r="H160" s="239" t="s">
        <v>55</v>
      </c>
      <c r="I160" s="142">
        <v>10.210000000000001</v>
      </c>
      <c r="J160" s="240"/>
      <c r="K160" s="142">
        <v>2.2700000000000001E-2</v>
      </c>
      <c r="L160" s="142">
        <v>5.9999999999999995E-4</v>
      </c>
      <c r="M160" s="142">
        <v>792</v>
      </c>
      <c r="N160" s="239"/>
      <c r="O160" s="239"/>
      <c r="P160" s="239" t="s">
        <v>12</v>
      </c>
      <c r="Q160" s="239"/>
      <c r="R160" s="142">
        <v>24</v>
      </c>
    </row>
    <row r="161" spans="8:18">
      <c r="H161" s="239" t="s">
        <v>55</v>
      </c>
      <c r="I161" s="142">
        <v>11.22</v>
      </c>
      <c r="J161" s="240"/>
      <c r="K161" s="142">
        <v>2.2700000000000001E-2</v>
      </c>
      <c r="L161" s="142">
        <v>5.9999999999999995E-4</v>
      </c>
      <c r="M161" s="142">
        <v>792</v>
      </c>
      <c r="N161" s="239"/>
      <c r="O161" s="239"/>
      <c r="P161" s="239" t="s">
        <v>12</v>
      </c>
      <c r="Q161" s="239"/>
      <c r="R161" s="142">
        <v>24.2</v>
      </c>
    </row>
    <row r="162" spans="8:18">
      <c r="H162" s="239" t="s">
        <v>55</v>
      </c>
      <c r="I162" s="142">
        <v>0.17</v>
      </c>
      <c r="J162" s="240"/>
      <c r="K162" s="142">
        <v>2.1700000000000001E-2</v>
      </c>
      <c r="L162" s="142">
        <v>2.3999999999999998E-3</v>
      </c>
      <c r="M162" s="142">
        <v>786</v>
      </c>
      <c r="N162" s="239"/>
      <c r="O162" s="239"/>
      <c r="P162" s="239" t="s">
        <v>12</v>
      </c>
      <c r="Q162" s="239"/>
      <c r="R162" s="142">
        <v>14.5</v>
      </c>
    </row>
    <row r="163" spans="8:18">
      <c r="H163" s="239" t="s">
        <v>55</v>
      </c>
      <c r="I163" s="142">
        <v>0.36</v>
      </c>
      <c r="J163" s="240"/>
      <c r="K163" s="142">
        <v>2.1700000000000001E-2</v>
      </c>
      <c r="L163" s="142">
        <v>2.3999999999999998E-3</v>
      </c>
      <c r="M163" s="142">
        <v>786</v>
      </c>
      <c r="N163" s="239"/>
      <c r="O163" s="239"/>
      <c r="P163" s="239" t="s">
        <v>12</v>
      </c>
      <c r="Q163" s="239"/>
      <c r="R163" s="142">
        <v>14.6</v>
      </c>
    </row>
    <row r="164" spans="8:18">
      <c r="H164" s="239" t="s">
        <v>55</v>
      </c>
      <c r="I164" s="142">
        <v>0.59</v>
      </c>
      <c r="J164" s="240"/>
      <c r="K164" s="142">
        <v>2.1700000000000001E-2</v>
      </c>
      <c r="L164" s="142">
        <v>2.3999999999999998E-3</v>
      </c>
      <c r="M164" s="142">
        <v>786</v>
      </c>
      <c r="N164" s="239"/>
      <c r="O164" s="239"/>
      <c r="P164" s="239" t="s">
        <v>12</v>
      </c>
      <c r="Q164" s="239"/>
      <c r="R164" s="142">
        <v>14.7</v>
      </c>
    </row>
    <row r="165" spans="8:18">
      <c r="H165" s="239" t="s">
        <v>55</v>
      </c>
      <c r="I165" s="142">
        <v>0.87</v>
      </c>
      <c r="J165" s="240"/>
      <c r="K165" s="142">
        <v>2.1700000000000001E-2</v>
      </c>
      <c r="L165" s="142">
        <v>2.3999999999999998E-3</v>
      </c>
      <c r="M165" s="142">
        <v>786</v>
      </c>
      <c r="N165" s="239"/>
      <c r="O165" s="239"/>
      <c r="P165" s="239" t="s">
        <v>12</v>
      </c>
      <c r="Q165" s="239"/>
      <c r="R165" s="142">
        <v>14.7</v>
      </c>
    </row>
    <row r="166" spans="8:18">
      <c r="H166" s="239" t="s">
        <v>55</v>
      </c>
      <c r="I166" s="142">
        <v>1.79</v>
      </c>
      <c r="J166" s="240"/>
      <c r="K166" s="142">
        <v>2.1700000000000001E-2</v>
      </c>
      <c r="L166" s="142">
        <v>2.3999999999999998E-3</v>
      </c>
      <c r="M166" s="142">
        <v>786</v>
      </c>
      <c r="N166" s="239"/>
      <c r="O166" s="239"/>
      <c r="P166" s="239" t="s">
        <v>12</v>
      </c>
      <c r="Q166" s="239"/>
      <c r="R166" s="142">
        <v>15</v>
      </c>
    </row>
    <row r="167" spans="8:18">
      <c r="H167" s="239" t="s">
        <v>55</v>
      </c>
      <c r="I167" s="142">
        <v>2</v>
      </c>
      <c r="J167" s="240"/>
      <c r="K167" s="142">
        <v>2.1700000000000001E-2</v>
      </c>
      <c r="L167" s="142">
        <v>2.3999999999999998E-3</v>
      </c>
      <c r="M167" s="142">
        <v>786</v>
      </c>
      <c r="N167" s="239"/>
      <c r="O167" s="239"/>
      <c r="P167" s="239" t="s">
        <v>12</v>
      </c>
      <c r="Q167" s="239"/>
      <c r="R167" s="142">
        <v>15.2</v>
      </c>
    </row>
    <row r="168" spans="8:18">
      <c r="H168" s="239" t="s">
        <v>55</v>
      </c>
      <c r="I168" s="142">
        <v>2.54</v>
      </c>
      <c r="J168" s="240"/>
      <c r="K168" s="142">
        <v>2.1700000000000001E-2</v>
      </c>
      <c r="L168" s="142">
        <v>2.3999999999999998E-3</v>
      </c>
      <c r="M168" s="142">
        <v>786</v>
      </c>
      <c r="N168" s="239"/>
      <c r="O168" s="239"/>
      <c r="P168" s="239" t="s">
        <v>12</v>
      </c>
      <c r="Q168" s="239"/>
      <c r="R168" s="142">
        <v>15.5</v>
      </c>
    </row>
    <row r="169" spans="8:18">
      <c r="H169" s="239" t="s">
        <v>55</v>
      </c>
      <c r="I169" s="142">
        <v>2.85</v>
      </c>
      <c r="J169" s="240"/>
      <c r="K169" s="142">
        <v>2.1700000000000001E-2</v>
      </c>
      <c r="L169" s="142">
        <v>2.3999999999999998E-3</v>
      </c>
      <c r="M169" s="142">
        <v>786</v>
      </c>
      <c r="N169" s="239"/>
      <c r="O169" s="239"/>
      <c r="P169" s="239" t="s">
        <v>12</v>
      </c>
      <c r="Q169" s="239"/>
      <c r="R169" s="142">
        <v>15.9</v>
      </c>
    </row>
    <row r="170" spans="8:18">
      <c r="H170" s="239" t="s">
        <v>55</v>
      </c>
      <c r="I170" s="142">
        <v>3.44</v>
      </c>
      <c r="J170" s="240"/>
      <c r="K170" s="142">
        <v>2.1700000000000001E-2</v>
      </c>
      <c r="L170" s="142">
        <v>2.3999999999999998E-3</v>
      </c>
      <c r="M170" s="142">
        <v>786</v>
      </c>
      <c r="N170" s="239"/>
      <c r="O170" s="239"/>
      <c r="P170" s="239" t="s">
        <v>12</v>
      </c>
      <c r="Q170" s="239"/>
      <c r="R170" s="142">
        <v>16.2</v>
      </c>
    </row>
    <row r="171" spans="8:18">
      <c r="H171" s="239" t="s">
        <v>55</v>
      </c>
      <c r="I171" s="142">
        <v>4.53</v>
      </c>
      <c r="J171" s="240"/>
      <c r="K171" s="142">
        <v>2.1700000000000001E-2</v>
      </c>
      <c r="L171" s="142">
        <v>2.3999999999999998E-3</v>
      </c>
      <c r="M171" s="142">
        <v>786</v>
      </c>
      <c r="N171" s="239"/>
      <c r="O171" s="239"/>
      <c r="P171" s="239" t="s">
        <v>12</v>
      </c>
      <c r="Q171" s="239"/>
      <c r="R171" s="142">
        <v>17.100000000000001</v>
      </c>
    </row>
    <row r="172" spans="8:18">
      <c r="H172" s="239" t="s">
        <v>55</v>
      </c>
      <c r="I172" s="142">
        <v>5.62</v>
      </c>
      <c r="J172" s="240"/>
      <c r="K172" s="142">
        <v>2.1700000000000001E-2</v>
      </c>
      <c r="L172" s="142">
        <v>2.3999999999999998E-3</v>
      </c>
      <c r="M172" s="142">
        <v>786</v>
      </c>
      <c r="N172" s="239"/>
      <c r="O172" s="239"/>
      <c r="P172" s="239" t="s">
        <v>12</v>
      </c>
      <c r="Q172" s="239"/>
      <c r="R172" s="142">
        <v>17.7</v>
      </c>
    </row>
    <row r="173" spans="8:18">
      <c r="H173" s="239" t="s">
        <v>55</v>
      </c>
      <c r="I173" s="142">
        <v>6.29</v>
      </c>
      <c r="J173" s="240"/>
      <c r="K173" s="142">
        <v>2.1700000000000001E-2</v>
      </c>
      <c r="L173" s="142">
        <v>2.3999999999999998E-3</v>
      </c>
      <c r="M173" s="142">
        <v>786</v>
      </c>
      <c r="N173" s="239"/>
      <c r="O173" s="239"/>
      <c r="P173" s="239" t="s">
        <v>12</v>
      </c>
      <c r="Q173" s="239"/>
      <c r="R173" s="142">
        <v>18.3</v>
      </c>
    </row>
    <row r="174" spans="8:18">
      <c r="H174" s="239" t="s">
        <v>55</v>
      </c>
      <c r="I174" s="142">
        <v>8.31</v>
      </c>
      <c r="J174" s="240"/>
      <c r="K174" s="142">
        <v>2.1700000000000001E-2</v>
      </c>
      <c r="L174" s="142">
        <v>2.3999999999999998E-3</v>
      </c>
      <c r="M174" s="142">
        <v>786</v>
      </c>
      <c r="N174" s="239"/>
      <c r="O174" s="239"/>
      <c r="P174" s="239" t="s">
        <v>12</v>
      </c>
      <c r="Q174" s="239"/>
      <c r="R174" s="142">
        <v>19.3</v>
      </c>
    </row>
    <row r="175" spans="8:18">
      <c r="H175" s="239" t="s">
        <v>55</v>
      </c>
      <c r="I175" s="142">
        <v>10.050000000000001</v>
      </c>
      <c r="J175" s="240"/>
      <c r="K175" s="142">
        <v>2.1700000000000001E-2</v>
      </c>
      <c r="L175" s="142">
        <v>2.3999999999999998E-3</v>
      </c>
      <c r="M175" s="142">
        <v>786</v>
      </c>
      <c r="N175" s="239"/>
      <c r="O175" s="239"/>
      <c r="P175" s="239" t="s">
        <v>12</v>
      </c>
      <c r="Q175" s="239"/>
      <c r="R175" s="142">
        <v>20.5</v>
      </c>
    </row>
    <row r="176" spans="8:18">
      <c r="H176" s="239" t="s">
        <v>55</v>
      </c>
      <c r="I176" s="142">
        <v>11.75</v>
      </c>
      <c r="J176" s="240"/>
      <c r="K176" s="142">
        <v>2.1700000000000001E-2</v>
      </c>
      <c r="L176" s="142">
        <v>2.3999999999999998E-3</v>
      </c>
      <c r="M176" s="142">
        <v>786</v>
      </c>
      <c r="N176" s="239"/>
      <c r="O176" s="239"/>
      <c r="P176" s="239" t="s">
        <v>12</v>
      </c>
      <c r="Q176" s="239"/>
      <c r="R176" s="142">
        <v>21</v>
      </c>
    </row>
    <row r="177" spans="1:24">
      <c r="H177" s="239" t="s">
        <v>55</v>
      </c>
      <c r="I177" s="142">
        <v>3.82</v>
      </c>
      <c r="J177" s="243">
        <v>2</v>
      </c>
      <c r="K177" s="142">
        <v>7.1999999999999995E-2</v>
      </c>
      <c r="L177" s="142">
        <v>1E-3</v>
      </c>
      <c r="M177" s="142">
        <v>1000</v>
      </c>
      <c r="N177" s="239"/>
      <c r="O177" s="239"/>
      <c r="P177" s="239" t="s">
        <v>34</v>
      </c>
      <c r="Q177" s="142">
        <v>0.18</v>
      </c>
      <c r="R177" s="142">
        <v>11.63</v>
      </c>
    </row>
    <row r="178" spans="1:24">
      <c r="H178" s="239" t="s">
        <v>55</v>
      </c>
      <c r="I178" s="142">
        <v>4.1100000000000003</v>
      </c>
      <c r="J178" s="243">
        <v>2</v>
      </c>
      <c r="K178" s="142">
        <v>7.1999999999999995E-2</v>
      </c>
      <c r="L178" s="142">
        <v>1E-3</v>
      </c>
      <c r="M178" s="142">
        <v>1000</v>
      </c>
      <c r="N178" s="239"/>
      <c r="O178" s="239"/>
      <c r="P178" s="239" t="s">
        <v>34</v>
      </c>
      <c r="Q178" s="142">
        <v>0.18</v>
      </c>
      <c r="R178" s="142">
        <v>12.75</v>
      </c>
    </row>
    <row r="179" spans="1:24">
      <c r="H179" s="239" t="s">
        <v>55</v>
      </c>
      <c r="I179" s="142">
        <v>4.3099999999999996</v>
      </c>
      <c r="J179" s="243">
        <v>2</v>
      </c>
      <c r="K179" s="142">
        <v>7.1999999999999995E-2</v>
      </c>
      <c r="L179" s="142">
        <v>1E-3</v>
      </c>
      <c r="M179" s="142">
        <v>1000</v>
      </c>
      <c r="N179" s="239"/>
      <c r="O179" s="239"/>
      <c r="P179" s="239" t="s">
        <v>34</v>
      </c>
      <c r="Q179" s="142">
        <v>0.18</v>
      </c>
      <c r="R179" s="142">
        <v>14.81</v>
      </c>
    </row>
    <row r="180" spans="1:24">
      <c r="H180" s="239" t="s">
        <v>55</v>
      </c>
      <c r="I180" s="142">
        <v>4.58</v>
      </c>
      <c r="J180" s="243">
        <v>2</v>
      </c>
      <c r="K180" s="142">
        <v>7.1999999999999995E-2</v>
      </c>
      <c r="L180" s="142">
        <v>1E-3</v>
      </c>
      <c r="M180" s="142">
        <v>1000</v>
      </c>
      <c r="N180" s="239"/>
      <c r="O180" s="239"/>
      <c r="P180" s="239" t="s">
        <v>34</v>
      </c>
      <c r="Q180" s="142">
        <v>0.18</v>
      </c>
      <c r="R180" s="142">
        <v>13.97</v>
      </c>
    </row>
    <row r="181" spans="1:24">
      <c r="H181" s="239" t="s">
        <v>55</v>
      </c>
      <c r="I181" s="142">
        <v>0.66</v>
      </c>
      <c r="J181" s="243">
        <v>2</v>
      </c>
      <c r="K181" s="142">
        <v>7.1999999999999995E-2</v>
      </c>
      <c r="L181" s="142">
        <v>1E-3</v>
      </c>
      <c r="M181" s="142">
        <v>1000</v>
      </c>
      <c r="N181" s="239"/>
      <c r="O181" s="239"/>
      <c r="P181" s="239" t="s">
        <v>34</v>
      </c>
      <c r="Q181" s="142">
        <v>1.08</v>
      </c>
      <c r="R181" s="142">
        <v>7.57</v>
      </c>
    </row>
    <row r="182" spans="1:24">
      <c r="H182" s="239" t="s">
        <v>55</v>
      </c>
      <c r="I182" s="142">
        <v>2.4700000000000002</v>
      </c>
      <c r="J182" s="243">
        <v>2</v>
      </c>
      <c r="K182" s="142">
        <v>7.1999999999999995E-2</v>
      </c>
      <c r="L182" s="142">
        <v>1E-3</v>
      </c>
      <c r="M182" s="142">
        <v>1000</v>
      </c>
      <c r="N182" s="239"/>
      <c r="O182" s="239"/>
      <c r="P182" s="239" t="s">
        <v>34</v>
      </c>
      <c r="Q182" s="142">
        <v>1.08</v>
      </c>
      <c r="R182" s="142">
        <v>7.88</v>
      </c>
    </row>
    <row r="183" spans="1:24">
      <c r="H183" s="239" t="s">
        <v>55</v>
      </c>
      <c r="I183" s="142">
        <v>3.19</v>
      </c>
      <c r="J183" s="243">
        <v>2</v>
      </c>
      <c r="K183" s="142">
        <v>7.1999999999999995E-2</v>
      </c>
      <c r="L183" s="142">
        <v>1E-3</v>
      </c>
      <c r="M183" s="142">
        <v>1000</v>
      </c>
      <c r="N183" s="239"/>
      <c r="O183" s="239"/>
      <c r="P183" s="239" t="s">
        <v>34</v>
      </c>
      <c r="Q183" s="142">
        <v>1.08</v>
      </c>
      <c r="R183" s="142">
        <v>8.42</v>
      </c>
    </row>
    <row r="189" spans="1:24" ht="15" customHeight="1">
      <c r="A189" s="224" t="s">
        <v>111</v>
      </c>
      <c r="E189" s="225" t="s">
        <v>53</v>
      </c>
      <c r="K189" s="253" t="s">
        <v>30</v>
      </c>
      <c r="L189" s="254"/>
      <c r="M189" s="254"/>
      <c r="N189" s="254"/>
      <c r="O189" s="254"/>
      <c r="P189" s="254"/>
    </row>
    <row r="190" spans="1:24">
      <c r="A190" s="193" t="s">
        <v>112</v>
      </c>
      <c r="B190" s="193" t="s">
        <v>113</v>
      </c>
      <c r="C190" s="193" t="s">
        <v>114</v>
      </c>
      <c r="E190" s="84" t="s">
        <v>115</v>
      </c>
      <c r="F190" s="84" t="s">
        <v>72</v>
      </c>
      <c r="G190" s="84" t="s">
        <v>73</v>
      </c>
      <c r="K190" s="84" t="s">
        <v>116</v>
      </c>
      <c r="L190" s="84" t="s">
        <v>117</v>
      </c>
      <c r="N190" s="84" t="s">
        <v>118</v>
      </c>
      <c r="O190" s="84" t="s">
        <v>119</v>
      </c>
      <c r="Q190" s="84" t="s">
        <v>74</v>
      </c>
      <c r="R190" s="84" t="s">
        <v>75</v>
      </c>
      <c r="T190" s="84" t="s">
        <v>76</v>
      </c>
      <c r="U190" s="84" t="s">
        <v>77</v>
      </c>
      <c r="W190" s="84" t="s">
        <v>78</v>
      </c>
      <c r="X190" s="84" t="s">
        <v>79</v>
      </c>
    </row>
    <row r="191" spans="1:24">
      <c r="A191" s="195">
        <v>294.26582278480998</v>
      </c>
      <c r="B191" s="244">
        <f t="shared" ref="B191:B210" si="4">A191-273.15</f>
        <v>21.115822784810007</v>
      </c>
      <c r="C191" s="245">
        <v>901.54103852596302</v>
      </c>
      <c r="E191" s="88">
        <v>21.022727272727199</v>
      </c>
      <c r="F191" s="85">
        <f t="shared" ref="F191:F210" si="5">E191*16.667</f>
        <v>350.38579545454428</v>
      </c>
      <c r="G191" s="88">
        <v>7.3717948717948696</v>
      </c>
      <c r="K191" s="84">
        <v>24</v>
      </c>
      <c r="L191" s="85">
        <f>K191*60</f>
        <v>1440</v>
      </c>
      <c r="N191" s="84">
        <v>711</v>
      </c>
      <c r="O191" s="85">
        <f>N191*0.001</f>
        <v>0.71099999999999997</v>
      </c>
      <c r="Q191" s="84">
        <v>1.25</v>
      </c>
      <c r="R191" s="84">
        <v>1250</v>
      </c>
      <c r="T191" s="84">
        <v>9.6000000000000002E-2</v>
      </c>
      <c r="U191" s="85">
        <f>T191*10*2</f>
        <v>1.92</v>
      </c>
      <c r="W191" s="84">
        <v>2.5</v>
      </c>
      <c r="X191" s="85">
        <f>2*POWER((3*W191*1000)/(4*PI()), 1/3)</f>
        <v>16.838903009606298</v>
      </c>
    </row>
    <row r="192" spans="1:24">
      <c r="A192" s="195">
        <v>299.582278481012</v>
      </c>
      <c r="B192" s="244">
        <f t="shared" si="4"/>
        <v>26.43227848101202</v>
      </c>
      <c r="C192" s="245">
        <v>897.08542713567795</v>
      </c>
      <c r="E192" s="92">
        <v>24.431818181818102</v>
      </c>
      <c r="F192" s="85">
        <f t="shared" si="5"/>
        <v>407.20511363636234</v>
      </c>
      <c r="G192" s="92">
        <v>7.6631701631701601</v>
      </c>
    </row>
    <row r="193" spans="1:24">
      <c r="A193" s="195">
        <v>304.89873417721498</v>
      </c>
      <c r="B193" s="244">
        <f t="shared" si="4"/>
        <v>31.748734177214999</v>
      </c>
      <c r="C193" s="245">
        <v>892.39530988274703</v>
      </c>
      <c r="E193" s="92">
        <v>35.227272727272698</v>
      </c>
      <c r="F193" s="85">
        <f t="shared" si="5"/>
        <v>587.13295454545414</v>
      </c>
      <c r="G193" s="92">
        <v>8.5081585081585001</v>
      </c>
      <c r="K193" s="92">
        <v>0.315126050420168</v>
      </c>
      <c r="L193" s="85">
        <f t="shared" ref="L193:L207" si="6">K193*60</f>
        <v>18.907563025210081</v>
      </c>
      <c r="N193" s="84">
        <v>515</v>
      </c>
      <c r="O193" s="85">
        <f t="shared" ref="O193:O207" si="7">N193*0.001</f>
        <v>0.51500000000000001</v>
      </c>
      <c r="W193" s="92">
        <v>4.5012019230769203E-2</v>
      </c>
      <c r="X193" s="85">
        <f t="shared" ref="X193:X207" si="8">2*POWER((3*W193*1000)/(4*PI()), 1/3)</f>
        <v>4.4134338790100367</v>
      </c>
    </row>
    <row r="194" spans="1:24">
      <c r="A194" s="195">
        <v>309.45569620253099</v>
      </c>
      <c r="B194" s="244">
        <f t="shared" si="4"/>
        <v>36.30569620253101</v>
      </c>
      <c r="C194" s="245">
        <v>887.93969849246196</v>
      </c>
      <c r="E194" s="92">
        <v>60.227272727272698</v>
      </c>
      <c r="F194" s="85">
        <f t="shared" si="5"/>
        <v>1003.8079545454542</v>
      </c>
      <c r="G194" s="92">
        <v>9.81934731934731</v>
      </c>
      <c r="K194" s="92">
        <v>0.40336134453781503</v>
      </c>
      <c r="L194" s="85">
        <f t="shared" si="6"/>
        <v>24.2016806722689</v>
      </c>
      <c r="N194" s="84">
        <v>515</v>
      </c>
      <c r="O194" s="85">
        <f t="shared" si="7"/>
        <v>0.51500000000000001</v>
      </c>
      <c r="W194" s="92">
        <v>5.2163461538461499E-2</v>
      </c>
      <c r="X194" s="85">
        <f t="shared" si="8"/>
        <v>4.6357776105626742</v>
      </c>
    </row>
    <row r="195" spans="1:24">
      <c r="A195" s="195">
        <v>315.02531645569599</v>
      </c>
      <c r="B195" s="244">
        <f t="shared" si="4"/>
        <v>41.875316455696009</v>
      </c>
      <c r="C195" s="245">
        <v>883.24958123953104</v>
      </c>
      <c r="E195" s="92">
        <v>79.829545454545396</v>
      </c>
      <c r="F195" s="85">
        <f t="shared" si="5"/>
        <v>1330.5190340909082</v>
      </c>
      <c r="G195" s="92">
        <v>10.6934731934731</v>
      </c>
      <c r="K195" s="92">
        <v>0.52521008403361302</v>
      </c>
      <c r="L195" s="85">
        <f t="shared" si="6"/>
        <v>31.51260504201678</v>
      </c>
      <c r="N195" s="84">
        <v>515</v>
      </c>
      <c r="O195" s="85">
        <f t="shared" si="7"/>
        <v>0.51500000000000001</v>
      </c>
      <c r="W195" s="92">
        <v>6.3942307692307604E-2</v>
      </c>
      <c r="X195" s="85">
        <f t="shared" si="8"/>
        <v>4.9613122517439976</v>
      </c>
    </row>
    <row r="196" spans="1:24">
      <c r="A196" s="195">
        <v>320.08860759493598</v>
      </c>
      <c r="B196" s="244">
        <f t="shared" si="4"/>
        <v>46.938607594936002</v>
      </c>
      <c r="C196" s="245">
        <v>879.49748743718499</v>
      </c>
      <c r="E196" s="92">
        <v>88.636363636363598</v>
      </c>
      <c r="F196" s="85">
        <f t="shared" si="5"/>
        <v>1477.3022727272721</v>
      </c>
      <c r="G196" s="92">
        <v>11.334498834498801</v>
      </c>
      <c r="K196" s="92">
        <v>0.65546218487394903</v>
      </c>
      <c r="L196" s="85">
        <f t="shared" si="6"/>
        <v>39.327731092436942</v>
      </c>
      <c r="N196" s="84">
        <v>515</v>
      </c>
      <c r="O196" s="85">
        <f t="shared" si="7"/>
        <v>0.51500000000000001</v>
      </c>
      <c r="W196" s="92">
        <v>7.4459134615384601E-2</v>
      </c>
      <c r="X196" s="85">
        <f t="shared" si="8"/>
        <v>5.2196308266952114</v>
      </c>
    </row>
    <row r="197" spans="1:24">
      <c r="A197" s="195">
        <v>324.39240506329099</v>
      </c>
      <c r="B197" s="244">
        <f t="shared" si="4"/>
        <v>51.242405063291017</v>
      </c>
      <c r="C197" s="245">
        <v>875.04187604690105</v>
      </c>
      <c r="E197" s="92">
        <v>100</v>
      </c>
      <c r="F197" s="85">
        <f t="shared" si="5"/>
        <v>1666.7000000000003</v>
      </c>
      <c r="G197" s="92">
        <v>11.7715617715617</v>
      </c>
      <c r="K197" s="92">
        <v>0.78991596638655404</v>
      </c>
      <c r="L197" s="85">
        <f t="shared" si="6"/>
        <v>47.394957983193244</v>
      </c>
      <c r="N197" s="84">
        <v>515</v>
      </c>
      <c r="O197" s="85">
        <f t="shared" si="7"/>
        <v>0.51500000000000001</v>
      </c>
      <c r="W197" s="92">
        <v>8.49759615384615E-2</v>
      </c>
      <c r="X197" s="85">
        <f t="shared" si="8"/>
        <v>5.4546365937994432</v>
      </c>
    </row>
    <row r="198" spans="1:24">
      <c r="A198" s="195">
        <v>329.70886075949301</v>
      </c>
      <c r="B198" s="244">
        <f t="shared" si="4"/>
        <v>56.558860759493029</v>
      </c>
      <c r="C198" s="245">
        <v>870.58626465661598</v>
      </c>
      <c r="E198" s="92">
        <v>140.05681818181799</v>
      </c>
      <c r="F198" s="85">
        <f t="shared" si="5"/>
        <v>2334.3269886363605</v>
      </c>
      <c r="G198" s="92">
        <v>13.082750582750499</v>
      </c>
      <c r="K198" s="92">
        <v>0.93277310924369705</v>
      </c>
      <c r="L198" s="85">
        <f t="shared" si="6"/>
        <v>55.96638655462182</v>
      </c>
      <c r="N198" s="84">
        <v>515</v>
      </c>
      <c r="O198" s="85">
        <f t="shared" si="7"/>
        <v>0.51500000000000001</v>
      </c>
      <c r="W198" s="92">
        <v>9.5072115384615297E-2</v>
      </c>
      <c r="X198" s="85">
        <f t="shared" si="8"/>
        <v>5.6626299065744288</v>
      </c>
    </row>
    <row r="199" spans="1:24">
      <c r="A199" s="195">
        <v>334.26582278480998</v>
      </c>
      <c r="B199" s="244">
        <f t="shared" si="4"/>
        <v>61.115822784810007</v>
      </c>
      <c r="C199" s="245">
        <v>866.83417085427095</v>
      </c>
      <c r="E199" s="92">
        <v>181.53409090909</v>
      </c>
      <c r="F199" s="85">
        <f t="shared" si="5"/>
        <v>3025.6286931818031</v>
      </c>
      <c r="G199" s="92">
        <v>13.5198135198135</v>
      </c>
      <c r="K199" s="92">
        <v>1.0756302521008401</v>
      </c>
      <c r="L199" s="85">
        <f t="shared" si="6"/>
        <v>64.537815126050404</v>
      </c>
      <c r="N199" s="84">
        <v>515</v>
      </c>
      <c r="O199" s="85">
        <f t="shared" si="7"/>
        <v>0.51500000000000001</v>
      </c>
      <c r="W199" s="92">
        <v>0.106430288461538</v>
      </c>
      <c r="X199" s="85">
        <f t="shared" si="8"/>
        <v>5.8797050274711102</v>
      </c>
    </row>
    <row r="200" spans="1:24">
      <c r="A200" s="195">
        <v>339.83544303797402</v>
      </c>
      <c r="B200" s="244">
        <f t="shared" si="4"/>
        <v>66.685443037974039</v>
      </c>
      <c r="C200" s="245">
        <v>863.316582914572</v>
      </c>
      <c r="E200" s="92">
        <v>199.71590909090901</v>
      </c>
      <c r="F200" s="85">
        <f t="shared" si="5"/>
        <v>3328.6650568181808</v>
      </c>
      <c r="G200" s="92">
        <v>14.131701631701601</v>
      </c>
      <c r="K200" s="92">
        <v>1.23949579831932</v>
      </c>
      <c r="L200" s="85">
        <f t="shared" si="6"/>
        <v>74.369747899159194</v>
      </c>
      <c r="N200" s="84">
        <v>515</v>
      </c>
      <c r="O200" s="85">
        <f t="shared" si="7"/>
        <v>0.51500000000000001</v>
      </c>
      <c r="W200" s="92">
        <v>0.12073317307692299</v>
      </c>
      <c r="X200" s="85">
        <f t="shared" si="8"/>
        <v>6.1321014440927115</v>
      </c>
    </row>
    <row r="201" spans="1:24">
      <c r="A201" s="195">
        <v>344.64556962025301</v>
      </c>
      <c r="B201" s="244">
        <f t="shared" si="4"/>
        <v>71.495569620253036</v>
      </c>
      <c r="C201" s="245">
        <v>858.62646566164096</v>
      </c>
      <c r="E201" s="92">
        <v>210.22727272727201</v>
      </c>
      <c r="F201" s="85">
        <f t="shared" si="5"/>
        <v>3503.8579545454431</v>
      </c>
      <c r="G201" s="92">
        <v>14.510489510489499</v>
      </c>
      <c r="K201" s="92">
        <v>1.3739495798319299</v>
      </c>
      <c r="L201" s="85">
        <f t="shared" si="6"/>
        <v>82.436974789915794</v>
      </c>
      <c r="N201" s="84">
        <v>515</v>
      </c>
      <c r="O201" s="85">
        <f t="shared" si="7"/>
        <v>0.51500000000000001</v>
      </c>
      <c r="W201" s="92">
        <v>0.14218749999999999</v>
      </c>
      <c r="X201" s="85">
        <f t="shared" si="8"/>
        <v>6.4757130873437294</v>
      </c>
    </row>
    <row r="202" spans="1:24">
      <c r="A202" s="195">
        <v>349.45569620253099</v>
      </c>
      <c r="B202" s="244">
        <f t="shared" si="4"/>
        <v>76.30569620253101</v>
      </c>
      <c r="C202" s="245">
        <v>855.34338358458899</v>
      </c>
      <c r="E202" s="92">
        <v>214.20454545454501</v>
      </c>
      <c r="F202" s="85">
        <f t="shared" si="5"/>
        <v>3570.1471590909023</v>
      </c>
      <c r="G202" s="92">
        <v>14.4230769230769</v>
      </c>
      <c r="K202" s="92">
        <v>1.54201680672268</v>
      </c>
      <c r="L202" s="85">
        <f t="shared" si="6"/>
        <v>92.52100840336081</v>
      </c>
      <c r="N202" s="84">
        <v>515</v>
      </c>
      <c r="O202" s="85">
        <f t="shared" si="7"/>
        <v>0.51500000000000001</v>
      </c>
      <c r="W202" s="92">
        <v>0.15144230769230699</v>
      </c>
      <c r="X202" s="85">
        <f t="shared" si="8"/>
        <v>6.613269159897591</v>
      </c>
    </row>
    <row r="203" spans="1:24">
      <c r="A203" s="195">
        <v>355.02531645569599</v>
      </c>
      <c r="B203" s="244">
        <f t="shared" si="4"/>
        <v>81.875316455696009</v>
      </c>
      <c r="C203" s="245">
        <v>851.356783919598</v>
      </c>
      <c r="E203" s="92">
        <v>230.96590909090901</v>
      </c>
      <c r="F203" s="85">
        <f t="shared" si="5"/>
        <v>3849.5088068181808</v>
      </c>
      <c r="G203" s="92">
        <v>14.539627039627</v>
      </c>
      <c r="K203" s="92">
        <v>1.6722689075630199</v>
      </c>
      <c r="L203" s="85">
        <f t="shared" si="6"/>
        <v>100.3361344537812</v>
      </c>
      <c r="N203" s="84">
        <v>515</v>
      </c>
      <c r="O203" s="85">
        <f t="shared" si="7"/>
        <v>0.51500000000000001</v>
      </c>
      <c r="W203" s="92">
        <v>0.162379807692307</v>
      </c>
      <c r="X203" s="85">
        <f t="shared" si="8"/>
        <v>6.7687914501564839</v>
      </c>
    </row>
    <row r="204" spans="1:24">
      <c r="A204" s="195">
        <v>359.07594936708801</v>
      </c>
      <c r="B204" s="244">
        <f t="shared" si="4"/>
        <v>85.925949367088037</v>
      </c>
      <c r="C204" s="245">
        <v>847.37018425460599</v>
      </c>
      <c r="E204" s="92">
        <v>251.42045454545399</v>
      </c>
      <c r="F204" s="85">
        <f t="shared" si="5"/>
        <v>4190.4247159090819</v>
      </c>
      <c r="G204" s="92">
        <v>14.8892773892773</v>
      </c>
      <c r="K204" s="92">
        <v>1.80252100840336</v>
      </c>
      <c r="L204" s="85">
        <f t="shared" si="6"/>
        <v>108.1512605042016</v>
      </c>
      <c r="N204" s="84">
        <v>515</v>
      </c>
      <c r="O204" s="85">
        <f t="shared" si="7"/>
        <v>0.51500000000000001</v>
      </c>
      <c r="W204" s="92">
        <v>0.16448317307692301</v>
      </c>
      <c r="X204" s="85">
        <f t="shared" si="8"/>
        <v>6.7978923731133829</v>
      </c>
    </row>
    <row r="205" spans="1:24">
      <c r="A205" s="195">
        <v>364.89873417721498</v>
      </c>
      <c r="B205" s="244">
        <f t="shared" si="4"/>
        <v>91.748734177214999</v>
      </c>
      <c r="C205" s="245">
        <v>844.321608040201</v>
      </c>
      <c r="E205" s="92">
        <v>245.738636363636</v>
      </c>
      <c r="F205" s="85">
        <f t="shared" si="5"/>
        <v>4095.7258522727216</v>
      </c>
      <c r="G205" s="92">
        <v>14.8892773892773</v>
      </c>
      <c r="K205" s="92">
        <v>1.9075630252100799</v>
      </c>
      <c r="L205" s="85">
        <f t="shared" si="6"/>
        <v>114.45378151260479</v>
      </c>
      <c r="N205" s="84">
        <v>515</v>
      </c>
      <c r="O205" s="85">
        <f t="shared" si="7"/>
        <v>0.51500000000000001</v>
      </c>
      <c r="W205" s="92">
        <v>0.172055288461538</v>
      </c>
      <c r="X205" s="85">
        <f t="shared" si="8"/>
        <v>6.9006468323467187</v>
      </c>
    </row>
    <row r="206" spans="1:24">
      <c r="A206" s="195">
        <v>369.45569620253099</v>
      </c>
      <c r="B206" s="244">
        <f t="shared" si="4"/>
        <v>96.30569620253101</v>
      </c>
      <c r="C206" s="245">
        <v>840.56951423785597</v>
      </c>
      <c r="E206" s="92">
        <v>267.89772727272702</v>
      </c>
      <c r="F206" s="85">
        <f t="shared" si="5"/>
        <v>4465.0514204545416</v>
      </c>
      <c r="G206" s="92">
        <v>14.8601398601398</v>
      </c>
      <c r="K206" s="92">
        <v>2.20588235294117</v>
      </c>
      <c r="L206" s="85">
        <f t="shared" si="6"/>
        <v>132.35294117647021</v>
      </c>
      <c r="N206" s="84">
        <v>515</v>
      </c>
      <c r="O206" s="85">
        <f t="shared" si="7"/>
        <v>0.51500000000000001</v>
      </c>
      <c r="W206" s="92">
        <v>0.193509615384615</v>
      </c>
      <c r="X206" s="85">
        <f t="shared" si="8"/>
        <v>7.1763119528932693</v>
      </c>
    </row>
    <row r="207" spans="1:24">
      <c r="A207" s="195">
        <v>374.77215189873402</v>
      </c>
      <c r="B207" s="244">
        <f t="shared" si="4"/>
        <v>101.62215189873405</v>
      </c>
      <c r="C207" s="245">
        <v>836.11390284757101</v>
      </c>
      <c r="E207" s="92">
        <v>259.09090909090901</v>
      </c>
      <c r="F207" s="85">
        <f t="shared" si="5"/>
        <v>4318.2681818181809</v>
      </c>
      <c r="G207" s="92">
        <v>14.9184149184149</v>
      </c>
      <c r="K207" s="92">
        <v>2.4873949579831902</v>
      </c>
      <c r="L207" s="85">
        <f t="shared" si="6"/>
        <v>149.24369747899141</v>
      </c>
      <c r="N207" s="84">
        <v>515</v>
      </c>
      <c r="O207" s="85">
        <f t="shared" si="7"/>
        <v>0.51500000000000001</v>
      </c>
      <c r="W207" s="92">
        <v>0.21328124999999901</v>
      </c>
      <c r="X207" s="85">
        <f t="shared" si="8"/>
        <v>7.4128410017713637</v>
      </c>
    </row>
    <row r="208" spans="1:24">
      <c r="A208" s="195">
        <v>379.83544303797402</v>
      </c>
      <c r="B208" s="244">
        <f t="shared" si="4"/>
        <v>106.68544303797404</v>
      </c>
      <c r="C208" s="245">
        <v>833.29983249581198</v>
      </c>
      <c r="E208" s="92">
        <v>285.22727272727201</v>
      </c>
      <c r="F208" s="85">
        <f t="shared" si="5"/>
        <v>4753.8829545454428</v>
      </c>
      <c r="G208" s="92">
        <v>15.472027972027901</v>
      </c>
    </row>
    <row r="209" spans="1:24">
      <c r="A209" s="195">
        <v>384.64556962025301</v>
      </c>
      <c r="B209" s="244">
        <f t="shared" si="4"/>
        <v>111.49556962025304</v>
      </c>
      <c r="C209" s="245">
        <v>829.78224455611303</v>
      </c>
      <c r="E209" s="92">
        <v>288.92045454545399</v>
      </c>
      <c r="F209" s="85">
        <f t="shared" si="5"/>
        <v>4815.4372159090817</v>
      </c>
      <c r="G209" s="92">
        <v>15.0641025641025</v>
      </c>
      <c r="K209" s="92">
        <v>0.32352941176470501</v>
      </c>
      <c r="L209" s="85">
        <f t="shared" ref="L209:L221" si="9">K209*60</f>
        <v>19.411764705882302</v>
      </c>
      <c r="N209" s="84">
        <v>626</v>
      </c>
      <c r="O209" s="85">
        <f t="shared" ref="O209:O221" si="10">N209*0.001</f>
        <v>0.626</v>
      </c>
      <c r="W209" s="92">
        <v>5.2584134615384602E-2</v>
      </c>
      <c r="X209" s="85">
        <f t="shared" ref="X209:X221" si="11">2*POWER((3*W209*1000)/(4*PI()), 1/3)</f>
        <v>4.6482060282419111</v>
      </c>
    </row>
    <row r="210" spans="1:24">
      <c r="A210" s="195">
        <v>390.72151898734103</v>
      </c>
      <c r="B210" s="244">
        <f t="shared" si="4"/>
        <v>117.57151898734105</v>
      </c>
      <c r="C210" s="245">
        <v>826.030150753768</v>
      </c>
      <c r="E210" s="92">
        <v>300.28409090909003</v>
      </c>
      <c r="F210" s="85">
        <f t="shared" si="5"/>
        <v>5004.8349431818042</v>
      </c>
      <c r="G210" s="92">
        <v>15.034965034964999</v>
      </c>
      <c r="K210" s="92">
        <v>0.42436974789915899</v>
      </c>
      <c r="L210" s="85">
        <f t="shared" si="9"/>
        <v>25.462184873949539</v>
      </c>
      <c r="N210" s="84">
        <v>626</v>
      </c>
      <c r="O210" s="85">
        <f t="shared" si="10"/>
        <v>0.626</v>
      </c>
      <c r="W210" s="92">
        <v>6.3521634615384598E-2</v>
      </c>
      <c r="X210" s="85">
        <f t="shared" si="11"/>
        <v>4.9504082336210358</v>
      </c>
    </row>
    <row r="211" spans="1:24">
      <c r="K211" s="92">
        <v>0.55882352941176405</v>
      </c>
      <c r="L211" s="85">
        <f t="shared" si="9"/>
        <v>33.529411764705841</v>
      </c>
      <c r="N211" s="84">
        <v>626</v>
      </c>
      <c r="O211" s="85">
        <f t="shared" si="10"/>
        <v>0.626</v>
      </c>
      <c r="W211" s="92">
        <v>7.6141826923076902E-2</v>
      </c>
      <c r="X211" s="85">
        <f t="shared" si="11"/>
        <v>5.2586575529323385</v>
      </c>
    </row>
    <row r="212" spans="1:24">
      <c r="E212" s="92">
        <v>10.795454545454501</v>
      </c>
      <c r="F212" s="85">
        <f t="shared" ref="F212:F223" si="12">E212*16.667</f>
        <v>179.92784090909018</v>
      </c>
      <c r="G212" s="92">
        <v>6.7016317016317002</v>
      </c>
      <c r="K212" s="92">
        <v>0.61764705882352899</v>
      </c>
      <c r="L212" s="85">
        <f t="shared" si="9"/>
        <v>37.05882352941174</v>
      </c>
      <c r="N212" s="84">
        <v>626</v>
      </c>
      <c r="O212" s="85">
        <f t="shared" si="10"/>
        <v>0.626</v>
      </c>
      <c r="W212" s="92">
        <v>8.2451923076923006E-2</v>
      </c>
      <c r="X212" s="85">
        <f t="shared" si="11"/>
        <v>5.400086572703283</v>
      </c>
    </row>
    <row r="213" spans="1:24">
      <c r="E213" s="92">
        <v>2.8409090909090899</v>
      </c>
      <c r="F213" s="85">
        <f t="shared" si="12"/>
        <v>47.349431818181806</v>
      </c>
      <c r="G213" s="92">
        <v>6.26456876456876</v>
      </c>
      <c r="K213" s="92">
        <v>0.77310924369747802</v>
      </c>
      <c r="L213" s="85">
        <f t="shared" si="9"/>
        <v>46.386554621848681</v>
      </c>
      <c r="N213" s="84">
        <v>626</v>
      </c>
      <c r="O213" s="85">
        <f t="shared" si="10"/>
        <v>0.626</v>
      </c>
      <c r="W213" s="92">
        <v>9.7175480769230702E-2</v>
      </c>
      <c r="X213" s="85">
        <f t="shared" si="11"/>
        <v>5.7040854812155697</v>
      </c>
    </row>
    <row r="214" spans="1:24">
      <c r="E214" s="92">
        <v>20.170454545454501</v>
      </c>
      <c r="F214" s="85">
        <f t="shared" si="12"/>
        <v>336.18096590909022</v>
      </c>
      <c r="G214" s="92">
        <v>7.3426573426573398</v>
      </c>
      <c r="K214" s="92">
        <v>0.92857142857142805</v>
      </c>
      <c r="L214" s="85">
        <f t="shared" si="9"/>
        <v>55.71428571428568</v>
      </c>
      <c r="N214" s="84">
        <v>626</v>
      </c>
      <c r="O214" s="85">
        <f t="shared" si="10"/>
        <v>0.626</v>
      </c>
      <c r="W214" s="92">
        <v>0.11274038461538401</v>
      </c>
      <c r="X214" s="85">
        <f t="shared" si="11"/>
        <v>5.9936810694801235</v>
      </c>
    </row>
    <row r="215" spans="1:24">
      <c r="E215" s="92">
        <v>34.943181818181799</v>
      </c>
      <c r="F215" s="85">
        <f t="shared" si="12"/>
        <v>582.3980113636361</v>
      </c>
      <c r="G215" s="92">
        <v>8.4498834498834494</v>
      </c>
      <c r="K215" s="92">
        <v>1.04621848739495</v>
      </c>
      <c r="L215" s="85">
        <f t="shared" si="9"/>
        <v>62.773109243697</v>
      </c>
      <c r="N215" s="84">
        <v>626</v>
      </c>
      <c r="O215" s="85">
        <f t="shared" si="10"/>
        <v>0.626</v>
      </c>
      <c r="W215" s="92">
        <v>0.12620192307692299</v>
      </c>
      <c r="X215" s="85">
        <f t="shared" si="11"/>
        <v>6.2233245481514121</v>
      </c>
    </row>
    <row r="216" spans="1:24">
      <c r="E216" s="92">
        <v>83.238636363636303</v>
      </c>
      <c r="F216" s="85">
        <f t="shared" si="12"/>
        <v>1387.3383522727263</v>
      </c>
      <c r="G216" s="92">
        <v>11.072261072261</v>
      </c>
      <c r="K216" s="92">
        <v>1.1848739495798299</v>
      </c>
      <c r="L216" s="85">
        <f t="shared" si="9"/>
        <v>71.092436974789791</v>
      </c>
      <c r="N216" s="84">
        <v>626</v>
      </c>
      <c r="O216" s="85">
        <f t="shared" si="10"/>
        <v>0.626</v>
      </c>
      <c r="W216" s="92">
        <v>0.13671875</v>
      </c>
      <c r="X216" s="85">
        <f t="shared" si="11"/>
        <v>6.3916033971817985</v>
      </c>
    </row>
    <row r="217" spans="1:24">
      <c r="E217" s="92">
        <v>93.465909090909093</v>
      </c>
      <c r="F217" s="85">
        <f t="shared" si="12"/>
        <v>1557.7963068181821</v>
      </c>
      <c r="G217" s="92">
        <v>11.2762237762237</v>
      </c>
      <c r="K217" s="92">
        <v>1.3403361344537801</v>
      </c>
      <c r="L217" s="85">
        <f t="shared" si="9"/>
        <v>80.420168067226811</v>
      </c>
      <c r="N217" s="84">
        <v>626</v>
      </c>
      <c r="O217" s="85">
        <f t="shared" si="10"/>
        <v>0.626</v>
      </c>
      <c r="W217" s="92">
        <v>0.153966346153846</v>
      </c>
      <c r="X217" s="85">
        <f t="shared" si="11"/>
        <v>6.6498073000651061</v>
      </c>
    </row>
    <row r="218" spans="1:24">
      <c r="E218" s="92">
        <v>144.60227272727201</v>
      </c>
      <c r="F218" s="85">
        <f t="shared" si="12"/>
        <v>2410.0860795454428</v>
      </c>
      <c r="G218" s="92">
        <v>13.199300699300601</v>
      </c>
      <c r="K218" s="92">
        <v>1.47899159663865</v>
      </c>
      <c r="L218" s="85">
        <f t="shared" si="9"/>
        <v>88.739495798318998</v>
      </c>
      <c r="N218" s="84">
        <v>626</v>
      </c>
      <c r="O218" s="85">
        <f t="shared" si="10"/>
        <v>0.626</v>
      </c>
      <c r="W218" s="92">
        <v>0.165745192307692</v>
      </c>
      <c r="X218" s="85">
        <f t="shared" si="11"/>
        <v>6.8152340104303066</v>
      </c>
    </row>
    <row r="219" spans="1:24">
      <c r="E219" s="92">
        <v>182.386363636363</v>
      </c>
      <c r="F219" s="85">
        <f t="shared" si="12"/>
        <v>3039.8335227272623</v>
      </c>
      <c r="G219" s="92">
        <v>14.044289044289</v>
      </c>
      <c r="K219" s="92">
        <v>1.76470588235294</v>
      </c>
      <c r="L219" s="85">
        <f t="shared" si="9"/>
        <v>105.88235294117641</v>
      </c>
      <c r="N219" s="84">
        <v>626</v>
      </c>
      <c r="O219" s="85">
        <f t="shared" si="10"/>
        <v>0.626</v>
      </c>
      <c r="W219" s="92">
        <v>0.19014423076923001</v>
      </c>
      <c r="X219" s="85">
        <f t="shared" si="11"/>
        <v>7.1344666170573543</v>
      </c>
    </row>
    <row r="220" spans="1:24">
      <c r="E220" s="92">
        <v>198.57954545454501</v>
      </c>
      <c r="F220" s="85">
        <f t="shared" si="12"/>
        <v>3309.7252840909018</v>
      </c>
      <c r="G220" s="92">
        <v>14.131701631701601</v>
      </c>
      <c r="K220" s="92">
        <v>1.9033613445378099</v>
      </c>
      <c r="L220" s="85">
        <f t="shared" si="9"/>
        <v>114.20168067226859</v>
      </c>
      <c r="N220" s="84">
        <v>626</v>
      </c>
      <c r="O220" s="85">
        <f t="shared" si="10"/>
        <v>0.626</v>
      </c>
      <c r="W220" s="92">
        <v>0.20360576923076901</v>
      </c>
      <c r="X220" s="85">
        <f t="shared" si="11"/>
        <v>7.2990076550712537</v>
      </c>
    </row>
    <row r="221" spans="1:24">
      <c r="E221" s="92">
        <v>210.511363636363</v>
      </c>
      <c r="F221" s="85">
        <f t="shared" si="12"/>
        <v>3508.5928977272624</v>
      </c>
      <c r="G221" s="92">
        <v>14.510489510489499</v>
      </c>
      <c r="K221" s="92">
        <v>2.19747899159663</v>
      </c>
      <c r="L221" s="85">
        <f t="shared" si="9"/>
        <v>131.84873949579779</v>
      </c>
      <c r="N221" s="84">
        <v>626</v>
      </c>
      <c r="O221" s="85">
        <f t="shared" si="10"/>
        <v>0.626</v>
      </c>
      <c r="W221" s="92">
        <v>0.22800480769230699</v>
      </c>
      <c r="X221" s="85">
        <f t="shared" si="11"/>
        <v>7.5796379360954651</v>
      </c>
    </row>
    <row r="222" spans="1:24">
      <c r="E222" s="92">
        <v>267.89772727272702</v>
      </c>
      <c r="F222" s="85">
        <f t="shared" si="12"/>
        <v>4465.0514204545416</v>
      </c>
      <c r="G222" s="92">
        <v>14.831002331002299</v>
      </c>
    </row>
    <row r="223" spans="1:24">
      <c r="E223" s="92">
        <v>289.20454545454498</v>
      </c>
      <c r="F223" s="85">
        <f t="shared" si="12"/>
        <v>4820.1721590909019</v>
      </c>
      <c r="G223" s="92">
        <v>15.034965034964999</v>
      </c>
      <c r="K223" s="92">
        <v>0.34033613445378103</v>
      </c>
      <c r="L223" s="85">
        <f t="shared" ref="L223:L279" si="13">K223*60</f>
        <v>20.420168067226861</v>
      </c>
      <c r="N223" s="84">
        <v>695</v>
      </c>
      <c r="O223" s="85">
        <f t="shared" ref="O223:O279" si="14">N223*0.001</f>
        <v>0.69500000000000006</v>
      </c>
      <c r="W223" s="92">
        <v>5.9735576923076898E-2</v>
      </c>
      <c r="X223" s="85">
        <f t="shared" ref="X223:X289" si="15">2*POWER((3*W223*1000)/(4*PI()), 1/3)</f>
        <v>4.8500343377885056</v>
      </c>
    </row>
    <row r="224" spans="1:24">
      <c r="K224" s="92">
        <v>0.40336134453781503</v>
      </c>
      <c r="L224" s="85">
        <f t="shared" si="13"/>
        <v>24.2016806722689</v>
      </c>
      <c r="N224" s="84">
        <v>695</v>
      </c>
      <c r="O224" s="85">
        <f t="shared" si="14"/>
        <v>0.69500000000000006</v>
      </c>
      <c r="W224" s="92">
        <v>6.8569711538461503E-2</v>
      </c>
      <c r="X224" s="85">
        <f t="shared" si="15"/>
        <v>5.0782167472073256</v>
      </c>
    </row>
    <row r="225" spans="5:24">
      <c r="E225" s="88">
        <v>30.113636363636299</v>
      </c>
      <c r="F225" s="85">
        <f t="shared" ref="F225:F239" si="16">E225*16.667</f>
        <v>501.90397727272625</v>
      </c>
      <c r="G225" s="88">
        <v>8.6538461538461497</v>
      </c>
      <c r="K225" s="92">
        <v>0.52100840336134402</v>
      </c>
      <c r="L225" s="85">
        <f t="shared" si="13"/>
        <v>31.260504201680639</v>
      </c>
      <c r="N225" s="84">
        <v>695</v>
      </c>
      <c r="O225" s="85">
        <f t="shared" si="14"/>
        <v>0.69500000000000006</v>
      </c>
      <c r="W225" s="92">
        <v>7.9507211538461506E-2</v>
      </c>
      <c r="X225" s="85">
        <f t="shared" si="15"/>
        <v>5.3350189532247283</v>
      </c>
    </row>
    <row r="226" spans="5:24">
      <c r="E226" s="92">
        <v>15.625</v>
      </c>
      <c r="F226" s="85">
        <f t="shared" si="16"/>
        <v>260.421875</v>
      </c>
      <c r="G226" s="92">
        <v>7.4009324009324002</v>
      </c>
      <c r="K226" s="92">
        <v>0.621848739495798</v>
      </c>
      <c r="L226" s="85">
        <f t="shared" si="13"/>
        <v>37.31092436974788</v>
      </c>
      <c r="N226" s="84">
        <v>695</v>
      </c>
      <c r="O226" s="85">
        <f t="shared" si="14"/>
        <v>0.69500000000000006</v>
      </c>
      <c r="W226" s="92">
        <v>9.0865384615384598E-2</v>
      </c>
      <c r="X226" s="85">
        <f t="shared" si="15"/>
        <v>5.5778472338902931</v>
      </c>
    </row>
    <row r="227" spans="5:24">
      <c r="E227" s="92">
        <v>4.2613636363636296</v>
      </c>
      <c r="F227" s="85">
        <f t="shared" si="16"/>
        <v>71.02414772727262</v>
      </c>
      <c r="G227" s="92">
        <v>6.5850815850815803</v>
      </c>
      <c r="K227" s="92">
        <v>0.71848739495798297</v>
      </c>
      <c r="L227" s="85">
        <f t="shared" si="13"/>
        <v>43.109243697478981</v>
      </c>
      <c r="N227" s="84">
        <v>695</v>
      </c>
      <c r="O227" s="85">
        <f t="shared" si="14"/>
        <v>0.69500000000000006</v>
      </c>
      <c r="W227" s="92">
        <v>0.102223557692307</v>
      </c>
      <c r="X227" s="85">
        <f t="shared" si="15"/>
        <v>5.801194899334992</v>
      </c>
    </row>
    <row r="228" spans="5:24">
      <c r="E228" s="92">
        <v>10.795454545454501</v>
      </c>
      <c r="F228" s="85">
        <f t="shared" si="16"/>
        <v>179.92784090909018</v>
      </c>
      <c r="G228" s="92">
        <v>7.0512820512820502</v>
      </c>
      <c r="K228" s="92">
        <v>0.84873949579831898</v>
      </c>
      <c r="L228" s="85">
        <f t="shared" si="13"/>
        <v>50.924369747899135</v>
      </c>
      <c r="N228" s="84">
        <v>695</v>
      </c>
      <c r="O228" s="85">
        <f t="shared" si="14"/>
        <v>0.69500000000000006</v>
      </c>
      <c r="W228" s="92">
        <v>0.116947115384615</v>
      </c>
      <c r="X228" s="85">
        <f t="shared" si="15"/>
        <v>6.0673208796800457</v>
      </c>
    </row>
    <row r="229" spans="5:24">
      <c r="E229" s="92">
        <v>80.113636363636303</v>
      </c>
      <c r="F229" s="85">
        <f t="shared" si="16"/>
        <v>1335.2539772727264</v>
      </c>
      <c r="G229" s="92">
        <v>11.2762237762237</v>
      </c>
      <c r="K229" s="92">
        <v>1.01680672268907</v>
      </c>
      <c r="L229" s="85">
        <f t="shared" si="13"/>
        <v>61.0084033613442</v>
      </c>
      <c r="N229" s="84">
        <v>695</v>
      </c>
      <c r="O229" s="85">
        <f t="shared" si="14"/>
        <v>0.69500000000000006</v>
      </c>
      <c r="W229" s="92">
        <v>0.13419471153846099</v>
      </c>
      <c r="X229" s="85">
        <f t="shared" si="15"/>
        <v>6.3520258907862219</v>
      </c>
    </row>
    <row r="230" spans="5:24">
      <c r="E230" s="92">
        <v>101.704545454545</v>
      </c>
      <c r="F230" s="85">
        <f t="shared" si="16"/>
        <v>1695.1096590909017</v>
      </c>
      <c r="G230" s="92">
        <v>12.0920745920745</v>
      </c>
      <c r="K230" s="92">
        <v>1.1218487394957899</v>
      </c>
      <c r="L230" s="85">
        <f t="shared" si="13"/>
        <v>67.310924369747397</v>
      </c>
      <c r="N230" s="84">
        <v>695</v>
      </c>
      <c r="O230" s="85">
        <f t="shared" si="14"/>
        <v>0.69500000000000006</v>
      </c>
      <c r="W230" s="92">
        <v>0.14387019230769199</v>
      </c>
      <c r="X230" s="85">
        <f t="shared" si="15"/>
        <v>6.5011581938706202</v>
      </c>
    </row>
    <row r="231" spans="5:24">
      <c r="E231" s="92">
        <v>141.761363636363</v>
      </c>
      <c r="F231" s="85">
        <f t="shared" si="16"/>
        <v>2362.7366477272622</v>
      </c>
      <c r="G231" s="92">
        <v>13.4906759906759</v>
      </c>
      <c r="K231" s="92">
        <v>1.3235294117647001</v>
      </c>
      <c r="L231" s="85">
        <f t="shared" si="13"/>
        <v>79.411764705882007</v>
      </c>
      <c r="N231" s="84">
        <v>695</v>
      </c>
      <c r="O231" s="85">
        <f t="shared" si="14"/>
        <v>0.69500000000000006</v>
      </c>
      <c r="W231" s="92">
        <v>0.16658653846153801</v>
      </c>
      <c r="X231" s="85">
        <f t="shared" si="15"/>
        <v>6.8267462519231215</v>
      </c>
    </row>
    <row r="232" spans="5:24">
      <c r="E232" s="92">
        <v>182.10227272727201</v>
      </c>
      <c r="F232" s="85">
        <f t="shared" si="16"/>
        <v>3035.098579545443</v>
      </c>
      <c r="G232" s="92">
        <v>14.481351981351899</v>
      </c>
      <c r="K232" s="92">
        <v>1.4453781512605</v>
      </c>
      <c r="L232" s="85">
        <f t="shared" si="13"/>
        <v>86.722689075630001</v>
      </c>
      <c r="N232" s="84">
        <v>695</v>
      </c>
      <c r="O232" s="85">
        <f t="shared" si="14"/>
        <v>0.69500000000000006</v>
      </c>
      <c r="W232" s="92">
        <v>0.17668269230769201</v>
      </c>
      <c r="X232" s="85">
        <f t="shared" si="15"/>
        <v>6.9619643550006884</v>
      </c>
    </row>
    <row r="233" spans="5:24">
      <c r="E233" s="92">
        <v>198.29545454545399</v>
      </c>
      <c r="F233" s="85">
        <f t="shared" si="16"/>
        <v>3304.9903409090821</v>
      </c>
      <c r="G233" s="92">
        <v>14.8018648018648</v>
      </c>
      <c r="K233" s="92">
        <v>1.6134453781512601</v>
      </c>
      <c r="L233" s="85">
        <f t="shared" si="13"/>
        <v>96.806722689075599</v>
      </c>
      <c r="N233" s="84">
        <v>695</v>
      </c>
      <c r="O233" s="85">
        <f t="shared" si="14"/>
        <v>0.69500000000000006</v>
      </c>
      <c r="W233" s="92">
        <v>0.19561298076923</v>
      </c>
      <c r="X233" s="85">
        <f t="shared" si="15"/>
        <v>7.2022194409567177</v>
      </c>
    </row>
    <row r="234" spans="5:24">
      <c r="E234" s="92">
        <v>214.20454545454501</v>
      </c>
      <c r="F234" s="85">
        <f t="shared" si="16"/>
        <v>3570.1471590909023</v>
      </c>
      <c r="G234" s="92">
        <v>15.472027972027901</v>
      </c>
      <c r="K234" s="92">
        <v>1.74369747899159</v>
      </c>
      <c r="L234" s="85">
        <f t="shared" si="13"/>
        <v>104.62184873949541</v>
      </c>
      <c r="N234" s="84">
        <v>695</v>
      </c>
      <c r="O234" s="85">
        <f t="shared" si="14"/>
        <v>0.69500000000000006</v>
      </c>
      <c r="W234" s="92">
        <v>0.208653846153846</v>
      </c>
      <c r="X234" s="85">
        <f t="shared" si="15"/>
        <v>7.3588382556978162</v>
      </c>
    </row>
    <row r="235" spans="5:24">
      <c r="E235" s="92">
        <v>230.96590909090901</v>
      </c>
      <c r="F235" s="85">
        <f t="shared" si="16"/>
        <v>3849.5088068181808</v>
      </c>
      <c r="G235" s="92">
        <v>15.7342657342657</v>
      </c>
      <c r="K235" s="92">
        <v>1.8193277310924301</v>
      </c>
      <c r="L235" s="85">
        <f t="shared" si="13"/>
        <v>109.15966386554581</v>
      </c>
      <c r="N235" s="84">
        <v>695</v>
      </c>
      <c r="O235" s="85">
        <f t="shared" si="14"/>
        <v>0.69500000000000006</v>
      </c>
      <c r="W235" s="92">
        <v>0.214963942307692</v>
      </c>
      <c r="X235" s="85">
        <f t="shared" si="15"/>
        <v>7.432284608216289</v>
      </c>
    </row>
    <row r="236" spans="5:24">
      <c r="E236" s="92">
        <v>249.43181818181799</v>
      </c>
      <c r="F236" s="85">
        <f t="shared" si="16"/>
        <v>4157.2801136363605</v>
      </c>
      <c r="G236" s="92">
        <v>15.909090909090899</v>
      </c>
      <c r="K236" s="92">
        <v>1.9117647058823499</v>
      </c>
      <c r="L236" s="85">
        <f t="shared" si="13"/>
        <v>114.70588235294099</v>
      </c>
      <c r="N236" s="84">
        <v>695</v>
      </c>
      <c r="O236" s="85">
        <f t="shared" si="14"/>
        <v>0.69500000000000006</v>
      </c>
      <c r="W236" s="92">
        <v>0.22421874999999999</v>
      </c>
      <c r="X236" s="85">
        <f t="shared" si="15"/>
        <v>7.5374498382220949</v>
      </c>
    </row>
    <row r="237" spans="5:24">
      <c r="E237" s="92">
        <v>268.46590909090901</v>
      </c>
      <c r="F237" s="85">
        <f t="shared" si="16"/>
        <v>4474.5213068181811</v>
      </c>
      <c r="G237" s="92">
        <v>16.200466200466199</v>
      </c>
      <c r="K237" s="92">
        <v>2.1512605042016801</v>
      </c>
      <c r="L237" s="85">
        <f t="shared" si="13"/>
        <v>129.07563025210081</v>
      </c>
      <c r="N237" s="84">
        <v>695</v>
      </c>
      <c r="O237" s="85">
        <f t="shared" si="14"/>
        <v>0.69500000000000006</v>
      </c>
      <c r="W237" s="92">
        <v>0.246093749999999</v>
      </c>
      <c r="X237" s="85">
        <f t="shared" si="15"/>
        <v>7.7750045874505602</v>
      </c>
    </row>
    <row r="238" spans="5:24">
      <c r="E238" s="92">
        <v>286.93181818181802</v>
      </c>
      <c r="F238" s="85">
        <f t="shared" si="16"/>
        <v>4782.2926136363612</v>
      </c>
      <c r="G238" s="92">
        <v>16.404428904428901</v>
      </c>
      <c r="K238" s="88">
        <v>2.21428571428571</v>
      </c>
      <c r="L238" s="85">
        <f t="shared" si="13"/>
        <v>132.85714285714261</v>
      </c>
      <c r="N238" s="84">
        <v>695</v>
      </c>
      <c r="O238" s="85">
        <f t="shared" si="14"/>
        <v>0.69500000000000006</v>
      </c>
      <c r="W238" s="88">
        <v>0.254086538461538</v>
      </c>
      <c r="X238" s="85">
        <f t="shared" si="15"/>
        <v>7.8582832377220635</v>
      </c>
    </row>
    <row r="239" spans="5:24">
      <c r="E239" s="92">
        <v>299.43181818181802</v>
      </c>
      <c r="F239" s="85">
        <f t="shared" si="16"/>
        <v>4990.6301136363618</v>
      </c>
      <c r="G239" s="92">
        <v>16.113053613053602</v>
      </c>
      <c r="K239" s="174"/>
      <c r="L239" s="85">
        <f t="shared" si="13"/>
        <v>0</v>
      </c>
      <c r="O239" s="85">
        <f t="shared" si="14"/>
        <v>0</v>
      </c>
      <c r="X239" s="85">
        <f t="shared" si="15"/>
        <v>0</v>
      </c>
    </row>
    <row r="240" spans="5:24">
      <c r="K240" s="92">
        <v>0.23949579831932699</v>
      </c>
      <c r="L240" s="85">
        <f t="shared" si="13"/>
        <v>14.36974789915962</v>
      </c>
      <c r="N240" s="84">
        <v>764</v>
      </c>
      <c r="O240" s="85">
        <f t="shared" si="14"/>
        <v>0.76400000000000001</v>
      </c>
      <c r="W240" s="92">
        <v>5.0480769230769197E-2</v>
      </c>
      <c r="X240" s="85">
        <f t="shared" si="15"/>
        <v>4.5853847323303514</v>
      </c>
    </row>
    <row r="241" spans="5:24">
      <c r="E241" s="92">
        <v>89.772727272727195</v>
      </c>
      <c r="F241" s="85">
        <f t="shared" ref="F241:F279" si="17">E241*16.667</f>
        <v>1496.2420454545443</v>
      </c>
      <c r="G241" s="84">
        <v>11.8881118881118</v>
      </c>
      <c r="K241" s="88">
        <v>0.34873949579831898</v>
      </c>
      <c r="L241" s="85">
        <f t="shared" si="13"/>
        <v>20.924369747899139</v>
      </c>
      <c r="N241" s="84">
        <v>764</v>
      </c>
      <c r="O241" s="85">
        <f t="shared" si="14"/>
        <v>0.76400000000000001</v>
      </c>
      <c r="W241" s="88">
        <v>6.5624999999999906E-2</v>
      </c>
      <c r="X241" s="85">
        <f t="shared" si="15"/>
        <v>5.0044562629623979</v>
      </c>
    </row>
    <row r="242" spans="5:24">
      <c r="E242" s="92">
        <v>141.47727272727201</v>
      </c>
      <c r="F242" s="85">
        <f t="shared" si="17"/>
        <v>2358.0017045454429</v>
      </c>
      <c r="G242" s="84">
        <v>15.4428904428904</v>
      </c>
      <c r="K242" s="92">
        <v>0.5</v>
      </c>
      <c r="L242" s="85">
        <f t="shared" si="13"/>
        <v>30</v>
      </c>
      <c r="N242" s="84">
        <v>764</v>
      </c>
      <c r="O242" s="85">
        <f t="shared" si="14"/>
        <v>0.76400000000000001</v>
      </c>
      <c r="W242" s="92">
        <v>8.5817307692307596E-2</v>
      </c>
      <c r="X242" s="85">
        <f t="shared" si="15"/>
        <v>5.4725796065565042</v>
      </c>
    </row>
    <row r="243" spans="5:24">
      <c r="E243" s="92">
        <v>30.681818181818102</v>
      </c>
      <c r="F243" s="85">
        <f t="shared" si="17"/>
        <v>511.37386363636233</v>
      </c>
      <c r="G243" s="84">
        <v>7.6048951048950997</v>
      </c>
      <c r="K243" s="92">
        <v>0.71428571428571397</v>
      </c>
      <c r="L243" s="85">
        <f t="shared" si="13"/>
        <v>42.85714285714284</v>
      </c>
      <c r="N243" s="84">
        <v>764</v>
      </c>
      <c r="O243" s="85">
        <f t="shared" si="14"/>
        <v>0.76400000000000001</v>
      </c>
      <c r="W243" s="92">
        <v>0.10979567307692301</v>
      </c>
      <c r="X243" s="85">
        <f t="shared" si="15"/>
        <v>5.9410362327699495</v>
      </c>
    </row>
    <row r="244" spans="5:24">
      <c r="E244" s="92">
        <v>181.81818181818099</v>
      </c>
      <c r="F244" s="85">
        <f t="shared" si="17"/>
        <v>3030.3636363636228</v>
      </c>
      <c r="G244" s="84">
        <v>17.045454545454501</v>
      </c>
      <c r="K244" s="92">
        <v>0.85714285714285698</v>
      </c>
      <c r="L244" s="85">
        <f t="shared" si="13"/>
        <v>51.428571428571416</v>
      </c>
      <c r="N244" s="84">
        <v>764</v>
      </c>
      <c r="O244" s="85">
        <f t="shared" si="14"/>
        <v>0.76400000000000001</v>
      </c>
      <c r="W244" s="92">
        <v>0.127043269230769</v>
      </c>
      <c r="X244" s="85">
        <f t="shared" si="15"/>
        <v>6.2371235391120363</v>
      </c>
    </row>
    <row r="245" spans="5:24">
      <c r="E245" s="92">
        <v>198.29545454545399</v>
      </c>
      <c r="F245" s="85">
        <f t="shared" si="17"/>
        <v>3304.9903409090821</v>
      </c>
      <c r="G245" s="84">
        <v>15.355477855477799</v>
      </c>
      <c r="K245" s="92">
        <v>1.02100840336134</v>
      </c>
      <c r="L245" s="85">
        <f t="shared" si="13"/>
        <v>61.260504201680405</v>
      </c>
      <c r="N245" s="84">
        <v>764</v>
      </c>
      <c r="O245" s="85">
        <f t="shared" si="14"/>
        <v>0.76400000000000001</v>
      </c>
      <c r="W245" s="92">
        <v>0.14513221153846101</v>
      </c>
      <c r="X245" s="85">
        <f t="shared" si="15"/>
        <v>6.5201121150948902</v>
      </c>
    </row>
    <row r="246" spans="5:24">
      <c r="E246" s="92">
        <v>213.35227272727201</v>
      </c>
      <c r="F246" s="85">
        <f t="shared" si="17"/>
        <v>3555.942329545443</v>
      </c>
      <c r="G246" s="84">
        <v>16.520979020978999</v>
      </c>
      <c r="K246" s="92">
        <v>1.1176470588235199</v>
      </c>
      <c r="L246" s="85">
        <f t="shared" si="13"/>
        <v>67.0588235294112</v>
      </c>
      <c r="N246" s="84">
        <v>764</v>
      </c>
      <c r="O246" s="85">
        <f t="shared" si="14"/>
        <v>0.76400000000000001</v>
      </c>
      <c r="W246" s="92">
        <v>0.15733173076922999</v>
      </c>
      <c r="X246" s="85">
        <f t="shared" si="15"/>
        <v>6.6979088438307191</v>
      </c>
    </row>
    <row r="247" spans="5:24">
      <c r="E247" s="92">
        <v>230.96590909090901</v>
      </c>
      <c r="F247" s="85">
        <f t="shared" si="17"/>
        <v>3849.5088068181808</v>
      </c>
      <c r="G247" s="84">
        <v>16.550116550116499</v>
      </c>
      <c r="K247" s="92">
        <v>1.3151260504201601</v>
      </c>
      <c r="L247" s="85">
        <f t="shared" si="13"/>
        <v>78.907563025209598</v>
      </c>
      <c r="N247" s="84">
        <v>764</v>
      </c>
      <c r="O247" s="85">
        <f t="shared" si="14"/>
        <v>0.76400000000000001</v>
      </c>
      <c r="W247" s="92">
        <v>0.177524038461538</v>
      </c>
      <c r="X247" s="85">
        <f t="shared" si="15"/>
        <v>6.9729975974771898</v>
      </c>
    </row>
    <row r="248" spans="5:24">
      <c r="E248" s="92">
        <v>249.71590909090901</v>
      </c>
      <c r="F248" s="85">
        <f t="shared" si="17"/>
        <v>4162.0150568181807</v>
      </c>
      <c r="G248" s="84">
        <v>16.2878787878787</v>
      </c>
      <c r="K248" s="92">
        <v>1.46218487394957</v>
      </c>
      <c r="L248" s="85">
        <f t="shared" si="13"/>
        <v>87.731092436974194</v>
      </c>
      <c r="N248" s="84">
        <v>764</v>
      </c>
      <c r="O248" s="85">
        <f t="shared" si="14"/>
        <v>0.76400000000000001</v>
      </c>
      <c r="W248" s="92">
        <v>0.195192307692307</v>
      </c>
      <c r="X248" s="85">
        <f t="shared" si="15"/>
        <v>7.1970528542187608</v>
      </c>
    </row>
    <row r="249" spans="5:24">
      <c r="E249" s="92">
        <v>269.03409090909003</v>
      </c>
      <c r="F249" s="85">
        <f t="shared" si="17"/>
        <v>4483.9911931818042</v>
      </c>
      <c r="G249" s="84">
        <v>17.482517482517402</v>
      </c>
      <c r="K249" s="92">
        <v>1.6176470588235199</v>
      </c>
      <c r="L249" s="85">
        <f t="shared" si="13"/>
        <v>97.0588235294112</v>
      </c>
      <c r="N249" s="84">
        <v>764</v>
      </c>
      <c r="O249" s="85">
        <f t="shared" si="14"/>
        <v>0.76400000000000001</v>
      </c>
      <c r="W249" s="92">
        <v>0.210757211538461</v>
      </c>
      <c r="X249" s="85">
        <f t="shared" si="15"/>
        <v>7.3834829080311728</v>
      </c>
    </row>
    <row r="250" spans="5:24">
      <c r="E250" s="92">
        <v>287.78409090909003</v>
      </c>
      <c r="F250" s="85">
        <f t="shared" si="17"/>
        <v>4796.4974431818036</v>
      </c>
      <c r="G250" s="84">
        <v>16.870629370629299</v>
      </c>
      <c r="K250" s="92">
        <v>1.74369747899159</v>
      </c>
      <c r="L250" s="85">
        <f t="shared" si="13"/>
        <v>104.62184873949541</v>
      </c>
      <c r="N250" s="84">
        <v>764</v>
      </c>
      <c r="O250" s="85">
        <f t="shared" si="14"/>
        <v>0.76400000000000001</v>
      </c>
      <c r="W250" s="92">
        <v>0.22295673076923</v>
      </c>
      <c r="X250" s="85">
        <f t="shared" si="15"/>
        <v>7.5232816660236601</v>
      </c>
    </row>
    <row r="251" spans="5:24">
      <c r="E251" s="92">
        <v>298.57954545454498</v>
      </c>
      <c r="F251" s="85">
        <f t="shared" si="17"/>
        <v>4976.4252840909021</v>
      </c>
      <c r="G251" s="84">
        <v>16.462703962703898</v>
      </c>
      <c r="K251" s="92">
        <v>1.8235294117647001</v>
      </c>
      <c r="L251" s="85">
        <f t="shared" si="13"/>
        <v>109.41176470588201</v>
      </c>
      <c r="N251" s="84">
        <v>764</v>
      </c>
      <c r="O251" s="85">
        <f t="shared" si="14"/>
        <v>0.76400000000000001</v>
      </c>
      <c r="W251" s="92">
        <v>0.23179086538461499</v>
      </c>
      <c r="X251" s="85">
        <f t="shared" si="15"/>
        <v>7.6213615542572102</v>
      </c>
    </row>
    <row r="252" spans="5:24">
      <c r="E252" s="92">
        <v>300.85227272727201</v>
      </c>
      <c r="F252" s="85">
        <f t="shared" si="17"/>
        <v>5014.3048295454428</v>
      </c>
      <c r="G252" s="84">
        <v>17.569930069929999</v>
      </c>
      <c r="K252" s="92">
        <v>1.9201680672268899</v>
      </c>
      <c r="L252" s="85">
        <f t="shared" si="13"/>
        <v>115.2100840336134</v>
      </c>
      <c r="N252" s="84">
        <v>764</v>
      </c>
      <c r="O252" s="85">
        <f t="shared" si="14"/>
        <v>0.76400000000000001</v>
      </c>
      <c r="W252" s="92">
        <v>0.242307692307692</v>
      </c>
      <c r="X252" s="85">
        <f t="shared" si="15"/>
        <v>7.7349265324466687</v>
      </c>
    </row>
    <row r="253" spans="5:24">
      <c r="F253" s="85">
        <f t="shared" si="17"/>
        <v>0</v>
      </c>
      <c r="K253" s="92">
        <v>2.4033613445378101</v>
      </c>
      <c r="L253" s="85">
        <f t="shared" si="13"/>
        <v>144.20168067226859</v>
      </c>
      <c r="N253" s="84">
        <v>764</v>
      </c>
      <c r="O253" s="85">
        <f t="shared" si="14"/>
        <v>0.76400000000000001</v>
      </c>
      <c r="W253" s="92">
        <v>0.285216346153846</v>
      </c>
      <c r="X253" s="85">
        <f t="shared" si="15"/>
        <v>8.1669255495668516</v>
      </c>
    </row>
    <row r="254" spans="5:24">
      <c r="E254" s="92">
        <v>16.477272727272702</v>
      </c>
      <c r="F254" s="85">
        <f t="shared" si="17"/>
        <v>274.62670454545417</v>
      </c>
      <c r="G254" s="92">
        <v>5.9731934731934704</v>
      </c>
      <c r="L254" s="85">
        <f t="shared" si="13"/>
        <v>0</v>
      </c>
      <c r="O254" s="85">
        <f t="shared" si="14"/>
        <v>0</v>
      </c>
      <c r="X254" s="85">
        <f t="shared" si="15"/>
        <v>0</v>
      </c>
    </row>
    <row r="255" spans="5:24">
      <c r="E255" s="92">
        <v>27.840909090909001</v>
      </c>
      <c r="F255" s="85">
        <f t="shared" si="17"/>
        <v>464.02443181818035</v>
      </c>
      <c r="G255" s="92">
        <v>6.61421911421911</v>
      </c>
      <c r="K255" s="84">
        <v>0.315126050420168</v>
      </c>
      <c r="L255" s="85">
        <f t="shared" si="13"/>
        <v>18.907563025210081</v>
      </c>
      <c r="N255" s="84">
        <v>915</v>
      </c>
      <c r="O255" s="85">
        <f t="shared" si="14"/>
        <v>0.91500000000000004</v>
      </c>
      <c r="W255" s="84">
        <v>6.9411057692307598E-2</v>
      </c>
      <c r="X255" s="85">
        <f t="shared" si="15"/>
        <v>5.0989021761516042</v>
      </c>
    </row>
    <row r="256" spans="5:24">
      <c r="E256" s="92">
        <v>33.806818181818102</v>
      </c>
      <c r="F256" s="85">
        <f t="shared" si="17"/>
        <v>563.45823863636235</v>
      </c>
      <c r="G256" s="92">
        <v>7.8088578088578</v>
      </c>
      <c r="K256" s="84">
        <v>0.46638655462184803</v>
      </c>
      <c r="L256" s="85">
        <f t="shared" si="13"/>
        <v>27.983193277310882</v>
      </c>
      <c r="N256" s="84">
        <v>915</v>
      </c>
      <c r="O256" s="85">
        <f t="shared" si="14"/>
        <v>0.91500000000000004</v>
      </c>
      <c r="W256" s="84">
        <v>9.0865384615384598E-2</v>
      </c>
      <c r="X256" s="85">
        <f t="shared" si="15"/>
        <v>5.5778472338902931</v>
      </c>
    </row>
    <row r="257" spans="5:24">
      <c r="E257" s="92">
        <v>40.056818181818102</v>
      </c>
      <c r="F257" s="85">
        <f t="shared" si="17"/>
        <v>667.6269886363624</v>
      </c>
      <c r="G257" s="92">
        <v>8.0128205128205092</v>
      </c>
      <c r="K257" s="84">
        <v>0.57563025210083996</v>
      </c>
      <c r="L257" s="85">
        <f t="shared" si="13"/>
        <v>34.537815126050397</v>
      </c>
      <c r="N257" s="84">
        <v>915</v>
      </c>
      <c r="O257" s="85">
        <f t="shared" si="14"/>
        <v>0.91500000000000004</v>
      </c>
      <c r="W257" s="84">
        <v>0.10895432692307599</v>
      </c>
      <c r="X257" s="85">
        <f t="shared" si="15"/>
        <v>5.9258222449602371</v>
      </c>
    </row>
    <row r="258" spans="5:24">
      <c r="E258" s="92">
        <v>60.511363636363598</v>
      </c>
      <c r="F258" s="85">
        <f t="shared" si="17"/>
        <v>1008.5428977272721</v>
      </c>
      <c r="G258" s="92">
        <v>11.3053613053613</v>
      </c>
      <c r="K258" s="84">
        <v>0.68907563025209995</v>
      </c>
      <c r="L258" s="85">
        <f t="shared" si="13"/>
        <v>41.344537815125996</v>
      </c>
      <c r="N258" s="84">
        <v>915</v>
      </c>
      <c r="O258" s="85">
        <f t="shared" si="14"/>
        <v>0.91500000000000004</v>
      </c>
      <c r="W258" s="84">
        <v>0.12451923076922999</v>
      </c>
      <c r="X258" s="85">
        <f t="shared" si="15"/>
        <v>6.195541479304044</v>
      </c>
    </row>
    <row r="259" spans="5:24">
      <c r="E259" s="92">
        <v>81.25</v>
      </c>
      <c r="F259" s="85">
        <f t="shared" si="17"/>
        <v>1354.1937500000001</v>
      </c>
      <c r="G259" s="92">
        <v>12.6456876456876</v>
      </c>
      <c r="K259" s="84">
        <v>0.88655462184873901</v>
      </c>
      <c r="L259" s="85">
        <f t="shared" si="13"/>
        <v>53.193277310924344</v>
      </c>
      <c r="N259" s="84">
        <v>915</v>
      </c>
      <c r="O259" s="85">
        <f t="shared" si="14"/>
        <v>0.91500000000000004</v>
      </c>
      <c r="W259" s="84">
        <v>0.15144230769230699</v>
      </c>
      <c r="X259" s="85">
        <f t="shared" si="15"/>
        <v>6.613269159897591</v>
      </c>
    </row>
    <row r="260" spans="5:24">
      <c r="E260" s="92">
        <v>90.625</v>
      </c>
      <c r="F260" s="85">
        <f t="shared" si="17"/>
        <v>1510.4468750000001</v>
      </c>
      <c r="G260" s="92">
        <v>13.927738927738901</v>
      </c>
      <c r="K260" s="84">
        <v>1.0126050420168</v>
      </c>
      <c r="L260" s="85">
        <f t="shared" si="13"/>
        <v>60.756302521008003</v>
      </c>
      <c r="N260" s="84">
        <v>915</v>
      </c>
      <c r="O260" s="85">
        <f t="shared" si="14"/>
        <v>0.91500000000000004</v>
      </c>
      <c r="W260" s="84">
        <v>0.16700721153846099</v>
      </c>
      <c r="X260" s="85">
        <f t="shared" si="15"/>
        <v>6.8324878410483114</v>
      </c>
    </row>
    <row r="261" spans="5:24">
      <c r="E261" s="92">
        <v>104.261363636363</v>
      </c>
      <c r="F261" s="85">
        <f t="shared" si="17"/>
        <v>1737.7241477272623</v>
      </c>
      <c r="G261" s="92">
        <v>12.8496503496503</v>
      </c>
      <c r="K261" s="84">
        <v>1.1512605042016799</v>
      </c>
      <c r="L261" s="85">
        <f t="shared" si="13"/>
        <v>69.075630252100794</v>
      </c>
      <c r="N261" s="84">
        <v>915</v>
      </c>
      <c r="O261" s="85">
        <f t="shared" si="14"/>
        <v>0.91500000000000004</v>
      </c>
      <c r="W261" s="84">
        <v>0.18425480769230701</v>
      </c>
      <c r="X261" s="85">
        <f t="shared" si="15"/>
        <v>7.0600330712399204</v>
      </c>
    </row>
    <row r="262" spans="5:24">
      <c r="E262" s="92">
        <v>141.19318181818099</v>
      </c>
      <c r="F262" s="85">
        <f t="shared" si="17"/>
        <v>2353.2667613636227</v>
      </c>
      <c r="G262" s="92">
        <v>14.335664335664299</v>
      </c>
      <c r="K262" s="84">
        <v>1.3403361344537801</v>
      </c>
      <c r="L262" s="85">
        <f t="shared" si="13"/>
        <v>80.420168067226811</v>
      </c>
      <c r="N262" s="84">
        <v>915</v>
      </c>
      <c r="O262" s="85">
        <f t="shared" si="14"/>
        <v>0.91500000000000004</v>
      </c>
      <c r="W262" s="84">
        <v>0.20823317307692299</v>
      </c>
      <c r="X262" s="85">
        <f t="shared" si="15"/>
        <v>7.3538894725941617</v>
      </c>
    </row>
    <row r="263" spans="5:24">
      <c r="E263" s="92">
        <v>182.386363636363</v>
      </c>
      <c r="F263" s="85">
        <f t="shared" si="17"/>
        <v>3039.8335227272623</v>
      </c>
      <c r="G263" s="92">
        <v>15.909090909090899</v>
      </c>
      <c r="K263" s="84">
        <v>1.51680672268907</v>
      </c>
      <c r="L263" s="85">
        <f t="shared" si="13"/>
        <v>91.008403361344207</v>
      </c>
      <c r="N263" s="84">
        <v>915</v>
      </c>
      <c r="O263" s="85">
        <f t="shared" si="14"/>
        <v>0.91500000000000004</v>
      </c>
      <c r="W263" s="84">
        <v>0.23137019230769201</v>
      </c>
      <c r="X263" s="85">
        <f t="shared" si="15"/>
        <v>7.6167481381454847</v>
      </c>
    </row>
    <row r="264" spans="5:24">
      <c r="E264" s="92">
        <v>215.05681818181799</v>
      </c>
      <c r="F264" s="85">
        <f t="shared" si="17"/>
        <v>3584.3519886363606</v>
      </c>
      <c r="G264" s="92">
        <v>16.9871794871794</v>
      </c>
      <c r="K264" s="84">
        <v>1.6428571428571399</v>
      </c>
      <c r="L264" s="85">
        <f t="shared" si="13"/>
        <v>98.571428571428399</v>
      </c>
      <c r="N264" s="84">
        <v>915</v>
      </c>
      <c r="O264" s="85">
        <f t="shared" si="14"/>
        <v>0.91500000000000004</v>
      </c>
      <c r="W264" s="84">
        <v>0.24567307692307599</v>
      </c>
      <c r="X264" s="85">
        <f t="shared" si="15"/>
        <v>7.770571858674769</v>
      </c>
    </row>
    <row r="265" spans="5:24">
      <c r="E265" s="92">
        <v>259.09090909090901</v>
      </c>
      <c r="F265" s="85">
        <f t="shared" si="17"/>
        <v>4318.2681818181809</v>
      </c>
      <c r="G265" s="92">
        <v>17.6573426573426</v>
      </c>
      <c r="K265" s="84">
        <v>1.73529411764705</v>
      </c>
      <c r="L265" s="85">
        <f t="shared" si="13"/>
        <v>104.117647058823</v>
      </c>
      <c r="N265" s="84">
        <v>915</v>
      </c>
      <c r="O265" s="85">
        <f t="shared" si="14"/>
        <v>0.91500000000000004</v>
      </c>
      <c r="W265" s="84">
        <v>0.25745192307692299</v>
      </c>
      <c r="X265" s="85">
        <f t="shared" si="15"/>
        <v>7.8928255860292058</v>
      </c>
    </row>
    <row r="266" spans="5:24">
      <c r="E266" s="92">
        <v>287.5</v>
      </c>
      <c r="F266" s="85">
        <f t="shared" si="17"/>
        <v>4791.7625000000007</v>
      </c>
      <c r="G266" s="92">
        <v>17.016317016317</v>
      </c>
      <c r="K266" s="84">
        <v>1.8823529411764699</v>
      </c>
      <c r="L266" s="85">
        <f t="shared" si="13"/>
        <v>112.94117647058819</v>
      </c>
      <c r="N266" s="84">
        <v>915</v>
      </c>
      <c r="O266" s="85">
        <f t="shared" si="14"/>
        <v>0.91500000000000004</v>
      </c>
      <c r="W266" s="84">
        <v>0.27049278846153801</v>
      </c>
      <c r="X266" s="85">
        <f t="shared" si="15"/>
        <v>8.0239033630019794</v>
      </c>
    </row>
    <row r="267" spans="5:24">
      <c r="E267" s="92">
        <v>198.863636363636</v>
      </c>
      <c r="F267" s="85">
        <f t="shared" si="17"/>
        <v>3314.4602272727216</v>
      </c>
      <c r="G267" s="92">
        <v>16.812354312354302</v>
      </c>
      <c r="K267" s="84">
        <v>2.0798319327731001</v>
      </c>
      <c r="L267" s="85">
        <f t="shared" si="13"/>
        <v>124.789915966386</v>
      </c>
      <c r="N267" s="84">
        <v>915</v>
      </c>
      <c r="O267" s="85">
        <f t="shared" si="14"/>
        <v>0.91500000000000004</v>
      </c>
      <c r="W267" s="84">
        <v>0.29362980769230701</v>
      </c>
      <c r="X267" s="85">
        <f t="shared" si="15"/>
        <v>8.2464527094407636</v>
      </c>
    </row>
    <row r="268" spans="5:24">
      <c r="F268" s="85">
        <f t="shared" si="17"/>
        <v>0</v>
      </c>
      <c r="K268" s="84">
        <v>2.3823529411764701</v>
      </c>
      <c r="L268" s="85">
        <f t="shared" si="13"/>
        <v>142.9411764705882</v>
      </c>
      <c r="N268" s="84">
        <v>915</v>
      </c>
      <c r="O268" s="85">
        <f t="shared" si="14"/>
        <v>0.91500000000000004</v>
      </c>
      <c r="W268" s="84">
        <v>0.324338942307692</v>
      </c>
      <c r="X268" s="85">
        <f t="shared" si="15"/>
        <v>8.524458966948556</v>
      </c>
    </row>
    <row r="269" spans="5:24">
      <c r="E269" s="92">
        <v>33.806818181818102</v>
      </c>
      <c r="F269" s="85">
        <f t="shared" si="17"/>
        <v>563.45823863636235</v>
      </c>
      <c r="G269" s="92">
        <v>9.2948717948717903</v>
      </c>
      <c r="L269" s="85">
        <f t="shared" si="13"/>
        <v>0</v>
      </c>
      <c r="O269" s="85">
        <f t="shared" si="14"/>
        <v>0</v>
      </c>
      <c r="X269" s="85">
        <f t="shared" si="15"/>
        <v>0</v>
      </c>
    </row>
    <row r="270" spans="5:24">
      <c r="E270" s="92">
        <v>40.056818181818102</v>
      </c>
      <c r="F270" s="85">
        <f t="shared" si="17"/>
        <v>667.6269886363624</v>
      </c>
      <c r="G270" s="92">
        <v>9.5571095571095501</v>
      </c>
      <c r="K270" s="84">
        <v>0.369747899159663</v>
      </c>
      <c r="L270" s="85">
        <f t="shared" si="13"/>
        <v>22.184873949579782</v>
      </c>
      <c r="N270" s="84">
        <v>1040</v>
      </c>
      <c r="O270" s="85">
        <f t="shared" si="14"/>
        <v>1.04</v>
      </c>
      <c r="W270" s="84">
        <v>8.5396634615384603E-2</v>
      </c>
      <c r="X270" s="85">
        <f t="shared" si="15"/>
        <v>5.4636228317817439</v>
      </c>
    </row>
    <row r="271" spans="5:24">
      <c r="E271" s="92">
        <v>100.28409090909</v>
      </c>
      <c r="F271" s="85">
        <f t="shared" si="17"/>
        <v>1671.4349431818032</v>
      </c>
      <c r="G271" s="92">
        <v>14.4230769230769</v>
      </c>
      <c r="K271" s="84">
        <v>0.44537815126050401</v>
      </c>
      <c r="L271" s="85">
        <f t="shared" si="13"/>
        <v>26.722689075630239</v>
      </c>
      <c r="N271" s="84">
        <v>1040</v>
      </c>
      <c r="O271" s="85">
        <f t="shared" si="14"/>
        <v>1.04</v>
      </c>
      <c r="W271" s="84">
        <v>0.101802884615384</v>
      </c>
      <c r="X271" s="85">
        <f t="shared" si="15"/>
        <v>5.7932262149920142</v>
      </c>
    </row>
    <row r="272" spans="5:24">
      <c r="E272" s="92">
        <v>140.90909090909</v>
      </c>
      <c r="F272" s="85">
        <f t="shared" si="17"/>
        <v>2348.5318181818034</v>
      </c>
      <c r="G272" s="92">
        <v>16.113053613053602</v>
      </c>
      <c r="K272" s="84">
        <v>0.55882352941176405</v>
      </c>
      <c r="L272" s="85">
        <f t="shared" si="13"/>
        <v>33.529411764705841</v>
      </c>
      <c r="N272" s="84">
        <v>1040</v>
      </c>
      <c r="O272" s="85">
        <f t="shared" si="14"/>
        <v>1.04</v>
      </c>
      <c r="W272" s="84">
        <v>0.116526442307692</v>
      </c>
      <c r="X272" s="85">
        <f t="shared" si="15"/>
        <v>6.060037174142856</v>
      </c>
    </row>
    <row r="273" spans="1:24">
      <c r="E273" s="92">
        <v>182.67045454545399</v>
      </c>
      <c r="F273" s="85">
        <f t="shared" si="17"/>
        <v>3044.5684659090821</v>
      </c>
      <c r="G273" s="92">
        <v>18.648018648018599</v>
      </c>
      <c r="K273" s="84">
        <v>0.71008403361344496</v>
      </c>
      <c r="L273" s="85">
        <f t="shared" si="13"/>
        <v>42.605042016806699</v>
      </c>
      <c r="N273" s="84">
        <v>1040</v>
      </c>
      <c r="O273" s="85">
        <f t="shared" si="14"/>
        <v>1.04</v>
      </c>
      <c r="W273" s="84">
        <v>0.13924278846153801</v>
      </c>
      <c r="X273" s="85">
        <f t="shared" si="15"/>
        <v>6.4306967446843917</v>
      </c>
    </row>
    <row r="274" spans="1:24">
      <c r="E274" s="92">
        <v>198.863636363636</v>
      </c>
      <c r="F274" s="85">
        <f t="shared" si="17"/>
        <v>3314.4602272727216</v>
      </c>
      <c r="G274" s="92">
        <v>19.988344988344899</v>
      </c>
      <c r="K274" s="84">
        <v>0.89915966386554602</v>
      </c>
      <c r="L274" s="85">
        <f t="shared" si="13"/>
        <v>53.949579831932759</v>
      </c>
      <c r="N274" s="84">
        <v>1040</v>
      </c>
      <c r="O274" s="85">
        <f t="shared" si="14"/>
        <v>1.04</v>
      </c>
      <c r="W274" s="84">
        <v>0.16532451923076899</v>
      </c>
      <c r="X274" s="85">
        <f t="shared" si="15"/>
        <v>6.8094632760786125</v>
      </c>
    </row>
    <row r="275" spans="1:24">
      <c r="E275" s="92">
        <v>230.96590909090901</v>
      </c>
      <c r="F275" s="85">
        <f t="shared" si="17"/>
        <v>3849.5088068181808</v>
      </c>
      <c r="G275" s="92">
        <v>21.1247086247086</v>
      </c>
      <c r="K275" s="84">
        <v>1.0966386554621801</v>
      </c>
      <c r="L275" s="85">
        <f t="shared" si="13"/>
        <v>65.798319327730809</v>
      </c>
      <c r="N275" s="84">
        <v>1040</v>
      </c>
      <c r="O275" s="85">
        <f t="shared" si="14"/>
        <v>1.04</v>
      </c>
      <c r="W275" s="84">
        <v>0.195192307692307</v>
      </c>
      <c r="X275" s="85">
        <f t="shared" si="15"/>
        <v>7.1970528542187608</v>
      </c>
    </row>
    <row r="276" spans="1:24">
      <c r="E276" s="92">
        <v>250.56818181818099</v>
      </c>
      <c r="F276" s="85">
        <f t="shared" si="17"/>
        <v>4176.2198863636231</v>
      </c>
      <c r="G276" s="92">
        <v>21.9114219114219</v>
      </c>
      <c r="K276" s="84">
        <v>1.24789915966386</v>
      </c>
      <c r="L276" s="85">
        <f t="shared" si="13"/>
        <v>74.873949579831603</v>
      </c>
      <c r="N276" s="84">
        <v>1040</v>
      </c>
      <c r="O276" s="85">
        <f t="shared" si="14"/>
        <v>1.04</v>
      </c>
      <c r="W276" s="84">
        <v>0.21538461538461501</v>
      </c>
      <c r="X276" s="85">
        <f t="shared" si="15"/>
        <v>7.4371296451870528</v>
      </c>
    </row>
    <row r="277" spans="1:24">
      <c r="E277" s="92">
        <v>270.17045454545399</v>
      </c>
      <c r="F277" s="85">
        <f t="shared" si="17"/>
        <v>4502.9309659090823</v>
      </c>
      <c r="G277" s="92">
        <v>22.960372960372901</v>
      </c>
      <c r="K277" s="84">
        <v>1.5966386554621801</v>
      </c>
      <c r="L277" s="85">
        <f t="shared" si="13"/>
        <v>95.798319327730809</v>
      </c>
      <c r="N277" s="84">
        <v>1040</v>
      </c>
      <c r="O277" s="85">
        <f t="shared" si="14"/>
        <v>1.04</v>
      </c>
      <c r="W277" s="84">
        <v>0.26502403846153799</v>
      </c>
      <c r="X277" s="85">
        <f t="shared" si="15"/>
        <v>7.9694597533179081</v>
      </c>
    </row>
    <row r="278" spans="1:24">
      <c r="E278" s="92">
        <v>288.35227272727201</v>
      </c>
      <c r="F278" s="85">
        <f t="shared" si="17"/>
        <v>4805.9673295454431</v>
      </c>
      <c r="G278" s="92">
        <v>20.541958041958001</v>
      </c>
      <c r="K278" s="84">
        <v>1.8865546218487299</v>
      </c>
      <c r="L278" s="85">
        <f t="shared" si="13"/>
        <v>113.19327731092379</v>
      </c>
      <c r="N278" s="84">
        <v>1040</v>
      </c>
      <c r="O278" s="85">
        <f t="shared" si="14"/>
        <v>1.04</v>
      </c>
      <c r="W278" s="84">
        <v>0.29615384615384599</v>
      </c>
      <c r="X278" s="85">
        <f t="shared" si="15"/>
        <v>8.2700141309394262</v>
      </c>
    </row>
    <row r="279" spans="1:24">
      <c r="E279" s="92">
        <v>301.136363636363</v>
      </c>
      <c r="F279" s="85">
        <f t="shared" si="17"/>
        <v>5019.039772727263</v>
      </c>
      <c r="G279" s="92">
        <v>21.1538461538461</v>
      </c>
      <c r="K279" s="84">
        <v>2.3151260504201598</v>
      </c>
      <c r="L279" s="85">
        <f t="shared" si="13"/>
        <v>138.90756302520958</v>
      </c>
      <c r="N279" s="84">
        <v>1040</v>
      </c>
      <c r="O279" s="85">
        <f t="shared" si="14"/>
        <v>1.04</v>
      </c>
      <c r="W279" s="84">
        <v>0.34579326923076897</v>
      </c>
      <c r="X279" s="85">
        <f t="shared" si="15"/>
        <v>8.7084187545094522</v>
      </c>
    </row>
    <row r="280" spans="1:24">
      <c r="X280" s="85">
        <f t="shared" si="15"/>
        <v>0</v>
      </c>
    </row>
    <row r="281" spans="1:24" ht="15" customHeight="1">
      <c r="A281" s="246" t="s">
        <v>120</v>
      </c>
      <c r="W281" s="84">
        <v>2.1</v>
      </c>
      <c r="X281" s="85">
        <f t="shared" si="15"/>
        <v>15.888158272710713</v>
      </c>
    </row>
    <row r="282" spans="1:24">
      <c r="A282" s="84" t="s">
        <v>121</v>
      </c>
      <c r="B282" s="84" t="s">
        <v>122</v>
      </c>
      <c r="C282" s="84" t="s">
        <v>123</v>
      </c>
      <c r="D282" s="84" t="s">
        <v>124</v>
      </c>
      <c r="E282" s="84" t="s">
        <v>125</v>
      </c>
      <c r="F282" s="84" t="s">
        <v>79</v>
      </c>
      <c r="W282" s="84">
        <v>2.6</v>
      </c>
      <c r="X282" s="85">
        <f t="shared" si="15"/>
        <v>17.060492934198507</v>
      </c>
    </row>
    <row r="283" spans="1:24">
      <c r="A283" s="92">
        <v>328.74728457639299</v>
      </c>
      <c r="B283" s="85">
        <f t="shared" ref="B283:B314" si="18">A283/60</f>
        <v>5.4791214096065497</v>
      </c>
      <c r="C283" s="92">
        <v>27.022821576763398</v>
      </c>
      <c r="D283" s="85">
        <f t="shared" ref="D283:D314" si="19">ROUND(C283,0)*0.001</f>
        <v>2.7E-2</v>
      </c>
      <c r="E283" s="85">
        <f t="shared" ref="E283:E314" si="20">B283*D283</f>
        <v>0.14793627805937684</v>
      </c>
      <c r="F283" s="85">
        <f t="shared" ref="F283:F314" si="21">2*POWER((3*E283*1000)/(4*PI()), 1/3)</f>
        <v>6.5618357489800383</v>
      </c>
      <c r="W283" s="84">
        <v>3.2</v>
      </c>
      <c r="X283" s="85">
        <f t="shared" si="15"/>
        <v>18.283125989363327</v>
      </c>
    </row>
    <row r="284" spans="1:24">
      <c r="A284" s="88">
        <v>330.19551049963701</v>
      </c>
      <c r="B284" s="85">
        <f t="shared" si="18"/>
        <v>5.5032585083272831</v>
      </c>
      <c r="C284" s="88">
        <v>28.008298755186701</v>
      </c>
      <c r="D284" s="85">
        <f t="shared" si="19"/>
        <v>2.8000000000000001E-2</v>
      </c>
      <c r="E284" s="85">
        <f t="shared" si="20"/>
        <v>0.15409123823316392</v>
      </c>
      <c r="F284" s="85">
        <f t="shared" si="21"/>
        <v>6.6516048439720805</v>
      </c>
      <c r="W284" s="84">
        <v>1.6</v>
      </c>
      <c r="X284" s="85">
        <f t="shared" si="15"/>
        <v>14.51132671439124</v>
      </c>
    </row>
    <row r="285" spans="1:24">
      <c r="A285" s="92">
        <v>330.19551049963701</v>
      </c>
      <c r="B285" s="85">
        <f t="shared" si="18"/>
        <v>5.5032585083272831</v>
      </c>
      <c r="C285" s="92">
        <v>28.9937759336099</v>
      </c>
      <c r="D285" s="85">
        <f t="shared" si="19"/>
        <v>2.9000000000000001E-2</v>
      </c>
      <c r="E285" s="85">
        <f t="shared" si="20"/>
        <v>0.15959449674149123</v>
      </c>
      <c r="F285" s="85">
        <f t="shared" si="21"/>
        <v>6.7298661982974783</v>
      </c>
      <c r="W285" s="84">
        <v>2.4</v>
      </c>
      <c r="X285" s="85">
        <f t="shared" si="15"/>
        <v>16.61132236830829</v>
      </c>
    </row>
    <row r="286" spans="1:24">
      <c r="A286" s="92">
        <v>283.85228095582897</v>
      </c>
      <c r="B286" s="85">
        <f t="shared" si="18"/>
        <v>4.7308713492638166</v>
      </c>
      <c r="C286" s="92">
        <v>28.008298755186701</v>
      </c>
      <c r="D286" s="85">
        <f t="shared" si="19"/>
        <v>2.8000000000000001E-2</v>
      </c>
      <c r="E286" s="85">
        <f t="shared" si="20"/>
        <v>0.13246439777938687</v>
      </c>
      <c r="F286" s="85">
        <f t="shared" si="21"/>
        <v>6.3246065821704001</v>
      </c>
      <c r="W286" s="84">
        <v>3</v>
      </c>
      <c r="X286" s="85">
        <f t="shared" si="15"/>
        <v>17.894004578792991</v>
      </c>
    </row>
    <row r="287" spans="1:24">
      <c r="A287" s="92">
        <v>283.85228095582897</v>
      </c>
      <c r="B287" s="85">
        <f t="shared" si="18"/>
        <v>4.7308713492638166</v>
      </c>
      <c r="C287" s="92">
        <v>28.8381742738589</v>
      </c>
      <c r="D287" s="85">
        <f t="shared" si="19"/>
        <v>2.9000000000000001E-2</v>
      </c>
      <c r="E287" s="85">
        <f t="shared" si="20"/>
        <v>0.13719526912865068</v>
      </c>
      <c r="F287" s="85">
        <f t="shared" si="21"/>
        <v>6.3990205451622835</v>
      </c>
      <c r="W287" s="84">
        <v>1.3</v>
      </c>
      <c r="X287" s="85">
        <f t="shared" si="15"/>
        <v>13.54092221542137</v>
      </c>
    </row>
    <row r="288" spans="1:24">
      <c r="A288" s="92">
        <v>282.40405503258501</v>
      </c>
      <c r="B288" s="85">
        <f t="shared" si="18"/>
        <v>4.7067342505430831</v>
      </c>
      <c r="C288" s="92">
        <v>29.927385892116099</v>
      </c>
      <c r="D288" s="85">
        <f t="shared" si="19"/>
        <v>0.03</v>
      </c>
      <c r="E288" s="85">
        <f t="shared" si="20"/>
        <v>0.14120202751629249</v>
      </c>
      <c r="F288" s="85">
        <f t="shared" si="21"/>
        <v>6.4607177763037171</v>
      </c>
      <c r="W288" s="84">
        <v>1.8</v>
      </c>
      <c r="X288" s="85">
        <f t="shared" si="15"/>
        <v>15.092387974813073</v>
      </c>
    </row>
    <row r="289" spans="1:24">
      <c r="A289" s="92">
        <v>236.060825488776</v>
      </c>
      <c r="B289" s="85">
        <f t="shared" si="18"/>
        <v>3.9343470914796002</v>
      </c>
      <c r="C289" s="92">
        <v>31.068464730290401</v>
      </c>
      <c r="D289" s="85">
        <f t="shared" si="19"/>
        <v>3.1E-2</v>
      </c>
      <c r="E289" s="85">
        <f t="shared" si="20"/>
        <v>0.1219647598358676</v>
      </c>
      <c r="F289" s="85">
        <f t="shared" si="21"/>
        <v>6.1528819236399599</v>
      </c>
      <c r="W289" s="84">
        <v>2.2000000000000002</v>
      </c>
      <c r="X289" s="85">
        <f t="shared" si="15"/>
        <v>16.136450850276375</v>
      </c>
    </row>
    <row r="290" spans="1:24">
      <c r="A290" s="92">
        <v>237.50905141202</v>
      </c>
      <c r="B290" s="85">
        <f t="shared" si="18"/>
        <v>3.9584841902003332</v>
      </c>
      <c r="C290" s="92">
        <v>31.846473029045601</v>
      </c>
      <c r="D290" s="85">
        <f t="shared" si="19"/>
        <v>3.2000000000000001E-2</v>
      </c>
      <c r="E290" s="85">
        <f t="shared" si="20"/>
        <v>0.12667149408641065</v>
      </c>
      <c r="F290" s="85">
        <f t="shared" si="21"/>
        <v>6.2310335586508749</v>
      </c>
      <c r="K290" s="84">
        <v>1.7</v>
      </c>
      <c r="L290" s="85">
        <f t="shared" ref="L290:L296" si="22">K290*60</f>
        <v>102</v>
      </c>
      <c r="Q290" s="84" t="s">
        <v>126</v>
      </c>
      <c r="R290" s="84" t="s">
        <v>127</v>
      </c>
      <c r="T290" s="84" t="s">
        <v>128</v>
      </c>
      <c r="U290" s="84" t="s">
        <v>129</v>
      </c>
    </row>
    <row r="291" spans="1:24">
      <c r="A291" s="92">
        <v>238.957277335264</v>
      </c>
      <c r="B291" s="85">
        <f t="shared" si="18"/>
        <v>3.9826212889210666</v>
      </c>
      <c r="C291" s="92">
        <v>32.935684647302899</v>
      </c>
      <c r="D291" s="85">
        <f t="shared" si="19"/>
        <v>3.3000000000000002E-2</v>
      </c>
      <c r="E291" s="85">
        <f t="shared" si="20"/>
        <v>0.1314265025343952</v>
      </c>
      <c r="F291" s="85">
        <f t="shared" si="21"/>
        <v>6.3080449033508899</v>
      </c>
      <c r="K291" s="84">
        <v>3.1</v>
      </c>
      <c r="L291" s="85">
        <f t="shared" si="22"/>
        <v>186</v>
      </c>
      <c r="Q291" s="84">
        <v>63.9</v>
      </c>
      <c r="R291" s="85">
        <f t="shared" ref="R291:R297" si="23">Q291/1000</f>
        <v>6.3899999999999998E-2</v>
      </c>
      <c r="T291" s="84">
        <v>2.5999999999999999E-2</v>
      </c>
      <c r="U291" s="85">
        <f t="shared" ref="U291:U307" si="24">T291*10*2</f>
        <v>0.52</v>
      </c>
      <c r="W291" s="84">
        <v>0.46</v>
      </c>
      <c r="X291" s="85">
        <f t="shared" ref="X291:X297" si="25">2*POWER((3*W291*1000)/(4*PI()), 1/3)</f>
        <v>9.5775200491885002</v>
      </c>
    </row>
    <row r="292" spans="1:24">
      <c r="A292" s="92">
        <v>188.26937002172301</v>
      </c>
      <c r="B292" s="85">
        <f t="shared" si="18"/>
        <v>3.1378228336953833</v>
      </c>
      <c r="C292" s="92">
        <v>33.973029045643102</v>
      </c>
      <c r="D292" s="85">
        <f t="shared" si="19"/>
        <v>3.4000000000000002E-2</v>
      </c>
      <c r="E292" s="85">
        <f t="shared" si="20"/>
        <v>0.10668597634564304</v>
      </c>
      <c r="F292" s="85">
        <f t="shared" si="21"/>
        <v>5.8844097253115137</v>
      </c>
      <c r="K292" s="84">
        <v>3.6</v>
      </c>
      <c r="L292" s="85">
        <f t="shared" si="22"/>
        <v>216</v>
      </c>
      <c r="Q292" s="84">
        <v>63.9</v>
      </c>
      <c r="R292" s="85">
        <f t="shared" si="23"/>
        <v>6.3899999999999998E-2</v>
      </c>
      <c r="T292" s="84">
        <v>2.5999999999999999E-2</v>
      </c>
      <c r="U292" s="85">
        <f t="shared" si="24"/>
        <v>0.52</v>
      </c>
      <c r="W292" s="84">
        <v>0.51</v>
      </c>
      <c r="X292" s="85">
        <f t="shared" si="25"/>
        <v>9.9126670211312771</v>
      </c>
    </row>
    <row r="293" spans="1:24">
      <c r="A293" s="92">
        <v>186.82114409847901</v>
      </c>
      <c r="B293" s="85">
        <f t="shared" si="18"/>
        <v>3.1136857349746503</v>
      </c>
      <c r="C293" s="92">
        <v>33.039419087136899</v>
      </c>
      <c r="D293" s="85">
        <f t="shared" si="19"/>
        <v>3.3000000000000002E-2</v>
      </c>
      <c r="E293" s="85">
        <f t="shared" si="20"/>
        <v>0.10275162925416347</v>
      </c>
      <c r="F293" s="85">
        <f t="shared" si="21"/>
        <v>5.811167114828276</v>
      </c>
      <c r="K293" s="84">
        <v>2.7</v>
      </c>
      <c r="L293" s="85">
        <f t="shared" si="22"/>
        <v>162</v>
      </c>
      <c r="Q293" s="84">
        <v>63.9</v>
      </c>
      <c r="R293" s="85">
        <f t="shared" si="23"/>
        <v>6.3899999999999998E-2</v>
      </c>
      <c r="T293" s="84">
        <v>2.5999999999999999E-2</v>
      </c>
      <c r="U293" s="85">
        <f t="shared" si="24"/>
        <v>0.52</v>
      </c>
      <c r="W293" s="84">
        <v>0.55000000000000004</v>
      </c>
      <c r="X293" s="85">
        <f t="shared" si="25"/>
        <v>10.165327048428615</v>
      </c>
    </row>
    <row r="294" spans="1:24">
      <c r="A294" s="92">
        <v>141.926140477914</v>
      </c>
      <c r="B294" s="85">
        <f t="shared" si="18"/>
        <v>2.3654356746318999</v>
      </c>
      <c r="C294" s="92">
        <v>35.062240663900397</v>
      </c>
      <c r="D294" s="85">
        <f t="shared" si="19"/>
        <v>3.5000000000000003E-2</v>
      </c>
      <c r="E294" s="85">
        <f t="shared" si="20"/>
        <v>8.2790248612116507E-2</v>
      </c>
      <c r="F294" s="85">
        <f t="shared" si="21"/>
        <v>5.4074625638522438</v>
      </c>
      <c r="K294" s="84">
        <v>3.4</v>
      </c>
      <c r="L294" s="85">
        <f t="shared" si="22"/>
        <v>204</v>
      </c>
      <c r="Q294" s="84">
        <v>64.7</v>
      </c>
      <c r="R294" s="85">
        <f t="shared" si="23"/>
        <v>6.4700000000000008E-2</v>
      </c>
      <c r="T294" s="84">
        <v>2.5999999999999999E-2</v>
      </c>
      <c r="U294" s="85">
        <f t="shared" si="24"/>
        <v>0.52</v>
      </c>
      <c r="W294" s="84">
        <v>0.26</v>
      </c>
      <c r="X294" s="85">
        <f t="shared" si="25"/>
        <v>7.9187793499305492</v>
      </c>
    </row>
    <row r="295" spans="1:24">
      <c r="A295" s="92">
        <v>143.374366401158</v>
      </c>
      <c r="B295" s="85">
        <f t="shared" si="18"/>
        <v>2.3895727733526333</v>
      </c>
      <c r="C295" s="92">
        <v>35.9439834024896</v>
      </c>
      <c r="D295" s="85">
        <f t="shared" si="19"/>
        <v>3.6000000000000004E-2</v>
      </c>
      <c r="E295" s="85">
        <f t="shared" si="20"/>
        <v>8.6024619840694802E-2</v>
      </c>
      <c r="F295" s="85">
        <f t="shared" si="21"/>
        <v>5.4769828359766102</v>
      </c>
      <c r="K295" s="84">
        <v>5.0999999999999996</v>
      </c>
      <c r="L295" s="85">
        <f t="shared" si="22"/>
        <v>306</v>
      </c>
      <c r="Q295" s="84">
        <v>64.7</v>
      </c>
      <c r="R295" s="85">
        <f t="shared" si="23"/>
        <v>6.4700000000000008E-2</v>
      </c>
      <c r="T295" s="84">
        <v>2.5999999999999999E-2</v>
      </c>
      <c r="U295" s="85">
        <f t="shared" si="24"/>
        <v>0.52</v>
      </c>
      <c r="W295" s="84">
        <v>0.3</v>
      </c>
      <c r="X295" s="85">
        <f t="shared" si="25"/>
        <v>8.3056611841541468</v>
      </c>
    </row>
    <row r="296" spans="1:24">
      <c r="A296" s="92">
        <v>94.5</v>
      </c>
      <c r="B296" s="85">
        <f t="shared" si="18"/>
        <v>1.575</v>
      </c>
      <c r="C296" s="92">
        <v>39.004149377593301</v>
      </c>
      <c r="D296" s="85">
        <f t="shared" si="19"/>
        <v>3.9E-2</v>
      </c>
      <c r="E296" s="85">
        <f t="shared" si="20"/>
        <v>6.1425E-2</v>
      </c>
      <c r="F296" s="85">
        <f t="shared" si="21"/>
        <v>4.8953323390944501</v>
      </c>
      <c r="K296" s="84">
        <v>7.1</v>
      </c>
      <c r="L296" s="85">
        <f t="shared" si="22"/>
        <v>426</v>
      </c>
      <c r="Q296" s="84">
        <v>64.5</v>
      </c>
      <c r="R296" s="85">
        <f t="shared" si="23"/>
        <v>6.4500000000000002E-2</v>
      </c>
      <c r="T296" s="84">
        <v>3.2300000000000002E-2</v>
      </c>
      <c r="U296" s="85">
        <f t="shared" si="24"/>
        <v>0.64600000000000002</v>
      </c>
      <c r="W296" s="84">
        <v>0.56000000000000005</v>
      </c>
      <c r="X296" s="85">
        <f t="shared" si="25"/>
        <v>10.226565435490876</v>
      </c>
    </row>
    <row r="297" spans="1:24">
      <c r="A297" s="92">
        <v>94.5</v>
      </c>
      <c r="B297" s="85">
        <f t="shared" si="18"/>
        <v>1.575</v>
      </c>
      <c r="C297" s="92">
        <v>39.937759336099496</v>
      </c>
      <c r="D297" s="233">
        <f t="shared" si="19"/>
        <v>0.04</v>
      </c>
      <c r="E297" s="85">
        <f t="shared" si="20"/>
        <v>6.3E-2</v>
      </c>
      <c r="F297" s="85">
        <f t="shared" si="21"/>
        <v>4.936820184470645</v>
      </c>
      <c r="Q297" s="84">
        <v>64.5</v>
      </c>
      <c r="R297" s="85">
        <f t="shared" si="23"/>
        <v>6.4500000000000002E-2</v>
      </c>
      <c r="T297" s="84">
        <v>3.2300000000000002E-2</v>
      </c>
      <c r="U297" s="85">
        <f t="shared" si="24"/>
        <v>0.64600000000000002</v>
      </c>
      <c r="W297" s="84">
        <v>0.67</v>
      </c>
      <c r="X297" s="85">
        <f t="shared" si="25"/>
        <v>10.856555581472675</v>
      </c>
    </row>
    <row r="298" spans="1:24">
      <c r="A298" s="92">
        <v>94.5</v>
      </c>
      <c r="B298" s="85">
        <f t="shared" si="18"/>
        <v>1.575</v>
      </c>
      <c r="C298" s="92">
        <v>40.975103734439799</v>
      </c>
      <c r="D298" s="85">
        <f t="shared" si="19"/>
        <v>4.1000000000000002E-2</v>
      </c>
      <c r="E298" s="85">
        <f t="shared" si="20"/>
        <v>6.4575000000000007E-2</v>
      </c>
      <c r="F298" s="85">
        <f t="shared" si="21"/>
        <v>4.9776222016003864</v>
      </c>
      <c r="K298" s="84">
        <v>32</v>
      </c>
      <c r="L298" s="85">
        <f t="shared" ref="L298:L306" si="26">K298*60</f>
        <v>1920</v>
      </c>
      <c r="U298" s="85">
        <f t="shared" si="24"/>
        <v>0</v>
      </c>
    </row>
    <row r="299" spans="1:24">
      <c r="A299" s="92">
        <v>94.5</v>
      </c>
      <c r="B299" s="85">
        <f t="shared" si="18"/>
        <v>1.575</v>
      </c>
      <c r="C299" s="92">
        <v>41.960580912863001</v>
      </c>
      <c r="D299" s="85">
        <f t="shared" si="19"/>
        <v>4.2000000000000003E-2</v>
      </c>
      <c r="E299" s="85">
        <f t="shared" si="20"/>
        <v>6.615E-2</v>
      </c>
      <c r="F299" s="85">
        <f t="shared" si="21"/>
        <v>5.0177660497459966</v>
      </c>
      <c r="K299" s="84">
        <v>42</v>
      </c>
      <c r="L299" s="85">
        <f t="shared" si="26"/>
        <v>2520</v>
      </c>
      <c r="Q299" s="86">
        <v>6.3899999999999998E-2</v>
      </c>
      <c r="T299" s="84">
        <v>9.7500000000000003E-2</v>
      </c>
      <c r="U299" s="85">
        <f t="shared" si="24"/>
        <v>1.9500000000000002</v>
      </c>
      <c r="W299" s="84">
        <v>4.5</v>
      </c>
      <c r="X299" s="85">
        <f t="shared" ref="X299:X307" si="27">2*POWER((3*W299*1000)/(4*PI()), 1/3)</f>
        <v>20.483521897658868</v>
      </c>
    </row>
    <row r="300" spans="1:24">
      <c r="A300" s="92">
        <v>140.47791455467001</v>
      </c>
      <c r="B300" s="85">
        <f t="shared" si="18"/>
        <v>2.3412985759111669</v>
      </c>
      <c r="C300" s="92">
        <v>38.122406639004097</v>
      </c>
      <c r="D300" s="85">
        <f t="shared" si="19"/>
        <v>3.7999999999999999E-2</v>
      </c>
      <c r="E300" s="85">
        <f t="shared" si="20"/>
        <v>8.8969345884624337E-2</v>
      </c>
      <c r="F300" s="85">
        <f t="shared" si="21"/>
        <v>5.5387775736728502</v>
      </c>
      <c r="K300" s="84">
        <v>57</v>
      </c>
      <c r="L300" s="85">
        <f t="shared" si="26"/>
        <v>3420</v>
      </c>
      <c r="Q300" s="86">
        <v>6.3899999999999998E-2</v>
      </c>
      <c r="T300" s="84">
        <v>9.7500000000000003E-2</v>
      </c>
      <c r="U300" s="85">
        <f t="shared" si="24"/>
        <v>1.9500000000000002</v>
      </c>
      <c r="W300" s="84">
        <v>5</v>
      </c>
      <c r="X300" s="85">
        <f t="shared" si="27"/>
        <v>21.215688358941101</v>
      </c>
    </row>
    <row r="301" spans="1:24">
      <c r="A301" s="92">
        <v>140.47791455467001</v>
      </c>
      <c r="B301" s="85">
        <f t="shared" si="18"/>
        <v>2.3412985759111669</v>
      </c>
      <c r="C301" s="92">
        <v>36.981327800829803</v>
      </c>
      <c r="D301" s="85">
        <f t="shared" si="19"/>
        <v>3.6999999999999998E-2</v>
      </c>
      <c r="E301" s="85">
        <f t="shared" si="20"/>
        <v>8.6628047308713166E-2</v>
      </c>
      <c r="F301" s="85">
        <f t="shared" si="21"/>
        <v>5.4897592722048332</v>
      </c>
      <c r="K301" s="84">
        <v>29</v>
      </c>
      <c r="L301" s="85">
        <f t="shared" si="26"/>
        <v>1740</v>
      </c>
      <c r="Q301" s="86">
        <v>6.3899999999999998E-2</v>
      </c>
      <c r="T301" s="84">
        <v>9.7500000000000003E-2</v>
      </c>
      <c r="U301" s="85">
        <f t="shared" si="24"/>
        <v>1.9500000000000002</v>
      </c>
      <c r="W301" s="84">
        <v>5.8</v>
      </c>
      <c r="X301" s="85">
        <f t="shared" si="27"/>
        <v>22.29169661382436</v>
      </c>
    </row>
    <row r="302" spans="1:24">
      <c r="A302" s="92">
        <v>189.717595944967</v>
      </c>
      <c r="B302" s="85">
        <f t="shared" si="18"/>
        <v>3.1619599324161167</v>
      </c>
      <c r="C302" s="92">
        <v>38.070539419087098</v>
      </c>
      <c r="D302" s="85">
        <f t="shared" si="19"/>
        <v>3.7999999999999999E-2</v>
      </c>
      <c r="E302" s="85">
        <f t="shared" si="20"/>
        <v>0.12015447743181243</v>
      </c>
      <c r="F302" s="85">
        <f t="shared" si="21"/>
        <v>6.1222883298223225</v>
      </c>
      <c r="K302" s="84">
        <v>35</v>
      </c>
      <c r="L302" s="85">
        <f t="shared" si="26"/>
        <v>2100</v>
      </c>
      <c r="Q302" s="12">
        <v>6.4000000000000001E-2</v>
      </c>
      <c r="T302" s="84">
        <v>9.7500000000000003E-2</v>
      </c>
      <c r="U302" s="85">
        <f t="shared" si="24"/>
        <v>1.9500000000000002</v>
      </c>
      <c r="W302" s="84">
        <v>3.9</v>
      </c>
      <c r="X302" s="85">
        <f t="shared" si="27"/>
        <v>19.529389246757503</v>
      </c>
    </row>
    <row r="303" spans="1:24">
      <c r="A303" s="92">
        <v>188.26937002172301</v>
      </c>
      <c r="B303" s="85">
        <f t="shared" si="18"/>
        <v>3.1378228336953833</v>
      </c>
      <c r="C303" s="92">
        <v>37.085062240663902</v>
      </c>
      <c r="D303" s="233">
        <f t="shared" si="19"/>
        <v>3.6999999999999998E-2</v>
      </c>
      <c r="E303" s="85">
        <f t="shared" si="20"/>
        <v>0.11609944484672917</v>
      </c>
      <c r="F303" s="85">
        <f t="shared" si="21"/>
        <v>6.0526260161754122</v>
      </c>
      <c r="K303" s="84">
        <v>46</v>
      </c>
      <c r="L303" s="85">
        <f t="shared" si="26"/>
        <v>2760</v>
      </c>
      <c r="Q303" s="12">
        <v>6.4000000000000001E-2</v>
      </c>
      <c r="T303" s="84">
        <v>9.7500000000000003E-2</v>
      </c>
      <c r="U303" s="85">
        <f t="shared" si="24"/>
        <v>1.9500000000000002</v>
      </c>
      <c r="W303" s="84">
        <v>4.0999999999999996</v>
      </c>
      <c r="X303" s="85">
        <f t="shared" si="27"/>
        <v>19.857675590690974</v>
      </c>
    </row>
    <row r="304" spans="1:24">
      <c r="A304" s="92">
        <v>94.5</v>
      </c>
      <c r="B304" s="85">
        <f t="shared" si="18"/>
        <v>1.575</v>
      </c>
      <c r="C304" s="92">
        <v>45.020746887966801</v>
      </c>
      <c r="D304" s="85">
        <f t="shared" si="19"/>
        <v>4.4999999999999998E-2</v>
      </c>
      <c r="E304" s="85">
        <f t="shared" si="20"/>
        <v>7.0874999999999994E-2</v>
      </c>
      <c r="F304" s="85">
        <f t="shared" si="21"/>
        <v>5.1344999015167527</v>
      </c>
      <c r="K304" s="84">
        <v>38</v>
      </c>
      <c r="L304" s="85">
        <f t="shared" si="26"/>
        <v>2280</v>
      </c>
      <c r="Q304" s="12">
        <v>6.4000000000000001E-2</v>
      </c>
      <c r="T304" s="84">
        <v>9.7500000000000003E-2</v>
      </c>
      <c r="U304" s="85">
        <f t="shared" si="24"/>
        <v>1.9500000000000002</v>
      </c>
      <c r="W304" s="84">
        <v>4.5999999999999996</v>
      </c>
      <c r="X304" s="85">
        <f t="shared" si="27"/>
        <v>20.634141438447571</v>
      </c>
    </row>
    <row r="305" spans="1:24">
      <c r="A305" s="92">
        <v>94.5</v>
      </c>
      <c r="B305" s="85">
        <f t="shared" si="18"/>
        <v>1.575</v>
      </c>
      <c r="C305" s="92">
        <v>44.035269709543499</v>
      </c>
      <c r="D305" s="85">
        <f t="shared" si="19"/>
        <v>4.3999999999999997E-2</v>
      </c>
      <c r="E305" s="85">
        <f t="shared" si="20"/>
        <v>6.93E-2</v>
      </c>
      <c r="F305" s="85">
        <f t="shared" si="21"/>
        <v>5.0961813100126818</v>
      </c>
      <c r="K305" s="84">
        <v>47</v>
      </c>
      <c r="L305" s="85">
        <f t="shared" si="26"/>
        <v>2820</v>
      </c>
      <c r="Q305" s="12">
        <v>6.4100000000000004E-2</v>
      </c>
      <c r="T305" s="84">
        <v>9.7500000000000003E-2</v>
      </c>
      <c r="U305" s="85">
        <f t="shared" si="24"/>
        <v>1.9500000000000002</v>
      </c>
      <c r="W305" s="84">
        <v>3.9</v>
      </c>
      <c r="X305" s="85">
        <f t="shared" si="27"/>
        <v>19.529389246757503</v>
      </c>
    </row>
    <row r="306" spans="1:24">
      <c r="A306" s="92">
        <v>140.47791455467001</v>
      </c>
      <c r="B306" s="85">
        <f t="shared" si="18"/>
        <v>2.3412985759111669</v>
      </c>
      <c r="C306" s="92">
        <v>41.908713692946002</v>
      </c>
      <c r="D306" s="85">
        <f t="shared" si="19"/>
        <v>4.2000000000000003E-2</v>
      </c>
      <c r="E306" s="85">
        <f t="shared" si="20"/>
        <v>9.833454018826901E-2</v>
      </c>
      <c r="F306" s="85">
        <f t="shared" si="21"/>
        <v>5.7266743793696104</v>
      </c>
      <c r="K306" s="84">
        <v>56</v>
      </c>
      <c r="L306" s="85">
        <f t="shared" si="26"/>
        <v>3360</v>
      </c>
      <c r="Q306" s="12">
        <v>6.4100000000000004E-2</v>
      </c>
      <c r="T306" s="84">
        <v>9.7500000000000003E-2</v>
      </c>
      <c r="U306" s="85">
        <f t="shared" si="24"/>
        <v>1.9500000000000002</v>
      </c>
      <c r="W306" s="84">
        <v>4.3</v>
      </c>
      <c r="X306" s="85">
        <f t="shared" si="27"/>
        <v>20.175452211500982</v>
      </c>
    </row>
    <row r="307" spans="1:24">
      <c r="A307" s="92">
        <v>140.47791455467001</v>
      </c>
      <c r="B307" s="85">
        <f t="shared" si="18"/>
        <v>2.3412985759111669</v>
      </c>
      <c r="C307" s="92">
        <v>40.975103734439799</v>
      </c>
      <c r="D307" s="85">
        <f t="shared" si="19"/>
        <v>4.1000000000000002E-2</v>
      </c>
      <c r="E307" s="85">
        <f t="shared" si="20"/>
        <v>9.5993241612357852E-2</v>
      </c>
      <c r="F307" s="85">
        <f t="shared" si="21"/>
        <v>5.6808590216216324</v>
      </c>
      <c r="Q307" s="12">
        <v>6.4100000000000004E-2</v>
      </c>
      <c r="T307" s="84">
        <v>9.7500000000000003E-2</v>
      </c>
      <c r="U307" s="85">
        <f t="shared" si="24"/>
        <v>1.9500000000000002</v>
      </c>
      <c r="W307" s="84">
        <v>4.7</v>
      </c>
      <c r="X307" s="85">
        <f t="shared" si="27"/>
        <v>20.782593603257155</v>
      </c>
    </row>
    <row r="308" spans="1:24">
      <c r="A308" s="92">
        <v>188.26937002172301</v>
      </c>
      <c r="B308" s="85">
        <f t="shared" si="18"/>
        <v>3.1378228336953833</v>
      </c>
      <c r="C308" s="92">
        <v>41.908713692946002</v>
      </c>
      <c r="D308" s="85">
        <f t="shared" si="19"/>
        <v>4.2000000000000003E-2</v>
      </c>
      <c r="E308" s="85">
        <f t="shared" si="20"/>
        <v>0.13178855901520611</v>
      </c>
      <c r="F308" s="85">
        <f t="shared" si="21"/>
        <v>6.3138321037557521</v>
      </c>
      <c r="K308" s="88">
        <v>10.130010834236099</v>
      </c>
      <c r="L308" s="85">
        <f t="shared" ref="L308:L323" si="28">K308*60</f>
        <v>607.800650054166</v>
      </c>
    </row>
    <row r="309" spans="1:24">
      <c r="A309" s="92">
        <v>188.26937002172301</v>
      </c>
      <c r="B309" s="85">
        <f t="shared" si="18"/>
        <v>3.1378228336953833</v>
      </c>
      <c r="C309" s="92">
        <v>40.975103734439799</v>
      </c>
      <c r="D309" s="85">
        <f t="shared" si="19"/>
        <v>4.1000000000000002E-2</v>
      </c>
      <c r="E309" s="85">
        <f t="shared" si="20"/>
        <v>0.12865073618151071</v>
      </c>
      <c r="F309" s="85">
        <f t="shared" si="21"/>
        <v>6.263319282975103</v>
      </c>
      <c r="K309" s="92">
        <v>12.188515709642401</v>
      </c>
      <c r="L309" s="85">
        <f t="shared" si="28"/>
        <v>731.31094257854409</v>
      </c>
      <c r="W309" s="88">
        <v>1.0946796959826199</v>
      </c>
      <c r="X309" s="85">
        <f t="shared" ref="X309:X324" si="29">2*POWER((3*W309*1000)/(4*PI()), 1/3)</f>
        <v>12.78682771026039</v>
      </c>
    </row>
    <row r="310" spans="1:24">
      <c r="A310" s="92">
        <v>234.61259956553201</v>
      </c>
      <c r="B310" s="85">
        <f t="shared" si="18"/>
        <v>3.9102099927588667</v>
      </c>
      <c r="C310" s="92">
        <v>39.989626556016603</v>
      </c>
      <c r="D310" s="85">
        <f t="shared" si="19"/>
        <v>0.04</v>
      </c>
      <c r="E310" s="85">
        <f t="shared" si="20"/>
        <v>0.15640839971035467</v>
      </c>
      <c r="F310" s="85">
        <f t="shared" si="21"/>
        <v>6.6847804792879737</v>
      </c>
      <c r="K310" s="92">
        <v>13.044420368363999</v>
      </c>
      <c r="L310" s="85">
        <f t="shared" si="28"/>
        <v>782.66522210183996</v>
      </c>
      <c r="W310" s="92">
        <v>1.2492942453854501</v>
      </c>
      <c r="X310" s="85">
        <f t="shared" si="29"/>
        <v>13.362530384048663</v>
      </c>
    </row>
    <row r="311" spans="1:24">
      <c r="A311" s="92">
        <v>236.060825488776</v>
      </c>
      <c r="B311" s="85">
        <f t="shared" si="18"/>
        <v>3.9343470914796002</v>
      </c>
      <c r="C311" s="92">
        <v>39.0560165975103</v>
      </c>
      <c r="D311" s="85">
        <f t="shared" si="19"/>
        <v>3.9E-2</v>
      </c>
      <c r="E311" s="85">
        <f t="shared" si="20"/>
        <v>0.1534395365677044</v>
      </c>
      <c r="F311" s="85">
        <f t="shared" si="21"/>
        <v>6.6422143305297006</v>
      </c>
      <c r="K311" s="92">
        <v>14.127843986998901</v>
      </c>
      <c r="L311" s="85">
        <f t="shared" si="28"/>
        <v>847.67063921993406</v>
      </c>
      <c r="W311" s="92">
        <v>1.3127035830618801</v>
      </c>
      <c r="X311" s="85">
        <f t="shared" si="29"/>
        <v>13.58488655705343</v>
      </c>
    </row>
    <row r="312" spans="1:24">
      <c r="A312" s="92">
        <v>282.40405503258501</v>
      </c>
      <c r="B312" s="85">
        <f t="shared" si="18"/>
        <v>4.7067342505430831</v>
      </c>
      <c r="C312" s="92">
        <v>40.975103734439799</v>
      </c>
      <c r="D312" s="85">
        <f t="shared" si="19"/>
        <v>4.1000000000000002E-2</v>
      </c>
      <c r="E312" s="85">
        <f t="shared" si="20"/>
        <v>0.19297610427226641</v>
      </c>
      <c r="F312" s="85">
        <f t="shared" si="21"/>
        <v>7.1697107888805265</v>
      </c>
      <c r="K312" s="92">
        <v>14.691224268689</v>
      </c>
      <c r="L312" s="85">
        <f t="shared" si="28"/>
        <v>881.47345612133995</v>
      </c>
      <c r="W312" s="92">
        <v>1.38306188925081</v>
      </c>
      <c r="X312" s="85">
        <f t="shared" si="29"/>
        <v>13.823382670152311</v>
      </c>
    </row>
    <row r="313" spans="1:24">
      <c r="A313" s="92">
        <v>282.40405503258501</v>
      </c>
      <c r="B313" s="85">
        <f t="shared" si="18"/>
        <v>4.7067342505430831</v>
      </c>
      <c r="C313" s="92">
        <v>39.885892116182497</v>
      </c>
      <c r="D313" s="85">
        <f t="shared" si="19"/>
        <v>0.04</v>
      </c>
      <c r="E313" s="85">
        <f t="shared" si="20"/>
        <v>0.18826937002172334</v>
      </c>
      <c r="F313" s="85">
        <f t="shared" si="21"/>
        <v>7.1109400243317147</v>
      </c>
      <c r="K313" s="92">
        <v>15.449620801733399</v>
      </c>
      <c r="L313" s="85">
        <f t="shared" si="28"/>
        <v>926.97724810400393</v>
      </c>
      <c r="W313" s="92">
        <v>1.4221498371335499</v>
      </c>
      <c r="X313" s="85">
        <f t="shared" si="29"/>
        <v>13.952399764893507</v>
      </c>
    </row>
    <row r="314" spans="1:24">
      <c r="A314" s="92">
        <v>283.85228095582897</v>
      </c>
      <c r="B314" s="85">
        <f t="shared" si="18"/>
        <v>4.7308713492638166</v>
      </c>
      <c r="C314" s="92">
        <v>38.952282157676301</v>
      </c>
      <c r="D314" s="85">
        <f t="shared" si="19"/>
        <v>3.9E-2</v>
      </c>
      <c r="E314" s="85">
        <f t="shared" si="20"/>
        <v>0.18450398262128884</v>
      </c>
      <c r="F314" s="85">
        <f t="shared" si="21"/>
        <v>7.063214156630087</v>
      </c>
      <c r="K314" s="92">
        <v>16.3488624052004</v>
      </c>
      <c r="L314" s="85">
        <f t="shared" si="28"/>
        <v>980.93174431202397</v>
      </c>
      <c r="W314" s="92">
        <v>1.47166123778501</v>
      </c>
      <c r="X314" s="85">
        <f t="shared" si="29"/>
        <v>14.112471447525516</v>
      </c>
    </row>
    <row r="315" spans="1:24">
      <c r="C315" s="92"/>
      <c r="K315" s="92">
        <v>17.551462621885101</v>
      </c>
      <c r="L315" s="85">
        <f t="shared" si="28"/>
        <v>1053.0877573131061</v>
      </c>
      <c r="W315" s="92">
        <v>1.5263843648208399</v>
      </c>
      <c r="X315" s="85">
        <f t="shared" si="29"/>
        <v>14.285269197643052</v>
      </c>
    </row>
    <row r="316" spans="1:24">
      <c r="A316" s="84">
        <v>74.243201177252502</v>
      </c>
      <c r="B316" s="85">
        <f t="shared" ref="B316:B344" si="30">A316/60</f>
        <v>1.2373866862875418</v>
      </c>
      <c r="C316" s="84">
        <v>71.221310114624302</v>
      </c>
      <c r="D316" s="85">
        <f t="shared" ref="D316:D344" si="31">ROUND(C316,0)*0.001</f>
        <v>7.1000000000000008E-2</v>
      </c>
      <c r="E316" s="85">
        <f t="shared" ref="E316:E344" si="32">B316*D316</f>
        <v>8.7854454726415482E-2</v>
      </c>
      <c r="F316" s="85">
        <f t="shared" ref="F316:F344" si="33">2*POWER((3*E316*1000)/(4*PI()), 1/3)</f>
        <v>5.515544443655152</v>
      </c>
      <c r="L316" s="85">
        <f t="shared" si="28"/>
        <v>0</v>
      </c>
      <c r="W316" s="92">
        <v>1.6054288816503799</v>
      </c>
      <c r="X316" s="85">
        <f t="shared" si="29"/>
        <v>14.527720743781121</v>
      </c>
    </row>
    <row r="317" spans="1:24">
      <c r="A317" s="84">
        <v>74.243201177252502</v>
      </c>
      <c r="B317" s="85">
        <f t="shared" si="30"/>
        <v>1.2373866862875418</v>
      </c>
      <c r="C317" s="84">
        <v>70.128655391558993</v>
      </c>
      <c r="D317" s="85">
        <f t="shared" si="31"/>
        <v>7.0000000000000007E-2</v>
      </c>
      <c r="E317" s="85">
        <f t="shared" si="32"/>
        <v>8.6617068040127934E-2</v>
      </c>
      <c r="F317" s="85">
        <f t="shared" si="33"/>
        <v>5.4895273377450637</v>
      </c>
      <c r="K317" s="84">
        <v>10.520043336944701</v>
      </c>
      <c r="L317" s="85">
        <f t="shared" si="28"/>
        <v>631.20260021668207</v>
      </c>
      <c r="X317" s="85">
        <f t="shared" si="29"/>
        <v>0</v>
      </c>
    </row>
    <row r="318" spans="1:24">
      <c r="A318" s="84">
        <v>74.243201177252502</v>
      </c>
      <c r="B318" s="85">
        <f t="shared" si="30"/>
        <v>1.2373866862875418</v>
      </c>
      <c r="C318" s="84">
        <v>67.194096992469198</v>
      </c>
      <c r="D318" s="85">
        <f t="shared" si="31"/>
        <v>6.7000000000000004E-2</v>
      </c>
      <c r="E318" s="85">
        <f t="shared" si="32"/>
        <v>8.2904907981265305E-2</v>
      </c>
      <c r="F318" s="85">
        <f t="shared" si="33"/>
        <v>5.4099577459485255</v>
      </c>
      <c r="K318" s="84">
        <v>14.442036836403</v>
      </c>
      <c r="L318" s="85">
        <f t="shared" si="28"/>
        <v>866.52221018418004</v>
      </c>
      <c r="W318" s="84">
        <v>1.14853420195439</v>
      </c>
      <c r="X318" s="85">
        <f t="shared" si="29"/>
        <v>12.993169481951371</v>
      </c>
    </row>
    <row r="319" spans="1:24">
      <c r="A319" s="84">
        <v>74.243201177252502</v>
      </c>
      <c r="B319" s="85">
        <f t="shared" si="30"/>
        <v>1.2373866862875418</v>
      </c>
      <c r="C319" s="84">
        <v>65.102443665458395</v>
      </c>
      <c r="D319" s="85">
        <f t="shared" si="31"/>
        <v>6.5000000000000002E-2</v>
      </c>
      <c r="E319" s="85">
        <f t="shared" si="32"/>
        <v>8.0430134608690224E-2</v>
      </c>
      <c r="F319" s="85">
        <f t="shared" si="33"/>
        <v>5.3555826310728074</v>
      </c>
      <c r="K319" s="84">
        <v>15.189599133261099</v>
      </c>
      <c r="L319" s="85">
        <f t="shared" si="28"/>
        <v>911.37594799566591</v>
      </c>
      <c r="W319" s="84">
        <v>1.4334419109663401</v>
      </c>
      <c r="X319" s="85">
        <f t="shared" si="29"/>
        <v>13.989230474764293</v>
      </c>
    </row>
    <row r="320" spans="1:24">
      <c r="A320" s="84">
        <v>74.243201177252502</v>
      </c>
      <c r="B320" s="85">
        <f t="shared" si="30"/>
        <v>1.2373866862875418</v>
      </c>
      <c r="C320" s="84">
        <v>64.041007648766396</v>
      </c>
      <c r="D320" s="85">
        <f t="shared" si="31"/>
        <v>6.4000000000000001E-2</v>
      </c>
      <c r="E320" s="85">
        <f t="shared" si="32"/>
        <v>7.9192747922402676E-2</v>
      </c>
      <c r="F320" s="85">
        <f t="shared" si="33"/>
        <v>5.3279760447548394</v>
      </c>
      <c r="K320" s="84">
        <v>15.872156013001</v>
      </c>
      <c r="L320" s="85">
        <f t="shared" si="28"/>
        <v>952.32936078006003</v>
      </c>
      <c r="W320" s="84">
        <v>1.4846905537459201</v>
      </c>
      <c r="X320" s="85">
        <f t="shared" si="29"/>
        <v>14.153997275942151</v>
      </c>
    </row>
    <row r="321" spans="1:24">
      <c r="A321" s="84">
        <v>110.19350659603801</v>
      </c>
      <c r="B321" s="85">
        <f t="shared" si="30"/>
        <v>1.8365584432673001</v>
      </c>
      <c r="C321" s="84">
        <v>57.110454833894799</v>
      </c>
      <c r="D321" s="85">
        <f t="shared" si="31"/>
        <v>5.7000000000000002E-2</v>
      </c>
      <c r="E321" s="85">
        <f t="shared" si="32"/>
        <v>0.10468383126623611</v>
      </c>
      <c r="F321" s="85">
        <f t="shared" si="33"/>
        <v>5.8473666819003194</v>
      </c>
      <c r="K321" s="84">
        <v>16.749729144095301</v>
      </c>
      <c r="L321" s="85">
        <f t="shared" si="28"/>
        <v>1004.983748645718</v>
      </c>
      <c r="W321" s="84">
        <v>1.5289902280130201</v>
      </c>
      <c r="X321" s="85">
        <f t="shared" si="29"/>
        <v>14.293393908166221</v>
      </c>
    </row>
    <row r="322" spans="1:24">
      <c r="A322" s="84">
        <v>110.19350659603801</v>
      </c>
      <c r="B322" s="85">
        <f t="shared" si="30"/>
        <v>1.8365584432673001</v>
      </c>
      <c r="C322" s="84">
        <v>57.110454833894799</v>
      </c>
      <c r="D322" s="85">
        <f t="shared" si="31"/>
        <v>5.7000000000000002E-2</v>
      </c>
      <c r="E322" s="85">
        <f t="shared" si="32"/>
        <v>0.10468383126623611</v>
      </c>
      <c r="F322" s="85">
        <f t="shared" si="33"/>
        <v>5.8473666819003194</v>
      </c>
      <c r="K322" s="84">
        <v>17.9631635969664</v>
      </c>
      <c r="L322" s="85">
        <f t="shared" si="28"/>
        <v>1077.7898158179839</v>
      </c>
      <c r="W322" s="84">
        <v>1.58371335504886</v>
      </c>
      <c r="X322" s="85">
        <f t="shared" si="29"/>
        <v>14.461921025149067</v>
      </c>
    </row>
    <row r="323" spans="1:24">
      <c r="A323" s="84">
        <v>108.95384089194199</v>
      </c>
      <c r="B323" s="85">
        <f t="shared" si="30"/>
        <v>1.8158973481990333</v>
      </c>
      <c r="C323" s="84">
        <v>56.111456229949297</v>
      </c>
      <c r="D323" s="85">
        <f t="shared" si="31"/>
        <v>5.6000000000000001E-2</v>
      </c>
      <c r="E323" s="85">
        <f t="shared" si="32"/>
        <v>0.10169025149914586</v>
      </c>
      <c r="F323" s="85">
        <f t="shared" si="33"/>
        <v>5.7910889150058358</v>
      </c>
      <c r="K323" s="84">
        <v>19.599133261104999</v>
      </c>
      <c r="L323" s="85">
        <f t="shared" si="28"/>
        <v>1175.9479956662999</v>
      </c>
      <c r="W323" s="84">
        <v>1.6610206297502701</v>
      </c>
      <c r="X323" s="85">
        <f t="shared" si="29"/>
        <v>14.693507129378458</v>
      </c>
    </row>
    <row r="324" spans="1:24">
      <c r="A324" s="84">
        <v>108.95384089194199</v>
      </c>
      <c r="B324" s="85">
        <f t="shared" si="30"/>
        <v>1.8158973481990333</v>
      </c>
      <c r="C324" s="84">
        <v>56.111456229949297</v>
      </c>
      <c r="D324" s="85">
        <f t="shared" si="31"/>
        <v>5.6000000000000001E-2</v>
      </c>
      <c r="E324" s="85">
        <f t="shared" si="32"/>
        <v>0.10169025149914586</v>
      </c>
      <c r="F324" s="85">
        <f t="shared" si="33"/>
        <v>5.7910889150058358</v>
      </c>
      <c r="W324" s="84">
        <v>1.7583061889250799</v>
      </c>
      <c r="X324" s="85">
        <f t="shared" si="29"/>
        <v>14.974947005330627</v>
      </c>
    </row>
    <row r="325" spans="1:24">
      <c r="A325" s="84">
        <v>148.62314342301701</v>
      </c>
      <c r="B325" s="85">
        <f t="shared" si="30"/>
        <v>2.477052390383617</v>
      </c>
      <c r="C325" s="84">
        <v>53.988584196565199</v>
      </c>
      <c r="D325" s="85">
        <f t="shared" si="31"/>
        <v>5.3999999999999999E-2</v>
      </c>
      <c r="E325" s="85">
        <f t="shared" si="32"/>
        <v>0.13376082908071532</v>
      </c>
      <c r="F325" s="85">
        <f t="shared" si="33"/>
        <v>6.3451726444428909</v>
      </c>
    </row>
    <row r="326" spans="1:24">
      <c r="A326" s="84">
        <v>149.862809127113</v>
      </c>
      <c r="B326" s="85">
        <f t="shared" si="30"/>
        <v>2.4977134854518832</v>
      </c>
      <c r="C326" s="84">
        <v>53.114460418112998</v>
      </c>
      <c r="D326" s="85">
        <f t="shared" si="31"/>
        <v>5.2999999999999999E-2</v>
      </c>
      <c r="E326" s="85">
        <f t="shared" si="32"/>
        <v>0.1323788147289498</v>
      </c>
      <c r="F326" s="85">
        <f t="shared" si="33"/>
        <v>6.3232442142548448</v>
      </c>
    </row>
    <row r="327" spans="1:24">
      <c r="A327" s="84">
        <v>156.061137647593</v>
      </c>
      <c r="B327" s="85">
        <f t="shared" si="30"/>
        <v>2.6010189607932168</v>
      </c>
      <c r="C327" s="84">
        <v>52.146680520540798</v>
      </c>
      <c r="D327" s="85">
        <f t="shared" si="31"/>
        <v>5.2000000000000005E-2</v>
      </c>
      <c r="E327" s="85">
        <f t="shared" si="32"/>
        <v>0.1352529859612473</v>
      </c>
      <c r="F327" s="85">
        <f t="shared" si="33"/>
        <v>6.3686797833098696</v>
      </c>
    </row>
    <row r="328" spans="1:24">
      <c r="A328" s="84">
        <v>157.30080335168901</v>
      </c>
      <c r="B328" s="85">
        <f t="shared" si="30"/>
        <v>2.6216800558614834</v>
      </c>
      <c r="C328" s="84">
        <v>51.116463210222001</v>
      </c>
      <c r="D328" s="85">
        <f t="shared" si="31"/>
        <v>5.1000000000000004E-2</v>
      </c>
      <c r="E328" s="85">
        <f t="shared" si="32"/>
        <v>0.13370568284893566</v>
      </c>
      <c r="F328" s="85">
        <f t="shared" si="33"/>
        <v>6.344300539454089</v>
      </c>
    </row>
    <row r="329" spans="1:24">
      <c r="A329" s="84">
        <v>143.664480606632</v>
      </c>
      <c r="B329" s="85">
        <f t="shared" si="30"/>
        <v>2.3944080101105332</v>
      </c>
      <c r="C329" s="84">
        <v>49.992589780783398</v>
      </c>
      <c r="D329" s="85">
        <f t="shared" si="31"/>
        <v>0.05</v>
      </c>
      <c r="E329" s="85">
        <f t="shared" si="32"/>
        <v>0.11972040050552667</v>
      </c>
      <c r="F329" s="85">
        <f t="shared" si="33"/>
        <v>6.1149068576246171</v>
      </c>
    </row>
    <row r="330" spans="1:24">
      <c r="A330" s="84">
        <v>139.94548349434399</v>
      </c>
      <c r="B330" s="85">
        <f t="shared" si="30"/>
        <v>2.3324247249057333</v>
      </c>
      <c r="C330" s="84">
        <v>49.087247295957802</v>
      </c>
      <c r="D330" s="85">
        <f t="shared" si="31"/>
        <v>4.9000000000000002E-2</v>
      </c>
      <c r="E330" s="85">
        <f t="shared" si="32"/>
        <v>0.11428881152038094</v>
      </c>
      <c r="F330" s="85">
        <f t="shared" si="33"/>
        <v>6.0209963612708606</v>
      </c>
    </row>
    <row r="331" spans="1:24">
      <c r="A331" s="84">
        <v>226.72208278106999</v>
      </c>
      <c r="B331" s="85">
        <f t="shared" si="30"/>
        <v>3.7787013796844997</v>
      </c>
      <c r="C331" s="84">
        <v>45.216127705669201</v>
      </c>
      <c r="D331" s="85">
        <f t="shared" si="31"/>
        <v>4.4999999999999998E-2</v>
      </c>
      <c r="E331" s="85">
        <f t="shared" si="32"/>
        <v>0.17004156208580248</v>
      </c>
      <c r="F331" s="85">
        <f t="shared" si="33"/>
        <v>6.8736195074158726</v>
      </c>
    </row>
    <row r="332" spans="1:24">
      <c r="A332" s="84">
        <v>226.72208278106999</v>
      </c>
      <c r="B332" s="85">
        <f t="shared" si="30"/>
        <v>3.7787013796844997</v>
      </c>
      <c r="C332" s="84">
        <v>44.061035569857303</v>
      </c>
      <c r="D332" s="85">
        <f t="shared" si="31"/>
        <v>4.3999999999999997E-2</v>
      </c>
      <c r="E332" s="85">
        <f t="shared" si="32"/>
        <v>0.16626286070611798</v>
      </c>
      <c r="F332" s="85">
        <f t="shared" si="33"/>
        <v>6.8223219276883356</v>
      </c>
    </row>
    <row r="333" spans="1:24">
      <c r="A333" s="84">
        <v>214.32542574010901</v>
      </c>
      <c r="B333" s="85">
        <f t="shared" si="30"/>
        <v>3.5720904290018169</v>
      </c>
      <c r="C333" s="84">
        <v>43.9049420379908</v>
      </c>
      <c r="D333" s="85">
        <f t="shared" si="31"/>
        <v>4.3999999999999997E-2</v>
      </c>
      <c r="E333" s="85">
        <f t="shared" si="32"/>
        <v>0.15717197887607995</v>
      </c>
      <c r="F333" s="85">
        <f t="shared" si="33"/>
        <v>6.6956410962049917</v>
      </c>
    </row>
    <row r="334" spans="1:24">
      <c r="A334" s="84">
        <v>219.284088556493</v>
      </c>
      <c r="B334" s="85">
        <f t="shared" si="30"/>
        <v>3.6547348092748835</v>
      </c>
      <c r="C334" s="84">
        <v>43.030818259538499</v>
      </c>
      <c r="D334" s="85">
        <f t="shared" si="31"/>
        <v>4.3000000000000003E-2</v>
      </c>
      <c r="E334" s="85">
        <f t="shared" si="32"/>
        <v>0.15715359679881999</v>
      </c>
      <c r="F334" s="85">
        <f t="shared" si="33"/>
        <v>6.6953800560556367</v>
      </c>
    </row>
    <row r="335" spans="1:24">
      <c r="A335" s="84">
        <v>219.284088556493</v>
      </c>
      <c r="B335" s="85">
        <f t="shared" si="30"/>
        <v>3.6547348092748835</v>
      </c>
      <c r="C335" s="84">
        <v>43.030818259538499</v>
      </c>
      <c r="D335" s="85">
        <f t="shared" si="31"/>
        <v>4.3000000000000003E-2</v>
      </c>
      <c r="E335" s="85">
        <f t="shared" si="32"/>
        <v>0.15715359679881999</v>
      </c>
      <c r="F335" s="85">
        <f t="shared" si="33"/>
        <v>6.6953800560556367</v>
      </c>
    </row>
    <row r="336" spans="1:24">
      <c r="A336" s="84">
        <v>221.76341996468599</v>
      </c>
      <c r="B336" s="85">
        <f t="shared" si="30"/>
        <v>3.6960569994114332</v>
      </c>
      <c r="C336" s="84">
        <v>42.125475774713003</v>
      </c>
      <c r="D336" s="85">
        <f t="shared" si="31"/>
        <v>4.2000000000000003E-2</v>
      </c>
      <c r="E336" s="85">
        <f t="shared" si="32"/>
        <v>0.15523439397528022</v>
      </c>
      <c r="F336" s="85">
        <f t="shared" si="33"/>
        <v>6.6680130750174733</v>
      </c>
    </row>
    <row r="337" spans="1:6">
      <c r="A337" s="84">
        <v>221.76341996468599</v>
      </c>
      <c r="B337" s="85">
        <f t="shared" si="30"/>
        <v>3.6960569994114332</v>
      </c>
      <c r="C337" s="84">
        <v>42.125475774713003</v>
      </c>
      <c r="D337" s="85">
        <f t="shared" si="31"/>
        <v>4.2000000000000003E-2</v>
      </c>
      <c r="E337" s="85">
        <f t="shared" si="32"/>
        <v>0.15523439397528022</v>
      </c>
      <c r="F337" s="85">
        <f t="shared" si="33"/>
        <v>6.6680130750174733</v>
      </c>
    </row>
    <row r="338" spans="1:6">
      <c r="A338" s="84">
        <v>223.00308566878201</v>
      </c>
      <c r="B338" s="85">
        <f t="shared" si="30"/>
        <v>3.7167180944797003</v>
      </c>
      <c r="C338" s="84">
        <v>41.126477170767501</v>
      </c>
      <c r="D338" s="85">
        <f t="shared" si="31"/>
        <v>4.1000000000000002E-2</v>
      </c>
      <c r="E338" s="85">
        <f t="shared" si="32"/>
        <v>0.1523854418736677</v>
      </c>
      <c r="F338" s="85">
        <f t="shared" si="33"/>
        <v>6.6269691999552371</v>
      </c>
    </row>
    <row r="339" spans="1:6">
      <c r="A339" s="84">
        <v>223.00308566878201</v>
      </c>
      <c r="B339" s="85">
        <f t="shared" si="30"/>
        <v>3.7167180944797003</v>
      </c>
      <c r="C339" s="84">
        <v>41.126477170767501</v>
      </c>
      <c r="D339" s="85">
        <f t="shared" si="31"/>
        <v>4.1000000000000002E-2</v>
      </c>
      <c r="E339" s="85">
        <f t="shared" si="32"/>
        <v>0.1523854418736677</v>
      </c>
      <c r="F339" s="85">
        <f t="shared" si="33"/>
        <v>6.6269691999552371</v>
      </c>
    </row>
    <row r="340" spans="1:6">
      <c r="A340" s="84">
        <v>262.67238819985698</v>
      </c>
      <c r="B340" s="85">
        <f t="shared" si="30"/>
        <v>4.3778731366642827</v>
      </c>
      <c r="C340" s="84">
        <v>44.185910395350497</v>
      </c>
      <c r="D340" s="85">
        <f t="shared" si="31"/>
        <v>4.3999999999999997E-2</v>
      </c>
      <c r="E340" s="85">
        <f t="shared" si="32"/>
        <v>0.19262641801322844</v>
      </c>
      <c r="F340" s="85">
        <f t="shared" si="33"/>
        <v>7.1653774971898203</v>
      </c>
    </row>
    <row r="341" spans="1:6">
      <c r="A341" s="84">
        <v>262.67238819985698</v>
      </c>
      <c r="B341" s="85">
        <f t="shared" si="30"/>
        <v>4.3778731366642827</v>
      </c>
      <c r="C341" s="84">
        <v>44.185910395350497</v>
      </c>
      <c r="D341" s="85">
        <f t="shared" si="31"/>
        <v>4.3999999999999997E-2</v>
      </c>
      <c r="E341" s="85">
        <f t="shared" si="32"/>
        <v>0.19262641801322844</v>
      </c>
      <c r="F341" s="85">
        <f t="shared" si="33"/>
        <v>7.1653774971898203</v>
      </c>
    </row>
    <row r="342" spans="1:6">
      <c r="A342" s="84">
        <v>251.515396862991</v>
      </c>
      <c r="B342" s="85">
        <f t="shared" si="30"/>
        <v>4.1919232810498501</v>
      </c>
      <c r="C342" s="84">
        <v>43.030818259538499</v>
      </c>
      <c r="D342" s="85">
        <f t="shared" si="31"/>
        <v>4.3000000000000003E-2</v>
      </c>
      <c r="E342" s="85">
        <f t="shared" si="32"/>
        <v>0.18025270108514357</v>
      </c>
      <c r="F342" s="85">
        <f t="shared" si="33"/>
        <v>7.0085426358354912</v>
      </c>
    </row>
    <row r="343" spans="1:6">
      <c r="A343" s="84">
        <v>261.43272249576103</v>
      </c>
      <c r="B343" s="85">
        <f t="shared" si="30"/>
        <v>4.3572120415960169</v>
      </c>
      <c r="C343" s="84">
        <v>41.719632591860098</v>
      </c>
      <c r="D343" s="85">
        <f t="shared" si="31"/>
        <v>4.2000000000000003E-2</v>
      </c>
      <c r="E343" s="85">
        <f t="shared" si="32"/>
        <v>0.18300290574703273</v>
      </c>
      <c r="F343" s="85">
        <f t="shared" si="33"/>
        <v>7.0440071440078116</v>
      </c>
    </row>
    <row r="344" spans="1:6">
      <c r="A344" s="84">
        <v>261.43272249576103</v>
      </c>
      <c r="B344" s="85">
        <f t="shared" si="30"/>
        <v>4.3572120415960169</v>
      </c>
      <c r="C344" s="84">
        <v>40.096259860448797</v>
      </c>
      <c r="D344" s="85">
        <f t="shared" si="31"/>
        <v>0.04</v>
      </c>
      <c r="E344" s="85">
        <f t="shared" si="32"/>
        <v>0.17428848166384067</v>
      </c>
      <c r="F344" s="85">
        <f t="shared" si="33"/>
        <v>6.9303742548645779</v>
      </c>
    </row>
    <row r="346" spans="1:6">
      <c r="A346" s="92">
        <v>84.779483350347803</v>
      </c>
      <c r="B346" s="85">
        <f t="shared" ref="B346:B368" si="34">A346/60</f>
        <v>1.4129913891724635</v>
      </c>
      <c r="C346" s="92">
        <v>87.103660417339995</v>
      </c>
      <c r="D346" s="85">
        <f t="shared" ref="D346:D368" si="35">ROUND(C346,0)*0.001</f>
        <v>8.7000000000000008E-2</v>
      </c>
      <c r="E346" s="85">
        <f t="shared" ref="E346:E368" si="36">B346*D346</f>
        <v>0.12293025085800434</v>
      </c>
      <c r="F346" s="85">
        <f t="shared" ref="F346:F368" si="37">2*POWER((3*E346*1000)/(4*PI()), 1/3)</f>
        <v>6.1690749764882868</v>
      </c>
    </row>
    <row r="347" spans="1:6">
      <c r="A347" s="92">
        <v>84.779483350347803</v>
      </c>
      <c r="B347" s="85">
        <f t="shared" si="34"/>
        <v>1.4129913891724635</v>
      </c>
      <c r="C347" s="92">
        <v>85.960815576967406</v>
      </c>
      <c r="D347" s="85">
        <f t="shared" si="35"/>
        <v>8.6000000000000007E-2</v>
      </c>
      <c r="E347" s="85">
        <f t="shared" si="36"/>
        <v>0.12151725946883186</v>
      </c>
      <c r="F347" s="85">
        <f t="shared" si="37"/>
        <v>6.1453475305888787</v>
      </c>
    </row>
    <row r="348" spans="1:6">
      <c r="A348" s="92">
        <v>84.779483350347803</v>
      </c>
      <c r="B348" s="85">
        <f t="shared" si="34"/>
        <v>1.4129913891724635</v>
      </c>
      <c r="C348" s="92">
        <v>84.117516353746097</v>
      </c>
      <c r="D348" s="85">
        <f t="shared" si="35"/>
        <v>8.4000000000000005E-2</v>
      </c>
      <c r="E348" s="85">
        <f t="shared" si="36"/>
        <v>0.11869127669048694</v>
      </c>
      <c r="F348" s="85">
        <f t="shared" si="37"/>
        <v>6.097335041641287</v>
      </c>
    </row>
    <row r="349" spans="1:6">
      <c r="A349" s="92">
        <v>82.533649430700095</v>
      </c>
      <c r="B349" s="85">
        <f t="shared" si="34"/>
        <v>1.3755608238450017</v>
      </c>
      <c r="C349" s="92">
        <v>83.085269020082706</v>
      </c>
      <c r="D349" s="85">
        <f t="shared" si="35"/>
        <v>8.3000000000000004E-2</v>
      </c>
      <c r="E349" s="85">
        <f t="shared" si="36"/>
        <v>0.11417154837913514</v>
      </c>
      <c r="F349" s="85">
        <f t="shared" si="37"/>
        <v>6.0189364263075431</v>
      </c>
    </row>
    <row r="350" spans="1:6">
      <c r="A350" s="92">
        <v>170.11913335563</v>
      </c>
      <c r="B350" s="85">
        <f t="shared" si="34"/>
        <v>2.8353188892604999</v>
      </c>
      <c r="C350" s="92">
        <v>66.090053173412599</v>
      </c>
      <c r="D350" s="85">
        <f t="shared" si="35"/>
        <v>6.6000000000000003E-2</v>
      </c>
      <c r="E350" s="85">
        <f t="shared" si="36"/>
        <v>0.18713104669119301</v>
      </c>
      <c r="F350" s="85">
        <f t="shared" si="37"/>
        <v>7.0965795403166343</v>
      </c>
    </row>
    <row r="351" spans="1:6">
      <c r="A351" s="92">
        <v>170.11913335563</v>
      </c>
      <c r="B351" s="85">
        <f t="shared" si="34"/>
        <v>2.8353188892604999</v>
      </c>
      <c r="C351" s="92">
        <v>66.090053173412599</v>
      </c>
      <c r="D351" s="85">
        <f t="shared" si="35"/>
        <v>6.6000000000000003E-2</v>
      </c>
      <c r="E351" s="85">
        <f t="shared" si="36"/>
        <v>0.18713104669119301</v>
      </c>
      <c r="F351" s="85">
        <f t="shared" si="37"/>
        <v>7.0965795403166343</v>
      </c>
    </row>
    <row r="352" spans="1:6">
      <c r="A352" s="92">
        <v>168.99627636466801</v>
      </c>
      <c r="B352" s="85">
        <f t="shared" si="34"/>
        <v>2.8166046060778003</v>
      </c>
      <c r="C352" s="92">
        <v>65.020939019751694</v>
      </c>
      <c r="D352" s="85">
        <f t="shared" si="35"/>
        <v>6.5000000000000002E-2</v>
      </c>
      <c r="E352" s="85">
        <f t="shared" si="36"/>
        <v>0.18307929939505702</v>
      </c>
      <c r="F352" s="85">
        <f t="shared" si="37"/>
        <v>7.044987169506066</v>
      </c>
    </row>
    <row r="353" spans="1:6">
      <c r="A353" s="92">
        <v>168.99627636466801</v>
      </c>
      <c r="B353" s="85">
        <f t="shared" si="34"/>
        <v>2.8166046060778003</v>
      </c>
      <c r="C353" s="92">
        <v>60.0808993337087</v>
      </c>
      <c r="D353" s="85">
        <f t="shared" si="35"/>
        <v>0.06</v>
      </c>
      <c r="E353" s="85">
        <f t="shared" si="36"/>
        <v>0.16899627636466802</v>
      </c>
      <c r="F353" s="85">
        <f t="shared" si="37"/>
        <v>6.8595059594483487</v>
      </c>
    </row>
    <row r="354" spans="1:6">
      <c r="A354" s="92">
        <v>254.33604630767601</v>
      </c>
      <c r="B354" s="85">
        <f t="shared" si="34"/>
        <v>4.2389341051279334</v>
      </c>
      <c r="C354" s="92">
        <v>58.163868993088599</v>
      </c>
      <c r="D354" s="85">
        <f t="shared" si="35"/>
        <v>5.8000000000000003E-2</v>
      </c>
      <c r="E354" s="85">
        <f t="shared" si="36"/>
        <v>0.24585817809742017</v>
      </c>
      <c r="F354" s="85">
        <f t="shared" si="37"/>
        <v>7.7725229351599268</v>
      </c>
    </row>
    <row r="355" spans="1:6">
      <c r="A355" s="92">
        <v>254.33604630767601</v>
      </c>
      <c r="B355" s="85">
        <f t="shared" si="34"/>
        <v>4.2389341051279334</v>
      </c>
      <c r="C355" s="92">
        <v>57.057889003858001</v>
      </c>
      <c r="D355" s="85">
        <f t="shared" si="35"/>
        <v>5.7000000000000002E-2</v>
      </c>
      <c r="E355" s="85">
        <f t="shared" si="36"/>
        <v>0.2416192439922922</v>
      </c>
      <c r="F355" s="85">
        <f t="shared" si="37"/>
        <v>7.727594053213366</v>
      </c>
    </row>
    <row r="356" spans="1:6">
      <c r="A356" s="92">
        <v>254.33604630767601</v>
      </c>
      <c r="B356" s="85">
        <f t="shared" si="34"/>
        <v>4.2389341051279334</v>
      </c>
      <c r="C356" s="92">
        <v>51.970383022252697</v>
      </c>
      <c r="D356" s="85">
        <f t="shared" si="35"/>
        <v>5.2000000000000005E-2</v>
      </c>
      <c r="E356" s="85">
        <f t="shared" si="36"/>
        <v>0.22042457346665256</v>
      </c>
      <c r="F356" s="85">
        <f t="shared" si="37"/>
        <v>7.4946920983245873</v>
      </c>
    </row>
    <row r="357" spans="1:6">
      <c r="A357" s="92">
        <v>254.33604630767601</v>
      </c>
      <c r="B357" s="85">
        <f t="shared" si="34"/>
        <v>4.2389341051279334</v>
      </c>
      <c r="C357" s="92">
        <v>51.085600015296002</v>
      </c>
      <c r="D357" s="85">
        <f t="shared" si="35"/>
        <v>5.1000000000000004E-2</v>
      </c>
      <c r="E357" s="85">
        <f t="shared" si="36"/>
        <v>0.21618563936152463</v>
      </c>
      <c r="F357" s="85">
        <f t="shared" si="37"/>
        <v>7.4463378999276255</v>
      </c>
    </row>
    <row r="358" spans="1:6">
      <c r="A358" s="92">
        <v>254.33604630767601</v>
      </c>
      <c r="B358" s="85">
        <f t="shared" si="34"/>
        <v>4.2389341051279334</v>
      </c>
      <c r="C358" s="92">
        <v>51.085600015296002</v>
      </c>
      <c r="D358" s="85">
        <f t="shared" si="35"/>
        <v>5.1000000000000004E-2</v>
      </c>
      <c r="E358" s="85">
        <f t="shared" si="36"/>
        <v>0.21618563936152463</v>
      </c>
      <c r="F358" s="85">
        <f t="shared" si="37"/>
        <v>7.4463378999276255</v>
      </c>
    </row>
    <row r="359" spans="1:6">
      <c r="A359" s="92">
        <v>254.33604630767601</v>
      </c>
      <c r="B359" s="85">
        <f t="shared" si="34"/>
        <v>4.2389341051279334</v>
      </c>
      <c r="C359" s="92">
        <v>49.979621010493197</v>
      </c>
      <c r="D359" s="85">
        <f t="shared" si="35"/>
        <v>0.05</v>
      </c>
      <c r="E359" s="85">
        <f t="shared" si="36"/>
        <v>0.21194670525639669</v>
      </c>
      <c r="F359" s="85">
        <f t="shared" si="37"/>
        <v>7.3973474164730719</v>
      </c>
    </row>
    <row r="360" spans="1:6">
      <c r="A360" s="92">
        <v>339.67581625068402</v>
      </c>
      <c r="B360" s="85">
        <f t="shared" si="34"/>
        <v>5.6612636041780666</v>
      </c>
      <c r="C360" s="92">
        <v>51.933517186682998</v>
      </c>
      <c r="D360" s="85">
        <f t="shared" si="35"/>
        <v>5.2000000000000005E-2</v>
      </c>
      <c r="E360" s="85">
        <f t="shared" si="36"/>
        <v>0.2943857074172595</v>
      </c>
      <c r="F360" s="85">
        <f t="shared" si="37"/>
        <v>8.2535230065627037</v>
      </c>
    </row>
    <row r="361" spans="1:6">
      <c r="A361" s="92">
        <v>338.552839321997</v>
      </c>
      <c r="B361" s="85">
        <f t="shared" si="34"/>
        <v>5.6425473220332831</v>
      </c>
      <c r="C361" s="92">
        <v>51.048734179726303</v>
      </c>
      <c r="D361" s="85">
        <f t="shared" si="35"/>
        <v>5.1000000000000004E-2</v>
      </c>
      <c r="E361" s="85">
        <f t="shared" si="36"/>
        <v>0.28776991342369745</v>
      </c>
      <c r="F361" s="85">
        <f t="shared" si="37"/>
        <v>8.1912262409768317</v>
      </c>
    </row>
    <row r="362" spans="1:6">
      <c r="A362" s="92">
        <v>337.429982331036</v>
      </c>
      <c r="B362" s="85">
        <f t="shared" si="34"/>
        <v>5.6238330388506004</v>
      </c>
      <c r="C362" s="92">
        <v>49.242300361387599</v>
      </c>
      <c r="D362" s="85">
        <f t="shared" si="35"/>
        <v>4.9000000000000002E-2</v>
      </c>
      <c r="E362" s="85">
        <f t="shared" si="36"/>
        <v>0.27556781890367943</v>
      </c>
      <c r="F362" s="85">
        <f t="shared" si="37"/>
        <v>8.0737746874216167</v>
      </c>
    </row>
    <row r="363" spans="1:6">
      <c r="A363" s="92">
        <v>337.429982331036</v>
      </c>
      <c r="B363" s="85">
        <f t="shared" si="34"/>
        <v>5.6238330388506004</v>
      </c>
      <c r="C363" s="92">
        <v>49.242300361387599</v>
      </c>
      <c r="D363" s="85">
        <f t="shared" si="35"/>
        <v>4.9000000000000002E-2</v>
      </c>
      <c r="E363" s="85">
        <f t="shared" si="36"/>
        <v>0.27556781890367943</v>
      </c>
      <c r="F363" s="85">
        <f t="shared" si="37"/>
        <v>8.0737746874216167</v>
      </c>
    </row>
    <row r="364" spans="1:6">
      <c r="A364" s="92">
        <v>337.429982331036</v>
      </c>
      <c r="B364" s="85">
        <f t="shared" si="34"/>
        <v>5.6238330388506004</v>
      </c>
      <c r="C364" s="92">
        <v>48.062589685445303</v>
      </c>
      <c r="D364" s="85">
        <f t="shared" si="35"/>
        <v>4.8000000000000001E-2</v>
      </c>
      <c r="E364" s="85">
        <f t="shared" si="36"/>
        <v>0.26994398586482882</v>
      </c>
      <c r="F364" s="85">
        <f t="shared" si="37"/>
        <v>8.0184731252249435</v>
      </c>
    </row>
    <row r="365" spans="1:6">
      <c r="A365" s="92">
        <v>337.429982331036</v>
      </c>
      <c r="B365" s="85">
        <f t="shared" si="34"/>
        <v>5.6238330388506004</v>
      </c>
      <c r="C365" s="92">
        <v>48.062589685445303</v>
      </c>
      <c r="D365" s="85">
        <f t="shared" si="35"/>
        <v>4.8000000000000001E-2</v>
      </c>
      <c r="E365" s="85">
        <f t="shared" si="36"/>
        <v>0.26994398586482882</v>
      </c>
      <c r="F365" s="85">
        <f t="shared" si="37"/>
        <v>8.0184731252249435</v>
      </c>
    </row>
    <row r="366" spans="1:6">
      <c r="A366" s="92">
        <v>337.429982331036</v>
      </c>
      <c r="B366" s="85">
        <f t="shared" si="34"/>
        <v>5.6238330388506004</v>
      </c>
      <c r="C366" s="92">
        <v>46.993475531784398</v>
      </c>
      <c r="D366" s="85">
        <f t="shared" si="35"/>
        <v>4.7E-2</v>
      </c>
      <c r="E366" s="85">
        <f t="shared" si="36"/>
        <v>0.26432015282597821</v>
      </c>
      <c r="F366" s="85">
        <f t="shared" si="37"/>
        <v>7.962398051992178</v>
      </c>
    </row>
    <row r="367" spans="1:6">
      <c r="A367" s="92">
        <v>381.22272429350102</v>
      </c>
      <c r="B367" s="85">
        <f t="shared" si="34"/>
        <v>6.3537120715583502</v>
      </c>
      <c r="C367" s="92">
        <v>50.274547695050998</v>
      </c>
      <c r="D367" s="85">
        <f t="shared" si="35"/>
        <v>0.05</v>
      </c>
      <c r="E367" s="85">
        <f t="shared" si="36"/>
        <v>0.31768560357791753</v>
      </c>
      <c r="F367" s="85">
        <f t="shared" si="37"/>
        <v>8.4657668575116549</v>
      </c>
    </row>
    <row r="368" spans="1:6">
      <c r="A368" s="92">
        <v>378.97701031157902</v>
      </c>
      <c r="B368" s="85">
        <f t="shared" si="34"/>
        <v>6.3162835051929838</v>
      </c>
      <c r="C368" s="92">
        <v>49.242300361387599</v>
      </c>
      <c r="D368" s="85">
        <f t="shared" si="35"/>
        <v>4.9000000000000002E-2</v>
      </c>
      <c r="E368" s="85">
        <f t="shared" si="36"/>
        <v>0.30949789175445619</v>
      </c>
      <c r="F368" s="85">
        <f t="shared" si="37"/>
        <v>8.392403526207648</v>
      </c>
    </row>
    <row r="370" spans="1:6">
      <c r="A370" s="92">
        <v>92.840683114082395</v>
      </c>
      <c r="B370" s="85">
        <f t="shared" ref="B370:B373" si="38">A370/60</f>
        <v>1.54734471856804</v>
      </c>
      <c r="C370" s="92">
        <v>33.077190620181703</v>
      </c>
      <c r="D370" s="85">
        <f t="shared" ref="D370:D373" si="39">ROUND(C370,0)*0.001</f>
        <v>3.3000000000000002E-2</v>
      </c>
      <c r="E370" s="85">
        <f t="shared" ref="E370:E373" si="40">B370*D370</f>
        <v>5.1062375712745321E-2</v>
      </c>
      <c r="F370" s="85">
        <f t="shared" ref="F370:F373" si="41">2*POWER((3*E370*1000)/(4*PI()), 1/3)</f>
        <v>4.6029274687505914</v>
      </c>
    </row>
    <row r="371" spans="1:6">
      <c r="A371" s="92">
        <v>91.359160915503494</v>
      </c>
      <c r="B371" s="85">
        <f t="shared" si="38"/>
        <v>1.5226526819250583</v>
      </c>
      <c r="C371" s="92">
        <v>32.020863935525199</v>
      </c>
      <c r="D371" s="85">
        <f t="shared" si="39"/>
        <v>3.2000000000000001E-2</v>
      </c>
      <c r="E371" s="85">
        <f t="shared" si="40"/>
        <v>4.8724885821601865E-2</v>
      </c>
      <c r="F371" s="85">
        <f t="shared" si="41"/>
        <v>4.5315913165492283</v>
      </c>
    </row>
    <row r="372" spans="1:6">
      <c r="A372" s="92">
        <v>140.247901502644</v>
      </c>
      <c r="B372" s="85">
        <f t="shared" si="38"/>
        <v>2.3374650250440667</v>
      </c>
      <c r="C372" s="92">
        <v>29.115964041631699</v>
      </c>
      <c r="D372" s="85">
        <f t="shared" si="39"/>
        <v>2.9000000000000001E-2</v>
      </c>
      <c r="E372" s="85">
        <f t="shared" si="40"/>
        <v>6.7786485726277934E-2</v>
      </c>
      <c r="F372" s="85">
        <f t="shared" si="41"/>
        <v>5.058807638481551</v>
      </c>
    </row>
    <row r="373" spans="1:6">
      <c r="A373" s="92">
        <v>139.507208219989</v>
      </c>
      <c r="B373" s="85">
        <f t="shared" si="38"/>
        <v>2.3251201369998165</v>
      </c>
      <c r="C373" s="92">
        <v>28.006820599637699</v>
      </c>
      <c r="D373" s="85">
        <f t="shared" si="39"/>
        <v>2.8000000000000001E-2</v>
      </c>
      <c r="E373" s="85">
        <f t="shared" si="40"/>
        <v>6.5103363835994868E-2</v>
      </c>
      <c r="F373" s="85">
        <f t="shared" si="41"/>
        <v>4.9911612645165482</v>
      </c>
    </row>
    <row r="375" spans="1:6">
      <c r="A375" s="84">
        <v>92.205715964705107</v>
      </c>
      <c r="B375" s="85">
        <f t="shared" ref="B375:B401" si="42">A375/60</f>
        <v>1.5367619327450852</v>
      </c>
      <c r="C375" s="84">
        <v>34.001476015929697</v>
      </c>
      <c r="D375" s="85">
        <f t="shared" ref="D375:D401" si="43">ROUND(C375,0)*0.001</f>
        <v>3.4000000000000002E-2</v>
      </c>
      <c r="E375" s="85">
        <f t="shared" ref="E375:E401" si="44">B375*D375</f>
        <v>5.2249905713332899E-2</v>
      </c>
      <c r="F375" s="85">
        <f t="shared" ref="F375:F401" si="45">2*POWER((3*E375*1000)/(4*PI()), 1/3)</f>
        <v>4.6383369678758601</v>
      </c>
    </row>
    <row r="376" spans="1:6">
      <c r="A376" s="84">
        <v>139.82462397804301</v>
      </c>
      <c r="B376" s="85">
        <f t="shared" si="42"/>
        <v>2.3304103996340499</v>
      </c>
      <c r="C376" s="84">
        <v>35.065348469721798</v>
      </c>
      <c r="D376" s="85">
        <f t="shared" si="43"/>
        <v>3.5000000000000003E-2</v>
      </c>
      <c r="E376" s="85">
        <f t="shared" si="44"/>
        <v>8.156436398719176E-2</v>
      </c>
      <c r="F376" s="85">
        <f t="shared" si="45"/>
        <v>5.3806400995383665</v>
      </c>
    </row>
    <row r="377" spans="1:6">
      <c r="A377" s="84">
        <v>139.189724645301</v>
      </c>
      <c r="B377" s="85">
        <f t="shared" si="42"/>
        <v>2.3198287440883498</v>
      </c>
      <c r="C377" s="84">
        <v>33.028146142976802</v>
      </c>
      <c r="D377" s="85">
        <f t="shared" si="43"/>
        <v>3.3000000000000002E-2</v>
      </c>
      <c r="E377" s="85">
        <f t="shared" si="44"/>
        <v>7.6554348554915552E-2</v>
      </c>
      <c r="F377" s="85">
        <f t="shared" si="45"/>
        <v>5.268137248908153</v>
      </c>
    </row>
    <row r="378" spans="1:6">
      <c r="A378" s="84">
        <v>139.82462397804301</v>
      </c>
      <c r="B378" s="85">
        <f t="shared" si="42"/>
        <v>2.3304103996340499</v>
      </c>
      <c r="C378" s="84">
        <v>32.0095446773867</v>
      </c>
      <c r="D378" s="85">
        <f t="shared" si="43"/>
        <v>3.2000000000000001E-2</v>
      </c>
      <c r="E378" s="85">
        <f t="shared" si="44"/>
        <v>7.4573132788289601E-2</v>
      </c>
      <c r="F378" s="85">
        <f t="shared" si="45"/>
        <v>5.2222932489418383</v>
      </c>
    </row>
    <row r="379" spans="1:6">
      <c r="A379" s="84">
        <v>139.189724645301</v>
      </c>
      <c r="B379" s="85">
        <f t="shared" si="42"/>
        <v>2.3198287440883498</v>
      </c>
      <c r="C379" s="84">
        <v>31.036215408868902</v>
      </c>
      <c r="D379" s="85">
        <f t="shared" si="43"/>
        <v>3.1E-2</v>
      </c>
      <c r="E379" s="85">
        <f t="shared" si="44"/>
        <v>7.1914691066738839E-2</v>
      </c>
      <c r="F379" s="85">
        <f t="shared" si="45"/>
        <v>5.159484739757727</v>
      </c>
    </row>
    <row r="380" spans="1:6">
      <c r="A380" s="84">
        <v>188.078465232442</v>
      </c>
      <c r="B380" s="85">
        <f t="shared" si="42"/>
        <v>3.1346410872073664</v>
      </c>
      <c r="C380" s="84">
        <v>31.1267573852728</v>
      </c>
      <c r="D380" s="85">
        <f t="shared" si="43"/>
        <v>3.1E-2</v>
      </c>
      <c r="E380" s="85">
        <f t="shared" si="44"/>
        <v>9.7173873703428365E-2</v>
      </c>
      <c r="F380" s="85">
        <f t="shared" si="45"/>
        <v>5.7040540367566352</v>
      </c>
    </row>
    <row r="381" spans="1:6">
      <c r="A381" s="84">
        <v>188.078465232442</v>
      </c>
      <c r="B381" s="85">
        <f t="shared" si="42"/>
        <v>3.1346410872073664</v>
      </c>
      <c r="C381" s="84">
        <v>30.040248832944599</v>
      </c>
      <c r="D381" s="85">
        <f t="shared" si="43"/>
        <v>0.03</v>
      </c>
      <c r="E381" s="85">
        <f t="shared" si="44"/>
        <v>9.4039232616220991E-2</v>
      </c>
      <c r="F381" s="85">
        <f t="shared" si="45"/>
        <v>5.6420485385097106</v>
      </c>
    </row>
    <row r="382" spans="1:6">
      <c r="A382" s="84">
        <v>188.078465232442</v>
      </c>
      <c r="B382" s="85">
        <f t="shared" si="42"/>
        <v>3.1346410872073664</v>
      </c>
      <c r="C382" s="84">
        <v>29.066919564426801</v>
      </c>
      <c r="D382" s="85">
        <f t="shared" si="43"/>
        <v>2.9000000000000001E-2</v>
      </c>
      <c r="E382" s="85">
        <f t="shared" si="44"/>
        <v>9.0904591529013631E-2</v>
      </c>
      <c r="F382" s="85">
        <f t="shared" si="45"/>
        <v>5.5786493682031004</v>
      </c>
    </row>
    <row r="383" spans="1:6">
      <c r="A383" s="84">
        <v>235.06244000472</v>
      </c>
      <c r="B383" s="85">
        <f t="shared" si="42"/>
        <v>3.9177073334119998</v>
      </c>
      <c r="C383" s="84">
        <v>29.044284070325801</v>
      </c>
      <c r="D383" s="85">
        <f t="shared" si="43"/>
        <v>2.9000000000000001E-2</v>
      </c>
      <c r="E383" s="85">
        <f t="shared" si="44"/>
        <v>0.11361351266894801</v>
      </c>
      <c r="F383" s="85">
        <f t="shared" si="45"/>
        <v>6.0091141642467329</v>
      </c>
    </row>
    <row r="384" spans="1:6">
      <c r="A384" s="84">
        <v>235.69733933746301</v>
      </c>
      <c r="B384" s="85">
        <f t="shared" si="42"/>
        <v>3.9282889889577168</v>
      </c>
      <c r="C384" s="84">
        <v>28.048317494401498</v>
      </c>
      <c r="D384" s="85">
        <f t="shared" si="43"/>
        <v>2.8000000000000001E-2</v>
      </c>
      <c r="E384" s="85">
        <f t="shared" si="44"/>
        <v>0.10999209169081607</v>
      </c>
      <c r="F384" s="85">
        <f t="shared" si="45"/>
        <v>5.9445768547920466</v>
      </c>
    </row>
    <row r="385" spans="1:6">
      <c r="A385" s="84">
        <v>235.06244000472</v>
      </c>
      <c r="B385" s="85">
        <f t="shared" si="42"/>
        <v>3.9177073334119998</v>
      </c>
      <c r="C385" s="84">
        <v>27.007081139145601</v>
      </c>
      <c r="D385" s="85">
        <f t="shared" si="43"/>
        <v>2.7E-2</v>
      </c>
      <c r="E385" s="85">
        <f t="shared" si="44"/>
        <v>0.105778098002124</v>
      </c>
      <c r="F385" s="85">
        <f t="shared" si="45"/>
        <v>5.8676703984511338</v>
      </c>
    </row>
    <row r="386" spans="1:6">
      <c r="B386" s="85">
        <f t="shared" si="42"/>
        <v>0</v>
      </c>
      <c r="D386" s="85">
        <f t="shared" si="43"/>
        <v>0</v>
      </c>
      <c r="E386" s="85">
        <f t="shared" si="44"/>
        <v>0</v>
      </c>
      <c r="F386" s="85">
        <f t="shared" si="45"/>
        <v>0</v>
      </c>
    </row>
    <row r="387" spans="1:6">
      <c r="A387" s="84">
        <v>92.840683114082395</v>
      </c>
      <c r="B387" s="85">
        <f t="shared" si="42"/>
        <v>1.54734471856804</v>
      </c>
      <c r="C387" s="84">
        <v>39.969724866858598</v>
      </c>
      <c r="D387" s="85">
        <f t="shared" si="43"/>
        <v>0.04</v>
      </c>
      <c r="E387" s="85">
        <f t="shared" si="44"/>
        <v>6.1893788742721605E-2</v>
      </c>
      <c r="F387" s="85">
        <f t="shared" si="45"/>
        <v>4.9077543346955892</v>
      </c>
    </row>
    <row r="388" spans="1:6">
      <c r="A388" s="84">
        <v>92.099922014792895</v>
      </c>
      <c r="B388" s="85">
        <f t="shared" si="42"/>
        <v>1.5349987002465482</v>
      </c>
      <c r="C388" s="84">
        <v>38.939805956435599</v>
      </c>
      <c r="D388" s="85">
        <f t="shared" si="43"/>
        <v>3.9E-2</v>
      </c>
      <c r="E388" s="85">
        <f t="shared" si="44"/>
        <v>5.9864949309615376E-2</v>
      </c>
      <c r="F388" s="85">
        <f t="shared" si="45"/>
        <v>4.8535331354296156</v>
      </c>
    </row>
    <row r="389" spans="1:6">
      <c r="A389" s="84">
        <v>140.98866260193299</v>
      </c>
      <c r="B389" s="85">
        <f t="shared" si="42"/>
        <v>2.3498110433655497</v>
      </c>
      <c r="C389" s="84">
        <v>36.087722819879602</v>
      </c>
      <c r="D389" s="85">
        <f t="shared" si="43"/>
        <v>3.6000000000000004E-2</v>
      </c>
      <c r="E389" s="85">
        <f t="shared" si="44"/>
        <v>8.4593197561159794E-2</v>
      </c>
      <c r="F389" s="85">
        <f t="shared" si="45"/>
        <v>5.4464343483907642</v>
      </c>
    </row>
    <row r="390" spans="1:6">
      <c r="A390" s="84">
        <v>140.98866260193299</v>
      </c>
      <c r="B390" s="85">
        <f t="shared" si="42"/>
        <v>2.3498110433655497</v>
      </c>
      <c r="C390" s="84">
        <v>35.057803909456702</v>
      </c>
      <c r="D390" s="85">
        <f t="shared" si="43"/>
        <v>3.5000000000000003E-2</v>
      </c>
      <c r="E390" s="85">
        <f t="shared" si="44"/>
        <v>8.2243386517794254E-2</v>
      </c>
      <c r="F390" s="85">
        <f t="shared" si="45"/>
        <v>5.3955301146138366</v>
      </c>
    </row>
    <row r="391" spans="1:6">
      <c r="A391" s="84">
        <v>188.39594880713</v>
      </c>
      <c r="B391" s="85">
        <f t="shared" si="42"/>
        <v>3.1399324801188331</v>
      </c>
      <c r="C391" s="84">
        <v>34.027884999033702</v>
      </c>
      <c r="D391" s="85">
        <f t="shared" si="43"/>
        <v>3.4000000000000002E-2</v>
      </c>
      <c r="E391" s="85">
        <f t="shared" si="44"/>
        <v>0.10675770432404033</v>
      </c>
      <c r="F391" s="85">
        <f t="shared" si="45"/>
        <v>5.8857281811887914</v>
      </c>
    </row>
    <row r="392" spans="1:6">
      <c r="A392" s="84">
        <v>186.17373332589699</v>
      </c>
      <c r="B392" s="85">
        <f t="shared" si="42"/>
        <v>3.1028955554316164</v>
      </c>
      <c r="C392" s="84">
        <v>33.077190620181703</v>
      </c>
      <c r="D392" s="85">
        <f t="shared" si="43"/>
        <v>3.3000000000000002E-2</v>
      </c>
      <c r="E392" s="85">
        <f t="shared" si="44"/>
        <v>0.10239555332924334</v>
      </c>
      <c r="F392" s="85">
        <f t="shared" si="45"/>
        <v>5.8044466648890687</v>
      </c>
    </row>
    <row r="393" spans="1:6">
      <c r="A393" s="84">
        <v>234.32171281374801</v>
      </c>
      <c r="B393" s="85">
        <f t="shared" si="42"/>
        <v>3.9053618802291337</v>
      </c>
      <c r="C393" s="84">
        <v>33.130006168648698</v>
      </c>
      <c r="D393" s="85">
        <f t="shared" si="43"/>
        <v>3.3000000000000002E-2</v>
      </c>
      <c r="E393" s="85">
        <f t="shared" si="44"/>
        <v>0.12887694204756142</v>
      </c>
      <c r="F393" s="85">
        <f t="shared" si="45"/>
        <v>6.2669880532477826</v>
      </c>
    </row>
    <row r="394" spans="1:6">
      <c r="A394" s="84">
        <v>237.284689394271</v>
      </c>
      <c r="B394" s="85">
        <f t="shared" si="42"/>
        <v>3.9547448232378501</v>
      </c>
      <c r="C394" s="84">
        <v>32.126496241329697</v>
      </c>
      <c r="D394" s="85">
        <f t="shared" si="43"/>
        <v>3.2000000000000001E-2</v>
      </c>
      <c r="E394" s="85">
        <f t="shared" si="44"/>
        <v>0.1265518343436112</v>
      </c>
      <c r="F394" s="85">
        <f t="shared" si="45"/>
        <v>6.2290708998355031</v>
      </c>
    </row>
    <row r="395" spans="1:6">
      <c r="A395" s="84">
        <v>235.06247391303799</v>
      </c>
      <c r="B395" s="85">
        <f t="shared" si="42"/>
        <v>3.9177078985506331</v>
      </c>
      <c r="C395" s="84">
        <v>31.043760573569202</v>
      </c>
      <c r="D395" s="85">
        <f t="shared" si="43"/>
        <v>3.1E-2</v>
      </c>
      <c r="E395" s="85">
        <f t="shared" si="44"/>
        <v>0.12144894485506963</v>
      </c>
      <c r="F395" s="85">
        <f t="shared" si="45"/>
        <v>6.1441957168729653</v>
      </c>
    </row>
    <row r="396" spans="1:6">
      <c r="A396" s="84">
        <v>281.72899901894499</v>
      </c>
      <c r="B396" s="85">
        <f t="shared" si="42"/>
        <v>4.6954833169824166</v>
      </c>
      <c r="C396" s="84">
        <v>30.040249437379799</v>
      </c>
      <c r="D396" s="85">
        <f t="shared" si="43"/>
        <v>0.03</v>
      </c>
      <c r="E396" s="85">
        <f t="shared" si="44"/>
        <v>0.1408644995094725</v>
      </c>
      <c r="F396" s="85">
        <f t="shared" si="45"/>
        <v>6.455565789237613</v>
      </c>
    </row>
    <row r="397" spans="1:6">
      <c r="A397" s="84">
        <v>283.95121450017899</v>
      </c>
      <c r="B397" s="85">
        <f t="shared" si="42"/>
        <v>4.7325202416696497</v>
      </c>
      <c r="C397" s="84">
        <v>29.063147284294299</v>
      </c>
      <c r="D397" s="85">
        <f t="shared" si="43"/>
        <v>2.9000000000000001E-2</v>
      </c>
      <c r="E397" s="85">
        <f t="shared" si="44"/>
        <v>0.13724308700841983</v>
      </c>
      <c r="F397" s="85">
        <f t="shared" si="45"/>
        <v>6.3997638945366795</v>
      </c>
    </row>
    <row r="398" spans="1:6">
      <c r="A398" s="84">
        <v>279.50678353771099</v>
      </c>
      <c r="B398" s="85">
        <f t="shared" si="42"/>
        <v>4.6584463922951835</v>
      </c>
      <c r="C398" s="84">
        <v>27.927596068066698</v>
      </c>
      <c r="D398" s="85">
        <f t="shared" si="43"/>
        <v>2.8000000000000001E-2</v>
      </c>
      <c r="E398" s="85">
        <f t="shared" si="44"/>
        <v>0.13043649898426515</v>
      </c>
      <c r="F398" s="85">
        <f t="shared" si="45"/>
        <v>6.292165981593099</v>
      </c>
    </row>
    <row r="399" spans="1:6">
      <c r="A399" s="84">
        <v>329.876978506797</v>
      </c>
      <c r="B399" s="85">
        <f t="shared" si="42"/>
        <v>5.4979496417799503</v>
      </c>
      <c r="C399" s="84">
        <v>28.983922752723299</v>
      </c>
      <c r="D399" s="85">
        <f t="shared" si="43"/>
        <v>2.9000000000000001E-2</v>
      </c>
      <c r="E399" s="85">
        <f t="shared" si="44"/>
        <v>0.15944053961161855</v>
      </c>
      <c r="F399" s="85">
        <f t="shared" si="45"/>
        <v>6.7277014531571222</v>
      </c>
    </row>
    <row r="400" spans="1:6">
      <c r="A400" s="84">
        <v>329.876978506797</v>
      </c>
      <c r="B400" s="85">
        <f t="shared" si="42"/>
        <v>5.4979496417799503</v>
      </c>
      <c r="C400" s="84">
        <v>28.059636148104801</v>
      </c>
      <c r="D400" s="85">
        <f t="shared" si="43"/>
        <v>2.8000000000000001E-2</v>
      </c>
      <c r="E400" s="85">
        <f t="shared" si="44"/>
        <v>0.15394258996983862</v>
      </c>
      <c r="F400" s="85">
        <f t="shared" si="45"/>
        <v>6.6494652725694285</v>
      </c>
    </row>
    <row r="401" spans="1:15">
      <c r="A401" s="84">
        <v>329.876978506797</v>
      </c>
      <c r="B401" s="85">
        <f t="shared" si="42"/>
        <v>5.4979496417799503</v>
      </c>
      <c r="C401" s="84">
        <v>27.029717237681801</v>
      </c>
      <c r="D401" s="85">
        <f t="shared" si="43"/>
        <v>2.7E-2</v>
      </c>
      <c r="E401" s="85">
        <f t="shared" si="44"/>
        <v>0.14844464032805865</v>
      </c>
      <c r="F401" s="85">
        <f t="shared" si="45"/>
        <v>6.5693434318792301</v>
      </c>
    </row>
    <row r="402" spans="1:15" ht="15" customHeight="1">
      <c r="A402" s="247" t="s">
        <v>130</v>
      </c>
    </row>
    <row r="403" spans="1:15">
      <c r="A403" s="84" t="s">
        <v>122</v>
      </c>
      <c r="B403" s="84" t="s">
        <v>121</v>
      </c>
      <c r="E403" s="84" t="s">
        <v>131</v>
      </c>
      <c r="F403" s="84" t="s">
        <v>79</v>
      </c>
      <c r="G403" s="84" t="s">
        <v>132</v>
      </c>
      <c r="I403" s="84" t="s">
        <v>133</v>
      </c>
      <c r="J403" s="25" t="s">
        <v>134</v>
      </c>
      <c r="K403" s="84" t="s">
        <v>135</v>
      </c>
      <c r="L403" s="25" t="s">
        <v>135</v>
      </c>
      <c r="M403" s="25" t="s">
        <v>136</v>
      </c>
      <c r="N403" s="84" t="s">
        <v>137</v>
      </c>
      <c r="O403" s="25" t="s">
        <v>138</v>
      </c>
    </row>
    <row r="404" spans="1:15">
      <c r="A404" s="84">
        <v>0.25700000000000001</v>
      </c>
      <c r="B404" s="85">
        <f t="shared" ref="B404:B409" si="46">A404*60</f>
        <v>15.42</v>
      </c>
      <c r="E404" s="92">
        <v>8.8051953199118696E-2</v>
      </c>
      <c r="F404" s="85">
        <f t="shared" ref="F404:F409" si="47">2*POWER((3*E404*1000)/(4*PI()), 1/3)</f>
        <v>5.5196743664943728</v>
      </c>
      <c r="G404" s="84">
        <v>1.1100000000000001</v>
      </c>
      <c r="I404" s="84">
        <v>298.14999999999998</v>
      </c>
      <c r="J404" s="26">
        <f t="shared" ref="J404:J409" si="48">I404-273.15</f>
        <v>25</v>
      </c>
      <c r="K404" s="84">
        <v>0.96599999999999997</v>
      </c>
      <c r="L404" s="26">
        <f t="shared" ref="L404:L409" si="49">K404*1000</f>
        <v>966</v>
      </c>
      <c r="M404" s="25">
        <v>1.33</v>
      </c>
      <c r="N404" s="84">
        <v>48.9</v>
      </c>
      <c r="O404" s="26">
        <f t="shared" ref="O404:O409" si="50">N404/1000</f>
        <v>4.8899999999999999E-2</v>
      </c>
    </row>
    <row r="405" spans="1:15">
      <c r="A405" s="84">
        <v>0.25700000000000001</v>
      </c>
      <c r="B405" s="85">
        <f t="shared" si="46"/>
        <v>15.42</v>
      </c>
      <c r="E405" s="92">
        <v>9.16883105301982E-2</v>
      </c>
      <c r="F405" s="85">
        <f t="shared" si="47"/>
        <v>5.594635318762573</v>
      </c>
      <c r="G405" s="84">
        <v>1.1100000000000001</v>
      </c>
      <c r="I405" s="84">
        <v>298.14999999999998</v>
      </c>
      <c r="J405" s="26">
        <f t="shared" si="48"/>
        <v>25</v>
      </c>
      <c r="K405" s="84">
        <v>0.96599999999999997</v>
      </c>
      <c r="L405" s="26">
        <f t="shared" si="49"/>
        <v>966</v>
      </c>
      <c r="M405" s="25">
        <v>1.33</v>
      </c>
      <c r="N405" s="84">
        <v>48.9</v>
      </c>
      <c r="O405" s="26">
        <f t="shared" si="50"/>
        <v>4.8899999999999999E-2</v>
      </c>
    </row>
    <row r="406" spans="1:15">
      <c r="A406" s="84">
        <v>0.69799999999999995</v>
      </c>
      <c r="B406" s="85">
        <f t="shared" si="46"/>
        <v>41.879999999999995</v>
      </c>
      <c r="E406" s="84">
        <v>0.30994765276265901</v>
      </c>
      <c r="F406" s="85">
        <f t="shared" si="47"/>
        <v>8.3964668268495881</v>
      </c>
      <c r="G406" s="84">
        <v>1.45</v>
      </c>
      <c r="I406" s="84">
        <v>298.14999999999998</v>
      </c>
      <c r="J406" s="26">
        <f t="shared" si="48"/>
        <v>25</v>
      </c>
      <c r="K406" s="84">
        <v>0.96599999999999997</v>
      </c>
      <c r="L406" s="26">
        <f t="shared" si="49"/>
        <v>966</v>
      </c>
      <c r="M406" s="25">
        <v>1.33</v>
      </c>
      <c r="N406" s="84">
        <v>48.9</v>
      </c>
      <c r="O406" s="26">
        <f t="shared" si="50"/>
        <v>4.8899999999999999E-2</v>
      </c>
    </row>
    <row r="407" spans="1:15">
      <c r="A407" s="84">
        <v>0.69799999999999995</v>
      </c>
      <c r="B407" s="85">
        <f t="shared" si="46"/>
        <v>41.879999999999995</v>
      </c>
      <c r="E407" s="84">
        <v>0.33507855081436799</v>
      </c>
      <c r="F407" s="85">
        <f t="shared" si="47"/>
        <v>8.6175273161791672</v>
      </c>
      <c r="G407" s="84">
        <v>1.45</v>
      </c>
      <c r="I407" s="84">
        <v>298.14999999999998</v>
      </c>
      <c r="J407" s="26">
        <f t="shared" si="48"/>
        <v>25</v>
      </c>
      <c r="K407" s="84">
        <v>0.96599999999999997</v>
      </c>
      <c r="L407" s="26">
        <f t="shared" si="49"/>
        <v>966</v>
      </c>
      <c r="M407" s="25">
        <v>1.33</v>
      </c>
      <c r="N407" s="84">
        <v>48.9</v>
      </c>
      <c r="O407" s="26">
        <f t="shared" si="50"/>
        <v>4.8899999999999999E-2</v>
      </c>
    </row>
    <row r="408" spans="1:15">
      <c r="A408" s="84">
        <v>0.80300000000000005</v>
      </c>
      <c r="B408" s="85">
        <f t="shared" si="46"/>
        <v>48.18</v>
      </c>
      <c r="E408" s="84">
        <v>0.30890051827959097</v>
      </c>
      <c r="F408" s="85">
        <f t="shared" si="47"/>
        <v>8.3870005510767278</v>
      </c>
      <c r="G408" s="84">
        <v>1.99</v>
      </c>
      <c r="I408" s="84">
        <v>298.14999999999998</v>
      </c>
      <c r="J408" s="26">
        <f t="shared" si="48"/>
        <v>25</v>
      </c>
      <c r="K408" s="84">
        <v>0.96599999999999997</v>
      </c>
      <c r="L408" s="26">
        <f t="shared" si="49"/>
        <v>966</v>
      </c>
      <c r="M408" s="25">
        <v>1.33</v>
      </c>
      <c r="N408" s="84">
        <v>48.9</v>
      </c>
      <c r="O408" s="26">
        <f t="shared" si="50"/>
        <v>4.8899999999999999E-2</v>
      </c>
    </row>
    <row r="409" spans="1:15">
      <c r="A409" s="84">
        <v>0.80300000000000005</v>
      </c>
      <c r="B409" s="85">
        <f t="shared" si="46"/>
        <v>48.18</v>
      </c>
      <c r="E409" s="84">
        <v>0.332460749558114</v>
      </c>
      <c r="F409" s="85">
        <f t="shared" si="47"/>
        <v>8.59502714179321</v>
      </c>
      <c r="G409" s="84">
        <v>1.99</v>
      </c>
      <c r="I409" s="84">
        <v>298.14999999999998</v>
      </c>
      <c r="J409" s="26">
        <f t="shared" si="48"/>
        <v>25</v>
      </c>
      <c r="K409" s="84">
        <v>0.96599999999999997</v>
      </c>
      <c r="L409" s="26">
        <f t="shared" si="49"/>
        <v>966</v>
      </c>
      <c r="M409" s="25">
        <v>1.33</v>
      </c>
      <c r="N409" s="84">
        <v>48.9</v>
      </c>
      <c r="O409" s="26">
        <f t="shared" si="50"/>
        <v>4.8899999999999999E-2</v>
      </c>
    </row>
    <row r="410" spans="1:15">
      <c r="J410" s="26"/>
      <c r="L410" s="26"/>
      <c r="O410" s="26"/>
    </row>
    <row r="411" spans="1:15">
      <c r="A411" s="84">
        <v>5</v>
      </c>
      <c r="B411" s="71">
        <f t="shared" ref="B411:B422" si="51">A411*60</f>
        <v>300</v>
      </c>
      <c r="E411" s="92">
        <v>0.28097980596127298</v>
      </c>
      <c r="F411" s="71">
        <f t="shared" ref="F411:F422" si="52">2*POWER((3*E411*1000)/(4*PI()), 1/3)</f>
        <v>8.1262871034962725</v>
      </c>
      <c r="G411" s="234">
        <v>1.64</v>
      </c>
      <c r="I411" s="84">
        <v>294.75</v>
      </c>
      <c r="J411" s="26">
        <f t="shared" ref="J411:J422" si="53">I411-273.15</f>
        <v>21.600000000000023</v>
      </c>
      <c r="K411" s="84">
        <v>1.19</v>
      </c>
      <c r="L411" s="26">
        <f t="shared" ref="L411:L422" si="54">K411*1000</f>
        <v>1190</v>
      </c>
      <c r="M411" s="84">
        <v>19.5</v>
      </c>
      <c r="N411" s="84">
        <v>65.099999999999994</v>
      </c>
      <c r="O411" s="26">
        <f t="shared" ref="O411:O422" si="55">N411/1000</f>
        <v>6.5099999999999991E-2</v>
      </c>
    </row>
    <row r="412" spans="1:15">
      <c r="A412" s="84">
        <v>5</v>
      </c>
      <c r="B412" s="71">
        <f t="shared" si="51"/>
        <v>300</v>
      </c>
      <c r="E412" s="92">
        <v>0.46662647952492198</v>
      </c>
      <c r="F412" s="71">
        <f t="shared" si="52"/>
        <v>9.6232902731247947</v>
      </c>
      <c r="G412" s="234">
        <v>1.64</v>
      </c>
      <c r="I412" s="84">
        <v>294.75</v>
      </c>
      <c r="J412" s="26">
        <f t="shared" si="53"/>
        <v>21.600000000000023</v>
      </c>
      <c r="K412" s="84">
        <v>1.19</v>
      </c>
      <c r="L412" s="26">
        <f t="shared" si="54"/>
        <v>1190</v>
      </c>
      <c r="M412" s="84">
        <v>19.5</v>
      </c>
      <c r="N412" s="84">
        <v>65.099999999999994</v>
      </c>
      <c r="O412" s="26">
        <f t="shared" si="55"/>
        <v>6.5099999999999991E-2</v>
      </c>
    </row>
    <row r="413" spans="1:15">
      <c r="A413" s="84">
        <v>5</v>
      </c>
      <c r="B413" s="71">
        <f t="shared" si="51"/>
        <v>300</v>
      </c>
      <c r="E413" s="92">
        <v>0.57808877556839</v>
      </c>
      <c r="F413" s="71">
        <f t="shared" si="52"/>
        <v>10.335511429120942</v>
      </c>
      <c r="G413" s="234">
        <v>1.64</v>
      </c>
      <c r="I413" s="84">
        <v>294.75</v>
      </c>
      <c r="J413" s="26">
        <f t="shared" si="53"/>
        <v>21.600000000000023</v>
      </c>
      <c r="K413" s="84">
        <v>1.19</v>
      </c>
      <c r="L413" s="26">
        <f t="shared" si="54"/>
        <v>1190</v>
      </c>
      <c r="M413" s="84">
        <v>19.5</v>
      </c>
      <c r="N413" s="84">
        <v>65.099999999999994</v>
      </c>
      <c r="O413" s="26">
        <f t="shared" si="55"/>
        <v>6.5099999999999991E-2</v>
      </c>
    </row>
    <row r="414" spans="1:15">
      <c r="A414" s="84">
        <v>5</v>
      </c>
      <c r="B414" s="71">
        <f t="shared" si="51"/>
        <v>300</v>
      </c>
      <c r="E414" s="92">
        <v>0.50676854650168202</v>
      </c>
      <c r="F414" s="71">
        <f t="shared" si="52"/>
        <v>9.8916864878592587</v>
      </c>
      <c r="G414" s="234">
        <v>1.64</v>
      </c>
      <c r="I414" s="84">
        <v>294.75</v>
      </c>
      <c r="J414" s="26">
        <f t="shared" si="53"/>
        <v>21.600000000000023</v>
      </c>
      <c r="K414" s="84">
        <v>1.19</v>
      </c>
      <c r="L414" s="26">
        <f t="shared" si="54"/>
        <v>1190</v>
      </c>
      <c r="M414" s="84">
        <v>19.5</v>
      </c>
      <c r="N414" s="84">
        <v>65.099999999999994</v>
      </c>
      <c r="O414" s="26">
        <f t="shared" si="55"/>
        <v>6.5099999999999991E-2</v>
      </c>
    </row>
    <row r="415" spans="1:15">
      <c r="A415" s="84">
        <v>1</v>
      </c>
      <c r="B415" s="71">
        <f t="shared" si="51"/>
        <v>60</v>
      </c>
      <c r="E415" s="92">
        <v>9.0000733143801998E-2</v>
      </c>
      <c r="F415" s="71">
        <f t="shared" si="52"/>
        <v>5.5600983664080124</v>
      </c>
      <c r="G415" s="234">
        <v>1.64</v>
      </c>
      <c r="I415" s="84">
        <v>294.75</v>
      </c>
      <c r="J415" s="26">
        <f t="shared" si="53"/>
        <v>21.600000000000023</v>
      </c>
      <c r="K415" s="84">
        <v>1.19</v>
      </c>
      <c r="L415" s="26">
        <f t="shared" si="54"/>
        <v>1190</v>
      </c>
      <c r="M415" s="84">
        <v>19.5</v>
      </c>
      <c r="N415" s="84">
        <v>65.099999999999994</v>
      </c>
      <c r="O415" s="26">
        <f t="shared" si="55"/>
        <v>6.5099999999999991E-2</v>
      </c>
    </row>
    <row r="416" spans="1:15">
      <c r="A416" s="84">
        <v>1</v>
      </c>
      <c r="B416" s="71">
        <f t="shared" si="51"/>
        <v>60</v>
      </c>
      <c r="E416" s="92">
        <v>0.37929438982070501</v>
      </c>
      <c r="F416" s="71">
        <f t="shared" si="52"/>
        <v>8.9810255570333872</v>
      </c>
      <c r="G416" s="234">
        <v>1.64</v>
      </c>
      <c r="I416" s="84">
        <v>294.75</v>
      </c>
      <c r="J416" s="26">
        <f t="shared" si="53"/>
        <v>21.600000000000023</v>
      </c>
      <c r="K416" s="84">
        <v>1.19</v>
      </c>
      <c r="L416" s="26">
        <f t="shared" si="54"/>
        <v>1190</v>
      </c>
      <c r="M416" s="84">
        <v>19.5</v>
      </c>
      <c r="N416" s="84">
        <v>65.099999999999994</v>
      </c>
      <c r="O416" s="26">
        <f t="shared" si="55"/>
        <v>6.5099999999999991E-2</v>
      </c>
    </row>
    <row r="417" spans="1:15">
      <c r="A417" s="84">
        <v>1</v>
      </c>
      <c r="B417" s="71">
        <f t="shared" si="51"/>
        <v>60</v>
      </c>
      <c r="E417" s="92">
        <v>0.55474547691004295</v>
      </c>
      <c r="F417" s="71">
        <f t="shared" si="52"/>
        <v>10.19447931962517</v>
      </c>
      <c r="G417" s="234">
        <v>1.64</v>
      </c>
      <c r="I417" s="84">
        <v>294.75</v>
      </c>
      <c r="J417" s="26">
        <f t="shared" si="53"/>
        <v>21.600000000000023</v>
      </c>
      <c r="K417" s="84">
        <v>1.19</v>
      </c>
      <c r="L417" s="26">
        <f t="shared" si="54"/>
        <v>1190</v>
      </c>
      <c r="M417" s="84">
        <v>19.5</v>
      </c>
      <c r="N417" s="84">
        <v>65.099999999999994</v>
      </c>
      <c r="O417" s="26">
        <f t="shared" si="55"/>
        <v>6.5099999999999991E-2</v>
      </c>
    </row>
    <row r="418" spans="1:15">
      <c r="A418" s="84">
        <v>1</v>
      </c>
      <c r="B418" s="71">
        <f t="shared" si="51"/>
        <v>60</v>
      </c>
      <c r="E418" s="92">
        <v>0.60050831303611096</v>
      </c>
      <c r="F418" s="71">
        <f t="shared" si="52"/>
        <v>10.467431653007436</v>
      </c>
      <c r="G418" s="234">
        <v>1.64</v>
      </c>
      <c r="I418" s="84">
        <v>294.75</v>
      </c>
      <c r="J418" s="26">
        <f t="shared" si="53"/>
        <v>21.600000000000023</v>
      </c>
      <c r="K418" s="84">
        <v>1.19</v>
      </c>
      <c r="L418" s="26">
        <f t="shared" si="54"/>
        <v>1190</v>
      </c>
      <c r="M418" s="84">
        <v>19.5</v>
      </c>
      <c r="N418" s="84">
        <v>65.099999999999994</v>
      </c>
      <c r="O418" s="26">
        <f t="shared" si="55"/>
        <v>6.5099999999999991E-2</v>
      </c>
    </row>
    <row r="419" spans="1:15">
      <c r="A419" s="84">
        <v>0.5</v>
      </c>
      <c r="B419" s="71">
        <f t="shared" si="51"/>
        <v>30</v>
      </c>
      <c r="E419" s="92">
        <v>6.5484404402121194E-2</v>
      </c>
      <c r="F419" s="71">
        <f t="shared" si="52"/>
        <v>5.0008798434635491</v>
      </c>
      <c r="G419" s="234">
        <v>1.64</v>
      </c>
      <c r="I419" s="84">
        <v>294.75</v>
      </c>
      <c r="J419" s="26">
        <f t="shared" si="53"/>
        <v>21.600000000000023</v>
      </c>
      <c r="K419" s="84">
        <v>1.19</v>
      </c>
      <c r="L419" s="26">
        <f t="shared" si="54"/>
        <v>1190</v>
      </c>
      <c r="M419" s="84">
        <v>19.5</v>
      </c>
      <c r="N419" s="84">
        <v>65.099999999999994</v>
      </c>
      <c r="O419" s="26">
        <f t="shared" si="55"/>
        <v>6.5099999999999991E-2</v>
      </c>
    </row>
    <row r="420" spans="1:15">
      <c r="A420" s="84">
        <v>0.5</v>
      </c>
      <c r="B420" s="71">
        <f t="shared" si="51"/>
        <v>30</v>
      </c>
      <c r="E420" s="92">
        <v>0.385545662639806</v>
      </c>
      <c r="F420" s="71">
        <f t="shared" si="52"/>
        <v>9.0300966742170843</v>
      </c>
      <c r="G420" s="234">
        <v>1.64</v>
      </c>
      <c r="I420" s="84">
        <v>294.75</v>
      </c>
      <c r="J420" s="26">
        <f t="shared" si="53"/>
        <v>21.600000000000023</v>
      </c>
      <c r="K420" s="84">
        <v>1.19</v>
      </c>
      <c r="L420" s="26">
        <f t="shared" si="54"/>
        <v>1190</v>
      </c>
      <c r="M420" s="84">
        <v>19.5</v>
      </c>
      <c r="N420" s="84">
        <v>65.099999999999994</v>
      </c>
      <c r="O420" s="26">
        <f t="shared" si="55"/>
        <v>6.5099999999999991E-2</v>
      </c>
    </row>
    <row r="421" spans="1:15">
      <c r="A421" s="84">
        <v>0.5</v>
      </c>
      <c r="B421" s="71">
        <f t="shared" si="51"/>
        <v>30</v>
      </c>
      <c r="E421" s="92">
        <v>0.54077664366767397</v>
      </c>
      <c r="F421" s="71">
        <f t="shared" si="52"/>
        <v>10.108183125304812</v>
      </c>
      <c r="G421" s="234">
        <v>1.64</v>
      </c>
      <c r="I421" s="84">
        <v>294.75</v>
      </c>
      <c r="J421" s="26">
        <f t="shared" si="53"/>
        <v>21.600000000000023</v>
      </c>
      <c r="K421" s="84">
        <v>1.19</v>
      </c>
      <c r="L421" s="26">
        <f t="shared" si="54"/>
        <v>1190</v>
      </c>
      <c r="M421" s="84">
        <v>19.5</v>
      </c>
      <c r="N421" s="84">
        <v>65.099999999999994</v>
      </c>
      <c r="O421" s="26">
        <f t="shared" si="55"/>
        <v>6.5099999999999991E-2</v>
      </c>
    </row>
    <row r="422" spans="1:15">
      <c r="A422" s="84">
        <v>0.5</v>
      </c>
      <c r="B422" s="71">
        <f t="shared" si="51"/>
        <v>30</v>
      </c>
      <c r="E422" s="92">
        <v>0.58078674476005798</v>
      </c>
      <c r="F422" s="71">
        <f t="shared" si="52"/>
        <v>10.351565262983776</v>
      </c>
      <c r="G422" s="234">
        <v>1.64</v>
      </c>
      <c r="I422" s="84">
        <v>294.75</v>
      </c>
      <c r="J422" s="26">
        <f t="shared" si="53"/>
        <v>21.600000000000023</v>
      </c>
      <c r="K422" s="84">
        <v>1.19</v>
      </c>
      <c r="L422" s="26">
        <f t="shared" si="54"/>
        <v>1190</v>
      </c>
      <c r="M422" s="84">
        <v>19.5</v>
      </c>
      <c r="N422" s="84">
        <v>65.099999999999994</v>
      </c>
      <c r="O422" s="26">
        <f t="shared" si="55"/>
        <v>6.5099999999999991E-2</v>
      </c>
    </row>
    <row r="423" spans="1:15">
      <c r="B423" s="71"/>
      <c r="F423" s="71"/>
      <c r="G423" s="71"/>
      <c r="J423" s="26"/>
      <c r="L423" s="26"/>
      <c r="O423" s="26"/>
    </row>
    <row r="424" spans="1:15">
      <c r="A424" s="92">
        <v>0.13981723013201899</v>
      </c>
      <c r="B424" s="71">
        <f t="shared" ref="B424:B442" si="56">A424*60</f>
        <v>8.3890338079211393</v>
      </c>
      <c r="E424" s="92">
        <v>0.216627338766333</v>
      </c>
      <c r="F424" s="71">
        <f t="shared" ref="F424:F442" si="57">2*POWER((3*E424*1000)/(4*PI()), 1/3)</f>
        <v>7.4514057751820131</v>
      </c>
      <c r="G424" s="234">
        <v>1.08</v>
      </c>
      <c r="I424" s="235">
        <v>294.85000000000002</v>
      </c>
      <c r="J424" s="26">
        <f t="shared" ref="J424:J442" si="58">I424-273.15</f>
        <v>21.700000000000045</v>
      </c>
      <c r="K424" s="84">
        <v>1.22</v>
      </c>
      <c r="L424" s="26">
        <f t="shared" ref="L424:L442" si="59">K424*1000</f>
        <v>1220</v>
      </c>
      <c r="M424" s="25">
        <v>48.5</v>
      </c>
      <c r="N424" s="84">
        <v>66.7</v>
      </c>
      <c r="O424" s="26">
        <f t="shared" ref="O424:O442" si="60">N424/1000</f>
        <v>6.6700000000000009E-2</v>
      </c>
    </row>
    <row r="425" spans="1:15">
      <c r="A425" s="92">
        <v>0.188998878887848</v>
      </c>
      <c r="B425" s="71">
        <f t="shared" si="56"/>
        <v>11.33993273327088</v>
      </c>
      <c r="E425" s="92">
        <v>0.222972460929661</v>
      </c>
      <c r="F425" s="71">
        <f t="shared" si="57"/>
        <v>7.5234585907034033</v>
      </c>
      <c r="G425" s="234">
        <v>1.08</v>
      </c>
      <c r="I425" s="235">
        <v>294.85000000000002</v>
      </c>
      <c r="J425" s="26">
        <f t="shared" si="58"/>
        <v>21.700000000000045</v>
      </c>
      <c r="K425" s="84">
        <v>1.22</v>
      </c>
      <c r="L425" s="26">
        <f t="shared" si="59"/>
        <v>1220</v>
      </c>
      <c r="M425" s="25">
        <v>48.5</v>
      </c>
      <c r="N425" s="84">
        <v>66.7</v>
      </c>
      <c r="O425" s="26">
        <f t="shared" si="60"/>
        <v>6.6700000000000009E-2</v>
      </c>
    </row>
    <row r="426" spans="1:15">
      <c r="A426" s="92">
        <v>0.227402993920581</v>
      </c>
      <c r="B426" s="71">
        <f t="shared" si="56"/>
        <v>13.64417963523486</v>
      </c>
      <c r="E426" s="92">
        <v>0.221427494053762</v>
      </c>
      <c r="F426" s="71">
        <f t="shared" si="57"/>
        <v>7.5060417247756517</v>
      </c>
      <c r="G426" s="234">
        <v>1.08</v>
      </c>
      <c r="I426" s="235">
        <v>294.85000000000002</v>
      </c>
      <c r="J426" s="26">
        <f t="shared" si="58"/>
        <v>21.700000000000045</v>
      </c>
      <c r="K426" s="84">
        <v>1.22</v>
      </c>
      <c r="L426" s="26">
        <f t="shared" si="59"/>
        <v>1220</v>
      </c>
      <c r="M426" s="25">
        <v>48.5</v>
      </c>
      <c r="N426" s="84">
        <v>66.7</v>
      </c>
      <c r="O426" s="26">
        <f t="shared" si="60"/>
        <v>6.6700000000000009E-2</v>
      </c>
    </row>
    <row r="427" spans="1:15">
      <c r="A427" s="92">
        <v>0.28409661789549101</v>
      </c>
      <c r="B427" s="71">
        <f t="shared" si="56"/>
        <v>17.04579707372946</v>
      </c>
      <c r="E427" s="92">
        <v>0.22813158508114001</v>
      </c>
      <c r="F427" s="71">
        <f t="shared" si="57"/>
        <v>7.5810425097816871</v>
      </c>
      <c r="G427" s="234">
        <v>1.08</v>
      </c>
      <c r="I427" s="235">
        <v>294.85000000000002</v>
      </c>
      <c r="J427" s="26">
        <f t="shared" si="58"/>
        <v>21.700000000000045</v>
      </c>
      <c r="K427" s="84">
        <v>1.22</v>
      </c>
      <c r="L427" s="26">
        <f t="shared" si="59"/>
        <v>1220</v>
      </c>
      <c r="M427" s="25">
        <v>48.5</v>
      </c>
      <c r="N427" s="84">
        <v>66.7</v>
      </c>
      <c r="O427" s="26">
        <f t="shared" si="60"/>
        <v>6.6700000000000009E-2</v>
      </c>
    </row>
    <row r="428" spans="1:15">
      <c r="A428" s="92">
        <v>0.36669297881277202</v>
      </c>
      <c r="B428" s="71">
        <f t="shared" si="56"/>
        <v>22.001578728766322</v>
      </c>
      <c r="E428" s="92">
        <v>0.22956983885223101</v>
      </c>
      <c r="F428" s="71">
        <f t="shared" si="57"/>
        <v>7.5969406872815801</v>
      </c>
      <c r="G428" s="234">
        <v>1.08</v>
      </c>
      <c r="I428" s="235">
        <v>294.85000000000002</v>
      </c>
      <c r="J428" s="26">
        <f t="shared" si="58"/>
        <v>21.700000000000045</v>
      </c>
      <c r="K428" s="84">
        <v>1.22</v>
      </c>
      <c r="L428" s="26">
        <f t="shared" si="59"/>
        <v>1220</v>
      </c>
      <c r="M428" s="25">
        <v>48.5</v>
      </c>
      <c r="N428" s="84">
        <v>66.7</v>
      </c>
      <c r="O428" s="26">
        <f t="shared" si="60"/>
        <v>6.6700000000000009E-2</v>
      </c>
    </row>
    <row r="429" spans="1:15">
      <c r="A429" s="92">
        <v>0.49255727478735001</v>
      </c>
      <c r="B429" s="71">
        <f t="shared" si="56"/>
        <v>29.553436487241001</v>
      </c>
      <c r="E429" s="92">
        <v>0.22691502440116201</v>
      </c>
      <c r="F429" s="71">
        <f t="shared" si="57"/>
        <v>7.5675426384177706</v>
      </c>
      <c r="G429" s="234">
        <v>1.08</v>
      </c>
      <c r="I429" s="235">
        <v>294.85000000000002</v>
      </c>
      <c r="J429" s="26">
        <f t="shared" si="58"/>
        <v>21.700000000000045</v>
      </c>
      <c r="K429" s="84">
        <v>1.22</v>
      </c>
      <c r="L429" s="26">
        <f t="shared" si="59"/>
        <v>1220</v>
      </c>
      <c r="M429" s="25">
        <v>48.5</v>
      </c>
      <c r="N429" s="84">
        <v>66.7</v>
      </c>
      <c r="O429" s="26">
        <f t="shared" si="60"/>
        <v>6.6700000000000009E-2</v>
      </c>
    </row>
    <row r="430" spans="1:15">
      <c r="A430" s="92">
        <v>0.56579851685220095</v>
      </c>
      <c r="B430" s="71">
        <f t="shared" si="56"/>
        <v>33.947911011132057</v>
      </c>
      <c r="E430" s="92">
        <v>0.22755653967345099</v>
      </c>
      <c r="F430" s="71">
        <f t="shared" si="57"/>
        <v>7.574667370729478</v>
      </c>
      <c r="G430" s="234">
        <v>1.08</v>
      </c>
      <c r="I430" s="235">
        <v>294.85000000000002</v>
      </c>
      <c r="J430" s="26">
        <f t="shared" si="58"/>
        <v>21.700000000000045</v>
      </c>
      <c r="K430" s="84">
        <v>1.22</v>
      </c>
      <c r="L430" s="26">
        <f t="shared" si="59"/>
        <v>1220</v>
      </c>
      <c r="M430" s="25">
        <v>48.5</v>
      </c>
      <c r="N430" s="84">
        <v>66.7</v>
      </c>
      <c r="O430" s="26">
        <f t="shared" si="60"/>
        <v>6.6700000000000009E-2</v>
      </c>
    </row>
    <row r="431" spans="1:15">
      <c r="A431" s="92">
        <v>0.65666756339828702</v>
      </c>
      <c r="B431" s="71">
        <f t="shared" si="56"/>
        <v>39.400053803897222</v>
      </c>
      <c r="E431" s="92">
        <v>0.23340076720844399</v>
      </c>
      <c r="F431" s="71">
        <f t="shared" si="57"/>
        <v>7.6389655651081441</v>
      </c>
      <c r="G431" s="234">
        <v>1.08</v>
      </c>
      <c r="I431" s="235">
        <v>294.85000000000002</v>
      </c>
      <c r="J431" s="26">
        <f t="shared" si="58"/>
        <v>21.700000000000045</v>
      </c>
      <c r="K431" s="84">
        <v>1.22</v>
      </c>
      <c r="L431" s="26">
        <f t="shared" si="59"/>
        <v>1220</v>
      </c>
      <c r="M431" s="25">
        <v>48.5</v>
      </c>
      <c r="N431" s="84">
        <v>66.7</v>
      </c>
      <c r="O431" s="26">
        <f t="shared" si="60"/>
        <v>6.6700000000000009E-2</v>
      </c>
    </row>
    <row r="432" spans="1:15">
      <c r="A432" s="92">
        <v>0.82698333911851196</v>
      </c>
      <c r="B432" s="71">
        <f t="shared" si="56"/>
        <v>49.61900034711072</v>
      </c>
      <c r="E432" s="92">
        <v>0.22808607409730899</v>
      </c>
      <c r="F432" s="71">
        <f t="shared" si="57"/>
        <v>7.5805383509665853</v>
      </c>
      <c r="G432" s="234">
        <v>1.08</v>
      </c>
      <c r="I432" s="235">
        <v>294.85000000000002</v>
      </c>
      <c r="J432" s="26">
        <f t="shared" si="58"/>
        <v>21.700000000000045</v>
      </c>
      <c r="K432" s="84">
        <v>1.22</v>
      </c>
      <c r="L432" s="26">
        <f t="shared" si="59"/>
        <v>1220</v>
      </c>
      <c r="M432" s="25">
        <v>48.5</v>
      </c>
      <c r="N432" s="84">
        <v>66.7</v>
      </c>
      <c r="O432" s="26">
        <f t="shared" si="60"/>
        <v>6.6700000000000009E-2</v>
      </c>
    </row>
    <row r="433" spans="1:15">
      <c r="A433" s="92">
        <v>0.96464133579269395</v>
      </c>
      <c r="B433" s="71">
        <f t="shared" si="56"/>
        <v>57.878480147561639</v>
      </c>
      <c r="E433" s="92">
        <v>0.22869211352121199</v>
      </c>
      <c r="F433" s="71">
        <f t="shared" si="57"/>
        <v>7.5872464064881564</v>
      </c>
      <c r="G433" s="234">
        <v>1.08</v>
      </c>
      <c r="I433" s="235">
        <v>294.85000000000002</v>
      </c>
      <c r="J433" s="26">
        <f t="shared" si="58"/>
        <v>21.700000000000045</v>
      </c>
      <c r="K433" s="84">
        <v>1.22</v>
      </c>
      <c r="L433" s="26">
        <f t="shared" si="59"/>
        <v>1220</v>
      </c>
      <c r="M433" s="25">
        <v>48.5</v>
      </c>
      <c r="N433" s="84">
        <v>66.7</v>
      </c>
      <c r="O433" s="26">
        <f t="shared" si="60"/>
        <v>6.6700000000000009E-2</v>
      </c>
    </row>
    <row r="434" spans="1:15">
      <c r="A434" s="92">
        <v>1.28973306738507</v>
      </c>
      <c r="B434" s="71">
        <f t="shared" si="56"/>
        <v>77.383984043104192</v>
      </c>
      <c r="E434" s="92">
        <v>0.23216073937656001</v>
      </c>
      <c r="F434" s="71">
        <f t="shared" si="57"/>
        <v>7.6254132602750042</v>
      </c>
      <c r="G434" s="234">
        <v>1.08</v>
      </c>
      <c r="I434" s="235">
        <v>294.85000000000002</v>
      </c>
      <c r="J434" s="26">
        <f t="shared" si="58"/>
        <v>21.700000000000045</v>
      </c>
      <c r="K434" s="84">
        <v>1.22</v>
      </c>
      <c r="L434" s="26">
        <f t="shared" si="59"/>
        <v>1220</v>
      </c>
      <c r="M434" s="25">
        <v>48.5</v>
      </c>
      <c r="N434" s="84">
        <v>66.7</v>
      </c>
      <c r="O434" s="26">
        <f t="shared" si="60"/>
        <v>6.6700000000000009E-2</v>
      </c>
    </row>
    <row r="435" spans="1:15">
      <c r="A435" s="92">
        <v>1.70305081524214</v>
      </c>
      <c r="B435" s="71">
        <f t="shared" si="56"/>
        <v>102.1830489145284</v>
      </c>
      <c r="E435" s="92">
        <v>0.233319289530693</v>
      </c>
      <c r="F435" s="71">
        <f t="shared" si="57"/>
        <v>7.6380765682964578</v>
      </c>
      <c r="G435" s="234">
        <v>1.08</v>
      </c>
      <c r="I435" s="235">
        <v>294.85000000000002</v>
      </c>
      <c r="J435" s="26">
        <f t="shared" si="58"/>
        <v>21.700000000000045</v>
      </c>
      <c r="K435" s="84">
        <v>1.22</v>
      </c>
      <c r="L435" s="26">
        <f t="shared" si="59"/>
        <v>1220</v>
      </c>
      <c r="M435" s="25">
        <v>48.5</v>
      </c>
      <c r="N435" s="84">
        <v>66.7</v>
      </c>
      <c r="O435" s="26">
        <f t="shared" si="60"/>
        <v>6.6700000000000009E-2</v>
      </c>
    </row>
    <row r="436" spans="1:15">
      <c r="A436" s="92">
        <v>1.91839943989051</v>
      </c>
      <c r="B436" s="71">
        <f t="shared" si="56"/>
        <v>115.1039663934306</v>
      </c>
      <c r="E436" s="92">
        <v>0.247365143869065</v>
      </c>
      <c r="F436" s="71">
        <f t="shared" si="57"/>
        <v>7.7883709281786571</v>
      </c>
      <c r="G436" s="234">
        <v>1.08</v>
      </c>
      <c r="I436" s="235">
        <v>294.85000000000002</v>
      </c>
      <c r="J436" s="26">
        <f t="shared" si="58"/>
        <v>21.700000000000045</v>
      </c>
      <c r="K436" s="84">
        <v>1.22</v>
      </c>
      <c r="L436" s="26">
        <f t="shared" si="59"/>
        <v>1220</v>
      </c>
      <c r="M436" s="25">
        <v>48.5</v>
      </c>
      <c r="N436" s="84">
        <v>66.7</v>
      </c>
      <c r="O436" s="26">
        <f t="shared" si="60"/>
        <v>6.6700000000000009E-2</v>
      </c>
    </row>
    <row r="437" spans="1:15">
      <c r="A437" s="92">
        <v>2.4040824375740302</v>
      </c>
      <c r="B437" s="71">
        <f t="shared" si="56"/>
        <v>144.2449462544418</v>
      </c>
      <c r="E437" s="92">
        <v>0.241072636043556</v>
      </c>
      <c r="F437" s="71">
        <f t="shared" si="57"/>
        <v>7.7217623521690184</v>
      </c>
      <c r="G437" s="234">
        <v>1.08</v>
      </c>
      <c r="I437" s="235">
        <v>294.85000000000002</v>
      </c>
      <c r="J437" s="26">
        <f t="shared" si="58"/>
        <v>21.700000000000045</v>
      </c>
      <c r="K437" s="84">
        <v>1.22</v>
      </c>
      <c r="L437" s="26">
        <f t="shared" si="59"/>
        <v>1220</v>
      </c>
      <c r="M437" s="25">
        <v>48.5</v>
      </c>
      <c r="N437" s="84">
        <v>66.7</v>
      </c>
      <c r="O437" s="26">
        <f t="shared" si="60"/>
        <v>6.6700000000000009E-2</v>
      </c>
    </row>
    <row r="438" spans="1:15">
      <c r="A438" s="92">
        <v>2.8234005508462898</v>
      </c>
      <c r="B438" s="71">
        <f t="shared" si="56"/>
        <v>169.4040330507774</v>
      </c>
      <c r="E438" s="92">
        <v>0.24004554482566701</v>
      </c>
      <c r="F438" s="71">
        <f t="shared" si="57"/>
        <v>7.71078053847845</v>
      </c>
      <c r="G438" s="234">
        <v>1.08</v>
      </c>
      <c r="I438" s="235">
        <v>294.85000000000002</v>
      </c>
      <c r="J438" s="26">
        <f t="shared" si="58"/>
        <v>21.700000000000045</v>
      </c>
      <c r="K438" s="84">
        <v>1.22</v>
      </c>
      <c r="L438" s="26">
        <f t="shared" si="59"/>
        <v>1220</v>
      </c>
      <c r="M438" s="25">
        <v>48.5</v>
      </c>
      <c r="N438" s="84">
        <v>66.7</v>
      </c>
      <c r="O438" s="26">
        <f t="shared" si="60"/>
        <v>6.6700000000000009E-2</v>
      </c>
    </row>
    <row r="439" spans="1:15">
      <c r="A439" s="92">
        <v>3.2795330297614602</v>
      </c>
      <c r="B439" s="71">
        <f t="shared" si="56"/>
        <v>196.77198178568761</v>
      </c>
      <c r="E439" s="92">
        <v>0.24123622284953</v>
      </c>
      <c r="F439" s="71">
        <f t="shared" si="57"/>
        <v>7.7235085656007749</v>
      </c>
      <c r="G439" s="234">
        <v>1.08</v>
      </c>
      <c r="I439" s="235">
        <v>294.85000000000002</v>
      </c>
      <c r="J439" s="26">
        <f t="shared" si="58"/>
        <v>21.700000000000045</v>
      </c>
      <c r="K439" s="84">
        <v>1.22</v>
      </c>
      <c r="L439" s="26">
        <f t="shared" si="59"/>
        <v>1220</v>
      </c>
      <c r="M439" s="25">
        <v>48.5</v>
      </c>
      <c r="N439" s="84">
        <v>66.7</v>
      </c>
      <c r="O439" s="26">
        <f t="shared" si="60"/>
        <v>6.6700000000000009E-2</v>
      </c>
    </row>
    <row r="440" spans="1:15">
      <c r="A440" s="92">
        <v>4.2034469438360098</v>
      </c>
      <c r="B440" s="71">
        <f t="shared" si="56"/>
        <v>252.20681663016057</v>
      </c>
      <c r="E440" s="92">
        <v>0.223480180840123</v>
      </c>
      <c r="F440" s="71">
        <f t="shared" si="57"/>
        <v>7.5291646975866611</v>
      </c>
      <c r="G440" s="234">
        <v>1.08</v>
      </c>
      <c r="I440" s="235">
        <v>294.85000000000002</v>
      </c>
      <c r="J440" s="26">
        <f t="shared" si="58"/>
        <v>21.700000000000045</v>
      </c>
      <c r="K440" s="84">
        <v>1.22</v>
      </c>
      <c r="L440" s="26">
        <f t="shared" si="59"/>
        <v>1220</v>
      </c>
      <c r="M440" s="25">
        <v>48.5</v>
      </c>
      <c r="N440" s="84">
        <v>66.7</v>
      </c>
      <c r="O440" s="26">
        <f t="shared" si="60"/>
        <v>6.6700000000000009E-2</v>
      </c>
    </row>
    <row r="441" spans="1:15">
      <c r="A441" s="92">
        <v>5.4464419077135302</v>
      </c>
      <c r="B441" s="71">
        <f t="shared" si="56"/>
        <v>326.78651446281179</v>
      </c>
      <c r="E441" s="92">
        <v>0.240405007675461</v>
      </c>
      <c r="F441" s="71">
        <f t="shared" si="57"/>
        <v>7.7146275261534845</v>
      </c>
      <c r="G441" s="234">
        <v>1.08</v>
      </c>
      <c r="I441" s="235">
        <v>294.85000000000002</v>
      </c>
      <c r="J441" s="26">
        <f t="shared" si="58"/>
        <v>21.700000000000045</v>
      </c>
      <c r="K441" s="84">
        <v>1.22</v>
      </c>
      <c r="L441" s="26">
        <f t="shared" si="59"/>
        <v>1220</v>
      </c>
      <c r="M441" s="25">
        <v>48.5</v>
      </c>
      <c r="N441" s="84">
        <v>66.7</v>
      </c>
      <c r="O441" s="26">
        <f t="shared" si="60"/>
        <v>6.6700000000000009E-2</v>
      </c>
    </row>
    <row r="442" spans="1:15">
      <c r="A442" s="92">
        <v>7.6585189625449699</v>
      </c>
      <c r="B442" s="71">
        <f t="shared" si="56"/>
        <v>459.51113775269818</v>
      </c>
      <c r="E442" s="92">
        <v>0.26368101027819002</v>
      </c>
      <c r="F442" s="71">
        <f t="shared" si="57"/>
        <v>7.9559750144141894</v>
      </c>
      <c r="G442" s="234">
        <v>1.08</v>
      </c>
      <c r="I442" s="235">
        <v>294.85000000000002</v>
      </c>
      <c r="J442" s="26">
        <f t="shared" si="58"/>
        <v>21.700000000000045</v>
      </c>
      <c r="K442" s="84">
        <v>1.22</v>
      </c>
      <c r="L442" s="26">
        <f t="shared" si="59"/>
        <v>1220</v>
      </c>
      <c r="M442" s="25">
        <v>48.5</v>
      </c>
      <c r="N442" s="84">
        <v>66.7</v>
      </c>
      <c r="O442" s="26">
        <f t="shared" si="60"/>
        <v>6.6700000000000009E-2</v>
      </c>
    </row>
    <row r="443" spans="1:15">
      <c r="A443" s="174"/>
      <c r="B443" s="71"/>
      <c r="F443" s="71"/>
      <c r="G443" s="71"/>
      <c r="I443" s="235"/>
      <c r="J443" s="26"/>
      <c r="L443" s="26"/>
      <c r="M443" s="25"/>
      <c r="O443" s="26"/>
    </row>
    <row r="444" spans="1:15">
      <c r="A444" s="88">
        <v>0.12928686132669501</v>
      </c>
      <c r="B444" s="71">
        <f t="shared" ref="B444:B470" si="61">A444*60</f>
        <v>7.7572116796017001</v>
      </c>
      <c r="E444" s="237">
        <v>0.39037000321334098</v>
      </c>
      <c r="F444" s="71">
        <f t="shared" ref="F444:F470" si="62">2*POWER((3*E444*1000)/(4*PI()), 1/3)</f>
        <v>9.0676052513432328</v>
      </c>
      <c r="G444" s="234">
        <v>1.45</v>
      </c>
      <c r="I444" s="235">
        <v>294.85000000000002</v>
      </c>
      <c r="J444" s="26">
        <f t="shared" ref="J444:J470" si="63">I444-273.15</f>
        <v>21.700000000000045</v>
      </c>
      <c r="K444" s="84">
        <v>1.22</v>
      </c>
      <c r="L444" s="26">
        <f t="shared" ref="L444:L470" si="64">K444*1000</f>
        <v>1220</v>
      </c>
      <c r="M444" s="25">
        <v>48.5</v>
      </c>
      <c r="N444" s="84">
        <v>66.7</v>
      </c>
      <c r="O444" s="26">
        <f t="shared" ref="O444:O470" si="65">N444/1000</f>
        <v>6.6700000000000009E-2</v>
      </c>
    </row>
    <row r="445" spans="1:15">
      <c r="A445" s="92">
        <v>0.157165540273321</v>
      </c>
      <c r="B445" s="71">
        <f t="shared" si="61"/>
        <v>9.4299324163992591</v>
      </c>
      <c r="E445" s="238">
        <v>0.38803270749459901</v>
      </c>
      <c r="F445" s="71">
        <f t="shared" si="62"/>
        <v>9.0494719297469981</v>
      </c>
      <c r="G445" s="234">
        <v>1.45</v>
      </c>
      <c r="I445" s="235">
        <v>294.85000000000002</v>
      </c>
      <c r="J445" s="26">
        <f t="shared" si="63"/>
        <v>21.700000000000045</v>
      </c>
      <c r="K445" s="84">
        <v>1.22</v>
      </c>
      <c r="L445" s="26">
        <f t="shared" si="64"/>
        <v>1220</v>
      </c>
      <c r="M445" s="25">
        <v>48.5</v>
      </c>
      <c r="N445" s="84">
        <v>66.7</v>
      </c>
      <c r="O445" s="26">
        <f t="shared" si="65"/>
        <v>6.6700000000000009E-2</v>
      </c>
    </row>
    <row r="446" spans="1:15">
      <c r="A446" s="92">
        <v>0.19626218634046</v>
      </c>
      <c r="B446" s="71">
        <f t="shared" si="61"/>
        <v>11.7757311804276</v>
      </c>
      <c r="E446" s="238">
        <v>0.38582870407974401</v>
      </c>
      <c r="F446" s="71">
        <f t="shared" si="62"/>
        <v>9.0323058949087152</v>
      </c>
      <c r="G446" s="234">
        <v>1.45</v>
      </c>
      <c r="I446" s="235">
        <v>294.85000000000002</v>
      </c>
      <c r="J446" s="26">
        <f t="shared" si="63"/>
        <v>21.700000000000045</v>
      </c>
      <c r="K446" s="84">
        <v>1.22</v>
      </c>
      <c r="L446" s="26">
        <f t="shared" si="64"/>
        <v>1220</v>
      </c>
      <c r="M446" s="25">
        <v>48.5</v>
      </c>
      <c r="N446" s="84">
        <v>66.7</v>
      </c>
      <c r="O446" s="26">
        <f t="shared" si="65"/>
        <v>6.6700000000000009E-2</v>
      </c>
    </row>
    <row r="447" spans="1:15">
      <c r="A447" s="92">
        <v>0.22813931710007801</v>
      </c>
      <c r="B447" s="71">
        <f t="shared" si="61"/>
        <v>13.688359026004681</v>
      </c>
      <c r="E447" s="238">
        <v>0.38711638673563598</v>
      </c>
      <c r="F447" s="71">
        <f t="shared" si="62"/>
        <v>9.0423430162731027</v>
      </c>
      <c r="G447" s="234">
        <v>1.45</v>
      </c>
      <c r="I447" s="235">
        <v>294.85000000000002</v>
      </c>
      <c r="J447" s="26">
        <f t="shared" si="63"/>
        <v>21.700000000000045</v>
      </c>
      <c r="K447" s="84">
        <v>1.22</v>
      </c>
      <c r="L447" s="26">
        <f t="shared" si="64"/>
        <v>1220</v>
      </c>
      <c r="M447" s="25">
        <v>48.5</v>
      </c>
      <c r="N447" s="84">
        <v>66.7</v>
      </c>
      <c r="O447" s="26">
        <f t="shared" si="65"/>
        <v>6.6700000000000009E-2</v>
      </c>
    </row>
    <row r="448" spans="1:15">
      <c r="A448" s="92">
        <v>0.28744490888719099</v>
      </c>
      <c r="B448" s="71">
        <f t="shared" si="61"/>
        <v>17.246694533231459</v>
      </c>
      <c r="E448" s="238">
        <v>0.38935493360793799</v>
      </c>
      <c r="F448" s="71">
        <f t="shared" si="62"/>
        <v>9.059739004947799</v>
      </c>
      <c r="G448" s="234">
        <v>1.45</v>
      </c>
      <c r="I448" s="235">
        <v>294.85000000000002</v>
      </c>
      <c r="J448" s="26">
        <f t="shared" si="63"/>
        <v>21.700000000000045</v>
      </c>
      <c r="K448" s="84">
        <v>1.22</v>
      </c>
      <c r="L448" s="26">
        <f t="shared" si="64"/>
        <v>1220</v>
      </c>
      <c r="M448" s="25">
        <v>48.5</v>
      </c>
      <c r="N448" s="84">
        <v>66.7</v>
      </c>
      <c r="O448" s="26">
        <f t="shared" si="65"/>
        <v>6.6700000000000009E-2</v>
      </c>
    </row>
    <row r="449" spans="1:15">
      <c r="A449" s="92">
        <v>0.355527229582004</v>
      </c>
      <c r="B449" s="71">
        <f t="shared" si="61"/>
        <v>21.331633774920242</v>
      </c>
      <c r="E449" s="238">
        <v>0.38700827245369601</v>
      </c>
      <c r="F449" s="71">
        <f t="shared" si="62"/>
        <v>9.0415011527932165</v>
      </c>
      <c r="G449" s="234">
        <v>1.45</v>
      </c>
      <c r="I449" s="235">
        <v>294.85000000000002</v>
      </c>
      <c r="J449" s="26">
        <f t="shared" si="63"/>
        <v>21.700000000000045</v>
      </c>
      <c r="K449" s="84">
        <v>1.22</v>
      </c>
      <c r="L449" s="26">
        <f t="shared" si="64"/>
        <v>1220</v>
      </c>
      <c r="M449" s="25">
        <v>48.5</v>
      </c>
      <c r="N449" s="84">
        <v>66.7</v>
      </c>
      <c r="O449" s="26">
        <f t="shared" si="65"/>
        <v>6.6700000000000009E-2</v>
      </c>
    </row>
    <row r="450" spans="1:15">
      <c r="A450" s="92">
        <v>0.42192788471918302</v>
      </c>
      <c r="B450" s="71">
        <f t="shared" si="61"/>
        <v>25.31567308315098</v>
      </c>
      <c r="E450" s="238">
        <v>0.39019869509729099</v>
      </c>
      <c r="F450" s="71">
        <f t="shared" si="62"/>
        <v>9.0662786623485783</v>
      </c>
      <c r="G450" s="234">
        <v>1.45</v>
      </c>
      <c r="I450" s="235">
        <v>294.85000000000002</v>
      </c>
      <c r="J450" s="26">
        <f t="shared" si="63"/>
        <v>21.700000000000045</v>
      </c>
      <c r="K450" s="84">
        <v>1.22</v>
      </c>
      <c r="L450" s="26">
        <f t="shared" si="64"/>
        <v>1220</v>
      </c>
      <c r="M450" s="25">
        <v>48.5</v>
      </c>
      <c r="N450" s="84">
        <v>66.7</v>
      </c>
      <c r="O450" s="26">
        <f t="shared" si="65"/>
        <v>6.6700000000000009E-2</v>
      </c>
    </row>
    <row r="451" spans="1:15">
      <c r="A451" s="92">
        <v>0.50490026726919401</v>
      </c>
      <c r="B451" s="71">
        <f t="shared" si="61"/>
        <v>30.294016036151639</v>
      </c>
      <c r="E451" s="238">
        <v>0.392670451012127</v>
      </c>
      <c r="F451" s="71">
        <f t="shared" si="62"/>
        <v>9.0853821560957577</v>
      </c>
      <c r="G451" s="234">
        <v>1.45</v>
      </c>
      <c r="I451" s="235">
        <v>294.85000000000002</v>
      </c>
      <c r="J451" s="26">
        <f t="shared" si="63"/>
        <v>21.700000000000045</v>
      </c>
      <c r="K451" s="84">
        <v>1.22</v>
      </c>
      <c r="L451" s="26">
        <f t="shared" si="64"/>
        <v>1220</v>
      </c>
      <c r="M451" s="25">
        <v>48.5</v>
      </c>
      <c r="N451" s="84">
        <v>66.7</v>
      </c>
      <c r="O451" s="26">
        <f t="shared" si="65"/>
        <v>6.6700000000000009E-2</v>
      </c>
    </row>
    <row r="452" spans="1:15">
      <c r="A452" s="92">
        <v>0.62357482378644002</v>
      </c>
      <c r="B452" s="71">
        <f t="shared" si="61"/>
        <v>37.414489427186403</v>
      </c>
      <c r="E452" s="238">
        <v>0.37754370555632499</v>
      </c>
      <c r="F452" s="71">
        <f t="shared" si="62"/>
        <v>8.9671865327704676</v>
      </c>
      <c r="G452" s="234">
        <v>1.45</v>
      </c>
      <c r="I452" s="235">
        <v>294.85000000000002</v>
      </c>
      <c r="J452" s="26">
        <f t="shared" si="63"/>
        <v>21.700000000000045</v>
      </c>
      <c r="K452" s="84">
        <v>1.22</v>
      </c>
      <c r="L452" s="26">
        <f t="shared" si="64"/>
        <v>1220</v>
      </c>
      <c r="M452" s="25">
        <v>48.5</v>
      </c>
      <c r="N452" s="84">
        <v>66.7</v>
      </c>
      <c r="O452" s="26">
        <f t="shared" si="65"/>
        <v>6.6700000000000009E-2</v>
      </c>
    </row>
    <row r="453" spans="1:15">
      <c r="A453" s="92">
        <v>0.71904829636180501</v>
      </c>
      <c r="B453" s="71">
        <f t="shared" si="61"/>
        <v>43.142897781708299</v>
      </c>
      <c r="E453" s="238">
        <v>0.39520122872646302</v>
      </c>
      <c r="F453" s="71">
        <f t="shared" si="62"/>
        <v>9.1048589307555119</v>
      </c>
      <c r="G453" s="234">
        <v>1.45</v>
      </c>
      <c r="I453" s="235">
        <v>294.85000000000002</v>
      </c>
      <c r="J453" s="26">
        <f t="shared" si="63"/>
        <v>21.700000000000045</v>
      </c>
      <c r="K453" s="84">
        <v>1.22</v>
      </c>
      <c r="L453" s="26">
        <f t="shared" si="64"/>
        <v>1220</v>
      </c>
      <c r="M453" s="25">
        <v>48.5</v>
      </c>
      <c r="N453" s="84">
        <v>66.7</v>
      </c>
      <c r="O453" s="26">
        <f t="shared" si="65"/>
        <v>6.6700000000000009E-2</v>
      </c>
    </row>
    <row r="454" spans="1:15">
      <c r="A454" s="92">
        <v>0.80102810189745299</v>
      </c>
      <c r="B454" s="71">
        <f t="shared" si="61"/>
        <v>48.06168611384718</v>
      </c>
      <c r="E454" s="238">
        <v>0.37978372222729001</v>
      </c>
      <c r="F454" s="71">
        <f t="shared" si="62"/>
        <v>8.9848860749073225</v>
      </c>
      <c r="G454" s="234">
        <v>1.45</v>
      </c>
      <c r="I454" s="235">
        <v>294.85000000000002</v>
      </c>
      <c r="J454" s="26">
        <f t="shared" si="63"/>
        <v>21.700000000000045</v>
      </c>
      <c r="K454" s="84">
        <v>1.22</v>
      </c>
      <c r="L454" s="26">
        <f t="shared" si="64"/>
        <v>1220</v>
      </c>
      <c r="M454" s="25">
        <v>48.5</v>
      </c>
      <c r="N454" s="84">
        <v>66.7</v>
      </c>
      <c r="O454" s="26">
        <f t="shared" si="65"/>
        <v>6.6700000000000009E-2</v>
      </c>
    </row>
    <row r="455" spans="1:15">
      <c r="A455" s="92">
        <v>0.94586196960515501</v>
      </c>
      <c r="B455" s="71">
        <f t="shared" si="61"/>
        <v>56.751718176309303</v>
      </c>
      <c r="E455" s="238">
        <v>0.39890463195989601</v>
      </c>
      <c r="F455" s="71">
        <f t="shared" si="62"/>
        <v>9.1332108862245249</v>
      </c>
      <c r="G455" s="234">
        <v>1.45</v>
      </c>
      <c r="I455" s="235">
        <v>294.85000000000002</v>
      </c>
      <c r="J455" s="26">
        <f t="shared" si="63"/>
        <v>21.700000000000045</v>
      </c>
      <c r="K455" s="84">
        <v>1.22</v>
      </c>
      <c r="L455" s="26">
        <f t="shared" si="64"/>
        <v>1220</v>
      </c>
      <c r="M455" s="25">
        <v>48.5</v>
      </c>
      <c r="N455" s="84">
        <v>66.7</v>
      </c>
      <c r="O455" s="26">
        <f t="shared" si="65"/>
        <v>6.6700000000000009E-2</v>
      </c>
    </row>
    <row r="456" spans="1:15">
      <c r="A456" s="92">
        <v>1.0593575434828499</v>
      </c>
      <c r="B456" s="71">
        <f t="shared" si="61"/>
        <v>63.561452608970995</v>
      </c>
      <c r="E456" s="238">
        <v>0.387754102429961</v>
      </c>
      <c r="F456" s="71">
        <f t="shared" si="62"/>
        <v>9.0473055897170163</v>
      </c>
      <c r="G456" s="234">
        <v>1.45</v>
      </c>
      <c r="I456" s="235">
        <v>294.85000000000002</v>
      </c>
      <c r="J456" s="26">
        <f t="shared" si="63"/>
        <v>21.700000000000045</v>
      </c>
      <c r="K456" s="84">
        <v>1.22</v>
      </c>
      <c r="L456" s="26">
        <f t="shared" si="64"/>
        <v>1220</v>
      </c>
      <c r="M456" s="25">
        <v>48.5</v>
      </c>
      <c r="N456" s="84">
        <v>66.7</v>
      </c>
      <c r="O456" s="26">
        <f t="shared" si="65"/>
        <v>6.6700000000000009E-2</v>
      </c>
    </row>
    <row r="457" spans="1:15">
      <c r="A457" s="92">
        <v>1.24514938114953</v>
      </c>
      <c r="B457" s="71">
        <f t="shared" si="61"/>
        <v>74.708962868971796</v>
      </c>
      <c r="E457" s="238">
        <v>0.38836187392153698</v>
      </c>
      <c r="F457" s="71">
        <f t="shared" si="62"/>
        <v>9.052030082177664</v>
      </c>
      <c r="G457" s="234">
        <v>1.45</v>
      </c>
      <c r="I457" s="235">
        <v>294.85000000000002</v>
      </c>
      <c r="J457" s="26">
        <f t="shared" si="63"/>
        <v>21.700000000000045</v>
      </c>
      <c r="K457" s="84">
        <v>1.22</v>
      </c>
      <c r="L457" s="26">
        <f t="shared" si="64"/>
        <v>1220</v>
      </c>
      <c r="M457" s="25">
        <v>48.5</v>
      </c>
      <c r="N457" s="84">
        <v>66.7</v>
      </c>
      <c r="O457" s="26">
        <f t="shared" si="65"/>
        <v>6.6700000000000009E-2</v>
      </c>
    </row>
    <row r="458" spans="1:15">
      <c r="A458" s="92">
        <v>1.4217871986438999</v>
      </c>
      <c r="B458" s="71">
        <f t="shared" si="61"/>
        <v>85.307231918633988</v>
      </c>
      <c r="E458" s="238">
        <v>0.384319040493177</v>
      </c>
      <c r="F458" s="71">
        <f t="shared" si="62"/>
        <v>9.0205100154662272</v>
      </c>
      <c r="G458" s="234">
        <v>1.45</v>
      </c>
      <c r="I458" s="235">
        <v>294.85000000000002</v>
      </c>
      <c r="J458" s="26">
        <f t="shared" si="63"/>
        <v>21.700000000000045</v>
      </c>
      <c r="K458" s="84">
        <v>1.22</v>
      </c>
      <c r="L458" s="26">
        <f t="shared" si="64"/>
        <v>1220</v>
      </c>
      <c r="M458" s="25">
        <v>48.5</v>
      </c>
      <c r="N458" s="84">
        <v>66.7</v>
      </c>
      <c r="O458" s="26">
        <f t="shared" si="65"/>
        <v>6.6700000000000009E-2</v>
      </c>
    </row>
    <row r="459" spans="1:15">
      <c r="A459" s="92">
        <v>1.63410918592902</v>
      </c>
      <c r="B459" s="71">
        <f t="shared" si="61"/>
        <v>98.046551155741199</v>
      </c>
      <c r="E459" s="238">
        <v>0.39451190783870699</v>
      </c>
      <c r="F459" s="71">
        <f t="shared" si="62"/>
        <v>9.0995622012691246</v>
      </c>
      <c r="G459" s="234">
        <v>1.45</v>
      </c>
      <c r="I459" s="235">
        <v>294.85000000000002</v>
      </c>
      <c r="J459" s="26">
        <f t="shared" si="63"/>
        <v>21.700000000000045</v>
      </c>
      <c r="K459" s="84">
        <v>1.22</v>
      </c>
      <c r="L459" s="26">
        <f t="shared" si="64"/>
        <v>1220</v>
      </c>
      <c r="M459" s="25">
        <v>48.5</v>
      </c>
      <c r="N459" s="84">
        <v>66.7</v>
      </c>
      <c r="O459" s="26">
        <f t="shared" si="65"/>
        <v>6.6700000000000009E-2</v>
      </c>
    </row>
    <row r="460" spans="1:15">
      <c r="A460" s="92">
        <v>1.76338509418633</v>
      </c>
      <c r="B460" s="71">
        <f t="shared" si="61"/>
        <v>105.80310565117981</v>
      </c>
      <c r="E460" s="238">
        <v>0.38130219580534702</v>
      </c>
      <c r="F460" s="71">
        <f t="shared" si="62"/>
        <v>8.9968447840597605</v>
      </c>
      <c r="G460" s="234">
        <v>1.45</v>
      </c>
      <c r="I460" s="235">
        <v>294.85000000000002</v>
      </c>
      <c r="J460" s="26">
        <f t="shared" si="63"/>
        <v>21.700000000000045</v>
      </c>
      <c r="K460" s="84">
        <v>1.22</v>
      </c>
      <c r="L460" s="26">
        <f t="shared" si="64"/>
        <v>1220</v>
      </c>
      <c r="M460" s="25">
        <v>48.5</v>
      </c>
      <c r="N460" s="84">
        <v>66.7</v>
      </c>
      <c r="O460" s="26">
        <f t="shared" si="65"/>
        <v>6.6700000000000009E-2</v>
      </c>
    </row>
    <row r="461" spans="1:15">
      <c r="A461" s="92">
        <v>1.9515715070356701</v>
      </c>
      <c r="B461" s="71">
        <f t="shared" si="61"/>
        <v>117.0942904221402</v>
      </c>
      <c r="E461" s="238">
        <v>0.40508420174715498</v>
      </c>
      <c r="F461" s="71">
        <f t="shared" si="62"/>
        <v>9.1801313377526341</v>
      </c>
      <c r="G461" s="234">
        <v>1.45</v>
      </c>
      <c r="I461" s="235">
        <v>294.85000000000002</v>
      </c>
      <c r="J461" s="26">
        <f t="shared" si="63"/>
        <v>21.700000000000045</v>
      </c>
      <c r="K461" s="84">
        <v>1.22</v>
      </c>
      <c r="L461" s="26">
        <f t="shared" si="64"/>
        <v>1220</v>
      </c>
      <c r="M461" s="25">
        <v>48.5</v>
      </c>
      <c r="N461" s="84">
        <v>66.7</v>
      </c>
      <c r="O461" s="26">
        <f t="shared" si="65"/>
        <v>6.6700000000000009E-2</v>
      </c>
    </row>
    <row r="462" spans="1:15">
      <c r="A462" s="92">
        <v>2.2798919398288202</v>
      </c>
      <c r="B462" s="71">
        <f t="shared" si="61"/>
        <v>136.79351638972921</v>
      </c>
      <c r="E462" s="238">
        <v>0.41388684774458101</v>
      </c>
      <c r="F462" s="71">
        <f t="shared" si="62"/>
        <v>9.2461514153446078</v>
      </c>
      <c r="G462" s="234">
        <v>1.45</v>
      </c>
      <c r="I462" s="235">
        <v>294.85000000000002</v>
      </c>
      <c r="J462" s="26">
        <f t="shared" si="63"/>
        <v>21.700000000000045</v>
      </c>
      <c r="K462" s="84">
        <v>1.22</v>
      </c>
      <c r="L462" s="26">
        <f t="shared" si="64"/>
        <v>1220</v>
      </c>
      <c r="M462" s="25">
        <v>48.5</v>
      </c>
      <c r="N462" s="84">
        <v>66.7</v>
      </c>
      <c r="O462" s="26">
        <f t="shared" si="65"/>
        <v>6.6700000000000009E-2</v>
      </c>
    </row>
    <row r="463" spans="1:15">
      <c r="A463" s="92">
        <v>2.7233696875593201</v>
      </c>
      <c r="B463" s="71">
        <f t="shared" si="61"/>
        <v>163.40218125355921</v>
      </c>
      <c r="E463" s="238">
        <v>0.37880751633078502</v>
      </c>
      <c r="F463" s="71">
        <f t="shared" si="62"/>
        <v>8.9771811416737126</v>
      </c>
      <c r="G463" s="234">
        <v>1.45</v>
      </c>
      <c r="I463" s="235">
        <v>294.85000000000002</v>
      </c>
      <c r="J463" s="26">
        <f t="shared" si="63"/>
        <v>21.700000000000045</v>
      </c>
      <c r="K463" s="84">
        <v>1.22</v>
      </c>
      <c r="L463" s="26">
        <f t="shared" si="64"/>
        <v>1220</v>
      </c>
      <c r="M463" s="25">
        <v>48.5</v>
      </c>
      <c r="N463" s="84">
        <v>66.7</v>
      </c>
      <c r="O463" s="26">
        <f t="shared" si="65"/>
        <v>6.6700000000000009E-2</v>
      </c>
    </row>
    <row r="464" spans="1:15">
      <c r="A464" s="92">
        <v>3.1684358350722701</v>
      </c>
      <c r="B464" s="71">
        <f t="shared" si="61"/>
        <v>190.10615010433619</v>
      </c>
      <c r="E464" s="238">
        <v>0.42475796437897101</v>
      </c>
      <c r="F464" s="71">
        <f t="shared" si="62"/>
        <v>9.3264056877768287</v>
      </c>
      <c r="G464" s="234">
        <v>1.45</v>
      </c>
      <c r="I464" s="235">
        <v>294.85000000000002</v>
      </c>
      <c r="J464" s="26">
        <f t="shared" si="63"/>
        <v>21.700000000000045</v>
      </c>
      <c r="K464" s="84">
        <v>1.22</v>
      </c>
      <c r="L464" s="26">
        <f t="shared" si="64"/>
        <v>1220</v>
      </c>
      <c r="M464" s="25">
        <v>48.5</v>
      </c>
      <c r="N464" s="84">
        <v>66.7</v>
      </c>
      <c r="O464" s="26">
        <f t="shared" si="65"/>
        <v>6.6700000000000009E-2</v>
      </c>
    </row>
    <row r="465" spans="1:15">
      <c r="A465" s="92">
        <v>4.2246517836802804</v>
      </c>
      <c r="B465" s="71">
        <f t="shared" si="61"/>
        <v>253.47910702081683</v>
      </c>
      <c r="E465" s="238">
        <v>0.38366018230315901</v>
      </c>
      <c r="F465" s="71">
        <f t="shared" si="62"/>
        <v>9.015352289912963</v>
      </c>
      <c r="G465" s="234">
        <v>1.45</v>
      </c>
      <c r="I465" s="235">
        <v>294.85000000000002</v>
      </c>
      <c r="J465" s="26">
        <f t="shared" si="63"/>
        <v>21.700000000000045</v>
      </c>
      <c r="K465" s="84">
        <v>1.22</v>
      </c>
      <c r="L465" s="26">
        <f t="shared" si="64"/>
        <v>1220</v>
      </c>
      <c r="M465" s="25">
        <v>48.5</v>
      </c>
      <c r="N465" s="84">
        <v>66.7</v>
      </c>
      <c r="O465" s="26">
        <f t="shared" si="65"/>
        <v>6.6700000000000009E-2</v>
      </c>
    </row>
    <row r="466" spans="1:15">
      <c r="A466" s="92">
        <v>5.0271151374170602</v>
      </c>
      <c r="B466" s="71">
        <f t="shared" si="61"/>
        <v>301.62690824502363</v>
      </c>
      <c r="E466" s="238">
        <v>0.432881231524614</v>
      </c>
      <c r="F466" s="71">
        <f t="shared" si="62"/>
        <v>9.3854848151869792</v>
      </c>
      <c r="G466" s="234">
        <v>1.45</v>
      </c>
      <c r="I466" s="235">
        <v>294.85000000000002</v>
      </c>
      <c r="J466" s="26">
        <f t="shared" si="63"/>
        <v>21.700000000000045</v>
      </c>
      <c r="K466" s="84">
        <v>1.22</v>
      </c>
      <c r="L466" s="26">
        <f t="shared" si="64"/>
        <v>1220</v>
      </c>
      <c r="M466" s="25">
        <v>48.5</v>
      </c>
      <c r="N466" s="84">
        <v>66.7</v>
      </c>
      <c r="O466" s="26">
        <f t="shared" si="65"/>
        <v>6.6700000000000009E-2</v>
      </c>
    </row>
    <row r="467" spans="1:15">
      <c r="A467" s="92">
        <v>5.6132225118042598</v>
      </c>
      <c r="B467" s="71">
        <f t="shared" si="61"/>
        <v>336.79335070825562</v>
      </c>
      <c r="E467" s="238">
        <v>0.397320023093722</v>
      </c>
      <c r="F467" s="71">
        <f t="shared" si="62"/>
        <v>9.1211012474790163</v>
      </c>
      <c r="G467" s="234">
        <v>1.45</v>
      </c>
      <c r="I467" s="235">
        <v>294.85000000000002</v>
      </c>
      <c r="J467" s="26">
        <f t="shared" si="63"/>
        <v>21.700000000000045</v>
      </c>
      <c r="K467" s="84">
        <v>1.22</v>
      </c>
      <c r="L467" s="26">
        <f t="shared" si="64"/>
        <v>1220</v>
      </c>
      <c r="M467" s="25">
        <v>48.5</v>
      </c>
      <c r="N467" s="84">
        <v>66.7</v>
      </c>
      <c r="O467" s="26">
        <f t="shared" si="65"/>
        <v>6.6700000000000009E-2</v>
      </c>
    </row>
    <row r="468" spans="1:15">
      <c r="A468" s="92">
        <v>6.6265010804682696</v>
      </c>
      <c r="B468" s="71">
        <f t="shared" si="61"/>
        <v>397.59006482809616</v>
      </c>
      <c r="E468" s="238">
        <v>0.377796129945352</v>
      </c>
      <c r="F468" s="71">
        <f t="shared" si="62"/>
        <v>8.9691845639667029</v>
      </c>
      <c r="G468" s="234">
        <v>1.45</v>
      </c>
      <c r="I468" s="235">
        <v>294.85000000000002</v>
      </c>
      <c r="J468" s="26">
        <f t="shared" si="63"/>
        <v>21.700000000000045</v>
      </c>
      <c r="K468" s="84">
        <v>1.22</v>
      </c>
      <c r="L468" s="26">
        <f t="shared" si="64"/>
        <v>1220</v>
      </c>
      <c r="M468" s="25">
        <v>48.5</v>
      </c>
      <c r="N468" s="84">
        <v>66.7</v>
      </c>
      <c r="O468" s="26">
        <f t="shared" si="65"/>
        <v>6.6700000000000009E-2</v>
      </c>
    </row>
    <row r="469" spans="1:15">
      <c r="A469" s="92">
        <v>7.6301169045259298</v>
      </c>
      <c r="B469" s="71">
        <f t="shared" si="61"/>
        <v>457.80701427155577</v>
      </c>
      <c r="E469" s="238">
        <v>0.37385955600378501</v>
      </c>
      <c r="F469" s="71">
        <f t="shared" si="62"/>
        <v>8.9379232527866872</v>
      </c>
      <c r="G469" s="234">
        <v>1.45</v>
      </c>
      <c r="I469" s="235">
        <v>294.85000000000002</v>
      </c>
      <c r="J469" s="26">
        <f t="shared" si="63"/>
        <v>21.700000000000045</v>
      </c>
      <c r="K469" s="84">
        <v>1.22</v>
      </c>
      <c r="L469" s="26">
        <f t="shared" si="64"/>
        <v>1220</v>
      </c>
      <c r="M469" s="25">
        <v>48.5</v>
      </c>
      <c r="N469" s="84">
        <v>66.7</v>
      </c>
      <c r="O469" s="26">
        <f t="shared" si="65"/>
        <v>6.6700000000000009E-2</v>
      </c>
    </row>
    <row r="470" spans="1:15">
      <c r="A470" s="92">
        <v>8.9848438309320802</v>
      </c>
      <c r="B470" s="71">
        <f t="shared" si="61"/>
        <v>539.09062985592482</v>
      </c>
      <c r="E470" s="238">
        <v>0.41331746284585302</v>
      </c>
      <c r="F470" s="71">
        <f t="shared" si="62"/>
        <v>9.2419094870295293</v>
      </c>
      <c r="G470" s="234">
        <v>1.45</v>
      </c>
      <c r="I470" s="235">
        <v>294.85000000000002</v>
      </c>
      <c r="J470" s="26">
        <f t="shared" si="63"/>
        <v>21.700000000000045</v>
      </c>
      <c r="K470" s="84">
        <v>1.22</v>
      </c>
      <c r="L470" s="26">
        <f t="shared" si="64"/>
        <v>1220</v>
      </c>
      <c r="M470" s="25">
        <v>48.5</v>
      </c>
      <c r="N470" s="84">
        <v>66.7</v>
      </c>
      <c r="O470" s="26">
        <f t="shared" si="65"/>
        <v>6.6700000000000009E-2</v>
      </c>
    </row>
    <row r="471" spans="1:15">
      <c r="B471" s="71"/>
      <c r="F471" s="71"/>
      <c r="G471" s="71"/>
      <c r="I471" s="235"/>
      <c r="J471" s="26"/>
      <c r="L471" s="26"/>
      <c r="M471" s="25"/>
      <c r="O471" s="26"/>
    </row>
    <row r="472" spans="1:15">
      <c r="A472" s="92">
        <v>0.12181441280802301</v>
      </c>
      <c r="B472" s="71">
        <f t="shared" ref="B472:B501" si="66">A472*60</f>
        <v>7.3088647684813806</v>
      </c>
      <c r="E472" s="92">
        <v>0.47475962028973501</v>
      </c>
      <c r="F472" s="71">
        <f t="shared" ref="F472:F501" si="67">2*POWER((3*E472*1000)/(4*PI()), 1/3)</f>
        <v>9.6788787753868988</v>
      </c>
      <c r="G472" s="234">
        <v>1.64</v>
      </c>
      <c r="I472" s="235">
        <v>294.85000000000002</v>
      </c>
      <c r="J472" s="26">
        <f t="shared" ref="J472:J501" si="68">I472-273.15</f>
        <v>21.700000000000045</v>
      </c>
      <c r="K472" s="84">
        <v>1.22</v>
      </c>
      <c r="L472" s="26">
        <f t="shared" ref="L472:L501" si="69">K472*1000</f>
        <v>1220</v>
      </c>
      <c r="M472" s="25">
        <v>48.5</v>
      </c>
      <c r="N472" s="84">
        <v>66.7</v>
      </c>
      <c r="O472" s="26">
        <f t="shared" ref="O472:O501" si="70">N472/1000</f>
        <v>6.6700000000000009E-2</v>
      </c>
    </row>
    <row r="473" spans="1:15">
      <c r="A473" s="92">
        <v>0.161415321862141</v>
      </c>
      <c r="B473" s="71">
        <f t="shared" si="66"/>
        <v>9.6849193117284607</v>
      </c>
      <c r="E473" s="92">
        <v>0.47958157981559502</v>
      </c>
      <c r="F473" s="71">
        <f t="shared" si="67"/>
        <v>9.7115367339281047</v>
      </c>
      <c r="G473" s="234">
        <v>1.64</v>
      </c>
      <c r="I473" s="235">
        <v>294.85000000000002</v>
      </c>
      <c r="J473" s="26">
        <f t="shared" si="68"/>
        <v>21.700000000000045</v>
      </c>
      <c r="K473" s="84">
        <v>1.22</v>
      </c>
      <c r="L473" s="26">
        <f t="shared" si="69"/>
        <v>1220</v>
      </c>
      <c r="M473" s="25">
        <v>48.5</v>
      </c>
      <c r="N473" s="84">
        <v>66.7</v>
      </c>
      <c r="O473" s="26">
        <f t="shared" si="70"/>
        <v>6.6700000000000009E-2</v>
      </c>
    </row>
    <row r="474" spans="1:15">
      <c r="A474" s="92">
        <v>0.209876599022086</v>
      </c>
      <c r="B474" s="71">
        <f t="shared" si="66"/>
        <v>12.592595941325159</v>
      </c>
      <c r="E474" s="92">
        <v>0.48341458399519099</v>
      </c>
      <c r="F474" s="71">
        <f t="shared" si="67"/>
        <v>9.7373409139979952</v>
      </c>
      <c r="G474" s="234">
        <v>1.64</v>
      </c>
      <c r="I474" s="235">
        <v>294.85000000000002</v>
      </c>
      <c r="J474" s="26">
        <f t="shared" si="68"/>
        <v>21.700000000000045</v>
      </c>
      <c r="K474" s="84">
        <v>1.22</v>
      </c>
      <c r="L474" s="26">
        <f t="shared" si="69"/>
        <v>1220</v>
      </c>
      <c r="M474" s="25">
        <v>48.5</v>
      </c>
      <c r="N474" s="84">
        <v>66.7</v>
      </c>
      <c r="O474" s="26">
        <f t="shared" si="70"/>
        <v>6.6700000000000009E-2</v>
      </c>
    </row>
    <row r="475" spans="1:15">
      <c r="A475" s="92">
        <v>0.24248494289538899</v>
      </c>
      <c r="B475" s="71">
        <f t="shared" si="66"/>
        <v>14.54909657372334</v>
      </c>
      <c r="E475" s="92">
        <v>0.48373779327987998</v>
      </c>
      <c r="F475" s="71">
        <f t="shared" si="67"/>
        <v>9.7395105477893136</v>
      </c>
      <c r="G475" s="234">
        <v>1.64</v>
      </c>
      <c r="I475" s="235">
        <v>294.85000000000002</v>
      </c>
      <c r="J475" s="26">
        <f t="shared" si="68"/>
        <v>21.700000000000045</v>
      </c>
      <c r="K475" s="84">
        <v>1.22</v>
      </c>
      <c r="L475" s="26">
        <f t="shared" si="69"/>
        <v>1220</v>
      </c>
      <c r="M475" s="25">
        <v>48.5</v>
      </c>
      <c r="N475" s="84">
        <v>66.7</v>
      </c>
      <c r="O475" s="26">
        <f t="shared" si="70"/>
        <v>6.6700000000000009E-2</v>
      </c>
    </row>
    <row r="476" spans="1:15">
      <c r="A476" s="92">
        <v>0.33451838652355398</v>
      </c>
      <c r="B476" s="71">
        <f t="shared" si="66"/>
        <v>20.07110319141324</v>
      </c>
      <c r="E476" s="92">
        <v>0.48487798393957399</v>
      </c>
      <c r="F476" s="71">
        <f t="shared" si="67"/>
        <v>9.7471566910860847</v>
      </c>
      <c r="G476" s="234">
        <v>1.64</v>
      </c>
      <c r="I476" s="235">
        <v>294.85000000000002</v>
      </c>
      <c r="J476" s="26">
        <f t="shared" si="68"/>
        <v>21.700000000000045</v>
      </c>
      <c r="K476" s="84">
        <v>1.22</v>
      </c>
      <c r="L476" s="26">
        <f t="shared" si="69"/>
        <v>1220</v>
      </c>
      <c r="M476" s="25">
        <v>48.5</v>
      </c>
      <c r="N476" s="84">
        <v>66.7</v>
      </c>
      <c r="O476" s="26">
        <f t="shared" si="70"/>
        <v>6.6700000000000009E-2</v>
      </c>
    </row>
    <row r="477" spans="1:15">
      <c r="A477" s="92">
        <v>0.36498054269109298</v>
      </c>
      <c r="B477" s="71">
        <f t="shared" si="66"/>
        <v>21.898832561465579</v>
      </c>
      <c r="E477" s="92">
        <v>0.49972794928495401</v>
      </c>
      <c r="F477" s="71">
        <f t="shared" si="67"/>
        <v>9.8456638904910516</v>
      </c>
      <c r="G477" s="234">
        <v>1.64</v>
      </c>
      <c r="I477" s="235">
        <v>294.85000000000002</v>
      </c>
      <c r="J477" s="26">
        <f t="shared" si="68"/>
        <v>21.700000000000045</v>
      </c>
      <c r="K477" s="84">
        <v>1.22</v>
      </c>
      <c r="L477" s="26">
        <f t="shared" si="69"/>
        <v>1220</v>
      </c>
      <c r="M477" s="25">
        <v>48.5</v>
      </c>
      <c r="N477" s="84">
        <v>66.7</v>
      </c>
      <c r="O477" s="26">
        <f t="shared" si="70"/>
        <v>6.6700000000000009E-2</v>
      </c>
    </row>
    <row r="478" spans="1:15">
      <c r="A478" s="92">
        <v>0.49843533503232901</v>
      </c>
      <c r="B478" s="71">
        <f t="shared" si="66"/>
        <v>29.906120101939742</v>
      </c>
      <c r="E478" s="92">
        <v>0.49852299928920901</v>
      </c>
      <c r="F478" s="71">
        <f t="shared" si="67"/>
        <v>9.8377441942928119</v>
      </c>
      <c r="G478" s="234">
        <v>1.64</v>
      </c>
      <c r="I478" s="235">
        <v>294.85000000000002</v>
      </c>
      <c r="J478" s="26">
        <f t="shared" si="68"/>
        <v>21.700000000000045</v>
      </c>
      <c r="K478" s="84">
        <v>1.22</v>
      </c>
      <c r="L478" s="26">
        <f t="shared" si="69"/>
        <v>1220</v>
      </c>
      <c r="M478" s="25">
        <v>48.5</v>
      </c>
      <c r="N478" s="84">
        <v>66.7</v>
      </c>
      <c r="O478" s="26">
        <f t="shared" si="70"/>
        <v>6.6700000000000009E-2</v>
      </c>
    </row>
    <row r="479" spans="1:15">
      <c r="A479" s="92">
        <v>0.64427002147955104</v>
      </c>
      <c r="B479" s="71">
        <f t="shared" si="66"/>
        <v>38.656201288773062</v>
      </c>
      <c r="E479" s="92">
        <v>0.50863001619945702</v>
      </c>
      <c r="F479" s="71">
        <f t="shared" si="67"/>
        <v>9.9037831183096259</v>
      </c>
      <c r="G479" s="234">
        <v>1.64</v>
      </c>
      <c r="I479" s="235">
        <v>294.85000000000002</v>
      </c>
      <c r="J479" s="26">
        <f t="shared" si="68"/>
        <v>21.700000000000045</v>
      </c>
      <c r="K479" s="84">
        <v>1.22</v>
      </c>
      <c r="L479" s="26">
        <f t="shared" si="69"/>
        <v>1220</v>
      </c>
      <c r="M479" s="25">
        <v>48.5</v>
      </c>
      <c r="N479" s="84">
        <v>66.7</v>
      </c>
      <c r="O479" s="26">
        <f t="shared" si="70"/>
        <v>6.6700000000000009E-2</v>
      </c>
    </row>
    <row r="480" spans="1:15">
      <c r="A480" s="92">
        <v>0.694954130584722</v>
      </c>
      <c r="B480" s="71">
        <f t="shared" si="66"/>
        <v>41.697247835083317</v>
      </c>
      <c r="E480" s="92">
        <v>0.504617213612225</v>
      </c>
      <c r="F480" s="71">
        <f t="shared" si="67"/>
        <v>9.8776692440984633</v>
      </c>
      <c r="G480" s="234">
        <v>1.64</v>
      </c>
      <c r="I480" s="235">
        <v>294.85000000000002</v>
      </c>
      <c r="J480" s="26">
        <f t="shared" si="68"/>
        <v>21.700000000000045</v>
      </c>
      <c r="K480" s="84">
        <v>1.22</v>
      </c>
      <c r="L480" s="26">
        <f t="shared" si="69"/>
        <v>1220</v>
      </c>
      <c r="M480" s="25">
        <v>48.5</v>
      </c>
      <c r="N480" s="84">
        <v>66.7</v>
      </c>
      <c r="O480" s="26">
        <f t="shared" si="70"/>
        <v>6.6700000000000009E-2</v>
      </c>
    </row>
    <row r="481" spans="1:15">
      <c r="A481" s="92">
        <v>0.77366616575877201</v>
      </c>
      <c r="B481" s="71">
        <f t="shared" si="66"/>
        <v>46.419969945526319</v>
      </c>
      <c r="E481" s="92">
        <v>0.50553421900703799</v>
      </c>
      <c r="F481" s="71">
        <f t="shared" si="67"/>
        <v>9.8836489547426645</v>
      </c>
      <c r="G481" s="234">
        <v>1.64</v>
      </c>
      <c r="I481" s="235">
        <v>294.85000000000002</v>
      </c>
      <c r="J481" s="26">
        <f t="shared" si="68"/>
        <v>21.700000000000045</v>
      </c>
      <c r="K481" s="84">
        <v>1.22</v>
      </c>
      <c r="L481" s="26">
        <f t="shared" si="69"/>
        <v>1220</v>
      </c>
      <c r="M481" s="25">
        <v>48.5</v>
      </c>
      <c r="N481" s="84">
        <v>66.7</v>
      </c>
      <c r="O481" s="26">
        <f t="shared" si="70"/>
        <v>6.6700000000000009E-2</v>
      </c>
    </row>
    <row r="482" spans="1:15">
      <c r="A482" s="92">
        <v>0.91424787494011095</v>
      </c>
      <c r="B482" s="71">
        <f t="shared" si="66"/>
        <v>54.854872496406657</v>
      </c>
      <c r="E482" s="92">
        <v>0.50345571718397897</v>
      </c>
      <c r="F482" s="71">
        <f t="shared" si="67"/>
        <v>9.870084821009609</v>
      </c>
      <c r="G482" s="234">
        <v>1.64</v>
      </c>
      <c r="I482" s="235">
        <v>294.85000000000002</v>
      </c>
      <c r="J482" s="26">
        <f t="shared" si="68"/>
        <v>21.700000000000045</v>
      </c>
      <c r="K482" s="84">
        <v>1.22</v>
      </c>
      <c r="L482" s="26">
        <f t="shared" si="69"/>
        <v>1220</v>
      </c>
      <c r="M482" s="25">
        <v>48.5</v>
      </c>
      <c r="N482" s="84">
        <v>66.7</v>
      </c>
      <c r="O482" s="26">
        <f t="shared" si="70"/>
        <v>6.6700000000000009E-2</v>
      </c>
    </row>
    <row r="483" spans="1:15">
      <c r="A483" s="92">
        <v>1.0524534148996101</v>
      </c>
      <c r="B483" s="71">
        <f t="shared" si="66"/>
        <v>63.147204893976607</v>
      </c>
      <c r="E483" s="92">
        <v>0.51752543061998302</v>
      </c>
      <c r="F483" s="71">
        <f t="shared" si="67"/>
        <v>9.9611854228067838</v>
      </c>
      <c r="G483" s="234">
        <v>1.64</v>
      </c>
      <c r="I483" s="235">
        <v>294.85000000000002</v>
      </c>
      <c r="J483" s="26">
        <f t="shared" si="68"/>
        <v>21.700000000000045</v>
      </c>
      <c r="K483" s="84">
        <v>1.22</v>
      </c>
      <c r="L483" s="26">
        <f t="shared" si="69"/>
        <v>1220</v>
      </c>
      <c r="M483" s="25">
        <v>48.5</v>
      </c>
      <c r="N483" s="84">
        <v>66.7</v>
      </c>
      <c r="O483" s="26">
        <f t="shared" si="70"/>
        <v>6.6700000000000009E-2</v>
      </c>
    </row>
    <row r="484" spans="1:15">
      <c r="A484" s="92">
        <v>1.1893735415006801</v>
      </c>
      <c r="B484" s="71">
        <f t="shared" si="66"/>
        <v>71.362412490040811</v>
      </c>
      <c r="E484" s="92">
        <v>0.50557456514860499</v>
      </c>
      <c r="F484" s="71">
        <f t="shared" si="67"/>
        <v>9.8839118822076522</v>
      </c>
      <c r="G484" s="234">
        <v>1.64</v>
      </c>
      <c r="I484" s="235">
        <v>294.85000000000002</v>
      </c>
      <c r="J484" s="26">
        <f t="shared" si="68"/>
        <v>21.700000000000045</v>
      </c>
      <c r="K484" s="84">
        <v>1.22</v>
      </c>
      <c r="L484" s="26">
        <f t="shared" si="69"/>
        <v>1220</v>
      </c>
      <c r="M484" s="25">
        <v>48.5</v>
      </c>
      <c r="N484" s="84">
        <v>66.7</v>
      </c>
      <c r="O484" s="26">
        <f t="shared" si="70"/>
        <v>6.6700000000000009E-2</v>
      </c>
    </row>
    <row r="485" spans="1:15">
      <c r="A485" s="92">
        <v>1.3467239419689701</v>
      </c>
      <c r="B485" s="71">
        <f t="shared" si="66"/>
        <v>80.803436518138199</v>
      </c>
      <c r="E485" s="92">
        <v>0.52284433203423197</v>
      </c>
      <c r="F485" s="71">
        <f t="shared" si="67"/>
        <v>9.9951947544311466</v>
      </c>
      <c r="G485" s="234">
        <v>1.64</v>
      </c>
      <c r="I485" s="235">
        <v>294.85000000000002</v>
      </c>
      <c r="J485" s="26">
        <f t="shared" si="68"/>
        <v>21.700000000000045</v>
      </c>
      <c r="K485" s="84">
        <v>1.22</v>
      </c>
      <c r="L485" s="26">
        <f t="shared" si="69"/>
        <v>1220</v>
      </c>
      <c r="M485" s="25">
        <v>48.5</v>
      </c>
      <c r="N485" s="84">
        <v>66.7</v>
      </c>
      <c r="O485" s="26">
        <f t="shared" si="70"/>
        <v>6.6700000000000009E-2</v>
      </c>
    </row>
    <row r="486" spans="1:15">
      <c r="A486" s="92">
        <v>1.4674700884171701</v>
      </c>
      <c r="B486" s="71">
        <f t="shared" si="66"/>
        <v>88.048205305030208</v>
      </c>
      <c r="E486" s="92">
        <v>0.51503785033938898</v>
      </c>
      <c r="F486" s="71">
        <f t="shared" si="67"/>
        <v>9.9451996983625772</v>
      </c>
      <c r="G486" s="234">
        <v>1.64</v>
      </c>
      <c r="I486" s="235">
        <v>294.85000000000002</v>
      </c>
      <c r="J486" s="26">
        <f t="shared" si="68"/>
        <v>21.700000000000045</v>
      </c>
      <c r="K486" s="84">
        <v>1.22</v>
      </c>
      <c r="L486" s="26">
        <f t="shared" si="69"/>
        <v>1220</v>
      </c>
      <c r="M486" s="25">
        <v>48.5</v>
      </c>
      <c r="N486" s="84">
        <v>66.7</v>
      </c>
      <c r="O486" s="26">
        <f t="shared" si="70"/>
        <v>6.6700000000000009E-2</v>
      </c>
    </row>
    <row r="487" spans="1:15">
      <c r="A487" s="92">
        <v>1.6536344413655699</v>
      </c>
      <c r="B487" s="71">
        <f t="shared" si="66"/>
        <v>99.218066481934201</v>
      </c>
      <c r="E487" s="92">
        <v>0.52657116371338897</v>
      </c>
      <c r="F487" s="71">
        <f t="shared" si="67"/>
        <v>10.018887115680057</v>
      </c>
      <c r="G487" s="234">
        <v>1.64</v>
      </c>
      <c r="I487" s="235">
        <v>294.85000000000002</v>
      </c>
      <c r="J487" s="26">
        <f t="shared" si="68"/>
        <v>21.700000000000045</v>
      </c>
      <c r="K487" s="84">
        <v>1.22</v>
      </c>
      <c r="L487" s="26">
        <f t="shared" si="69"/>
        <v>1220</v>
      </c>
      <c r="M487" s="25">
        <v>48.5</v>
      </c>
      <c r="N487" s="84">
        <v>66.7</v>
      </c>
      <c r="O487" s="26">
        <f t="shared" si="70"/>
        <v>6.6700000000000009E-2</v>
      </c>
    </row>
    <row r="488" spans="1:15">
      <c r="A488" s="92">
        <v>1.74348183489729</v>
      </c>
      <c r="B488" s="71">
        <f t="shared" si="66"/>
        <v>104.60891009383741</v>
      </c>
      <c r="E488" s="92">
        <v>0.545863474903163</v>
      </c>
      <c r="F488" s="71">
        <f t="shared" si="67"/>
        <v>10.139778569839354</v>
      </c>
      <c r="G488" s="234">
        <v>1.64</v>
      </c>
      <c r="I488" s="235">
        <v>294.85000000000002</v>
      </c>
      <c r="J488" s="26">
        <f t="shared" si="68"/>
        <v>21.700000000000045</v>
      </c>
      <c r="K488" s="84">
        <v>1.22</v>
      </c>
      <c r="L488" s="26">
        <f t="shared" si="69"/>
        <v>1220</v>
      </c>
      <c r="M488" s="25">
        <v>48.5</v>
      </c>
      <c r="N488" s="84">
        <v>66.7</v>
      </c>
      <c r="O488" s="26">
        <f t="shared" si="70"/>
        <v>6.6700000000000009E-2</v>
      </c>
    </row>
    <row r="489" spans="1:15">
      <c r="A489" s="92">
        <v>1.8825390079100199</v>
      </c>
      <c r="B489" s="71">
        <f t="shared" si="66"/>
        <v>112.9523404746012</v>
      </c>
      <c r="E489" s="92">
        <v>0.52493479894254103</v>
      </c>
      <c r="F489" s="71">
        <f t="shared" si="67"/>
        <v>10.008498164846559</v>
      </c>
      <c r="G489" s="234">
        <v>1.64</v>
      </c>
      <c r="I489" s="235">
        <v>294.85000000000002</v>
      </c>
      <c r="J489" s="26">
        <f t="shared" si="68"/>
        <v>21.700000000000045</v>
      </c>
      <c r="K489" s="84">
        <v>1.22</v>
      </c>
      <c r="L489" s="26">
        <f t="shared" si="69"/>
        <v>1220</v>
      </c>
      <c r="M489" s="25">
        <v>48.5</v>
      </c>
      <c r="N489" s="84">
        <v>66.7</v>
      </c>
      <c r="O489" s="26">
        <f t="shared" si="70"/>
        <v>6.6700000000000009E-2</v>
      </c>
    </row>
    <row r="490" spans="1:15">
      <c r="A490" s="92">
        <v>2.0518060437494201</v>
      </c>
      <c r="B490" s="71">
        <f t="shared" si="66"/>
        <v>123.10836262496521</v>
      </c>
      <c r="E490" s="92">
        <v>0.55088529255574803</v>
      </c>
      <c r="F490" s="71">
        <f t="shared" si="67"/>
        <v>10.170778238846328</v>
      </c>
      <c r="G490" s="234">
        <v>1.64</v>
      </c>
      <c r="I490" s="235">
        <v>294.85000000000002</v>
      </c>
      <c r="J490" s="26">
        <f t="shared" si="68"/>
        <v>21.700000000000045</v>
      </c>
      <c r="K490" s="84">
        <v>1.22</v>
      </c>
      <c r="L490" s="26">
        <f t="shared" si="69"/>
        <v>1220</v>
      </c>
      <c r="M490" s="25">
        <v>48.5</v>
      </c>
      <c r="N490" s="84">
        <v>66.7</v>
      </c>
      <c r="O490" s="26">
        <f t="shared" si="70"/>
        <v>6.6700000000000009E-2</v>
      </c>
    </row>
    <row r="491" spans="1:15">
      <c r="A491" s="92">
        <v>2.6766090149044999</v>
      </c>
      <c r="B491" s="71">
        <f t="shared" si="66"/>
        <v>160.59654089426999</v>
      </c>
      <c r="E491" s="92">
        <v>0.54991345155641902</v>
      </c>
      <c r="F491" s="71">
        <f t="shared" si="67"/>
        <v>10.16479381243656</v>
      </c>
      <c r="G491" s="234">
        <v>1.64</v>
      </c>
      <c r="I491" s="235">
        <v>294.85000000000002</v>
      </c>
      <c r="J491" s="26">
        <f t="shared" si="68"/>
        <v>21.700000000000045</v>
      </c>
      <c r="K491" s="84">
        <v>1.22</v>
      </c>
      <c r="L491" s="26">
        <f t="shared" si="69"/>
        <v>1220</v>
      </c>
      <c r="M491" s="25">
        <v>48.5</v>
      </c>
      <c r="N491" s="84">
        <v>66.7</v>
      </c>
      <c r="O491" s="26">
        <f t="shared" si="70"/>
        <v>6.6700000000000009E-2</v>
      </c>
    </row>
    <row r="492" spans="1:15">
      <c r="A492" s="92">
        <v>3.1611676860235098</v>
      </c>
      <c r="B492" s="71">
        <f t="shared" si="66"/>
        <v>189.67006116141059</v>
      </c>
      <c r="E492" s="92">
        <v>0.56626353918223704</v>
      </c>
      <c r="F492" s="71">
        <f t="shared" si="67"/>
        <v>10.264551835548234</v>
      </c>
      <c r="G492" s="234">
        <v>1.64</v>
      </c>
      <c r="I492" s="235">
        <v>294.85000000000002</v>
      </c>
      <c r="J492" s="26">
        <f t="shared" si="68"/>
        <v>21.700000000000045</v>
      </c>
      <c r="K492" s="84">
        <v>1.22</v>
      </c>
      <c r="L492" s="26">
        <f t="shared" si="69"/>
        <v>1220</v>
      </c>
      <c r="M492" s="25">
        <v>48.5</v>
      </c>
      <c r="N492" s="84">
        <v>66.7</v>
      </c>
      <c r="O492" s="26">
        <f t="shared" si="70"/>
        <v>6.6700000000000009E-2</v>
      </c>
    </row>
    <row r="493" spans="1:15">
      <c r="A493" s="92">
        <v>3.6091381118402399</v>
      </c>
      <c r="B493" s="71">
        <f t="shared" si="66"/>
        <v>216.5482867104144</v>
      </c>
      <c r="E493" s="92">
        <v>0.53588191099826299</v>
      </c>
      <c r="F493" s="71">
        <f t="shared" si="67"/>
        <v>10.077593240307145</v>
      </c>
      <c r="G493" s="234">
        <v>1.64</v>
      </c>
      <c r="I493" s="235">
        <v>294.85000000000002</v>
      </c>
      <c r="J493" s="26">
        <f t="shared" si="68"/>
        <v>21.700000000000045</v>
      </c>
      <c r="K493" s="84">
        <v>1.22</v>
      </c>
      <c r="L493" s="26">
        <f t="shared" si="69"/>
        <v>1220</v>
      </c>
      <c r="M493" s="25">
        <v>48.5</v>
      </c>
      <c r="N493" s="84">
        <v>66.7</v>
      </c>
      <c r="O493" s="26">
        <f t="shared" si="70"/>
        <v>6.6700000000000009E-2</v>
      </c>
    </row>
    <row r="494" spans="1:15">
      <c r="A494" s="92">
        <v>4.5474788820221201</v>
      </c>
      <c r="B494" s="71">
        <f t="shared" si="66"/>
        <v>272.84873292132721</v>
      </c>
      <c r="E494" s="92">
        <v>0.53338058370334196</v>
      </c>
      <c r="F494" s="71">
        <f t="shared" si="67"/>
        <v>10.061889108149403</v>
      </c>
      <c r="G494" s="234">
        <v>1.64</v>
      </c>
      <c r="I494" s="235">
        <v>294.85000000000002</v>
      </c>
      <c r="J494" s="26">
        <f t="shared" si="68"/>
        <v>21.700000000000045</v>
      </c>
      <c r="K494" s="84">
        <v>1.22</v>
      </c>
      <c r="L494" s="26">
        <f t="shared" si="69"/>
        <v>1220</v>
      </c>
      <c r="M494" s="25">
        <v>48.5</v>
      </c>
      <c r="N494" s="84">
        <v>66.7</v>
      </c>
      <c r="O494" s="26">
        <f t="shared" si="70"/>
        <v>6.6700000000000009E-2</v>
      </c>
    </row>
    <row r="495" spans="1:15">
      <c r="A495" s="92">
        <v>5.71579928778156</v>
      </c>
      <c r="B495" s="71">
        <f t="shared" si="66"/>
        <v>342.94795726689358</v>
      </c>
      <c r="E495" s="92">
        <v>0.51032245080609995</v>
      </c>
      <c r="F495" s="71">
        <f t="shared" si="67"/>
        <v>9.9147556969946411</v>
      </c>
      <c r="G495" s="234">
        <v>1.64</v>
      </c>
      <c r="I495" s="235">
        <v>294.85000000000002</v>
      </c>
      <c r="J495" s="26">
        <f t="shared" si="68"/>
        <v>21.700000000000045</v>
      </c>
      <c r="K495" s="84">
        <v>1.22</v>
      </c>
      <c r="L495" s="26">
        <f t="shared" si="69"/>
        <v>1220</v>
      </c>
      <c r="M495" s="25">
        <v>48.5</v>
      </c>
      <c r="N495" s="84">
        <v>66.7</v>
      </c>
      <c r="O495" s="26">
        <f t="shared" si="70"/>
        <v>6.6700000000000009E-2</v>
      </c>
    </row>
    <row r="496" spans="1:15">
      <c r="A496" s="92">
        <v>6.6163311508584099</v>
      </c>
      <c r="B496" s="71">
        <f t="shared" si="66"/>
        <v>396.97986905150458</v>
      </c>
      <c r="E496" s="92">
        <v>0.52804403879362305</v>
      </c>
      <c r="F496" s="71">
        <f t="shared" si="67"/>
        <v>10.02821971429826</v>
      </c>
      <c r="G496" s="234">
        <v>1.64</v>
      </c>
      <c r="I496" s="235">
        <v>294.85000000000002</v>
      </c>
      <c r="J496" s="26">
        <f t="shared" si="68"/>
        <v>21.700000000000045</v>
      </c>
      <c r="K496" s="84">
        <v>1.22</v>
      </c>
      <c r="L496" s="26">
        <f t="shared" si="69"/>
        <v>1220</v>
      </c>
      <c r="M496" s="25">
        <v>48.5</v>
      </c>
      <c r="N496" s="84">
        <v>66.7</v>
      </c>
      <c r="O496" s="26">
        <f t="shared" si="70"/>
        <v>6.6700000000000009E-2</v>
      </c>
    </row>
    <row r="497" spans="1:15">
      <c r="A497" s="92">
        <v>6.4654526847750802</v>
      </c>
      <c r="B497" s="71">
        <f t="shared" si="66"/>
        <v>387.92716108650484</v>
      </c>
      <c r="E497" s="92">
        <v>0.56857298089006503</v>
      </c>
      <c r="F497" s="71">
        <f t="shared" si="67"/>
        <v>10.278487178798903</v>
      </c>
      <c r="G497" s="234">
        <v>1.64</v>
      </c>
      <c r="I497" s="235">
        <v>294.85000000000002</v>
      </c>
      <c r="J497" s="26">
        <f t="shared" si="68"/>
        <v>21.700000000000045</v>
      </c>
      <c r="K497" s="84">
        <v>1.22</v>
      </c>
      <c r="L497" s="26">
        <f t="shared" si="69"/>
        <v>1220</v>
      </c>
      <c r="M497" s="25">
        <v>48.5</v>
      </c>
      <c r="N497" s="84">
        <v>66.7</v>
      </c>
      <c r="O497" s="26">
        <f t="shared" si="70"/>
        <v>6.6700000000000009E-2</v>
      </c>
    </row>
    <row r="498" spans="1:15">
      <c r="A498" s="92">
        <v>7.2342656972531296</v>
      </c>
      <c r="B498" s="71">
        <f t="shared" si="66"/>
        <v>434.05594183518775</v>
      </c>
      <c r="E498" s="92">
        <v>0.53956171092962801</v>
      </c>
      <c r="F498" s="71">
        <f t="shared" si="67"/>
        <v>10.100607618808105</v>
      </c>
      <c r="G498" s="234">
        <v>1.64</v>
      </c>
      <c r="I498" s="235">
        <v>294.85000000000002</v>
      </c>
      <c r="J498" s="26">
        <f t="shared" si="68"/>
        <v>21.700000000000045</v>
      </c>
      <c r="K498" s="84">
        <v>1.22</v>
      </c>
      <c r="L498" s="26">
        <f t="shared" si="69"/>
        <v>1220</v>
      </c>
      <c r="M498" s="25">
        <v>48.5</v>
      </c>
      <c r="N498" s="84">
        <v>66.7</v>
      </c>
      <c r="O498" s="26">
        <f t="shared" si="70"/>
        <v>6.6700000000000009E-2</v>
      </c>
    </row>
    <row r="499" spans="1:15">
      <c r="A499" s="92">
        <v>8.63778841006771</v>
      </c>
      <c r="B499" s="71">
        <f t="shared" si="66"/>
        <v>518.26730460406259</v>
      </c>
      <c r="E499" s="92">
        <v>0.53278498085395298</v>
      </c>
      <c r="F499" s="71">
        <f t="shared" si="67"/>
        <v>10.058142488907679</v>
      </c>
      <c r="G499" s="234">
        <v>1.64</v>
      </c>
      <c r="I499" s="235">
        <v>294.85000000000002</v>
      </c>
      <c r="J499" s="26">
        <f t="shared" si="68"/>
        <v>21.700000000000045</v>
      </c>
      <c r="K499" s="84">
        <v>1.22</v>
      </c>
      <c r="L499" s="26">
        <f t="shared" si="69"/>
        <v>1220</v>
      </c>
      <c r="M499" s="25">
        <v>48.5</v>
      </c>
      <c r="N499" s="84">
        <v>66.7</v>
      </c>
      <c r="O499" s="26">
        <f t="shared" si="70"/>
        <v>6.6700000000000009E-2</v>
      </c>
    </row>
    <row r="500" spans="1:15">
      <c r="A500" s="92">
        <v>8.8677228416333502</v>
      </c>
      <c r="B500" s="71">
        <f t="shared" si="66"/>
        <v>532.06337049800106</v>
      </c>
      <c r="E500" s="92">
        <v>0.56239041271596901</v>
      </c>
      <c r="F500" s="71">
        <f t="shared" si="67"/>
        <v>10.241095799400604</v>
      </c>
      <c r="G500" s="234">
        <v>1.64</v>
      </c>
      <c r="I500" s="235">
        <v>294.85000000000002</v>
      </c>
      <c r="J500" s="26">
        <f t="shared" si="68"/>
        <v>21.700000000000045</v>
      </c>
      <c r="K500" s="84">
        <v>1.22</v>
      </c>
      <c r="L500" s="26">
        <f t="shared" si="69"/>
        <v>1220</v>
      </c>
      <c r="M500" s="25">
        <v>48.5</v>
      </c>
      <c r="N500" s="84">
        <v>66.7</v>
      </c>
      <c r="O500" s="26">
        <f t="shared" si="70"/>
        <v>6.6700000000000009E-2</v>
      </c>
    </row>
    <row r="501" spans="1:15">
      <c r="A501" s="92">
        <v>9.6189370050960807</v>
      </c>
      <c r="B501" s="71">
        <f t="shared" si="66"/>
        <v>577.13622030576482</v>
      </c>
      <c r="E501" s="92">
        <v>0.53209449007383203</v>
      </c>
      <c r="F501" s="71">
        <f t="shared" si="67"/>
        <v>10.053795483808454</v>
      </c>
      <c r="G501" s="234">
        <v>1.64</v>
      </c>
      <c r="I501" s="235">
        <v>294.85000000000002</v>
      </c>
      <c r="J501" s="26">
        <f t="shared" si="68"/>
        <v>21.700000000000045</v>
      </c>
      <c r="K501" s="84">
        <v>1.22</v>
      </c>
      <c r="L501" s="26">
        <f t="shared" si="69"/>
        <v>1220</v>
      </c>
      <c r="M501" s="25">
        <v>48.5</v>
      </c>
      <c r="N501" s="84">
        <v>66.7</v>
      </c>
      <c r="O501" s="26">
        <f t="shared" si="70"/>
        <v>6.6700000000000009E-2</v>
      </c>
    </row>
    <row r="502" spans="1:15">
      <c r="B502" s="71"/>
      <c r="F502" s="71"/>
      <c r="G502" s="71"/>
      <c r="I502" s="235"/>
      <c r="J502" s="26"/>
      <c r="L502" s="26"/>
      <c r="M502" s="25"/>
      <c r="O502" s="26"/>
    </row>
    <row r="503" spans="1:15">
      <c r="A503" s="92">
        <v>0.132286496121469</v>
      </c>
      <c r="B503" s="71">
        <f t="shared" ref="B503:B526" si="71">A503*60</f>
        <v>7.9371897672881406</v>
      </c>
      <c r="E503" s="92">
        <v>0.52108957644640397</v>
      </c>
      <c r="F503" s="71">
        <f t="shared" ref="F503:F526" si="72">2*POWER((3*E503*1000)/(4*PI()), 1/3)</f>
        <v>9.9840003568653337</v>
      </c>
      <c r="G503" s="234">
        <v>2.02</v>
      </c>
      <c r="I503" s="235">
        <v>294.85000000000002</v>
      </c>
      <c r="J503" s="26">
        <f t="shared" ref="J503:J526" si="73">I503-273.15</f>
        <v>21.700000000000045</v>
      </c>
      <c r="K503" s="84">
        <v>1.22</v>
      </c>
      <c r="L503" s="26">
        <f t="shared" ref="L503:L526" si="74">K503*1000</f>
        <v>1220</v>
      </c>
      <c r="M503" s="25">
        <v>48.5</v>
      </c>
      <c r="N503" s="84">
        <v>66.7</v>
      </c>
      <c r="O503" s="26">
        <f t="shared" ref="O503:O526" si="75">N503/1000</f>
        <v>6.6700000000000009E-2</v>
      </c>
    </row>
    <row r="504" spans="1:15">
      <c r="A504" s="92">
        <v>0.16821544957312901</v>
      </c>
      <c r="B504" s="71">
        <f t="shared" si="71"/>
        <v>10.092926974387741</v>
      </c>
      <c r="E504" s="92">
        <v>0.54309338380391303</v>
      </c>
      <c r="F504" s="71">
        <f t="shared" si="72"/>
        <v>10.122597376532987</v>
      </c>
      <c r="G504" s="234">
        <v>2.02</v>
      </c>
      <c r="I504" s="235">
        <v>294.85000000000002</v>
      </c>
      <c r="J504" s="26">
        <f t="shared" si="73"/>
        <v>21.700000000000045</v>
      </c>
      <c r="K504" s="84">
        <v>1.22</v>
      </c>
      <c r="L504" s="26">
        <f t="shared" si="74"/>
        <v>1220</v>
      </c>
      <c r="M504" s="25">
        <v>48.5</v>
      </c>
      <c r="N504" s="84">
        <v>66.7</v>
      </c>
      <c r="O504" s="26">
        <f t="shared" si="75"/>
        <v>6.6700000000000009E-2</v>
      </c>
    </row>
    <row r="505" spans="1:15">
      <c r="A505" s="92">
        <v>0.20864301861043799</v>
      </c>
      <c r="B505" s="71">
        <f t="shared" si="71"/>
        <v>12.518581116626279</v>
      </c>
      <c r="E505" s="92">
        <v>0.57810136453294103</v>
      </c>
      <c r="F505" s="71">
        <f t="shared" si="72"/>
        <v>10.335586453608542</v>
      </c>
      <c r="G505" s="234">
        <v>2.02</v>
      </c>
      <c r="I505" s="235">
        <v>294.85000000000002</v>
      </c>
      <c r="J505" s="26">
        <f t="shared" si="73"/>
        <v>21.700000000000045</v>
      </c>
      <c r="K505" s="84">
        <v>1.22</v>
      </c>
      <c r="L505" s="26">
        <f t="shared" si="74"/>
        <v>1220</v>
      </c>
      <c r="M505" s="25">
        <v>48.5</v>
      </c>
      <c r="N505" s="84">
        <v>66.7</v>
      </c>
      <c r="O505" s="26">
        <f t="shared" si="75"/>
        <v>6.6700000000000009E-2</v>
      </c>
    </row>
    <row r="506" spans="1:15">
      <c r="A506" s="92">
        <v>0.27061352798837701</v>
      </c>
      <c r="B506" s="71">
        <f t="shared" si="71"/>
        <v>16.236811679302619</v>
      </c>
      <c r="E506" s="92">
        <v>0.57275716532765197</v>
      </c>
      <c r="F506" s="71">
        <f t="shared" si="72"/>
        <v>10.30363904669608</v>
      </c>
      <c r="G506" s="234">
        <v>2.02</v>
      </c>
      <c r="I506" s="235">
        <v>294.85000000000002</v>
      </c>
      <c r="J506" s="26">
        <f t="shared" si="73"/>
        <v>21.700000000000045</v>
      </c>
      <c r="K506" s="84">
        <v>1.22</v>
      </c>
      <c r="L506" s="26">
        <f t="shared" si="74"/>
        <v>1220</v>
      </c>
      <c r="M506" s="25">
        <v>48.5</v>
      </c>
      <c r="N506" s="84">
        <v>66.7</v>
      </c>
      <c r="O506" s="26">
        <f t="shared" si="75"/>
        <v>6.6700000000000009E-2</v>
      </c>
    </row>
    <row r="507" spans="1:15">
      <c r="A507" s="92">
        <v>0.330302723063231</v>
      </c>
      <c r="B507" s="71">
        <f t="shared" si="71"/>
        <v>19.818163383793859</v>
      </c>
      <c r="E507" s="92">
        <v>0.55191390567739995</v>
      </c>
      <c r="F507" s="71">
        <f t="shared" si="72"/>
        <v>10.1771045959657</v>
      </c>
      <c r="G507" s="234">
        <v>2.02</v>
      </c>
      <c r="I507" s="235">
        <v>294.85000000000002</v>
      </c>
      <c r="J507" s="26">
        <f t="shared" si="73"/>
        <v>21.700000000000045</v>
      </c>
      <c r="K507" s="84">
        <v>1.22</v>
      </c>
      <c r="L507" s="26">
        <f t="shared" si="74"/>
        <v>1220</v>
      </c>
      <c r="M507" s="25">
        <v>48.5</v>
      </c>
      <c r="N507" s="84">
        <v>66.7</v>
      </c>
      <c r="O507" s="26">
        <f t="shared" si="75"/>
        <v>6.6700000000000009E-2</v>
      </c>
    </row>
    <row r="508" spans="1:15">
      <c r="A508" s="92">
        <v>0.39426952086435901</v>
      </c>
      <c r="B508" s="71">
        <f t="shared" si="71"/>
        <v>23.65617125186154</v>
      </c>
      <c r="E508" s="92">
        <v>0.55465705156198397</v>
      </c>
      <c r="F508" s="71">
        <f t="shared" si="72"/>
        <v>10.193937630796473</v>
      </c>
      <c r="G508" s="234">
        <v>2.02</v>
      </c>
      <c r="I508" s="235">
        <v>294.85000000000002</v>
      </c>
      <c r="J508" s="26">
        <f t="shared" si="73"/>
        <v>21.700000000000045</v>
      </c>
      <c r="K508" s="84">
        <v>1.22</v>
      </c>
      <c r="L508" s="26">
        <f t="shared" si="74"/>
        <v>1220</v>
      </c>
      <c r="M508" s="25">
        <v>48.5</v>
      </c>
      <c r="N508" s="84">
        <v>66.7</v>
      </c>
      <c r="O508" s="26">
        <f t="shared" si="75"/>
        <v>6.6700000000000009E-2</v>
      </c>
    </row>
    <row r="509" spans="1:15">
      <c r="A509" s="92">
        <v>0.485937526351856</v>
      </c>
      <c r="B509" s="71">
        <f t="shared" si="71"/>
        <v>29.156251581111359</v>
      </c>
      <c r="E509" s="92">
        <v>0.56571586235939697</v>
      </c>
      <c r="F509" s="71">
        <f t="shared" si="72"/>
        <v>10.261241556793525</v>
      </c>
      <c r="G509" s="234">
        <v>2.02</v>
      </c>
      <c r="I509" s="235">
        <v>294.85000000000002</v>
      </c>
      <c r="J509" s="26">
        <f t="shared" si="73"/>
        <v>21.700000000000045</v>
      </c>
      <c r="K509" s="84">
        <v>1.22</v>
      </c>
      <c r="L509" s="26">
        <f t="shared" si="74"/>
        <v>1220</v>
      </c>
      <c r="M509" s="25">
        <v>48.5</v>
      </c>
      <c r="N509" s="84">
        <v>66.7</v>
      </c>
      <c r="O509" s="26">
        <f t="shared" si="75"/>
        <v>6.6700000000000009E-2</v>
      </c>
    </row>
    <row r="510" spans="1:15">
      <c r="A510" s="92">
        <v>0.58992788156898102</v>
      </c>
      <c r="B510" s="71">
        <f t="shared" si="71"/>
        <v>35.395672894138862</v>
      </c>
      <c r="E510" s="92">
        <v>0.61037102208529403</v>
      </c>
      <c r="F510" s="71">
        <f t="shared" si="72"/>
        <v>10.524426227262973</v>
      </c>
      <c r="G510" s="234">
        <v>2.02</v>
      </c>
      <c r="I510" s="235">
        <v>294.85000000000002</v>
      </c>
      <c r="J510" s="26">
        <f t="shared" si="73"/>
        <v>21.700000000000045</v>
      </c>
      <c r="K510" s="84">
        <v>1.22</v>
      </c>
      <c r="L510" s="26">
        <f t="shared" si="74"/>
        <v>1220</v>
      </c>
      <c r="M510" s="25">
        <v>48.5</v>
      </c>
      <c r="N510" s="84">
        <v>66.7</v>
      </c>
      <c r="O510" s="26">
        <f t="shared" si="75"/>
        <v>6.6700000000000009E-2</v>
      </c>
    </row>
    <row r="511" spans="1:15">
      <c r="A511" s="92">
        <v>0.72951560184418496</v>
      </c>
      <c r="B511" s="71">
        <f t="shared" si="71"/>
        <v>43.7709361106511</v>
      </c>
      <c r="E511" s="92">
        <v>0.62061225675291398</v>
      </c>
      <c r="F511" s="71">
        <f t="shared" si="72"/>
        <v>10.582962129531454</v>
      </c>
      <c r="G511" s="234">
        <v>2.02</v>
      </c>
      <c r="I511" s="235">
        <v>294.85000000000002</v>
      </c>
      <c r="J511" s="26">
        <f t="shared" si="73"/>
        <v>21.700000000000045</v>
      </c>
      <c r="K511" s="84">
        <v>1.22</v>
      </c>
      <c r="L511" s="26">
        <f t="shared" si="74"/>
        <v>1220</v>
      </c>
      <c r="M511" s="25">
        <v>48.5</v>
      </c>
      <c r="N511" s="84">
        <v>66.7</v>
      </c>
      <c r="O511" s="26">
        <f t="shared" si="75"/>
        <v>6.6700000000000009E-2</v>
      </c>
    </row>
    <row r="512" spans="1:15">
      <c r="A512" s="92">
        <v>0.88942242083869705</v>
      </c>
      <c r="B512" s="71">
        <f t="shared" si="71"/>
        <v>53.365345250321823</v>
      </c>
      <c r="E512" s="92">
        <v>0.59359948647975003</v>
      </c>
      <c r="F512" s="71">
        <f t="shared" si="72"/>
        <v>10.427134240544866</v>
      </c>
      <c r="G512" s="234">
        <v>2.02</v>
      </c>
      <c r="I512" s="235">
        <v>294.85000000000002</v>
      </c>
      <c r="J512" s="26">
        <f t="shared" si="73"/>
        <v>21.700000000000045</v>
      </c>
      <c r="K512" s="84">
        <v>1.22</v>
      </c>
      <c r="L512" s="26">
        <f t="shared" si="74"/>
        <v>1220</v>
      </c>
      <c r="M512" s="25">
        <v>48.5</v>
      </c>
      <c r="N512" s="84">
        <v>66.7</v>
      </c>
      <c r="O512" s="26">
        <f t="shared" si="75"/>
        <v>6.6700000000000009E-2</v>
      </c>
    </row>
    <row r="513" spans="1:15">
      <c r="A513" s="92">
        <v>1.1244567322590899</v>
      </c>
      <c r="B513" s="71">
        <f t="shared" si="71"/>
        <v>67.467403935545391</v>
      </c>
      <c r="E513" s="92">
        <v>0.60565220194635105</v>
      </c>
      <c r="F513" s="71">
        <f t="shared" si="72"/>
        <v>10.497234345861333</v>
      </c>
      <c r="G513" s="234">
        <v>2.02</v>
      </c>
      <c r="I513" s="235">
        <v>294.85000000000002</v>
      </c>
      <c r="J513" s="26">
        <f t="shared" si="73"/>
        <v>21.700000000000045</v>
      </c>
      <c r="K513" s="84">
        <v>1.22</v>
      </c>
      <c r="L513" s="26">
        <f t="shared" si="74"/>
        <v>1220</v>
      </c>
      <c r="M513" s="25">
        <v>48.5</v>
      </c>
      <c r="N513" s="84">
        <v>66.7</v>
      </c>
      <c r="O513" s="26">
        <f t="shared" si="75"/>
        <v>6.6700000000000009E-2</v>
      </c>
    </row>
    <row r="514" spans="1:15">
      <c r="A514" s="92">
        <v>1.3104617182509599</v>
      </c>
      <c r="B514" s="71">
        <f t="shared" si="71"/>
        <v>78.627703095057598</v>
      </c>
      <c r="E514" s="92">
        <v>0.61854788627820201</v>
      </c>
      <c r="F514" s="71">
        <f t="shared" si="72"/>
        <v>10.571214900400951</v>
      </c>
      <c r="G514" s="234">
        <v>2.02</v>
      </c>
      <c r="I514" s="235">
        <v>294.85000000000002</v>
      </c>
      <c r="J514" s="26">
        <f t="shared" si="73"/>
        <v>21.700000000000045</v>
      </c>
      <c r="K514" s="84">
        <v>1.22</v>
      </c>
      <c r="L514" s="26">
        <f t="shared" si="74"/>
        <v>1220</v>
      </c>
      <c r="M514" s="25">
        <v>48.5</v>
      </c>
      <c r="N514" s="84">
        <v>66.7</v>
      </c>
      <c r="O514" s="26">
        <f t="shared" si="75"/>
        <v>6.6700000000000009E-2</v>
      </c>
    </row>
    <row r="515" spans="1:15">
      <c r="A515" s="92">
        <v>1.60581636996237</v>
      </c>
      <c r="B515" s="71">
        <f t="shared" si="71"/>
        <v>96.348982197742203</v>
      </c>
      <c r="E515" s="92">
        <v>0.64343344705826699</v>
      </c>
      <c r="F515" s="71">
        <f t="shared" si="72"/>
        <v>10.711122924939597</v>
      </c>
      <c r="G515" s="234">
        <v>2.02</v>
      </c>
      <c r="I515" s="235">
        <v>294.85000000000002</v>
      </c>
      <c r="J515" s="26">
        <f t="shared" si="73"/>
        <v>21.700000000000045</v>
      </c>
      <c r="K515" s="84">
        <v>1.22</v>
      </c>
      <c r="L515" s="26">
        <f t="shared" si="74"/>
        <v>1220</v>
      </c>
      <c r="M515" s="25">
        <v>48.5</v>
      </c>
      <c r="N515" s="84">
        <v>66.7</v>
      </c>
      <c r="O515" s="26">
        <f t="shared" si="75"/>
        <v>6.6700000000000009E-2</v>
      </c>
    </row>
    <row r="516" spans="1:15">
      <c r="A516" s="92">
        <v>1.9305323198018201</v>
      </c>
      <c r="B516" s="71">
        <f t="shared" si="71"/>
        <v>115.8319391881092</v>
      </c>
      <c r="E516" s="92">
        <v>0.65254777813727904</v>
      </c>
      <c r="F516" s="71">
        <f t="shared" si="72"/>
        <v>10.761460872790357</v>
      </c>
      <c r="G516" s="234">
        <v>2.02</v>
      </c>
      <c r="I516" s="235">
        <v>294.85000000000002</v>
      </c>
      <c r="J516" s="26">
        <f t="shared" si="73"/>
        <v>21.700000000000045</v>
      </c>
      <c r="K516" s="84">
        <v>1.22</v>
      </c>
      <c r="L516" s="26">
        <f t="shared" si="74"/>
        <v>1220</v>
      </c>
      <c r="M516" s="25">
        <v>48.5</v>
      </c>
      <c r="N516" s="84">
        <v>66.7</v>
      </c>
      <c r="O516" s="26">
        <f t="shared" si="75"/>
        <v>6.6700000000000009E-2</v>
      </c>
    </row>
    <row r="517" spans="1:15">
      <c r="A517" s="92">
        <v>2.36650506220289</v>
      </c>
      <c r="B517" s="71">
        <f t="shared" si="71"/>
        <v>141.9903037321734</v>
      </c>
      <c r="E517" s="92">
        <v>0.63723096789009503</v>
      </c>
      <c r="F517" s="71">
        <f t="shared" si="72"/>
        <v>10.676594547193536</v>
      </c>
      <c r="G517" s="234">
        <v>2.02</v>
      </c>
      <c r="I517" s="235">
        <v>294.85000000000002</v>
      </c>
      <c r="J517" s="26">
        <f t="shared" si="73"/>
        <v>21.700000000000045</v>
      </c>
      <c r="K517" s="84">
        <v>1.22</v>
      </c>
      <c r="L517" s="26">
        <f t="shared" si="74"/>
        <v>1220</v>
      </c>
      <c r="M517" s="25">
        <v>48.5</v>
      </c>
      <c r="N517" s="84">
        <v>66.7</v>
      </c>
      <c r="O517" s="26">
        <f t="shared" si="75"/>
        <v>6.6700000000000009E-2</v>
      </c>
    </row>
    <row r="518" spans="1:15">
      <c r="A518" s="92">
        <v>2.7068874937043801</v>
      </c>
      <c r="B518" s="71">
        <f t="shared" si="71"/>
        <v>162.41324962226281</v>
      </c>
      <c r="E518" s="92">
        <v>0.68445858764471601</v>
      </c>
      <c r="F518" s="71">
        <f t="shared" si="72"/>
        <v>10.934095216255036</v>
      </c>
      <c r="G518" s="234">
        <v>2.02</v>
      </c>
      <c r="I518" s="235">
        <v>294.85000000000002</v>
      </c>
      <c r="J518" s="26">
        <f t="shared" si="73"/>
        <v>21.700000000000045</v>
      </c>
      <c r="K518" s="84">
        <v>1.22</v>
      </c>
      <c r="L518" s="26">
        <f t="shared" si="74"/>
        <v>1220</v>
      </c>
      <c r="M518" s="25">
        <v>48.5</v>
      </c>
      <c r="N518" s="84">
        <v>66.7</v>
      </c>
      <c r="O518" s="26">
        <f t="shared" si="75"/>
        <v>6.6700000000000009E-2</v>
      </c>
    </row>
    <row r="519" spans="1:15">
      <c r="A519" s="92">
        <v>3.1605203810367</v>
      </c>
      <c r="B519" s="71">
        <f t="shared" si="71"/>
        <v>189.63122286220201</v>
      </c>
      <c r="E519" s="92">
        <v>0.72123911903767801</v>
      </c>
      <c r="F519" s="71">
        <f t="shared" si="72"/>
        <v>11.126542145625526</v>
      </c>
      <c r="G519" s="234">
        <v>2.02</v>
      </c>
      <c r="I519" s="235">
        <v>294.85000000000002</v>
      </c>
      <c r="J519" s="26">
        <f t="shared" si="73"/>
        <v>21.700000000000045</v>
      </c>
      <c r="K519" s="84">
        <v>1.22</v>
      </c>
      <c r="L519" s="26">
        <f t="shared" si="74"/>
        <v>1220</v>
      </c>
      <c r="M519" s="25">
        <v>48.5</v>
      </c>
      <c r="N519" s="84">
        <v>66.7</v>
      </c>
      <c r="O519" s="26">
        <f t="shared" si="75"/>
        <v>6.6700000000000009E-2</v>
      </c>
    </row>
    <row r="520" spans="1:15">
      <c r="A520" s="92">
        <v>3.6711160156632001</v>
      </c>
      <c r="B520" s="71">
        <f t="shared" si="71"/>
        <v>220.266960939792</v>
      </c>
      <c r="E520" s="92">
        <v>0.78385032675684896</v>
      </c>
      <c r="F520" s="71">
        <f t="shared" si="72"/>
        <v>11.439617597315216</v>
      </c>
      <c r="G520" s="234">
        <v>2.02</v>
      </c>
      <c r="I520" s="235">
        <v>294.85000000000002</v>
      </c>
      <c r="J520" s="26">
        <f t="shared" si="73"/>
        <v>21.700000000000045</v>
      </c>
      <c r="K520" s="84">
        <v>1.22</v>
      </c>
      <c r="L520" s="26">
        <f t="shared" si="74"/>
        <v>1220</v>
      </c>
      <c r="M520" s="25">
        <v>48.5</v>
      </c>
      <c r="N520" s="84">
        <v>66.7</v>
      </c>
      <c r="O520" s="26">
        <f t="shared" si="75"/>
        <v>6.6700000000000009E-2</v>
      </c>
    </row>
    <row r="521" spans="1:15">
      <c r="A521" s="92">
        <v>4.5124258980407204</v>
      </c>
      <c r="B521" s="71">
        <f t="shared" si="71"/>
        <v>270.74555388244323</v>
      </c>
      <c r="E521" s="92">
        <v>0.90202863429873803</v>
      </c>
      <c r="F521" s="71">
        <f t="shared" si="72"/>
        <v>11.987829771274711</v>
      </c>
      <c r="G521" s="234">
        <v>2.02</v>
      </c>
      <c r="I521" s="235">
        <v>294.85000000000002</v>
      </c>
      <c r="J521" s="26">
        <f t="shared" si="73"/>
        <v>21.700000000000045</v>
      </c>
      <c r="K521" s="84">
        <v>1.22</v>
      </c>
      <c r="L521" s="26">
        <f t="shared" si="74"/>
        <v>1220</v>
      </c>
      <c r="M521" s="25">
        <v>48.5</v>
      </c>
      <c r="N521" s="84">
        <v>66.7</v>
      </c>
      <c r="O521" s="26">
        <f t="shared" si="75"/>
        <v>6.6700000000000009E-2</v>
      </c>
    </row>
    <row r="522" spans="1:15">
      <c r="A522" s="92">
        <v>5.1856802278596099</v>
      </c>
      <c r="B522" s="71">
        <f t="shared" si="71"/>
        <v>311.14081367157661</v>
      </c>
      <c r="E522" s="92">
        <v>0.89342250650481403</v>
      </c>
      <c r="F522" s="71">
        <f t="shared" si="72"/>
        <v>11.949583146719055</v>
      </c>
      <c r="G522" s="234">
        <v>2.02</v>
      </c>
      <c r="I522" s="235">
        <v>294.85000000000002</v>
      </c>
      <c r="J522" s="26">
        <f t="shared" si="73"/>
        <v>21.700000000000045</v>
      </c>
      <c r="K522" s="84">
        <v>1.22</v>
      </c>
      <c r="L522" s="26">
        <f t="shared" si="74"/>
        <v>1220</v>
      </c>
      <c r="M522" s="25">
        <v>48.5</v>
      </c>
      <c r="N522" s="84">
        <v>66.7</v>
      </c>
      <c r="O522" s="26">
        <f t="shared" si="75"/>
        <v>6.6700000000000009E-2</v>
      </c>
    </row>
    <row r="523" spans="1:15">
      <c r="A523" s="92">
        <v>6.0325312552632901</v>
      </c>
      <c r="B523" s="71">
        <f t="shared" si="71"/>
        <v>361.95187531579739</v>
      </c>
      <c r="E523" s="92">
        <v>0.94235287804548695</v>
      </c>
      <c r="F523" s="71">
        <f t="shared" si="72"/>
        <v>12.163866535323235</v>
      </c>
      <c r="G523" s="234">
        <v>2.02</v>
      </c>
      <c r="I523" s="235">
        <v>294.85000000000002</v>
      </c>
      <c r="J523" s="26">
        <f t="shared" si="73"/>
        <v>21.700000000000045</v>
      </c>
      <c r="K523" s="84">
        <v>1.22</v>
      </c>
      <c r="L523" s="26">
        <f t="shared" si="74"/>
        <v>1220</v>
      </c>
      <c r="M523" s="25">
        <v>48.5</v>
      </c>
      <c r="N523" s="84">
        <v>66.7</v>
      </c>
      <c r="O523" s="26">
        <f t="shared" si="75"/>
        <v>6.6700000000000009E-2</v>
      </c>
    </row>
    <row r="524" spans="1:15">
      <c r="A524" s="92">
        <v>6.8685898406050603</v>
      </c>
      <c r="B524" s="71">
        <f t="shared" si="71"/>
        <v>412.11539043630364</v>
      </c>
      <c r="E524" s="92">
        <v>0.97792171776874304</v>
      </c>
      <c r="F524" s="71">
        <f t="shared" si="72"/>
        <v>12.315020986054938</v>
      </c>
      <c r="G524" s="234">
        <v>2.02</v>
      </c>
      <c r="I524" s="235">
        <v>294.85000000000002</v>
      </c>
      <c r="J524" s="26">
        <f t="shared" si="73"/>
        <v>21.700000000000045</v>
      </c>
      <c r="K524" s="84">
        <v>1.22</v>
      </c>
      <c r="L524" s="26">
        <f t="shared" si="74"/>
        <v>1220</v>
      </c>
      <c r="M524" s="25">
        <v>48.5</v>
      </c>
      <c r="N524" s="84">
        <v>66.7</v>
      </c>
      <c r="O524" s="26">
        <f t="shared" si="75"/>
        <v>6.6700000000000009E-2</v>
      </c>
    </row>
    <row r="525" spans="1:15">
      <c r="A525" s="92">
        <v>7.8278439980387402</v>
      </c>
      <c r="B525" s="71">
        <f t="shared" si="71"/>
        <v>469.67063988232439</v>
      </c>
      <c r="E525" s="92">
        <v>0.97839985267743901</v>
      </c>
      <c r="F525" s="71">
        <f t="shared" si="72"/>
        <v>12.31702771861274</v>
      </c>
      <c r="G525" s="234">
        <v>2.02</v>
      </c>
      <c r="I525" s="235">
        <v>294.85000000000002</v>
      </c>
      <c r="J525" s="26">
        <f t="shared" si="73"/>
        <v>21.700000000000045</v>
      </c>
      <c r="K525" s="84">
        <v>1.22</v>
      </c>
      <c r="L525" s="26">
        <f t="shared" si="74"/>
        <v>1220</v>
      </c>
      <c r="M525" s="25">
        <v>48.5</v>
      </c>
      <c r="N525" s="84">
        <v>66.7</v>
      </c>
      <c r="O525" s="26">
        <f t="shared" si="75"/>
        <v>6.6700000000000009E-2</v>
      </c>
    </row>
    <row r="526" spans="1:15">
      <c r="A526" s="92">
        <v>9.0197398809456395</v>
      </c>
      <c r="B526" s="71">
        <f t="shared" si="71"/>
        <v>541.18439285673833</v>
      </c>
      <c r="E526" s="92">
        <v>1.0563889797224699</v>
      </c>
      <c r="F526" s="71">
        <f t="shared" si="72"/>
        <v>12.635964968887999</v>
      </c>
      <c r="G526" s="234">
        <v>2.02</v>
      </c>
      <c r="I526" s="235">
        <v>294.85000000000002</v>
      </c>
      <c r="J526" s="26">
        <f t="shared" si="73"/>
        <v>21.700000000000045</v>
      </c>
      <c r="K526" s="84">
        <v>1.22</v>
      </c>
      <c r="L526" s="26">
        <f t="shared" si="74"/>
        <v>1220</v>
      </c>
      <c r="M526" s="25">
        <v>48.5</v>
      </c>
      <c r="N526" s="84">
        <v>66.7</v>
      </c>
      <c r="O526" s="26">
        <f t="shared" si="75"/>
        <v>6.6700000000000009E-2</v>
      </c>
    </row>
    <row r="527" spans="1:15">
      <c r="A527" s="84" t="s">
        <v>34</v>
      </c>
      <c r="B527" s="71"/>
      <c r="F527" s="71"/>
    </row>
    <row r="528" spans="1:15">
      <c r="A528" s="92">
        <v>0.109389311175653</v>
      </c>
      <c r="B528" s="71">
        <f t="shared" ref="B528:B556" si="76">A528*60</f>
        <v>6.5633586705391798</v>
      </c>
      <c r="E528" s="92">
        <v>0.55396957715360795</v>
      </c>
      <c r="F528" s="71">
        <f t="shared" ref="F528:F556" si="77">2*POWER((3*E528*1000)/(4*PI()), 1/3)</f>
        <v>10.18972423525657</v>
      </c>
    </row>
    <row r="529" spans="1:6">
      <c r="A529" s="92">
        <v>0.12800497611901501</v>
      </c>
      <c r="B529" s="71">
        <f t="shared" si="76"/>
        <v>7.680298567140901</v>
      </c>
      <c r="E529" s="92">
        <v>0.53576539464871398</v>
      </c>
      <c r="F529" s="71">
        <f t="shared" si="77"/>
        <v>10.076862799846998</v>
      </c>
    </row>
    <row r="530" spans="1:6">
      <c r="A530" s="92">
        <v>0.15512229659115101</v>
      </c>
      <c r="B530" s="71">
        <f t="shared" si="76"/>
        <v>9.3073377954690599</v>
      </c>
      <c r="E530" s="92">
        <v>0.57657111145533102</v>
      </c>
      <c r="F530" s="71">
        <f t="shared" si="77"/>
        <v>10.326458850896239</v>
      </c>
    </row>
    <row r="531" spans="1:6">
      <c r="A531" s="92">
        <v>0.212287009278218</v>
      </c>
      <c r="B531" s="71">
        <f t="shared" si="76"/>
        <v>12.73722055669308</v>
      </c>
      <c r="E531" s="92">
        <v>0.59312122652775601</v>
      </c>
      <c r="F531" s="71">
        <f t="shared" si="77"/>
        <v>10.424333125912392</v>
      </c>
    </row>
    <row r="532" spans="1:6">
      <c r="A532" s="92">
        <v>0.25624695684868298</v>
      </c>
      <c r="B532" s="71">
        <f t="shared" si="76"/>
        <v>15.374817410920979</v>
      </c>
      <c r="E532" s="92">
        <v>0.59449106423030196</v>
      </c>
      <c r="F532" s="71">
        <f t="shared" si="77"/>
        <v>10.432352096764767</v>
      </c>
    </row>
    <row r="533" spans="1:6">
      <c r="A533" s="92">
        <v>0.31757864570057898</v>
      </c>
      <c r="B533" s="71">
        <f t="shared" si="76"/>
        <v>19.054718742034737</v>
      </c>
      <c r="E533" s="92">
        <v>0.58939451419299305</v>
      </c>
      <c r="F533" s="71">
        <f t="shared" si="77"/>
        <v>10.402454439129308</v>
      </c>
    </row>
    <row r="534" spans="1:6">
      <c r="A534" s="92">
        <v>0.430703803979675</v>
      </c>
      <c r="B534" s="71">
        <f t="shared" si="76"/>
        <v>25.8422282387805</v>
      </c>
      <c r="E534" s="92">
        <v>0.60629069085829901</v>
      </c>
      <c r="F534" s="71">
        <f t="shared" si="77"/>
        <v>10.500921838365354</v>
      </c>
    </row>
    <row r="535" spans="1:6">
      <c r="A535" s="92">
        <v>0.56745980831554899</v>
      </c>
      <c r="B535" s="71">
        <f t="shared" si="76"/>
        <v>34.047588498932939</v>
      </c>
      <c r="E535" s="92">
        <v>0.59878271440600905</v>
      </c>
      <c r="F535" s="71">
        <f t="shared" si="77"/>
        <v>10.457395758233224</v>
      </c>
    </row>
    <row r="536" spans="1:6">
      <c r="A536" s="92">
        <v>0.69174755157802903</v>
      </c>
      <c r="B536" s="71">
        <f t="shared" si="76"/>
        <v>41.504853094681742</v>
      </c>
      <c r="E536" s="92">
        <v>0.60746470018645704</v>
      </c>
      <c r="F536" s="71">
        <f t="shared" si="77"/>
        <v>10.507695394119608</v>
      </c>
    </row>
    <row r="537" spans="1:6">
      <c r="A537" s="92">
        <v>0.832286756596889</v>
      </c>
      <c r="B537" s="71">
        <f t="shared" si="76"/>
        <v>49.937205395813336</v>
      </c>
      <c r="E537" s="92">
        <v>0.61906624265657895</v>
      </c>
      <c r="F537" s="71">
        <f t="shared" si="77"/>
        <v>10.574167044077399</v>
      </c>
    </row>
    <row r="538" spans="1:6">
      <c r="A538" s="92">
        <v>0.99430079627961199</v>
      </c>
      <c r="B538" s="71">
        <f t="shared" si="76"/>
        <v>59.658047776776719</v>
      </c>
      <c r="E538" s="92">
        <v>0.61649649450903699</v>
      </c>
      <c r="F538" s="71">
        <f t="shared" si="77"/>
        <v>10.559515606365718</v>
      </c>
    </row>
    <row r="539" spans="1:6">
      <c r="A539" s="92">
        <v>1.1340195182253501</v>
      </c>
      <c r="B539" s="71">
        <f t="shared" si="76"/>
        <v>68.041171093521001</v>
      </c>
      <c r="E539" s="92">
        <v>0.61355836923854401</v>
      </c>
      <c r="F539" s="71">
        <f t="shared" si="77"/>
        <v>10.542713890066123</v>
      </c>
    </row>
    <row r="540" spans="1:6">
      <c r="A540" s="92">
        <v>1.33230096483293</v>
      </c>
      <c r="B540" s="71">
        <f t="shared" si="76"/>
        <v>79.938057889975795</v>
      </c>
      <c r="E540" s="92">
        <v>0.62477107411561394</v>
      </c>
      <c r="F540" s="71">
        <f t="shared" si="77"/>
        <v>10.606548869249542</v>
      </c>
    </row>
    <row r="541" spans="1:6">
      <c r="A541" s="92">
        <v>1.5010156176777201</v>
      </c>
      <c r="B541" s="71">
        <f t="shared" si="76"/>
        <v>90.060937060663207</v>
      </c>
      <c r="E541" s="92">
        <v>0.62502646952234497</v>
      </c>
      <c r="F541" s="71">
        <f t="shared" si="77"/>
        <v>10.607993929126431</v>
      </c>
    </row>
    <row r="542" spans="1:6">
      <c r="A542" s="92">
        <v>1.66747870310192</v>
      </c>
      <c r="B542" s="71">
        <f t="shared" si="76"/>
        <v>100.0487221861152</v>
      </c>
      <c r="E542" s="92">
        <v>0.62732403385312996</v>
      </c>
      <c r="F542" s="71">
        <f t="shared" si="77"/>
        <v>10.620976176775867</v>
      </c>
    </row>
    <row r="543" spans="1:6">
      <c r="A543" s="92">
        <v>1.84031343082523</v>
      </c>
      <c r="B543" s="71">
        <f t="shared" si="76"/>
        <v>110.4188058495138</v>
      </c>
      <c r="E543" s="92">
        <v>0.62959001621425603</v>
      </c>
      <c r="F543" s="71">
        <f t="shared" si="77"/>
        <v>10.633748961738894</v>
      </c>
    </row>
    <row r="544" spans="1:6">
      <c r="A544" s="92">
        <v>1.99392096664441</v>
      </c>
      <c r="B544" s="71">
        <f t="shared" si="76"/>
        <v>119.6352579986646</v>
      </c>
      <c r="E544" s="92">
        <v>0.63157731302157305</v>
      </c>
      <c r="F544" s="71">
        <f t="shared" si="77"/>
        <v>10.644925663481098</v>
      </c>
    </row>
    <row r="545" spans="1:6">
      <c r="A545" s="92">
        <v>2.1849480577759599</v>
      </c>
      <c r="B545" s="71">
        <f t="shared" si="76"/>
        <v>131.09688346655759</v>
      </c>
      <c r="E545" s="92">
        <v>0.62887566423801999</v>
      </c>
      <c r="F545" s="71">
        <f t="shared" si="77"/>
        <v>10.629725648060115</v>
      </c>
    </row>
    <row r="546" spans="1:6">
      <c r="A546" s="92">
        <v>2.3785860126382201</v>
      </c>
      <c r="B546" s="71">
        <f t="shared" si="76"/>
        <v>142.71516075829319</v>
      </c>
      <c r="E546" s="92">
        <v>0.61863908151163105</v>
      </c>
      <c r="F546" s="71">
        <f t="shared" si="77"/>
        <v>10.571734395095957</v>
      </c>
    </row>
    <row r="547" spans="1:6">
      <c r="A547" s="92">
        <v>2.6333403120802799</v>
      </c>
      <c r="B547" s="71">
        <f t="shared" si="76"/>
        <v>158.0004187248168</v>
      </c>
      <c r="E547" s="92">
        <v>0.65576499918932896</v>
      </c>
      <c r="F547" s="71">
        <f t="shared" si="77"/>
        <v>10.779117437127658</v>
      </c>
    </row>
    <row r="548" spans="1:6">
      <c r="A548" s="92">
        <v>2.9931923050143099</v>
      </c>
      <c r="B548" s="71">
        <f t="shared" si="76"/>
        <v>179.59153830085859</v>
      </c>
      <c r="E548" s="92">
        <v>0.63494763387238196</v>
      </c>
      <c r="F548" s="71">
        <f t="shared" si="77"/>
        <v>10.663827116273964</v>
      </c>
    </row>
    <row r="549" spans="1:6">
      <c r="A549" s="92">
        <v>3.8157359009185199</v>
      </c>
      <c r="B549" s="71">
        <f t="shared" si="76"/>
        <v>228.9441540551112</v>
      </c>
      <c r="E549" s="92">
        <v>0.65586029870075602</v>
      </c>
      <c r="F549" s="71">
        <f t="shared" si="77"/>
        <v>10.779639572785491</v>
      </c>
    </row>
    <row r="550" spans="1:6">
      <c r="A550" s="92">
        <v>4.5195053607261402</v>
      </c>
      <c r="B550" s="71">
        <f t="shared" si="76"/>
        <v>271.1703216435684</v>
      </c>
      <c r="E550" s="92">
        <v>0.66156162613690495</v>
      </c>
      <c r="F550" s="71">
        <f t="shared" si="77"/>
        <v>10.81078493843763</v>
      </c>
    </row>
    <row r="551" spans="1:6">
      <c r="A551" s="92">
        <v>5.2675309918190099</v>
      </c>
      <c r="B551" s="71">
        <f t="shared" si="76"/>
        <v>316.05185950914057</v>
      </c>
      <c r="E551" s="92">
        <v>0.66586558700821397</v>
      </c>
      <c r="F551" s="71">
        <f t="shared" si="77"/>
        <v>10.834178403264971</v>
      </c>
    </row>
    <row r="552" spans="1:6">
      <c r="A552" s="92">
        <v>5.8880534246462499</v>
      </c>
      <c r="B552" s="71">
        <f t="shared" si="76"/>
        <v>353.28320547877502</v>
      </c>
      <c r="E552" s="92">
        <v>0.68515305775494595</v>
      </c>
      <c r="F552" s="71">
        <f t="shared" si="77"/>
        <v>10.937791975385517</v>
      </c>
    </row>
    <row r="553" spans="1:6">
      <c r="A553" s="92">
        <v>6.6817231653527998</v>
      </c>
      <c r="B553" s="71">
        <f t="shared" si="76"/>
        <v>400.90338992116801</v>
      </c>
      <c r="E553" s="92">
        <v>0.68452485374664396</v>
      </c>
      <c r="F553" s="71">
        <f t="shared" si="77"/>
        <v>10.934448067642291</v>
      </c>
    </row>
    <row r="554" spans="1:6">
      <c r="A554" s="92">
        <v>7.6334328424156697</v>
      </c>
      <c r="B554" s="71">
        <f t="shared" si="76"/>
        <v>458.00597054494017</v>
      </c>
      <c r="E554" s="92">
        <v>0.70003527922616204</v>
      </c>
      <c r="F554" s="71">
        <f t="shared" si="77"/>
        <v>11.01641873260847</v>
      </c>
    </row>
    <row r="555" spans="1:6">
      <c r="A555" s="92">
        <v>8.5646130173023298</v>
      </c>
      <c r="B555" s="71">
        <f t="shared" si="76"/>
        <v>513.87678103813982</v>
      </c>
      <c r="E555" s="92">
        <v>0.70685209032218599</v>
      </c>
      <c r="F555" s="71">
        <f t="shared" si="77"/>
        <v>11.052061886730323</v>
      </c>
    </row>
    <row r="556" spans="1:6">
      <c r="A556" s="92">
        <v>9.2409586671788109</v>
      </c>
      <c r="B556" s="71">
        <f t="shared" si="76"/>
        <v>554.45752003072869</v>
      </c>
      <c r="E556" s="92">
        <v>0.66201842466470495</v>
      </c>
      <c r="F556" s="71">
        <f t="shared" si="77"/>
        <v>10.813272595049703</v>
      </c>
    </row>
    <row r="557" spans="1:6">
      <c r="A557" s="84" t="s">
        <v>14</v>
      </c>
      <c r="B557" s="71"/>
      <c r="F557" s="71"/>
    </row>
    <row r="558" spans="1:6">
      <c r="A558" s="84">
        <v>0.11787330309942801</v>
      </c>
      <c r="B558" s="71">
        <f t="shared" ref="B558:B585" si="78">A558*60</f>
        <v>7.0723981859656799</v>
      </c>
      <c r="E558" s="84">
        <v>0.23222515790874301</v>
      </c>
      <c r="F558" s="71">
        <f t="shared" ref="F558:F585" si="79">2*POWER((3*E558*1000)/(4*PI()), 1/3)</f>
        <v>7.6261184792890093</v>
      </c>
    </row>
    <row r="559" spans="1:6">
      <c r="A559" s="84">
        <v>0.141722458093444</v>
      </c>
      <c r="B559" s="71">
        <f t="shared" si="78"/>
        <v>8.5033474856066391</v>
      </c>
      <c r="E559" s="84">
        <v>0.227651829563455</v>
      </c>
      <c r="F559" s="71">
        <f t="shared" si="79"/>
        <v>7.5757245270369094</v>
      </c>
    </row>
    <row r="560" spans="1:6">
      <c r="A560" s="84">
        <v>0.16354235640471501</v>
      </c>
      <c r="B560" s="71">
        <f t="shared" si="78"/>
        <v>9.8125413842829001</v>
      </c>
      <c r="E560" s="84">
        <v>0.233933466092687</v>
      </c>
      <c r="F560" s="71">
        <f t="shared" si="79"/>
        <v>7.6447727104591197</v>
      </c>
    </row>
    <row r="561" spans="1:6">
      <c r="A561" s="84">
        <v>0.176132612086568</v>
      </c>
      <c r="B561" s="71">
        <f t="shared" si="78"/>
        <v>10.56795672519408</v>
      </c>
      <c r="E561" s="84">
        <v>0.22747821918559</v>
      </c>
      <c r="F561" s="71">
        <f t="shared" si="79"/>
        <v>7.5737982538064479</v>
      </c>
    </row>
    <row r="562" spans="1:6">
      <c r="A562" s="84">
        <v>0.20799316506193999</v>
      </c>
      <c r="B562" s="71">
        <f t="shared" si="78"/>
        <v>12.479589903716398</v>
      </c>
      <c r="E562" s="84">
        <v>0.228609057768737</v>
      </c>
      <c r="F562" s="71">
        <f t="shared" si="79"/>
        <v>7.5863277904031072</v>
      </c>
    </row>
    <row r="563" spans="1:6">
      <c r="A563" s="84">
        <v>0.25638331450336099</v>
      </c>
      <c r="B563" s="71">
        <f t="shared" si="78"/>
        <v>15.382998870201659</v>
      </c>
      <c r="E563" s="84">
        <v>0.239494962888152</v>
      </c>
      <c r="F563" s="71">
        <f t="shared" si="79"/>
        <v>7.7048807324285358</v>
      </c>
    </row>
    <row r="564" spans="1:6">
      <c r="A564" s="84">
        <v>0.312358600037072</v>
      </c>
      <c r="B564" s="71">
        <f t="shared" si="78"/>
        <v>18.741516002224319</v>
      </c>
      <c r="E564" s="84">
        <v>0.246741234632461</v>
      </c>
      <c r="F564" s="71">
        <f t="shared" si="79"/>
        <v>7.7818174211211089</v>
      </c>
    </row>
    <row r="565" spans="1:6">
      <c r="A565" s="84">
        <v>0.3840015975935</v>
      </c>
      <c r="B565" s="71">
        <f t="shared" si="78"/>
        <v>23.040095855610002</v>
      </c>
      <c r="E565" s="84">
        <v>0.24680398927936301</v>
      </c>
      <c r="F565" s="71">
        <f t="shared" si="79"/>
        <v>7.782477091713786</v>
      </c>
    </row>
    <row r="566" spans="1:6">
      <c r="A566" s="84">
        <v>0.46501442479906802</v>
      </c>
      <c r="B566" s="71">
        <f t="shared" si="78"/>
        <v>27.900865487944081</v>
      </c>
      <c r="E566" s="84">
        <v>0.248434455087858</v>
      </c>
      <c r="F566" s="71">
        <f t="shared" si="79"/>
        <v>7.7995773315723582</v>
      </c>
    </row>
    <row r="567" spans="1:6">
      <c r="A567" s="84">
        <v>0.54831481719719399</v>
      </c>
      <c r="B567" s="71">
        <f t="shared" si="78"/>
        <v>32.898889031831636</v>
      </c>
      <c r="E567" s="84">
        <v>0.250064336347817</v>
      </c>
      <c r="F567" s="71">
        <f t="shared" si="79"/>
        <v>7.816596824676366</v>
      </c>
    </row>
    <row r="568" spans="1:6">
      <c r="A568" s="84">
        <v>0.64015728570975605</v>
      </c>
      <c r="B568" s="71">
        <f t="shared" si="78"/>
        <v>38.409437142585361</v>
      </c>
      <c r="E568" s="84">
        <v>0.253971368927986</v>
      </c>
      <c r="F568" s="71">
        <f t="shared" si="79"/>
        <v>7.8570957530743524</v>
      </c>
    </row>
    <row r="569" spans="1:6">
      <c r="A569" s="84">
        <v>0.72171506029409105</v>
      </c>
      <c r="B569" s="71">
        <f t="shared" si="78"/>
        <v>43.302903617645462</v>
      </c>
      <c r="E569" s="84">
        <v>0.249438288485234</v>
      </c>
      <c r="F569" s="71">
        <f t="shared" si="79"/>
        <v>7.8100683005218681</v>
      </c>
    </row>
    <row r="570" spans="1:6">
      <c r="A570" s="84">
        <v>0.79455689231859605</v>
      </c>
      <c r="B570" s="71">
        <f t="shared" si="78"/>
        <v>47.673413539115764</v>
      </c>
      <c r="E570" s="84">
        <v>0.24037751688395001</v>
      </c>
      <c r="F570" s="71">
        <f t="shared" si="79"/>
        <v>7.7143334539356063</v>
      </c>
    </row>
    <row r="571" spans="1:6">
      <c r="A571" s="84">
        <v>0.94386805137099306</v>
      </c>
      <c r="B571" s="71">
        <f t="shared" si="78"/>
        <v>56.632083082259584</v>
      </c>
      <c r="E571" s="84">
        <v>0.242350409389326</v>
      </c>
      <c r="F571" s="71">
        <f t="shared" si="79"/>
        <v>7.7353810428123628</v>
      </c>
    </row>
    <row r="572" spans="1:6">
      <c r="A572" s="84">
        <v>1.1027474233280199</v>
      </c>
      <c r="B572" s="71">
        <f t="shared" si="78"/>
        <v>66.164845399681198</v>
      </c>
      <c r="E572" s="84">
        <v>0.232695967067128</v>
      </c>
      <c r="F572" s="71">
        <f t="shared" si="79"/>
        <v>7.6312686860712127</v>
      </c>
    </row>
    <row r="573" spans="1:6">
      <c r="A573" s="84">
        <v>1.30200979044395</v>
      </c>
      <c r="B573" s="71">
        <f t="shared" si="78"/>
        <v>78.120587426637002</v>
      </c>
      <c r="E573" s="84">
        <v>0.221386005252312</v>
      </c>
      <c r="F573" s="71">
        <f t="shared" si="79"/>
        <v>7.5055728939164936</v>
      </c>
    </row>
    <row r="574" spans="1:6">
      <c r="A574" s="84">
        <v>1.57536193405914</v>
      </c>
      <c r="B574" s="71">
        <f t="shared" si="78"/>
        <v>94.521716043548409</v>
      </c>
      <c r="E574" s="84">
        <v>0.21589376369921101</v>
      </c>
      <c r="F574" s="71">
        <f t="shared" si="79"/>
        <v>7.4429852509986922</v>
      </c>
    </row>
    <row r="575" spans="1:6">
      <c r="A575" s="84">
        <v>1.7985456922093499</v>
      </c>
      <c r="B575" s="71">
        <f t="shared" si="78"/>
        <v>107.912741532561</v>
      </c>
      <c r="E575" s="84">
        <v>0.223997059373306</v>
      </c>
      <c r="F575" s="71">
        <f t="shared" si="79"/>
        <v>7.5349648646642686</v>
      </c>
    </row>
    <row r="576" spans="1:6">
      <c r="A576" s="84">
        <v>2.17777696781982</v>
      </c>
      <c r="B576" s="71">
        <f t="shared" si="78"/>
        <v>130.66661806918921</v>
      </c>
      <c r="E576" s="84">
        <v>0.227860750818901</v>
      </c>
      <c r="F576" s="71">
        <f t="shared" si="79"/>
        <v>7.5780412899635552</v>
      </c>
    </row>
    <row r="577" spans="1:6">
      <c r="A577" s="84">
        <v>2.57069698576101</v>
      </c>
      <c r="B577" s="71">
        <f t="shared" si="78"/>
        <v>154.2418191456606</v>
      </c>
      <c r="E577" s="84">
        <v>0.23015903527741399</v>
      </c>
      <c r="F577" s="71">
        <f t="shared" si="79"/>
        <v>7.6034343777387443</v>
      </c>
    </row>
    <row r="578" spans="1:6">
      <c r="A578" s="84">
        <v>3.0107595611132698</v>
      </c>
      <c r="B578" s="71">
        <f t="shared" si="78"/>
        <v>180.6455736667962</v>
      </c>
      <c r="E578" s="84">
        <v>0.230215481638015</v>
      </c>
      <c r="F578" s="71">
        <f t="shared" si="79"/>
        <v>7.6040559061195747</v>
      </c>
    </row>
    <row r="579" spans="1:6">
      <c r="A579" s="84">
        <v>3.2929550030916102</v>
      </c>
      <c r="B579" s="71">
        <f t="shared" si="78"/>
        <v>197.5773001854966</v>
      </c>
      <c r="E579" s="84">
        <v>0.230548168895578</v>
      </c>
      <c r="F579" s="71">
        <f t="shared" si="79"/>
        <v>7.6077170483724208</v>
      </c>
    </row>
    <row r="580" spans="1:6">
      <c r="A580" s="84">
        <v>3.6267433843060699</v>
      </c>
      <c r="B580" s="71">
        <f t="shared" si="78"/>
        <v>217.60460305836421</v>
      </c>
      <c r="E580" s="84">
        <v>0.24233500236047001</v>
      </c>
      <c r="F580" s="71">
        <f t="shared" si="79"/>
        <v>7.7352171179609215</v>
      </c>
    </row>
    <row r="581" spans="1:6">
      <c r="A581" s="84">
        <v>4.4843788988834996</v>
      </c>
      <c r="B581" s="71">
        <f t="shared" si="78"/>
        <v>269.06273393300995</v>
      </c>
      <c r="E581" s="84">
        <v>0.28271430702531303</v>
      </c>
      <c r="F581" s="71">
        <f t="shared" si="79"/>
        <v>8.1429741266113567</v>
      </c>
    </row>
    <row r="582" spans="1:6">
      <c r="A582" s="84">
        <v>5.4985775423696497</v>
      </c>
      <c r="B582" s="71">
        <f t="shared" si="78"/>
        <v>329.914652542179</v>
      </c>
      <c r="E582" s="84">
        <v>0.27419733103813398</v>
      </c>
      <c r="F582" s="71">
        <f t="shared" si="79"/>
        <v>8.0603679400687458</v>
      </c>
    </row>
    <row r="583" spans="1:6">
      <c r="A583" s="84">
        <v>6.1927724039689496</v>
      </c>
      <c r="B583" s="71">
        <f t="shared" si="78"/>
        <v>371.56634423813699</v>
      </c>
      <c r="E583" s="84">
        <v>0.31040676848315801</v>
      </c>
      <c r="F583" s="71">
        <f t="shared" si="79"/>
        <v>8.400610589021392</v>
      </c>
    </row>
    <row r="584" spans="1:6">
      <c r="A584" s="84">
        <v>7.8366377900937101</v>
      </c>
      <c r="B584" s="71">
        <f t="shared" si="78"/>
        <v>470.19826740562263</v>
      </c>
      <c r="E584" s="84">
        <v>0.30730715933263197</v>
      </c>
      <c r="F584" s="71">
        <f t="shared" si="79"/>
        <v>8.3725551825491866</v>
      </c>
    </row>
    <row r="585" spans="1:6">
      <c r="A585" s="84">
        <v>8.2845824855400299</v>
      </c>
      <c r="B585" s="71">
        <f t="shared" si="78"/>
        <v>497.0749491324018</v>
      </c>
      <c r="E585" s="84">
        <v>0.32804731231831602</v>
      </c>
      <c r="F585" s="71">
        <f t="shared" si="79"/>
        <v>8.556824417654072</v>
      </c>
    </row>
    <row r="586" spans="1:6">
      <c r="B586" s="71"/>
      <c r="F586" s="71"/>
    </row>
    <row r="587" spans="1:6">
      <c r="B587" s="71"/>
      <c r="F587" s="71"/>
    </row>
    <row r="588" spans="1:6">
      <c r="A588" s="84" t="s">
        <v>35</v>
      </c>
      <c r="B588" s="71"/>
      <c r="F588" s="71"/>
    </row>
    <row r="589" spans="1:6">
      <c r="A589" s="84">
        <v>0.11519805157369099</v>
      </c>
      <c r="B589" s="71">
        <f t="shared" ref="B589:B617" si="80">A589*60</f>
        <v>6.9118830944214595</v>
      </c>
      <c r="E589" s="84">
        <v>0.16021521901465999</v>
      </c>
      <c r="F589" s="71">
        <f t="shared" ref="F589:F617" si="81">2*POWER((3*E589*1000)/(4*PI()), 1/3)</f>
        <v>6.7385798941758157</v>
      </c>
    </row>
    <row r="590" spans="1:6">
      <c r="A590" s="84">
        <v>0.13824544332252001</v>
      </c>
      <c r="B590" s="71">
        <f t="shared" si="80"/>
        <v>8.2947265993512005</v>
      </c>
      <c r="E590" s="84">
        <v>0.180483637393208</v>
      </c>
      <c r="F590" s="71">
        <f t="shared" si="81"/>
        <v>7.0115344287175061</v>
      </c>
    </row>
    <row r="591" spans="1:6">
      <c r="A591" s="84">
        <v>0.18017870511911599</v>
      </c>
      <c r="B591" s="71">
        <f t="shared" si="80"/>
        <v>10.810722307146959</v>
      </c>
      <c r="E591" s="84">
        <v>0.177742632767732</v>
      </c>
      <c r="F591" s="71">
        <f t="shared" si="81"/>
        <v>6.9758584914740389</v>
      </c>
    </row>
    <row r="592" spans="1:6">
      <c r="A592" s="84">
        <v>0.22212804633081601</v>
      </c>
      <c r="B592" s="71">
        <f t="shared" si="80"/>
        <v>13.32768277984896</v>
      </c>
      <c r="E592" s="84">
        <v>0.17840572694010901</v>
      </c>
      <c r="F592" s="71">
        <f t="shared" si="81"/>
        <v>6.9845225370043114</v>
      </c>
    </row>
    <row r="593" spans="1:6">
      <c r="A593" s="84">
        <v>0.252561579277996</v>
      </c>
      <c r="B593" s="71">
        <f t="shared" si="80"/>
        <v>15.15369475667976</v>
      </c>
      <c r="E593" s="84">
        <v>0.17709004481855001</v>
      </c>
      <c r="F593" s="71">
        <f t="shared" si="81"/>
        <v>6.9673106567211907</v>
      </c>
    </row>
    <row r="594" spans="1:6">
      <c r="A594" s="84">
        <v>0.312669795495497</v>
      </c>
      <c r="B594" s="71">
        <f t="shared" si="80"/>
        <v>18.760187729729822</v>
      </c>
      <c r="E594" s="84">
        <v>0.184116086149128</v>
      </c>
      <c r="F594" s="71">
        <f t="shared" si="81"/>
        <v>7.0582608432726586</v>
      </c>
    </row>
    <row r="595" spans="1:6">
      <c r="A595" s="84">
        <v>0.370838671580833</v>
      </c>
      <c r="B595" s="71">
        <f t="shared" si="80"/>
        <v>22.250320294849981</v>
      </c>
      <c r="E595" s="84">
        <v>0.187661362390528</v>
      </c>
      <c r="F595" s="71">
        <f t="shared" si="81"/>
        <v>7.1032769467636001</v>
      </c>
    </row>
    <row r="596" spans="1:6">
      <c r="A596" s="84">
        <v>0.42754870803864198</v>
      </c>
      <c r="B596" s="71">
        <f t="shared" si="80"/>
        <v>25.65292248231852</v>
      </c>
      <c r="E596" s="84">
        <v>0.186167487996345</v>
      </c>
      <c r="F596" s="71">
        <f t="shared" si="81"/>
        <v>7.0843782136303446</v>
      </c>
    </row>
    <row r="597" spans="1:6">
      <c r="A597" s="84">
        <v>0.47850162062129697</v>
      </c>
      <c r="B597" s="71">
        <f t="shared" si="80"/>
        <v>28.710097237277818</v>
      </c>
      <c r="E597" s="84">
        <v>0.18489529338033101</v>
      </c>
      <c r="F597" s="71">
        <f t="shared" si="81"/>
        <v>7.0682040399159805</v>
      </c>
    </row>
    <row r="598" spans="1:6">
      <c r="A598" s="84">
        <v>0.53486977302530803</v>
      </c>
      <c r="B598" s="71">
        <f t="shared" si="80"/>
        <v>32.092186381518481</v>
      </c>
      <c r="E598" s="84">
        <v>0.183443429963629</v>
      </c>
      <c r="F598" s="71">
        <f t="shared" si="81"/>
        <v>7.0496547212978236</v>
      </c>
    </row>
    <row r="599" spans="1:6">
      <c r="A599" s="84">
        <v>0.68165925674496797</v>
      </c>
      <c r="B599" s="71">
        <f t="shared" si="80"/>
        <v>40.899555404698077</v>
      </c>
      <c r="E599" s="84">
        <v>0.18872791326406499</v>
      </c>
      <c r="F599" s="71">
        <f t="shared" si="81"/>
        <v>7.1167084079885923</v>
      </c>
    </row>
    <row r="600" spans="1:6">
      <c r="A600" s="84">
        <v>0.79482789883601002</v>
      </c>
      <c r="B600" s="71">
        <f t="shared" si="80"/>
        <v>47.689673930160602</v>
      </c>
      <c r="E600" s="84">
        <v>0.187889887994172</v>
      </c>
      <c r="F600" s="71">
        <f t="shared" si="81"/>
        <v>7.1061591280099368</v>
      </c>
    </row>
    <row r="601" spans="1:6">
      <c r="A601" s="84">
        <v>0.91637595348879597</v>
      </c>
      <c r="B601" s="71">
        <f t="shared" si="80"/>
        <v>54.982557209327759</v>
      </c>
      <c r="E601" s="84">
        <v>0.18913973730039199</v>
      </c>
      <c r="F601" s="71">
        <f t="shared" si="81"/>
        <v>7.1218811145907965</v>
      </c>
    </row>
    <row r="602" spans="1:6">
      <c r="A602" s="84">
        <v>1.0518668548713901</v>
      </c>
      <c r="B602" s="71">
        <f t="shared" si="80"/>
        <v>63.112011292283405</v>
      </c>
      <c r="E602" s="84">
        <v>0.19099021713192799</v>
      </c>
      <c r="F602" s="71">
        <f t="shared" si="81"/>
        <v>7.1450318114291678</v>
      </c>
    </row>
    <row r="603" spans="1:6">
      <c r="A603" s="84">
        <v>1.25928437411827</v>
      </c>
      <c r="B603" s="71">
        <f t="shared" si="80"/>
        <v>75.5570624470962</v>
      </c>
      <c r="E603" s="84">
        <v>0.19841811891514399</v>
      </c>
      <c r="F603" s="71">
        <f t="shared" si="81"/>
        <v>7.23648337283392</v>
      </c>
    </row>
    <row r="604" spans="1:6">
      <c r="A604" s="84">
        <v>1.4399853263575599</v>
      </c>
      <c r="B604" s="71">
        <f t="shared" si="80"/>
        <v>86.39911958145359</v>
      </c>
      <c r="E604" s="84">
        <v>0.19688689013145699</v>
      </c>
      <c r="F604" s="71">
        <f t="shared" si="81"/>
        <v>7.2178201941402014</v>
      </c>
    </row>
    <row r="605" spans="1:6">
      <c r="A605" s="84">
        <v>1.6371868877290801</v>
      </c>
      <c r="B605" s="71">
        <f t="shared" si="80"/>
        <v>98.231213263744806</v>
      </c>
      <c r="E605" s="84">
        <v>0.19987410317201701</v>
      </c>
      <c r="F605" s="71">
        <f t="shared" si="81"/>
        <v>7.2541405959635883</v>
      </c>
    </row>
    <row r="606" spans="1:6">
      <c r="A606" s="84">
        <v>1.8724469564110999</v>
      </c>
      <c r="B606" s="71">
        <f t="shared" si="80"/>
        <v>112.346817384666</v>
      </c>
      <c r="E606" s="84">
        <v>0.20483041004576899</v>
      </c>
      <c r="F606" s="71">
        <f t="shared" si="81"/>
        <v>7.3136123509415283</v>
      </c>
    </row>
    <row r="607" spans="1:6">
      <c r="A607" s="84">
        <v>2.15000162850709</v>
      </c>
      <c r="B607" s="71">
        <f t="shared" si="80"/>
        <v>129.00009771042539</v>
      </c>
      <c r="E607" s="84">
        <v>0.211507548346441</v>
      </c>
      <c r="F607" s="71">
        <f t="shared" si="81"/>
        <v>7.3922347435648996</v>
      </c>
    </row>
    <row r="608" spans="1:6">
      <c r="A608" s="84">
        <v>2.3836204441119002</v>
      </c>
      <c r="B608" s="71">
        <f t="shared" si="80"/>
        <v>143.01722664671402</v>
      </c>
      <c r="E608" s="84">
        <v>0.21752539297631099</v>
      </c>
      <c r="F608" s="71">
        <f t="shared" si="81"/>
        <v>7.4616884730080697</v>
      </c>
    </row>
    <row r="609" spans="1:6">
      <c r="A609" s="84">
        <v>2.8322011760781902</v>
      </c>
      <c r="B609" s="71">
        <f t="shared" si="80"/>
        <v>169.9320705646914</v>
      </c>
      <c r="E609" s="84">
        <v>0.21897436733121001</v>
      </c>
      <c r="F609" s="71">
        <f t="shared" si="81"/>
        <v>7.4782196882478642</v>
      </c>
    </row>
    <row r="610" spans="1:6">
      <c r="A610" s="84">
        <v>3.5402752730034801</v>
      </c>
      <c r="B610" s="71">
        <f t="shared" si="80"/>
        <v>212.4165163802088</v>
      </c>
      <c r="E610" s="84">
        <v>0.21843607384441999</v>
      </c>
      <c r="F610" s="71">
        <f t="shared" si="81"/>
        <v>7.4720868851963376</v>
      </c>
    </row>
    <row r="611" spans="1:6">
      <c r="A611" s="84">
        <v>4.11549156124698</v>
      </c>
      <c r="B611" s="71">
        <f t="shared" si="80"/>
        <v>246.92949367481879</v>
      </c>
      <c r="E611" s="84">
        <v>0.22917033922872301</v>
      </c>
      <c r="F611" s="71">
        <f t="shared" si="81"/>
        <v>7.5925313723631351</v>
      </c>
    </row>
    <row r="612" spans="1:6">
      <c r="A612" s="84">
        <v>4.5356246324332403</v>
      </c>
      <c r="B612" s="71">
        <f t="shared" si="80"/>
        <v>272.13747794599442</v>
      </c>
      <c r="E612" s="84">
        <v>0.21643365478328</v>
      </c>
      <c r="F612" s="71">
        <f t="shared" si="81"/>
        <v>7.4491843746063546</v>
      </c>
    </row>
    <row r="613" spans="1:6">
      <c r="A613" s="84">
        <v>5.2551866811255898</v>
      </c>
      <c r="B613" s="71">
        <f t="shared" si="80"/>
        <v>315.31120086753538</v>
      </c>
      <c r="E613" s="84">
        <v>0.21855712401577099</v>
      </c>
      <c r="F613" s="71">
        <f t="shared" si="81"/>
        <v>7.4734668928606522</v>
      </c>
    </row>
    <row r="614" spans="1:6">
      <c r="A614" s="84">
        <v>6.1747212139548404</v>
      </c>
      <c r="B614" s="71">
        <f t="shared" si="80"/>
        <v>370.48327283729043</v>
      </c>
      <c r="E614" s="84">
        <v>0.212537759142989</v>
      </c>
      <c r="F614" s="71">
        <f t="shared" si="81"/>
        <v>7.4042173399813258</v>
      </c>
    </row>
    <row r="615" spans="1:6">
      <c r="A615" s="84">
        <v>6.7290112783209599</v>
      </c>
      <c r="B615" s="71">
        <f t="shared" si="80"/>
        <v>403.74067669925762</v>
      </c>
      <c r="E615" s="84">
        <v>0.22457964989854101</v>
      </c>
      <c r="F615" s="71">
        <f t="shared" si="81"/>
        <v>7.5414917343366694</v>
      </c>
    </row>
    <row r="616" spans="1:6">
      <c r="A616" s="84">
        <v>7.7811412577207397</v>
      </c>
      <c r="B616" s="71">
        <f t="shared" si="80"/>
        <v>466.86847546324441</v>
      </c>
      <c r="E616" s="84">
        <v>0.24002410568326499</v>
      </c>
      <c r="F616" s="71">
        <f t="shared" si="81"/>
        <v>7.7105509744820724</v>
      </c>
    </row>
    <row r="617" spans="1:6">
      <c r="A617" s="84">
        <v>8.5011776303093392</v>
      </c>
      <c r="B617" s="71">
        <f t="shared" si="80"/>
        <v>510.07065781856033</v>
      </c>
      <c r="E617" s="84">
        <v>0.25383531492571798</v>
      </c>
      <c r="F617" s="71">
        <f t="shared" si="81"/>
        <v>7.8556924711837288</v>
      </c>
    </row>
    <row r="618" spans="1:6">
      <c r="A618" s="92"/>
      <c r="B618" s="71"/>
      <c r="F618" s="71"/>
    </row>
    <row r="619" spans="1:6">
      <c r="A619" s="92">
        <v>0.127287603259092</v>
      </c>
      <c r="B619" s="71">
        <f t="shared" ref="B619:B647" si="82">A619*60</f>
        <v>7.63725619554552</v>
      </c>
      <c r="E619" s="92">
        <v>0.16478715567678301</v>
      </c>
      <c r="F619" s="71">
        <f t="shared" ref="F619:F647" si="83">2*POWER((3*E619*1000)/(4*PI()), 1/3)</f>
        <v>6.8020775414443264</v>
      </c>
    </row>
    <row r="620" spans="1:6">
      <c r="A620" s="92">
        <v>0.15209461926024401</v>
      </c>
      <c r="B620" s="71">
        <f t="shared" si="82"/>
        <v>9.1256771556146408</v>
      </c>
      <c r="E620" s="92">
        <v>0.17470020048655599</v>
      </c>
      <c r="F620" s="71">
        <f t="shared" si="83"/>
        <v>6.9358271331930448</v>
      </c>
    </row>
    <row r="621" spans="1:6">
      <c r="A621" s="92">
        <v>0.20470278403292999</v>
      </c>
      <c r="B621" s="71">
        <f t="shared" si="82"/>
        <v>12.2821670419758</v>
      </c>
      <c r="E621" s="92">
        <v>0.17787343865377001</v>
      </c>
      <c r="F621" s="71">
        <f t="shared" si="83"/>
        <v>6.9775693164409329</v>
      </c>
    </row>
    <row r="622" spans="1:6">
      <c r="A622" s="92">
        <v>0.29338105433023998</v>
      </c>
      <c r="B622" s="71">
        <f t="shared" si="82"/>
        <v>17.602863259814399</v>
      </c>
      <c r="E622" s="92">
        <v>0.18040988900937399</v>
      </c>
      <c r="F622" s="71">
        <f t="shared" si="83"/>
        <v>7.0105792917570051</v>
      </c>
    </row>
    <row r="623" spans="1:6">
      <c r="A623" s="92">
        <v>0.34771947973640199</v>
      </c>
      <c r="B623" s="71">
        <f t="shared" si="82"/>
        <v>20.863168784184118</v>
      </c>
      <c r="E623" s="92">
        <v>0.182453135297756</v>
      </c>
      <c r="F623" s="71">
        <f t="shared" si="83"/>
        <v>7.0369462881492053</v>
      </c>
    </row>
    <row r="624" spans="1:6">
      <c r="A624" s="92">
        <v>0.40755474949574899</v>
      </c>
      <c r="B624" s="71">
        <f t="shared" si="82"/>
        <v>24.453284969744939</v>
      </c>
      <c r="E624" s="92">
        <v>0.182652092727843</v>
      </c>
      <c r="F624" s="71">
        <f t="shared" si="83"/>
        <v>7.039503189780401</v>
      </c>
    </row>
    <row r="625" spans="1:6">
      <c r="A625" s="92">
        <v>0.57712406876819</v>
      </c>
      <c r="B625" s="71">
        <f t="shared" si="82"/>
        <v>34.627444126091397</v>
      </c>
      <c r="E625" s="92">
        <v>0.177928373508073</v>
      </c>
      <c r="F625" s="71">
        <f t="shared" si="83"/>
        <v>6.9782875655182686</v>
      </c>
    </row>
    <row r="626" spans="1:6">
      <c r="A626" s="92">
        <v>0.64013108942306196</v>
      </c>
      <c r="B626" s="71">
        <f t="shared" si="82"/>
        <v>38.407865365383721</v>
      </c>
      <c r="E626" s="92">
        <v>0.18529033983179499</v>
      </c>
      <c r="F626" s="71">
        <f t="shared" si="83"/>
        <v>7.0732344232942461</v>
      </c>
    </row>
    <row r="627" spans="1:6">
      <c r="A627" s="92">
        <v>0.71945430695941903</v>
      </c>
      <c r="B627" s="71">
        <f t="shared" si="82"/>
        <v>43.167258417565144</v>
      </c>
      <c r="E627" s="92">
        <v>0.18527351216284199</v>
      </c>
      <c r="F627" s="71">
        <f t="shared" si="83"/>
        <v>7.0730202915145011</v>
      </c>
    </row>
    <row r="628" spans="1:6">
      <c r="A628" s="92">
        <v>0.847443231721976</v>
      </c>
      <c r="B628" s="71">
        <f t="shared" si="82"/>
        <v>50.846593903318563</v>
      </c>
      <c r="E628" s="92">
        <v>0.184546337961427</v>
      </c>
      <c r="F628" s="71">
        <f t="shared" si="83"/>
        <v>7.0637546001556979</v>
      </c>
    </row>
    <row r="629" spans="1:6">
      <c r="A629" s="92">
        <v>0.89268727525276503</v>
      </c>
      <c r="B629" s="71">
        <f t="shared" si="82"/>
        <v>53.561236515165902</v>
      </c>
      <c r="E629" s="92">
        <v>0.17781044602987101</v>
      </c>
      <c r="F629" s="71">
        <f t="shared" si="83"/>
        <v>6.9767455335322568</v>
      </c>
    </row>
    <row r="630" spans="1:6">
      <c r="A630" s="92">
        <v>0.94905807467750902</v>
      </c>
      <c r="B630" s="71">
        <f t="shared" si="82"/>
        <v>56.94348448065054</v>
      </c>
      <c r="E630" s="92">
        <v>0.17055968314886999</v>
      </c>
      <c r="F630" s="71">
        <f t="shared" si="83"/>
        <v>6.8805937944092594</v>
      </c>
    </row>
    <row r="631" spans="1:6">
      <c r="A631" s="92">
        <v>1.0564971796112801</v>
      </c>
      <c r="B631" s="71">
        <f t="shared" si="82"/>
        <v>63.389830776676803</v>
      </c>
      <c r="E631" s="92">
        <v>0.17104678114375499</v>
      </c>
      <c r="F631" s="71">
        <f t="shared" si="83"/>
        <v>6.8871376190599891</v>
      </c>
    </row>
    <row r="632" spans="1:6">
      <c r="A632" s="92">
        <v>1.5112881558689999</v>
      </c>
      <c r="B632" s="71">
        <f t="shared" si="82"/>
        <v>90.677289352139994</v>
      </c>
      <c r="E632" s="92">
        <v>0.17282380941942599</v>
      </c>
      <c r="F632" s="71">
        <f t="shared" si="83"/>
        <v>6.9109059670886861</v>
      </c>
    </row>
    <row r="633" spans="1:6">
      <c r="A633" s="92">
        <v>1.6622553701746601</v>
      </c>
      <c r="B633" s="71">
        <f t="shared" si="82"/>
        <v>99.735322210479609</v>
      </c>
      <c r="E633" s="92">
        <v>0.17044973558378501</v>
      </c>
      <c r="F633" s="71">
        <f t="shared" si="83"/>
        <v>6.8791150018970644</v>
      </c>
    </row>
    <row r="634" spans="1:6">
      <c r="A634" s="92">
        <v>1.95409711560803</v>
      </c>
      <c r="B634" s="71">
        <f t="shared" si="82"/>
        <v>117.24582693648181</v>
      </c>
      <c r="E634" s="92">
        <v>0.167501707868495</v>
      </c>
      <c r="F634" s="71">
        <f t="shared" si="83"/>
        <v>6.8392246978364826</v>
      </c>
    </row>
    <row r="635" spans="1:6">
      <c r="A635" s="92">
        <v>2.3984278540855399</v>
      </c>
      <c r="B635" s="71">
        <f t="shared" si="82"/>
        <v>143.9056712451324</v>
      </c>
      <c r="E635" s="92">
        <v>0.170973783140934</v>
      </c>
      <c r="F635" s="71">
        <f t="shared" si="83"/>
        <v>6.8861577334706805</v>
      </c>
    </row>
    <row r="636" spans="1:6">
      <c r="A636" s="92">
        <v>2.61412124567362</v>
      </c>
      <c r="B636" s="71">
        <f t="shared" si="82"/>
        <v>156.84727474041719</v>
      </c>
      <c r="E636" s="92">
        <v>0.173654558986505</v>
      </c>
      <c r="F636" s="71">
        <f t="shared" si="83"/>
        <v>6.9219616533015547</v>
      </c>
    </row>
    <row r="637" spans="1:6">
      <c r="A637" s="92">
        <v>2.8805142420355199</v>
      </c>
      <c r="B637" s="71">
        <f t="shared" si="82"/>
        <v>172.8308545221312</v>
      </c>
      <c r="E637" s="92">
        <v>0.17704019247156699</v>
      </c>
      <c r="F637" s="71">
        <f t="shared" si="83"/>
        <v>6.9666568097162198</v>
      </c>
    </row>
    <row r="638" spans="1:6">
      <c r="A638" s="92">
        <v>3.1770429956991499</v>
      </c>
      <c r="B638" s="71">
        <f t="shared" si="82"/>
        <v>190.62257974194898</v>
      </c>
      <c r="E638" s="92">
        <v>0.17711417196127199</v>
      </c>
      <c r="F638" s="71">
        <f t="shared" si="83"/>
        <v>6.967627056334333</v>
      </c>
    </row>
    <row r="639" spans="1:6">
      <c r="A639" s="92">
        <v>3.60042143950287</v>
      </c>
      <c r="B639" s="71">
        <f t="shared" si="82"/>
        <v>216.02528637017221</v>
      </c>
      <c r="E639" s="92">
        <v>0.18226929262723199</v>
      </c>
      <c r="F639" s="71">
        <f t="shared" si="83"/>
        <v>7.0345819810012316</v>
      </c>
    </row>
    <row r="640" spans="1:6">
      <c r="A640" s="92">
        <v>4.1826706063801202</v>
      </c>
      <c r="B640" s="71">
        <f t="shared" si="82"/>
        <v>250.96023638280721</v>
      </c>
      <c r="E640" s="92">
        <v>0.183065621818919</v>
      </c>
      <c r="F640" s="71">
        <f t="shared" si="83"/>
        <v>7.0448117250430835</v>
      </c>
    </row>
    <row r="641" spans="1:6">
      <c r="A641" s="92">
        <v>4.4536546352119304</v>
      </c>
      <c r="B641" s="71">
        <f t="shared" si="82"/>
        <v>267.21927811271581</v>
      </c>
      <c r="E641" s="92">
        <v>0.182987494509603</v>
      </c>
      <c r="F641" s="71">
        <f t="shared" si="83"/>
        <v>7.0438094059563223</v>
      </c>
    </row>
    <row r="642" spans="1:6">
      <c r="A642" s="92">
        <v>5.2358673060984096</v>
      </c>
      <c r="B642" s="71">
        <f t="shared" si="82"/>
        <v>314.15203836590456</v>
      </c>
      <c r="E642" s="92">
        <v>0.18369351066819101</v>
      </c>
      <c r="F642" s="71">
        <f t="shared" si="83"/>
        <v>7.0528567658242904</v>
      </c>
    </row>
    <row r="643" spans="1:6">
      <c r="A643" s="92">
        <v>5.7196717516408198</v>
      </c>
      <c r="B643" s="71">
        <f t="shared" si="82"/>
        <v>343.1803050984492</v>
      </c>
      <c r="E643" s="92">
        <v>0.18803157698400899</v>
      </c>
      <c r="F643" s="71">
        <f t="shared" si="83"/>
        <v>7.1079449461662163</v>
      </c>
    </row>
    <row r="644" spans="1:6">
      <c r="A644" s="92">
        <v>6.1601668981581099</v>
      </c>
      <c r="B644" s="71">
        <f t="shared" si="82"/>
        <v>369.61001388948659</v>
      </c>
      <c r="E644" s="92">
        <v>0.19449290478191</v>
      </c>
      <c r="F644" s="71">
        <f t="shared" si="83"/>
        <v>7.1884465318000386</v>
      </c>
    </row>
    <row r="645" spans="1:6">
      <c r="A645" s="92">
        <v>7.1046250677871496</v>
      </c>
      <c r="B645" s="71">
        <f t="shared" si="82"/>
        <v>426.27750406722896</v>
      </c>
      <c r="E645" s="92">
        <v>0.204501399683678</v>
      </c>
      <c r="F645" s="71">
        <f t="shared" si="83"/>
        <v>7.309694404459659</v>
      </c>
    </row>
    <row r="646" spans="1:6">
      <c r="A646" s="92">
        <v>7.5066307010371398</v>
      </c>
      <c r="B646" s="71">
        <f t="shared" si="82"/>
        <v>450.39784206222839</v>
      </c>
      <c r="E646" s="92">
        <v>0.21751551515856499</v>
      </c>
      <c r="F646" s="71">
        <f t="shared" si="83"/>
        <v>7.4615755263255652</v>
      </c>
    </row>
    <row r="647" spans="1:6">
      <c r="A647" s="92">
        <v>8.2674229814972495</v>
      </c>
      <c r="B647" s="71">
        <f t="shared" si="82"/>
        <v>496.04537888983498</v>
      </c>
      <c r="E647" s="92">
        <v>0.22528853410848301</v>
      </c>
      <c r="F647" s="71">
        <f t="shared" si="83"/>
        <v>7.5494182900706077</v>
      </c>
    </row>
    <row r="648" spans="1:6">
      <c r="A648" s="92" t="s">
        <v>69</v>
      </c>
      <c r="B648" s="71"/>
      <c r="F648" s="71"/>
    </row>
    <row r="649" spans="1:6">
      <c r="A649" s="92">
        <v>0.123979891842872</v>
      </c>
      <c r="B649" s="71">
        <f t="shared" ref="B649:B677" si="84">A649*60</f>
        <v>7.43879351057232</v>
      </c>
      <c r="E649" s="92">
        <v>0.39662796049779903</v>
      </c>
      <c r="F649" s="71">
        <f t="shared" ref="F649:F677" si="85">2*POWER((3*E649*1000)/(4*PI()), 1/3)</f>
        <v>9.1158023773739902</v>
      </c>
    </row>
    <row r="650" spans="1:6">
      <c r="A650" s="92">
        <v>0.14985608537294701</v>
      </c>
      <c r="B650" s="71">
        <f t="shared" si="84"/>
        <v>8.9913651223768198</v>
      </c>
      <c r="E650" s="92">
        <v>0.39242561818809402</v>
      </c>
      <c r="F650" s="71">
        <f t="shared" si="85"/>
        <v>9.0834934966742065</v>
      </c>
    </row>
    <row r="651" spans="1:6">
      <c r="A651" s="92">
        <v>0.19077023226364201</v>
      </c>
      <c r="B651" s="71">
        <f t="shared" si="84"/>
        <v>11.44621393581852</v>
      </c>
      <c r="E651" s="92">
        <v>0.39100609667580299</v>
      </c>
      <c r="F651" s="71">
        <f t="shared" si="85"/>
        <v>9.0725276876442056</v>
      </c>
    </row>
    <row r="652" spans="1:6">
      <c r="A652" s="92">
        <v>0.223453263839864</v>
      </c>
      <c r="B652" s="71">
        <f t="shared" si="84"/>
        <v>13.40719583039184</v>
      </c>
      <c r="E652" s="92">
        <v>0.39320935101982102</v>
      </c>
      <c r="F652" s="71">
        <f t="shared" si="85"/>
        <v>9.089536508600867</v>
      </c>
    </row>
    <row r="653" spans="1:6">
      <c r="A653" s="92">
        <v>0.277420298067657</v>
      </c>
      <c r="B653" s="71">
        <f t="shared" si="84"/>
        <v>16.64521788405942</v>
      </c>
      <c r="E653" s="92">
        <v>0.39290526899323303</v>
      </c>
      <c r="F653" s="71">
        <f t="shared" si="85"/>
        <v>9.0871928228345347</v>
      </c>
    </row>
    <row r="654" spans="1:6">
      <c r="A654" s="92">
        <v>0.34959937449364598</v>
      </c>
      <c r="B654" s="71">
        <f t="shared" si="84"/>
        <v>20.975962469618757</v>
      </c>
      <c r="E654" s="92">
        <v>0.39072917290603698</v>
      </c>
      <c r="F654" s="71">
        <f t="shared" si="85"/>
        <v>9.0703853579419711</v>
      </c>
    </row>
    <row r="655" spans="1:6">
      <c r="A655" s="92">
        <v>0.41824062884511098</v>
      </c>
      <c r="B655" s="71">
        <f t="shared" si="84"/>
        <v>25.094437730706659</v>
      </c>
      <c r="E655" s="92">
        <v>0.39287007468962398</v>
      </c>
      <c r="F655" s="71">
        <f t="shared" si="85"/>
        <v>9.0869214877333118</v>
      </c>
    </row>
    <row r="656" spans="1:6">
      <c r="A656" s="92">
        <v>0.50777622771555098</v>
      </c>
      <c r="B656" s="71">
        <f t="shared" si="84"/>
        <v>30.466573662933058</v>
      </c>
      <c r="E656" s="92">
        <v>0.39358097031890299</v>
      </c>
      <c r="F656" s="71">
        <f t="shared" si="85"/>
        <v>9.0923990919462216</v>
      </c>
    </row>
    <row r="657" spans="1:6">
      <c r="A657" s="92">
        <v>0.616155155089397</v>
      </c>
      <c r="B657" s="71">
        <f t="shared" si="84"/>
        <v>36.969309305363822</v>
      </c>
      <c r="E657" s="92">
        <v>0.38113768765240302</v>
      </c>
      <c r="F657" s="71">
        <f t="shared" si="85"/>
        <v>8.9955507385183768</v>
      </c>
    </row>
    <row r="658" spans="1:6">
      <c r="A658" s="92">
        <v>0.70260497125231203</v>
      </c>
      <c r="B658" s="71">
        <f t="shared" si="84"/>
        <v>42.156298275138724</v>
      </c>
      <c r="E658" s="92">
        <v>0.40163666160266598</v>
      </c>
      <c r="F658" s="71">
        <f t="shared" si="85"/>
        <v>9.1540140658839864</v>
      </c>
    </row>
    <row r="659" spans="1:6">
      <c r="A659" s="92">
        <v>0.80813285194487805</v>
      </c>
      <c r="B659" s="71">
        <f t="shared" si="84"/>
        <v>48.487971116692684</v>
      </c>
      <c r="E659" s="92">
        <v>0.38142334388836802</v>
      </c>
      <c r="F659" s="71">
        <f t="shared" si="85"/>
        <v>8.997797514901114</v>
      </c>
    </row>
    <row r="660" spans="1:6">
      <c r="A660" s="92">
        <v>0.94812452003888004</v>
      </c>
      <c r="B660" s="71">
        <f t="shared" si="84"/>
        <v>56.887471202332804</v>
      </c>
      <c r="E660" s="92">
        <v>0.401692267854448</v>
      </c>
      <c r="F660" s="71">
        <f t="shared" si="85"/>
        <v>9.1544365015248594</v>
      </c>
    </row>
    <row r="661" spans="1:6">
      <c r="A661" s="92">
        <v>1.06022396827266</v>
      </c>
      <c r="B661" s="71">
        <f t="shared" si="84"/>
        <v>63.613438096359602</v>
      </c>
      <c r="E661" s="92">
        <v>0.39054466602743498</v>
      </c>
      <c r="F661" s="71">
        <f t="shared" si="85"/>
        <v>9.0689574191902285</v>
      </c>
    </row>
    <row r="662" spans="1:6">
      <c r="A662" s="92">
        <v>1.24894664027277</v>
      </c>
      <c r="B662" s="71">
        <f t="shared" si="84"/>
        <v>74.936798416366202</v>
      </c>
      <c r="E662" s="92">
        <v>0.39457581521499002</v>
      </c>
      <c r="F662" s="71">
        <f t="shared" si="85"/>
        <v>9.1000535237835614</v>
      </c>
    </row>
    <row r="663" spans="1:6">
      <c r="A663" s="92">
        <v>1.41039843919724</v>
      </c>
      <c r="B663" s="71">
        <f t="shared" si="84"/>
        <v>84.623906351834393</v>
      </c>
      <c r="E663" s="92">
        <v>0.38713435025001802</v>
      </c>
      <c r="F663" s="71">
        <f t="shared" si="85"/>
        <v>9.0424828792462542</v>
      </c>
    </row>
    <row r="664" spans="1:6">
      <c r="A664" s="92">
        <v>1.6279782092348001</v>
      </c>
      <c r="B664" s="71">
        <f t="shared" si="84"/>
        <v>97.678692554088002</v>
      </c>
      <c r="E664" s="92">
        <v>0.40240274200567799</v>
      </c>
      <c r="F664" s="71">
        <f t="shared" si="85"/>
        <v>9.1598304811500775</v>
      </c>
    </row>
    <row r="665" spans="1:6">
      <c r="A665" s="92">
        <v>1.72616930988386</v>
      </c>
      <c r="B665" s="71">
        <f t="shared" si="84"/>
        <v>103.57015859303159</v>
      </c>
      <c r="E665" s="92">
        <v>0.38989322755654299</v>
      </c>
      <c r="F665" s="71">
        <f t="shared" si="85"/>
        <v>9.0639121954808406</v>
      </c>
    </row>
    <row r="666" spans="1:6">
      <c r="A666" s="92">
        <v>1.9523423480999</v>
      </c>
      <c r="B666" s="71">
        <f t="shared" si="84"/>
        <v>117.140540885994</v>
      </c>
      <c r="E666" s="92">
        <v>0.413127783949719</v>
      </c>
      <c r="F666" s="71">
        <f t="shared" si="85"/>
        <v>9.2404955106263031</v>
      </c>
    </row>
    <row r="667" spans="1:6">
      <c r="A667" s="92">
        <v>2.2526174335588598</v>
      </c>
      <c r="B667" s="71">
        <f t="shared" si="84"/>
        <v>135.15704601353158</v>
      </c>
      <c r="E667" s="92">
        <v>0.41988755611911899</v>
      </c>
      <c r="F667" s="71">
        <f t="shared" si="85"/>
        <v>9.2906220693435522</v>
      </c>
    </row>
    <row r="668" spans="1:6">
      <c r="A668" s="92">
        <v>2.7554673946073902</v>
      </c>
      <c r="B668" s="71">
        <f t="shared" si="84"/>
        <v>165.3280436764434</v>
      </c>
      <c r="E668" s="92">
        <v>0.37922744850913997</v>
      </c>
      <c r="F668" s="71">
        <f t="shared" si="85"/>
        <v>8.9804971750183498</v>
      </c>
    </row>
    <row r="669" spans="1:6">
      <c r="A669" s="92">
        <v>3.2246179546124698</v>
      </c>
      <c r="B669" s="71">
        <f t="shared" si="84"/>
        <v>193.47707727674819</v>
      </c>
      <c r="E669" s="92">
        <v>0.43195009348768998</v>
      </c>
      <c r="F669" s="71">
        <f t="shared" si="85"/>
        <v>9.3787505157745521</v>
      </c>
    </row>
    <row r="670" spans="1:6">
      <c r="A670" s="92">
        <v>3.9145027636876302</v>
      </c>
      <c r="B670" s="71">
        <f t="shared" si="84"/>
        <v>234.87016582125781</v>
      </c>
      <c r="E670" s="92">
        <v>0.36631204256738598</v>
      </c>
      <c r="F670" s="71">
        <f t="shared" si="85"/>
        <v>8.8773673455725426</v>
      </c>
    </row>
    <row r="671" spans="1:6">
      <c r="A671" s="92">
        <v>4.3123303775596797</v>
      </c>
      <c r="B671" s="71">
        <f t="shared" si="84"/>
        <v>258.7398226535808</v>
      </c>
      <c r="E671" s="92">
        <v>0.39128640314060698</v>
      </c>
      <c r="F671" s="71">
        <f t="shared" si="85"/>
        <v>9.0746951565794909</v>
      </c>
    </row>
    <row r="672" spans="1:6">
      <c r="A672" s="92">
        <v>5.0532879559321602</v>
      </c>
      <c r="B672" s="71">
        <f t="shared" si="84"/>
        <v>303.1972773559296</v>
      </c>
      <c r="E672" s="92">
        <v>0.44010961829956702</v>
      </c>
      <c r="F672" s="71">
        <f t="shared" si="85"/>
        <v>9.4374372975721776</v>
      </c>
    </row>
    <row r="673" spans="1:6">
      <c r="A673" s="92">
        <v>5.5668493482922496</v>
      </c>
      <c r="B673" s="71">
        <f t="shared" si="84"/>
        <v>334.01096089753497</v>
      </c>
      <c r="E673" s="92">
        <v>0.40173479547680802</v>
      </c>
      <c r="F673" s="71">
        <f t="shared" si="85"/>
        <v>9.1547595536979536</v>
      </c>
    </row>
    <row r="674" spans="1:6">
      <c r="A674" s="92">
        <v>6.7192638640936204</v>
      </c>
      <c r="B674" s="71">
        <f t="shared" si="84"/>
        <v>403.15583184561723</v>
      </c>
      <c r="E674" s="92">
        <v>0.37931084015858202</v>
      </c>
      <c r="F674" s="71">
        <f t="shared" si="85"/>
        <v>8.9811553935342072</v>
      </c>
    </row>
    <row r="675" spans="1:6">
      <c r="A675" s="92">
        <v>7.8189862979212004</v>
      </c>
      <c r="B675" s="71">
        <f t="shared" si="84"/>
        <v>469.13917787527203</v>
      </c>
      <c r="E675" s="92">
        <v>0.37580882770156598</v>
      </c>
      <c r="F675" s="71">
        <f t="shared" si="85"/>
        <v>8.9534301887065997</v>
      </c>
    </row>
    <row r="676" spans="1:6">
      <c r="A676" s="92">
        <v>9.1404161725915998</v>
      </c>
      <c r="B676" s="71">
        <f t="shared" si="84"/>
        <v>548.42497035549604</v>
      </c>
      <c r="E676" s="92">
        <v>0.41950817911587401</v>
      </c>
      <c r="F676" s="71">
        <f t="shared" si="85"/>
        <v>9.287823137128342</v>
      </c>
    </row>
    <row r="677" spans="1:6">
      <c r="A677" s="92">
        <v>10.602888124275999</v>
      </c>
      <c r="B677" s="71">
        <f t="shared" si="84"/>
        <v>636.17328745655993</v>
      </c>
      <c r="E677" s="92">
        <v>0.46274662900018798</v>
      </c>
      <c r="F677" s="71">
        <f t="shared" si="85"/>
        <v>9.5965444770137101</v>
      </c>
    </row>
    <row r="678" spans="1:6">
      <c r="B678" s="71"/>
      <c r="F678" s="71"/>
    </row>
    <row r="679" spans="1:6">
      <c r="A679" s="92" t="s">
        <v>69</v>
      </c>
      <c r="B679" s="71"/>
      <c r="F679" s="71"/>
    </row>
    <row r="680" spans="1:6">
      <c r="A680" s="92">
        <v>0.10886224282923</v>
      </c>
      <c r="B680" s="71">
        <f t="shared" ref="B680:B704" si="86">A680*60</f>
        <v>6.5317345697537998</v>
      </c>
      <c r="E680" s="92">
        <v>0.30491863930115998</v>
      </c>
      <c r="F680" s="71">
        <f t="shared" ref="F680:F704" si="87">2*POWER((3*E680*1000)/(4*PI()), 1/3)</f>
        <v>8.3508070704600357</v>
      </c>
    </row>
    <row r="681" spans="1:6">
      <c r="A681" s="92">
        <v>0.134469641487694</v>
      </c>
      <c r="B681" s="71">
        <f t="shared" si="86"/>
        <v>8.0681784892616406</v>
      </c>
      <c r="E681" s="92">
        <v>0.30284241422666702</v>
      </c>
      <c r="F681" s="71">
        <f t="shared" si="87"/>
        <v>8.3318100279559157</v>
      </c>
    </row>
    <row r="682" spans="1:6">
      <c r="A682" s="92">
        <v>0.165340460238177</v>
      </c>
      <c r="B682" s="71">
        <f t="shared" si="86"/>
        <v>9.9204276142906203</v>
      </c>
      <c r="E682" s="92">
        <v>0.30040090803367903</v>
      </c>
      <c r="F682" s="71">
        <f t="shared" si="87"/>
        <v>8.309359322065859</v>
      </c>
    </row>
    <row r="683" spans="1:6">
      <c r="A683" s="92">
        <v>0.206640382534442</v>
      </c>
      <c r="B683" s="71">
        <f t="shared" si="86"/>
        <v>12.39842295206652</v>
      </c>
      <c r="E683" s="92">
        <v>0.30310888080152498</v>
      </c>
      <c r="F683" s="71">
        <f t="shared" si="87"/>
        <v>8.3342529905173119</v>
      </c>
    </row>
    <row r="684" spans="1:6">
      <c r="A684" s="92">
        <v>0.242166688736245</v>
      </c>
      <c r="B684" s="71">
        <f t="shared" si="86"/>
        <v>14.5300013241747</v>
      </c>
      <c r="E684" s="92">
        <v>0.30813622085487702</v>
      </c>
      <c r="F684" s="71">
        <f t="shared" si="87"/>
        <v>8.3800776566972317</v>
      </c>
    </row>
    <row r="685" spans="1:6">
      <c r="A685" s="92">
        <v>0.30443529489769999</v>
      </c>
      <c r="B685" s="71">
        <f t="shared" si="86"/>
        <v>18.266117693862</v>
      </c>
      <c r="E685" s="92">
        <v>0.31214433743796499</v>
      </c>
      <c r="F685" s="71">
        <f t="shared" si="87"/>
        <v>8.4162561763344232</v>
      </c>
    </row>
    <row r="686" spans="1:6">
      <c r="A686" s="92">
        <v>0.38896358912430301</v>
      </c>
      <c r="B686" s="71">
        <f t="shared" si="86"/>
        <v>23.337815347458182</v>
      </c>
      <c r="E686" s="92">
        <v>0.31160590926310899</v>
      </c>
      <c r="F686" s="71">
        <f t="shared" si="87"/>
        <v>8.4114142309603039</v>
      </c>
    </row>
    <row r="687" spans="1:6">
      <c r="A687" s="92">
        <v>0.50277629907184695</v>
      </c>
      <c r="B687" s="71">
        <f t="shared" si="86"/>
        <v>30.166577944310816</v>
      </c>
      <c r="E687" s="92">
        <v>0.32155647903363299</v>
      </c>
      <c r="F687" s="71">
        <f t="shared" si="87"/>
        <v>8.5000121681815983</v>
      </c>
    </row>
    <row r="688" spans="1:6">
      <c r="A688" s="92">
        <v>0.67886581877865204</v>
      </c>
      <c r="B688" s="71">
        <f t="shared" si="86"/>
        <v>40.731949126719122</v>
      </c>
      <c r="E688" s="92">
        <v>0.331017822349291</v>
      </c>
      <c r="F688" s="71">
        <f t="shared" si="87"/>
        <v>8.5825745599704568</v>
      </c>
    </row>
    <row r="689" spans="1:6">
      <c r="A689" s="92">
        <v>0.87305160657023895</v>
      </c>
      <c r="B689" s="71">
        <f t="shared" si="86"/>
        <v>52.383096394214334</v>
      </c>
      <c r="E689" s="92">
        <v>0.33775448157134502</v>
      </c>
      <c r="F689" s="71">
        <f t="shared" si="87"/>
        <v>8.6404063216362488</v>
      </c>
    </row>
    <row r="690" spans="1:6">
      <c r="A690" s="92">
        <v>1.00794536479955</v>
      </c>
      <c r="B690" s="71">
        <f t="shared" si="86"/>
        <v>60.476721887973</v>
      </c>
      <c r="E690" s="92">
        <v>0.33180588723334098</v>
      </c>
      <c r="F690" s="71">
        <f t="shared" si="87"/>
        <v>8.5893801001317218</v>
      </c>
    </row>
    <row r="691" spans="1:6">
      <c r="A691" s="92">
        <v>1.1887573880683999</v>
      </c>
      <c r="B691" s="71">
        <f t="shared" si="86"/>
        <v>71.325443284103997</v>
      </c>
      <c r="E691" s="92">
        <v>0.346733895528755</v>
      </c>
      <c r="F691" s="71">
        <f t="shared" si="87"/>
        <v>8.7163078144815263</v>
      </c>
    </row>
    <row r="692" spans="1:6">
      <c r="A692" s="92">
        <v>1.50591085102981</v>
      </c>
      <c r="B692" s="71">
        <f t="shared" si="86"/>
        <v>90.354651061788601</v>
      </c>
      <c r="E692" s="92">
        <v>0.339397767083225</v>
      </c>
      <c r="F692" s="71">
        <f t="shared" si="87"/>
        <v>8.65439645383079</v>
      </c>
    </row>
    <row r="693" spans="1:6">
      <c r="A693" s="92">
        <v>1.7582403750304501</v>
      </c>
      <c r="B693" s="71">
        <f t="shared" si="86"/>
        <v>105.494422501827</v>
      </c>
      <c r="E693" s="92">
        <v>0.36658360194666201</v>
      </c>
      <c r="F693" s="71">
        <f t="shared" si="87"/>
        <v>8.8795605002351063</v>
      </c>
    </row>
    <row r="694" spans="1:6">
      <c r="A694" s="92">
        <v>1.93096764357257</v>
      </c>
      <c r="B694" s="71">
        <f t="shared" si="86"/>
        <v>115.85805861435421</v>
      </c>
      <c r="E694" s="92">
        <v>0.360814169332485</v>
      </c>
      <c r="F694" s="71">
        <f t="shared" si="87"/>
        <v>8.8327306550000682</v>
      </c>
    </row>
    <row r="695" spans="1:6">
      <c r="A695" s="92">
        <v>2.2122321535106702</v>
      </c>
      <c r="B695" s="71">
        <f t="shared" si="86"/>
        <v>132.73392921064021</v>
      </c>
      <c r="E695" s="92">
        <v>0.29922165817282798</v>
      </c>
      <c r="F695" s="71">
        <f t="shared" si="87"/>
        <v>8.2984720259821483</v>
      </c>
    </row>
    <row r="696" spans="1:6">
      <c r="A696" s="92">
        <v>2.7879460278410901</v>
      </c>
      <c r="B696" s="71">
        <f t="shared" si="86"/>
        <v>167.27676167046542</v>
      </c>
      <c r="E696" s="92">
        <v>0.27653100323041502</v>
      </c>
      <c r="F696" s="71">
        <f t="shared" si="87"/>
        <v>8.0831704270442213</v>
      </c>
    </row>
    <row r="697" spans="1:6">
      <c r="A697" s="92">
        <v>3.22678804080088</v>
      </c>
      <c r="B697" s="71">
        <f t="shared" si="86"/>
        <v>193.60728244805279</v>
      </c>
      <c r="E697" s="92">
        <v>0.28708635482648598</v>
      </c>
      <c r="F697" s="71">
        <f t="shared" si="87"/>
        <v>8.184735381340861</v>
      </c>
    </row>
    <row r="698" spans="1:6">
      <c r="A698" s="92">
        <v>3.9284130167273599</v>
      </c>
      <c r="B698" s="71">
        <f t="shared" si="86"/>
        <v>235.70478100364159</v>
      </c>
      <c r="E698" s="92">
        <v>0.30683913679096197</v>
      </c>
      <c r="F698" s="71">
        <f t="shared" si="87"/>
        <v>8.368302612647021</v>
      </c>
    </row>
    <row r="699" spans="1:6">
      <c r="A699" s="92">
        <v>4.3093775284734699</v>
      </c>
      <c r="B699" s="71">
        <f t="shared" si="86"/>
        <v>258.56265170840817</v>
      </c>
      <c r="E699" s="92">
        <v>0.30432327584718499</v>
      </c>
      <c r="F699" s="71">
        <f t="shared" si="87"/>
        <v>8.3453684560688792</v>
      </c>
    </row>
    <row r="700" spans="1:6">
      <c r="A700" s="92">
        <v>5.0104502815898799</v>
      </c>
      <c r="B700" s="71">
        <f t="shared" si="86"/>
        <v>300.62701689539279</v>
      </c>
      <c r="E700" s="92">
        <v>0.30850028547678299</v>
      </c>
      <c r="F700" s="71">
        <f t="shared" si="87"/>
        <v>8.3833767268677732</v>
      </c>
    </row>
    <row r="701" spans="1:6">
      <c r="A701" s="92">
        <v>5.8306387876771302</v>
      </c>
      <c r="B701" s="71">
        <f t="shared" si="86"/>
        <v>349.83832726062781</v>
      </c>
      <c r="E701" s="92">
        <v>0.38575281666171701</v>
      </c>
      <c r="F701" s="71">
        <f t="shared" si="87"/>
        <v>9.0317136775941798</v>
      </c>
    </row>
    <row r="702" spans="1:6">
      <c r="A702" s="92">
        <v>6.7379466036313804</v>
      </c>
      <c r="B702" s="71">
        <f t="shared" si="86"/>
        <v>404.2767962178828</v>
      </c>
      <c r="E702" s="92">
        <v>0.40163339088640598</v>
      </c>
      <c r="F702" s="71">
        <f t="shared" si="87"/>
        <v>9.1539892173357149</v>
      </c>
    </row>
    <row r="703" spans="1:6">
      <c r="A703" s="92">
        <v>8.1124268176692809</v>
      </c>
      <c r="B703" s="71">
        <f t="shared" si="86"/>
        <v>486.74560906015688</v>
      </c>
      <c r="E703" s="92">
        <v>0.415100599345407</v>
      </c>
      <c r="F703" s="71">
        <f t="shared" si="87"/>
        <v>9.2551809191811607</v>
      </c>
    </row>
    <row r="704" spans="1:6">
      <c r="A704" s="92">
        <v>9.7415168117791993</v>
      </c>
      <c r="B704" s="71">
        <f t="shared" si="86"/>
        <v>584.49100870675193</v>
      </c>
      <c r="E704" s="92">
        <v>0.44740924180809699</v>
      </c>
      <c r="F704" s="71">
        <f t="shared" si="87"/>
        <v>9.4893276606613739</v>
      </c>
    </row>
    <row r="705" spans="1:6">
      <c r="A705" s="92" t="s">
        <v>69</v>
      </c>
      <c r="B705" s="71"/>
      <c r="F705" s="71"/>
    </row>
    <row r="706" spans="1:6">
      <c r="A706" s="92">
        <v>0.11092824083033399</v>
      </c>
      <c r="B706" s="71">
        <f t="shared" ref="B706:B729" si="88">A706*60</f>
        <v>6.6556944498200394</v>
      </c>
      <c r="E706" s="92">
        <v>0.22057255969547901</v>
      </c>
      <c r="F706" s="71">
        <f t="shared" ref="F706:F729" si="89">2*POWER((3*E706*1000)/(4*PI()), 1/3)</f>
        <v>7.4963689578012875</v>
      </c>
    </row>
    <row r="707" spans="1:6">
      <c r="A707" s="92">
        <v>0.13234021284071701</v>
      </c>
      <c r="B707" s="71">
        <f t="shared" si="88"/>
        <v>7.9404127704430207</v>
      </c>
      <c r="E707" s="92">
        <v>0.23187992613705999</v>
      </c>
      <c r="F707" s="71">
        <f t="shared" si="89"/>
        <v>7.6223375450905735</v>
      </c>
    </row>
    <row r="708" spans="1:6">
      <c r="A708" s="92">
        <v>0.16734458239234001</v>
      </c>
      <c r="B708" s="71">
        <f t="shared" si="88"/>
        <v>10.040674943540401</v>
      </c>
      <c r="E708" s="92">
        <v>0.23732262907902901</v>
      </c>
      <c r="F708" s="71">
        <f t="shared" si="89"/>
        <v>7.6815142905339151</v>
      </c>
    </row>
    <row r="709" spans="1:6">
      <c r="A709" s="92">
        <v>0.20632972379096001</v>
      </c>
      <c r="B709" s="71">
        <f t="shared" si="88"/>
        <v>12.379783427457602</v>
      </c>
      <c r="E709" s="92">
        <v>0.234603642380041</v>
      </c>
      <c r="F709" s="71">
        <f t="shared" si="89"/>
        <v>7.6520660387286927</v>
      </c>
    </row>
    <row r="710" spans="1:6">
      <c r="A710" s="92">
        <v>0.24508404819186999</v>
      </c>
      <c r="B710" s="71">
        <f t="shared" si="88"/>
        <v>14.7050428915122</v>
      </c>
      <c r="E710" s="92">
        <v>0.24084072681796201</v>
      </c>
      <c r="F710" s="71">
        <f t="shared" si="89"/>
        <v>7.7192854742586876</v>
      </c>
    </row>
    <row r="711" spans="1:6">
      <c r="A711" s="92">
        <v>0.295888580653629</v>
      </c>
      <c r="B711" s="71">
        <f t="shared" si="88"/>
        <v>17.75331483921774</v>
      </c>
      <c r="E711" s="92">
        <v>0.24836361039336799</v>
      </c>
      <c r="F711" s="71">
        <f t="shared" si="89"/>
        <v>7.7988358734887608</v>
      </c>
    </row>
    <row r="712" spans="1:6">
      <c r="A712" s="92">
        <v>0.39526574346195897</v>
      </c>
      <c r="B712" s="71">
        <f t="shared" si="88"/>
        <v>23.715944607717539</v>
      </c>
      <c r="E712" s="92">
        <v>0.26575274801896698</v>
      </c>
      <c r="F712" s="71">
        <f t="shared" si="89"/>
        <v>7.9767573390361139</v>
      </c>
    </row>
    <row r="713" spans="1:6">
      <c r="A713" s="92">
        <v>0.50083669648583395</v>
      </c>
      <c r="B713" s="71">
        <f t="shared" si="88"/>
        <v>30.050201789150037</v>
      </c>
      <c r="E713" s="92">
        <v>0.27166953732874999</v>
      </c>
      <c r="F713" s="71">
        <f t="shared" si="89"/>
        <v>8.0355222308546388</v>
      </c>
    </row>
    <row r="714" spans="1:6">
      <c r="A714" s="92">
        <v>0.65082192011636097</v>
      </c>
      <c r="B714" s="71">
        <f t="shared" si="88"/>
        <v>39.04931520698166</v>
      </c>
      <c r="E714" s="92">
        <v>0.27629915156625301</v>
      </c>
      <c r="F714" s="71">
        <f t="shared" si="89"/>
        <v>8.0809107400613787</v>
      </c>
    </row>
    <row r="715" spans="1:6">
      <c r="A715" s="92">
        <v>0.86045670830079202</v>
      </c>
      <c r="B715" s="71">
        <f t="shared" si="88"/>
        <v>51.627402498047523</v>
      </c>
      <c r="E715" s="92">
        <v>0.28857240922730798</v>
      </c>
      <c r="F715" s="71">
        <f t="shared" si="89"/>
        <v>8.1988333875814412</v>
      </c>
    </row>
    <row r="716" spans="1:6">
      <c r="A716" s="92">
        <v>1.0114405102396899</v>
      </c>
      <c r="B716" s="71">
        <f t="shared" si="88"/>
        <v>60.686430614381393</v>
      </c>
      <c r="E716" s="92">
        <v>0.27642293165589599</v>
      </c>
      <c r="F716" s="71">
        <f t="shared" si="89"/>
        <v>8.0821172904230512</v>
      </c>
    </row>
    <row r="717" spans="1:6">
      <c r="A717" s="92">
        <v>1.20069663838246</v>
      </c>
      <c r="B717" s="71">
        <f t="shared" si="88"/>
        <v>72.041798302947598</v>
      </c>
      <c r="E717" s="92">
        <v>0.30080972070468598</v>
      </c>
      <c r="F717" s="71">
        <f t="shared" si="89"/>
        <v>8.3131269888555561</v>
      </c>
    </row>
    <row r="718" spans="1:6">
      <c r="A718" s="92">
        <v>1.5089532170992199</v>
      </c>
      <c r="B718" s="71">
        <f t="shared" si="88"/>
        <v>90.537193025953201</v>
      </c>
      <c r="E718" s="92">
        <v>0.30293121037990101</v>
      </c>
      <c r="F718" s="71">
        <f t="shared" si="89"/>
        <v>8.3326242692339125</v>
      </c>
    </row>
    <row r="719" spans="1:6">
      <c r="A719" s="92">
        <v>1.78616000065445</v>
      </c>
      <c r="B719" s="71">
        <f t="shared" si="88"/>
        <v>107.169600039267</v>
      </c>
      <c r="E719" s="92">
        <v>0.30374144220527999</v>
      </c>
      <c r="F719" s="71">
        <f t="shared" si="89"/>
        <v>8.3400465782371551</v>
      </c>
    </row>
    <row r="720" spans="1:6">
      <c r="A720" s="92">
        <v>1.9800718006252001</v>
      </c>
      <c r="B720" s="71">
        <f t="shared" si="88"/>
        <v>118.804308037512</v>
      </c>
      <c r="E720" s="92">
        <v>0.30326195827367802</v>
      </c>
      <c r="F720" s="71">
        <f t="shared" si="89"/>
        <v>8.3356557556106754</v>
      </c>
    </row>
    <row r="721" spans="1:6">
      <c r="A721" s="92">
        <v>2.3597923712337399</v>
      </c>
      <c r="B721" s="71">
        <f t="shared" si="88"/>
        <v>141.5875422740244</v>
      </c>
      <c r="E721" s="92">
        <v>0.24498088408481</v>
      </c>
      <c r="F721" s="71">
        <f t="shared" si="89"/>
        <v>7.7632670374702366</v>
      </c>
    </row>
    <row r="722" spans="1:6">
      <c r="A722" s="92">
        <v>3.1503865383891698</v>
      </c>
      <c r="B722" s="71">
        <f t="shared" si="88"/>
        <v>189.02319230335019</v>
      </c>
      <c r="E722" s="92">
        <v>0.25103142235905201</v>
      </c>
      <c r="F722" s="71">
        <f t="shared" si="89"/>
        <v>7.8266603648488191</v>
      </c>
    </row>
    <row r="723" spans="1:6">
      <c r="A723" s="92">
        <v>3.69956094805109</v>
      </c>
      <c r="B723" s="71">
        <f t="shared" si="88"/>
        <v>221.97365688306542</v>
      </c>
      <c r="E723" s="92">
        <v>0.25721254464518101</v>
      </c>
      <c r="F723" s="71">
        <f t="shared" si="89"/>
        <v>7.8903785814656464</v>
      </c>
    </row>
    <row r="724" spans="1:6">
      <c r="A724" s="92">
        <v>4.2998473203653198</v>
      </c>
      <c r="B724" s="71">
        <f t="shared" si="88"/>
        <v>257.9908392219192</v>
      </c>
      <c r="E724" s="92">
        <v>0.28806760333272002</v>
      </c>
      <c r="F724" s="71">
        <f t="shared" si="89"/>
        <v>8.1940497988833183</v>
      </c>
    </row>
    <row r="725" spans="1:6">
      <c r="A725" s="92">
        <v>5.7331846408793998</v>
      </c>
      <c r="B725" s="71">
        <f t="shared" si="88"/>
        <v>343.99107845276399</v>
      </c>
      <c r="E725" s="92">
        <v>0.31039783918143998</v>
      </c>
      <c r="F725" s="71">
        <f t="shared" si="89"/>
        <v>8.400530036325744</v>
      </c>
    </row>
    <row r="726" spans="1:6">
      <c r="A726" s="92">
        <v>6.5924264290209296</v>
      </c>
      <c r="B726" s="71">
        <f t="shared" si="88"/>
        <v>395.54558574125576</v>
      </c>
      <c r="E726" s="92">
        <v>0.31599608275529201</v>
      </c>
      <c r="F726" s="71">
        <f t="shared" si="89"/>
        <v>8.4507325803862336</v>
      </c>
    </row>
    <row r="727" spans="1:6">
      <c r="A727" s="92">
        <v>7.5312760353914801</v>
      </c>
      <c r="B727" s="71">
        <f t="shared" si="88"/>
        <v>451.87656212348878</v>
      </c>
      <c r="E727" s="92">
        <v>0.31894851609701902</v>
      </c>
      <c r="F727" s="71">
        <f t="shared" si="89"/>
        <v>8.4769701630308329</v>
      </c>
    </row>
    <row r="728" spans="1:6">
      <c r="A728" s="92">
        <v>9.0464286633528097</v>
      </c>
      <c r="B728" s="71">
        <f t="shared" si="88"/>
        <v>542.78571980116863</v>
      </c>
      <c r="E728" s="92">
        <v>0.32110378083047703</v>
      </c>
      <c r="F728" s="71">
        <f t="shared" si="89"/>
        <v>8.496021425596755</v>
      </c>
    </row>
    <row r="729" spans="1:6">
      <c r="A729" s="92">
        <v>9.7465226564285992</v>
      </c>
      <c r="B729" s="71">
        <f t="shared" si="88"/>
        <v>584.79135938571596</v>
      </c>
      <c r="E729" s="92">
        <v>0.34514220985322902</v>
      </c>
      <c r="F729" s="71">
        <f t="shared" si="89"/>
        <v>8.7029499188144666</v>
      </c>
    </row>
    <row r="730" spans="1:6">
      <c r="A730" s="92" t="s">
        <v>69</v>
      </c>
      <c r="B730" s="71"/>
      <c r="F730" s="71"/>
    </row>
    <row r="731" spans="1:6">
      <c r="A731" s="92">
        <v>0.12827278754347499</v>
      </c>
      <c r="B731" s="71">
        <f t="shared" ref="B731:B755" si="90">A731*60</f>
        <v>7.696367252608499</v>
      </c>
      <c r="E731" s="92">
        <v>0.35730476855528798</v>
      </c>
      <c r="F731" s="71">
        <f t="shared" ref="F731:F755" si="91">2*POWER((3*E731*1000)/(4*PI()), 1/3)</f>
        <v>8.8040005969371791</v>
      </c>
    </row>
    <row r="732" spans="1:6">
      <c r="A732" s="92">
        <v>0.16097690321498001</v>
      </c>
      <c r="B732" s="71">
        <f t="shared" si="90"/>
        <v>9.658614192898801</v>
      </c>
      <c r="E732" s="92">
        <v>0.38450523436780898</v>
      </c>
      <c r="F732" s="71">
        <f t="shared" si="91"/>
        <v>9.0219665245729121</v>
      </c>
    </row>
    <row r="733" spans="1:6">
      <c r="A733" s="92">
        <v>0.20098339144115501</v>
      </c>
      <c r="B733" s="71">
        <f t="shared" si="90"/>
        <v>12.059003486469301</v>
      </c>
      <c r="E733" s="92">
        <v>0.427449243187695</v>
      </c>
      <c r="F733" s="71">
        <f t="shared" si="91"/>
        <v>9.3460616915494672</v>
      </c>
    </row>
    <row r="734" spans="1:6">
      <c r="A734" s="92">
        <v>0.26169562539638802</v>
      </c>
      <c r="B734" s="71">
        <f t="shared" si="90"/>
        <v>15.701737523783281</v>
      </c>
      <c r="E734" s="92">
        <v>0.42024177024090797</v>
      </c>
      <c r="F734" s="71">
        <f t="shared" si="91"/>
        <v>9.2932338357065909</v>
      </c>
    </row>
    <row r="735" spans="1:6">
      <c r="A735" s="92">
        <v>0.32365420839916698</v>
      </c>
      <c r="B735" s="71">
        <f t="shared" si="90"/>
        <v>19.41925250395002</v>
      </c>
      <c r="E735" s="92">
        <v>0.39462177215229</v>
      </c>
      <c r="F735" s="71">
        <f t="shared" si="91"/>
        <v>9.1004068097998925</v>
      </c>
    </row>
    <row r="736" spans="1:6">
      <c r="A736" s="92">
        <v>0.38843079062534402</v>
      </c>
      <c r="B736" s="71">
        <f t="shared" si="90"/>
        <v>23.30584743752064</v>
      </c>
      <c r="E736" s="92">
        <v>0.40317960383323798</v>
      </c>
      <c r="F736" s="71">
        <f t="shared" si="91"/>
        <v>9.1657212199354507</v>
      </c>
    </row>
    <row r="737" spans="1:6">
      <c r="A737" s="92">
        <v>0.48380166864950702</v>
      </c>
      <c r="B737" s="71">
        <f t="shared" si="90"/>
        <v>29.028100118970421</v>
      </c>
      <c r="E737" s="92">
        <v>0.41140446719211199</v>
      </c>
      <c r="F737" s="71">
        <f t="shared" si="91"/>
        <v>9.2276290360635258</v>
      </c>
    </row>
    <row r="738" spans="1:6">
      <c r="A738" s="92">
        <v>0.58825418894737502</v>
      </c>
      <c r="B738" s="71">
        <f t="shared" si="90"/>
        <v>35.295251336842504</v>
      </c>
      <c r="E738" s="92">
        <v>0.46679533279626001</v>
      </c>
      <c r="F738" s="71">
        <f t="shared" si="91"/>
        <v>9.6244508931325967</v>
      </c>
    </row>
    <row r="739" spans="1:6">
      <c r="A739" s="92">
        <v>0.71996090193319895</v>
      </c>
      <c r="B739" s="71">
        <f t="shared" si="90"/>
        <v>43.197654115991938</v>
      </c>
      <c r="E739" s="92">
        <v>0.47547615268368099</v>
      </c>
      <c r="F739" s="71">
        <f t="shared" si="91"/>
        <v>9.6837456201368113</v>
      </c>
    </row>
    <row r="740" spans="1:6">
      <c r="A740" s="92">
        <v>0.886084908832106</v>
      </c>
      <c r="B740" s="71">
        <f t="shared" si="90"/>
        <v>53.165094529926357</v>
      </c>
      <c r="E740" s="92">
        <v>0.44938806295706002</v>
      </c>
      <c r="F740" s="71">
        <f t="shared" si="91"/>
        <v>9.5032970237932695</v>
      </c>
    </row>
    <row r="741" spans="1:6">
      <c r="A741" s="92">
        <v>1.1134045166820099</v>
      </c>
      <c r="B741" s="71">
        <f t="shared" si="90"/>
        <v>66.804271000920593</v>
      </c>
      <c r="E741" s="92">
        <v>0.46313785335389601</v>
      </c>
      <c r="F741" s="71">
        <f t="shared" si="91"/>
        <v>9.5992481483334657</v>
      </c>
    </row>
    <row r="742" spans="1:6">
      <c r="A742" s="92">
        <v>1.3140019537097001</v>
      </c>
      <c r="B742" s="71">
        <f t="shared" si="90"/>
        <v>78.840117222582009</v>
      </c>
      <c r="E742" s="92">
        <v>0.47657972966866702</v>
      </c>
      <c r="F742" s="71">
        <f t="shared" si="91"/>
        <v>9.6912318010341529</v>
      </c>
    </row>
    <row r="743" spans="1:6">
      <c r="A743" s="92">
        <v>1.6072744317065799</v>
      </c>
      <c r="B743" s="71">
        <f t="shared" si="90"/>
        <v>96.436465902394801</v>
      </c>
      <c r="E743" s="92">
        <v>0.50505111178046702</v>
      </c>
      <c r="F743" s="71">
        <f t="shared" si="91"/>
        <v>9.8804995576131063</v>
      </c>
    </row>
    <row r="744" spans="1:6">
      <c r="A744" s="92">
        <v>1.9471600142149399</v>
      </c>
      <c r="B744" s="71">
        <f t="shared" si="90"/>
        <v>116.82960085289639</v>
      </c>
      <c r="E744" s="92">
        <v>0.52199181914302595</v>
      </c>
      <c r="F744" s="71">
        <f t="shared" si="91"/>
        <v>9.9897593138870473</v>
      </c>
    </row>
    <row r="745" spans="1:6">
      <c r="A745" s="92">
        <v>2.3835053918509801</v>
      </c>
      <c r="B745" s="71">
        <f t="shared" si="90"/>
        <v>143.0103235110588</v>
      </c>
      <c r="E745" s="92">
        <v>0.50342940376013401</v>
      </c>
      <c r="F745" s="71">
        <f t="shared" si="91"/>
        <v>9.8699128626550614</v>
      </c>
    </row>
    <row r="746" spans="1:6">
      <c r="A746" s="92">
        <v>2.7090722001239098</v>
      </c>
      <c r="B746" s="71">
        <f t="shared" si="90"/>
        <v>162.54433200743458</v>
      </c>
      <c r="E746" s="92">
        <v>0.56076668623011405</v>
      </c>
      <c r="F746" s="71">
        <f t="shared" si="91"/>
        <v>10.23123031137898</v>
      </c>
    </row>
    <row r="747" spans="1:6">
      <c r="A747" s="92">
        <v>3.2013557792956702</v>
      </c>
      <c r="B747" s="71">
        <f t="shared" si="90"/>
        <v>192.08134675774022</v>
      </c>
      <c r="E747" s="92">
        <v>0.60744784336027002</v>
      </c>
      <c r="F747" s="71">
        <f t="shared" si="91"/>
        <v>10.507598198878885</v>
      </c>
    </row>
    <row r="748" spans="1:6">
      <c r="A748" s="92">
        <v>3.7055011814197498</v>
      </c>
      <c r="B748" s="71">
        <f t="shared" si="90"/>
        <v>222.33007088518499</v>
      </c>
      <c r="E748" s="92">
        <v>0.70410503396193902</v>
      </c>
      <c r="F748" s="71">
        <f t="shared" si="91"/>
        <v>11.037726000963284</v>
      </c>
    </row>
    <row r="749" spans="1:6">
      <c r="A749" s="92">
        <v>4.5007859464515896</v>
      </c>
      <c r="B749" s="71">
        <f t="shared" si="90"/>
        <v>270.04715678709539</v>
      </c>
      <c r="E749" s="92">
        <v>0.87988651475076296</v>
      </c>
      <c r="F749" s="71">
        <f t="shared" si="91"/>
        <v>11.888927530405516</v>
      </c>
    </row>
    <row r="750" spans="1:6">
      <c r="A750" s="92">
        <v>5.32577621790952</v>
      </c>
      <c r="B750" s="71">
        <f t="shared" si="90"/>
        <v>319.5465730745712</v>
      </c>
      <c r="E750" s="92">
        <v>0.87727280066248603</v>
      </c>
      <c r="F750" s="71">
        <f t="shared" si="91"/>
        <v>11.877143784599275</v>
      </c>
    </row>
    <row r="751" spans="1:6">
      <c r="A751" s="92">
        <v>6.1324060618976297</v>
      </c>
      <c r="B751" s="71">
        <f t="shared" si="90"/>
        <v>367.9443637138578</v>
      </c>
      <c r="E751" s="92">
        <v>0.93883378202169898</v>
      </c>
      <c r="F751" s="71">
        <f t="shared" si="91"/>
        <v>12.148706181399703</v>
      </c>
    </row>
    <row r="752" spans="1:6">
      <c r="A752" s="92">
        <v>7.0386338882455899</v>
      </c>
      <c r="B752" s="71">
        <f t="shared" si="90"/>
        <v>422.31803329473541</v>
      </c>
      <c r="E752" s="92">
        <v>0.99568095982731597</v>
      </c>
      <c r="F752" s="71">
        <f t="shared" si="91"/>
        <v>12.389121915752179</v>
      </c>
    </row>
    <row r="753" spans="1:6">
      <c r="A753" s="92">
        <v>7.9545562304994197</v>
      </c>
      <c r="B753" s="71">
        <f t="shared" si="90"/>
        <v>477.27337382996518</v>
      </c>
      <c r="E753" s="92">
        <v>1.0141836790416801</v>
      </c>
      <c r="F753" s="71">
        <f t="shared" si="91"/>
        <v>12.465393664369749</v>
      </c>
    </row>
    <row r="754" spans="1:6">
      <c r="A754" s="92">
        <v>9.2589636221464708</v>
      </c>
      <c r="B754" s="71">
        <f t="shared" si="90"/>
        <v>555.53781732878826</v>
      </c>
      <c r="E754" s="92">
        <v>1.1429707507851199</v>
      </c>
      <c r="F754" s="71">
        <f t="shared" si="91"/>
        <v>12.972156061218378</v>
      </c>
    </row>
    <row r="755" spans="1:6">
      <c r="A755" s="92">
        <v>10.785900981152899</v>
      </c>
      <c r="B755" s="71">
        <f t="shared" si="90"/>
        <v>647.15405886917392</v>
      </c>
      <c r="E755" s="92">
        <v>0.91734369781241998</v>
      </c>
      <c r="F755" s="71">
        <f t="shared" si="91"/>
        <v>12.055294375796159</v>
      </c>
    </row>
    <row r="756" spans="1:6">
      <c r="A756" s="92" t="s">
        <v>69</v>
      </c>
      <c r="B756" s="71"/>
      <c r="F756" s="71"/>
    </row>
    <row r="757" spans="1:6">
      <c r="A757" s="92">
        <v>0.12572512201997599</v>
      </c>
      <c r="B757" s="71">
        <f t="shared" ref="B757:B779" si="92">A757*60</f>
        <v>7.5435073211985593</v>
      </c>
      <c r="E757" s="92">
        <v>0.21607473608560701</v>
      </c>
      <c r="F757" s="71">
        <f t="shared" ref="F757:F779" si="93">2*POWER((3*E757*1000)/(4*PI()), 1/3)</f>
        <v>7.4450643578532869</v>
      </c>
    </row>
    <row r="758" spans="1:6">
      <c r="A758" s="92">
        <v>0.16520512216892</v>
      </c>
      <c r="B758" s="71">
        <f t="shared" si="92"/>
        <v>9.9123073301351994</v>
      </c>
      <c r="E758" s="92">
        <v>0.22692440536893699</v>
      </c>
      <c r="F758" s="71">
        <f t="shared" si="93"/>
        <v>7.5676469210606534</v>
      </c>
    </row>
    <row r="759" spans="1:6">
      <c r="A759" s="92">
        <v>0.20406340675765899</v>
      </c>
      <c r="B759" s="71">
        <f t="shared" si="92"/>
        <v>12.243804405459539</v>
      </c>
      <c r="E759" s="92">
        <v>0.23067100639481899</v>
      </c>
      <c r="F759" s="71">
        <f t="shared" si="93"/>
        <v>7.6090679548074425</v>
      </c>
    </row>
    <row r="760" spans="1:6">
      <c r="A760" s="92">
        <v>0.26566616386672998</v>
      </c>
      <c r="B760" s="71">
        <f t="shared" si="92"/>
        <v>15.939969832003799</v>
      </c>
      <c r="E760" s="92">
        <v>0.240352242619397</v>
      </c>
      <c r="F760" s="71">
        <f t="shared" si="93"/>
        <v>7.7140630723833601</v>
      </c>
    </row>
    <row r="761" spans="1:6">
      <c r="A761" s="92">
        <v>0.33006401908758598</v>
      </c>
      <c r="B761" s="71">
        <f t="shared" si="92"/>
        <v>19.803841145255159</v>
      </c>
      <c r="E761" s="92">
        <v>0.256001205775159</v>
      </c>
      <c r="F761" s="71">
        <f t="shared" si="93"/>
        <v>7.8779725432751242</v>
      </c>
    </row>
    <row r="762" spans="1:6">
      <c r="A762" s="92">
        <v>0.40008679463365099</v>
      </c>
      <c r="B762" s="71">
        <f t="shared" si="92"/>
        <v>24.005207678019058</v>
      </c>
      <c r="E762" s="92">
        <v>0.267210644211615</v>
      </c>
      <c r="F762" s="71">
        <f t="shared" si="93"/>
        <v>7.991317342740949</v>
      </c>
    </row>
    <row r="763" spans="1:6">
      <c r="A763" s="92">
        <v>0.48635581512248099</v>
      </c>
      <c r="B763" s="71">
        <f t="shared" si="92"/>
        <v>29.181348907348859</v>
      </c>
      <c r="E763" s="92">
        <v>0.25710479064639002</v>
      </c>
      <c r="F763" s="71">
        <f t="shared" si="93"/>
        <v>7.8892765893363794</v>
      </c>
    </row>
    <row r="764" spans="1:6">
      <c r="A764" s="92">
        <v>0.62779140454558502</v>
      </c>
      <c r="B764" s="71">
        <f t="shared" si="92"/>
        <v>37.667484272735102</v>
      </c>
      <c r="E764" s="92">
        <v>0.276347570060894</v>
      </c>
      <c r="F764" s="71">
        <f t="shared" si="93"/>
        <v>8.0813827437794821</v>
      </c>
    </row>
    <row r="765" spans="1:6">
      <c r="A765" s="92">
        <v>0.74362729267246397</v>
      </c>
      <c r="B765" s="71">
        <f t="shared" si="92"/>
        <v>44.617637560347838</v>
      </c>
      <c r="E765" s="92">
        <v>0.30004296338775199</v>
      </c>
      <c r="F765" s="71">
        <f t="shared" si="93"/>
        <v>8.3060576533862296</v>
      </c>
    </row>
    <row r="766" spans="1:6">
      <c r="A766" s="92">
        <v>0.89746121035690696</v>
      </c>
      <c r="B766" s="71">
        <f t="shared" si="92"/>
        <v>53.847672621414418</v>
      </c>
      <c r="E766" s="92">
        <v>0.34359813294094499</v>
      </c>
      <c r="F766" s="71">
        <f t="shared" si="93"/>
        <v>8.6899522683550288</v>
      </c>
    </row>
    <row r="767" spans="1:6">
      <c r="A767" s="92">
        <v>1.1107340612663501</v>
      </c>
      <c r="B767" s="71">
        <f t="shared" si="92"/>
        <v>66.64404367598101</v>
      </c>
      <c r="E767" s="92">
        <v>0.39782345632556698</v>
      </c>
      <c r="F767" s="71">
        <f t="shared" si="93"/>
        <v>9.1249519867384006</v>
      </c>
    </row>
    <row r="768" spans="1:6">
      <c r="A768" s="92">
        <v>1.3297740838873899</v>
      </c>
      <c r="B768" s="71">
        <f t="shared" si="92"/>
        <v>79.786445033243396</v>
      </c>
      <c r="E768" s="92">
        <v>0.4243786200247</v>
      </c>
      <c r="F768" s="71">
        <f t="shared" si="93"/>
        <v>9.3236284409820609</v>
      </c>
    </row>
    <row r="769" spans="1:6">
      <c r="A769" s="92">
        <v>1.6408696738317201</v>
      </c>
      <c r="B769" s="71">
        <f t="shared" si="92"/>
        <v>98.452180429903208</v>
      </c>
      <c r="E769" s="92">
        <v>0.484266488083538</v>
      </c>
      <c r="F769" s="71">
        <f t="shared" si="93"/>
        <v>9.7430574788605639</v>
      </c>
    </row>
    <row r="770" spans="1:6">
      <c r="A770" s="92">
        <v>1.9481343815965899</v>
      </c>
      <c r="B770" s="71">
        <f t="shared" si="92"/>
        <v>116.8880628957954</v>
      </c>
      <c r="E770" s="92">
        <v>0.49700779765897202</v>
      </c>
      <c r="F770" s="71">
        <f t="shared" si="93"/>
        <v>9.8277671932607582</v>
      </c>
    </row>
    <row r="771" spans="1:6">
      <c r="A771" s="92">
        <v>2.2743256453566798</v>
      </c>
      <c r="B771" s="71">
        <f t="shared" si="92"/>
        <v>136.45953872140078</v>
      </c>
      <c r="E771" s="92">
        <v>0.49896307327670902</v>
      </c>
      <c r="F771" s="71">
        <f t="shared" si="93"/>
        <v>9.8406381176297444</v>
      </c>
    </row>
    <row r="772" spans="1:6">
      <c r="A772" s="92">
        <v>2.7740808004921602</v>
      </c>
      <c r="B772" s="71">
        <f t="shared" si="92"/>
        <v>166.44484802952962</v>
      </c>
      <c r="E772" s="92">
        <v>0.51831843813561296</v>
      </c>
      <c r="F772" s="71">
        <f t="shared" si="93"/>
        <v>9.9662706889313082</v>
      </c>
    </row>
    <row r="773" spans="1:6">
      <c r="A773" s="92">
        <v>3.2314052849542398</v>
      </c>
      <c r="B773" s="71">
        <f t="shared" si="92"/>
        <v>193.88431709725438</v>
      </c>
      <c r="E773" s="92">
        <v>0.55953564330181904</v>
      </c>
      <c r="F773" s="71">
        <f t="shared" si="93"/>
        <v>10.223738002551107</v>
      </c>
    </row>
    <row r="774" spans="1:6">
      <c r="A774" s="92">
        <v>3.7279067597771198</v>
      </c>
      <c r="B774" s="71">
        <f t="shared" si="92"/>
        <v>223.67440558662719</v>
      </c>
      <c r="E774" s="92">
        <v>0.61433244472506399</v>
      </c>
      <c r="F774" s="71">
        <f t="shared" si="93"/>
        <v>10.54714564817235</v>
      </c>
    </row>
    <row r="775" spans="1:6">
      <c r="A775" s="92">
        <v>4.4519110014758301</v>
      </c>
      <c r="B775" s="71">
        <f t="shared" si="92"/>
        <v>267.11466008854978</v>
      </c>
      <c r="E775" s="92">
        <v>0.65383983344090302</v>
      </c>
      <c r="F775" s="71">
        <f t="shared" si="93"/>
        <v>10.768558813181697</v>
      </c>
    </row>
    <row r="776" spans="1:6">
      <c r="A776" s="92">
        <v>5.2254209156472999</v>
      </c>
      <c r="B776" s="71">
        <f t="shared" si="92"/>
        <v>313.52525493883797</v>
      </c>
      <c r="E776" s="92">
        <v>0.67502913249552399</v>
      </c>
      <c r="F776" s="71">
        <f t="shared" si="93"/>
        <v>10.883651608044845</v>
      </c>
    </row>
    <row r="777" spans="1:6">
      <c r="A777" s="92">
        <v>6.5647386699813497</v>
      </c>
      <c r="B777" s="71">
        <f t="shared" si="92"/>
        <v>393.88432019888097</v>
      </c>
      <c r="E777" s="92">
        <v>0.77711066531578898</v>
      </c>
      <c r="F777" s="71">
        <f t="shared" si="93"/>
        <v>11.406736668152453</v>
      </c>
    </row>
    <row r="778" spans="1:6">
      <c r="A778" s="92">
        <v>7.8707350966552303</v>
      </c>
      <c r="B778" s="71">
        <f t="shared" si="92"/>
        <v>472.24410579931384</v>
      </c>
      <c r="E778" s="92">
        <v>0.67169047166537998</v>
      </c>
      <c r="F778" s="71">
        <f t="shared" si="93"/>
        <v>10.865678609338417</v>
      </c>
    </row>
    <row r="779" spans="1:6">
      <c r="A779" s="92">
        <v>9.2993504317268201</v>
      </c>
      <c r="B779" s="71">
        <f t="shared" si="92"/>
        <v>557.9610259036092</v>
      </c>
      <c r="E779" s="92">
        <v>0.76236077907559197</v>
      </c>
      <c r="F779" s="71">
        <f t="shared" si="93"/>
        <v>11.334106982616024</v>
      </c>
    </row>
    <row r="780" spans="1:6">
      <c r="B780" s="71"/>
      <c r="F780" s="71"/>
    </row>
    <row r="781" spans="1:6">
      <c r="A781" s="92" t="s">
        <v>69</v>
      </c>
      <c r="B781" s="71"/>
      <c r="F781" s="71"/>
    </row>
    <row r="782" spans="1:6">
      <c r="A782" s="92">
        <v>0.13360255292642401</v>
      </c>
      <c r="B782" s="71">
        <f t="shared" ref="B782:B803" si="94">A782*60</f>
        <v>8.0161531755854405</v>
      </c>
      <c r="E782" s="92">
        <v>0.13951728843971201</v>
      </c>
      <c r="F782" s="71">
        <f t="shared" ref="F782:F803" si="95">2*POWER((3*E782*1000)/(4*PI()), 1/3)</f>
        <v>6.4349197459354963</v>
      </c>
    </row>
    <row r="783" spans="1:6">
      <c r="A783" s="92">
        <v>0.16976082735484299</v>
      </c>
      <c r="B783" s="71">
        <f t="shared" si="94"/>
        <v>10.185649641290579</v>
      </c>
      <c r="E783" s="92">
        <v>0.15784836591314499</v>
      </c>
      <c r="F783" s="71">
        <f t="shared" si="95"/>
        <v>6.7052322115324268</v>
      </c>
    </row>
    <row r="784" spans="1:6">
      <c r="A784" s="92">
        <v>0.20473574499536601</v>
      </c>
      <c r="B784" s="71">
        <f t="shared" si="94"/>
        <v>12.28414469972196</v>
      </c>
      <c r="E784" s="92">
        <v>0.16046524874533399</v>
      </c>
      <c r="F784" s="71">
        <f t="shared" si="95"/>
        <v>6.7420834515292229</v>
      </c>
    </row>
    <row r="785" spans="1:6">
      <c r="A785" s="92">
        <v>0.26559639671839502</v>
      </c>
      <c r="B785" s="71">
        <f t="shared" si="94"/>
        <v>15.935783803103702</v>
      </c>
      <c r="E785" s="92">
        <v>0.17992594244874699</v>
      </c>
      <c r="F785" s="71">
        <f t="shared" si="95"/>
        <v>7.00430509037127</v>
      </c>
    </row>
    <row r="786" spans="1:6">
      <c r="A786" s="92">
        <v>0.329993848776722</v>
      </c>
      <c r="B786" s="71">
        <f t="shared" si="94"/>
        <v>19.799630926603321</v>
      </c>
      <c r="E786" s="92">
        <v>0.18154136541367</v>
      </c>
      <c r="F786" s="71">
        <f t="shared" si="95"/>
        <v>7.0252048381053216</v>
      </c>
    </row>
    <row r="787" spans="1:6">
      <c r="A787" s="92">
        <v>0.40194251981007301</v>
      </c>
      <c r="B787" s="71">
        <f t="shared" si="94"/>
        <v>24.11655118860438</v>
      </c>
      <c r="E787" s="92">
        <v>0.220081200713551</v>
      </c>
      <c r="F787" s="71">
        <f t="shared" si="95"/>
        <v>7.4907983846650392</v>
      </c>
    </row>
    <row r="788" spans="1:6">
      <c r="A788" s="92">
        <v>0.48891121600718401</v>
      </c>
      <c r="B788" s="71">
        <f t="shared" si="94"/>
        <v>29.334672960431043</v>
      </c>
      <c r="E788" s="92">
        <v>0.21314138717827799</v>
      </c>
      <c r="F788" s="71">
        <f t="shared" si="95"/>
        <v>7.4112202817580863</v>
      </c>
    </row>
    <row r="789" spans="1:6">
      <c r="A789" s="92">
        <v>0.62411970142829498</v>
      </c>
      <c r="B789" s="71">
        <f t="shared" si="94"/>
        <v>37.447182085697698</v>
      </c>
      <c r="E789" s="92">
        <v>0.21361891049755599</v>
      </c>
      <c r="F789" s="71">
        <f t="shared" si="95"/>
        <v>7.4167508685747841</v>
      </c>
    </row>
    <row r="790" spans="1:6">
      <c r="A790" s="92">
        <v>0.74822661990195405</v>
      </c>
      <c r="B790" s="71">
        <f t="shared" si="94"/>
        <v>44.893597194117241</v>
      </c>
      <c r="E790" s="92">
        <v>0.22020510283429501</v>
      </c>
      <c r="F790" s="71">
        <f t="shared" si="95"/>
        <v>7.4922038533195625</v>
      </c>
    </row>
    <row r="791" spans="1:6">
      <c r="A791" s="92">
        <v>0.89296027384183796</v>
      </c>
      <c r="B791" s="71">
        <f t="shared" si="94"/>
        <v>53.577616430510275</v>
      </c>
      <c r="E791" s="92">
        <v>0.28243509238724201</v>
      </c>
      <c r="F791" s="71">
        <f t="shared" si="95"/>
        <v>8.1402925190360715</v>
      </c>
    </row>
    <row r="792" spans="1:6">
      <c r="A792" s="92">
        <v>1.10679575198114</v>
      </c>
      <c r="B792" s="71">
        <f t="shared" si="94"/>
        <v>66.407745118868405</v>
      </c>
      <c r="E792" s="92">
        <v>0.31474595512943199</v>
      </c>
      <c r="F792" s="71">
        <f t="shared" si="95"/>
        <v>8.4395737326377969</v>
      </c>
    </row>
    <row r="793" spans="1:6">
      <c r="A793" s="92">
        <v>1.3344390556786101</v>
      </c>
      <c r="B793" s="71">
        <f t="shared" si="94"/>
        <v>80.0663433407166</v>
      </c>
      <c r="E793" s="92">
        <v>0.32945786529364002</v>
      </c>
      <c r="F793" s="71">
        <f t="shared" si="95"/>
        <v>8.5690712241265707</v>
      </c>
    </row>
    <row r="794" spans="1:6">
      <c r="A794" s="92">
        <v>1.6448558387749499</v>
      </c>
      <c r="B794" s="71">
        <f t="shared" si="94"/>
        <v>98.691350326496988</v>
      </c>
      <c r="E794" s="92">
        <v>0.36610171407519598</v>
      </c>
      <c r="F794" s="71">
        <f t="shared" si="95"/>
        <v>8.8756679558473071</v>
      </c>
    </row>
    <row r="795" spans="1:6">
      <c r="A795" s="92">
        <v>1.9580028648468799</v>
      </c>
      <c r="B795" s="71">
        <f t="shared" si="94"/>
        <v>117.4801718908128</v>
      </c>
      <c r="E795" s="92">
        <v>0.375552826906146</v>
      </c>
      <c r="F795" s="71">
        <f t="shared" si="95"/>
        <v>8.9513967027656083</v>
      </c>
    </row>
    <row r="796" spans="1:6">
      <c r="A796" s="92">
        <v>2.35520575168918</v>
      </c>
      <c r="B796" s="71">
        <f t="shared" si="94"/>
        <v>141.31234510135079</v>
      </c>
      <c r="E796" s="92">
        <v>0.452912680075716</v>
      </c>
      <c r="F796" s="71">
        <f t="shared" si="95"/>
        <v>9.52807760558224</v>
      </c>
    </row>
    <row r="797" spans="1:6">
      <c r="A797" s="92">
        <v>2.7020000439971201</v>
      </c>
      <c r="B797" s="71">
        <f t="shared" si="94"/>
        <v>162.12000263982722</v>
      </c>
      <c r="E797" s="92">
        <v>0.45498095097122498</v>
      </c>
      <c r="F797" s="71">
        <f t="shared" si="95"/>
        <v>9.5425592226696185</v>
      </c>
    </row>
    <row r="798" spans="1:6">
      <c r="A798" s="92">
        <v>3.2631649694027098</v>
      </c>
      <c r="B798" s="71">
        <f t="shared" si="94"/>
        <v>195.78989816416259</v>
      </c>
      <c r="E798" s="92">
        <v>0.49860213800761299</v>
      </c>
      <c r="F798" s="71">
        <f t="shared" si="95"/>
        <v>9.8382647354882522</v>
      </c>
    </row>
    <row r="799" spans="1:6">
      <c r="A799" s="92">
        <v>3.7329923348022702</v>
      </c>
      <c r="B799" s="71">
        <f t="shared" si="94"/>
        <v>223.97954008813622</v>
      </c>
      <c r="E799" s="92">
        <v>0.57855969535926299</v>
      </c>
      <c r="F799" s="71">
        <f t="shared" si="95"/>
        <v>10.338317154961949</v>
      </c>
    </row>
    <row r="800" spans="1:6">
      <c r="A800" s="92">
        <v>5.1862254060621602</v>
      </c>
      <c r="B800" s="71">
        <f t="shared" si="94"/>
        <v>311.1735243637296</v>
      </c>
      <c r="E800" s="92">
        <v>0.70265347593029004</v>
      </c>
      <c r="F800" s="71">
        <f t="shared" si="95"/>
        <v>11.030135787504362</v>
      </c>
    </row>
    <row r="801" spans="1:6">
      <c r="A801" s="92">
        <v>6.6208081992999004</v>
      </c>
      <c r="B801" s="71">
        <f t="shared" si="94"/>
        <v>397.24849195799402</v>
      </c>
      <c r="E801" s="92">
        <v>0.73142789842218703</v>
      </c>
      <c r="F801" s="71">
        <f t="shared" si="95"/>
        <v>11.178691379518279</v>
      </c>
    </row>
    <row r="802" spans="1:6">
      <c r="A802" s="92">
        <v>7.8716210986758099</v>
      </c>
      <c r="B802" s="71">
        <f t="shared" si="94"/>
        <v>472.29726592054863</v>
      </c>
      <c r="E802" s="92">
        <v>0.79552877348008999</v>
      </c>
      <c r="F802" s="71">
        <f t="shared" si="95"/>
        <v>11.496150040947603</v>
      </c>
    </row>
    <row r="803" spans="1:6">
      <c r="A803" s="92">
        <v>9.3348917487310494</v>
      </c>
      <c r="B803" s="71">
        <f t="shared" si="94"/>
        <v>560.09350492386295</v>
      </c>
      <c r="E803" s="92">
        <v>0.88268542594083899</v>
      </c>
      <c r="F803" s="71">
        <f t="shared" si="95"/>
        <v>11.901520378217333</v>
      </c>
    </row>
  </sheetData>
  <mergeCells count="2">
    <mergeCell ref="A1:E1"/>
    <mergeCell ref="K189:P189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K115"/>
  <sheetViews>
    <sheetView workbookViewId="0"/>
  </sheetViews>
  <sheetFormatPr defaultColWidth="12.6640625" defaultRowHeight="15" customHeight="1"/>
  <cols>
    <col min="1" max="1" width="17.109375" customWidth="1"/>
  </cols>
  <sheetData>
    <row r="1" spans="1:11" ht="13.8">
      <c r="A1" s="77"/>
      <c r="B1" s="248"/>
      <c r="C1" s="77"/>
      <c r="D1" s="77"/>
      <c r="E1" s="76"/>
      <c r="F1" s="76"/>
      <c r="G1" s="76"/>
      <c r="H1" s="76"/>
      <c r="I1" s="77"/>
      <c r="J1" s="14"/>
      <c r="K1" s="249"/>
    </row>
    <row r="2" spans="1:11" ht="13.8">
      <c r="A2" s="77" t="s">
        <v>32</v>
      </c>
      <c r="B2" s="248">
        <v>328.74728457639299</v>
      </c>
      <c r="C2" s="77">
        <v>2</v>
      </c>
      <c r="D2" s="77">
        <v>7.1999999999999995E-2</v>
      </c>
      <c r="E2" s="76"/>
      <c r="F2" s="76"/>
      <c r="G2" s="76"/>
      <c r="H2" s="76"/>
      <c r="I2" s="77" t="s">
        <v>12</v>
      </c>
      <c r="J2" s="14"/>
      <c r="K2" s="249">
        <v>6.5618357489800374</v>
      </c>
    </row>
    <row r="3" spans="1:11" ht="13.8">
      <c r="A3" s="77" t="s">
        <v>32</v>
      </c>
      <c r="B3" s="248">
        <v>330.19551049963701</v>
      </c>
      <c r="C3" s="77">
        <v>2</v>
      </c>
      <c r="D3" s="77">
        <v>7.1999999999999995E-2</v>
      </c>
      <c r="E3" s="76"/>
      <c r="F3" s="76"/>
      <c r="G3" s="76"/>
      <c r="H3" s="76"/>
      <c r="I3" s="77" t="s">
        <v>12</v>
      </c>
      <c r="J3" s="14"/>
      <c r="K3" s="249">
        <v>6.6516048439720805</v>
      </c>
    </row>
    <row r="4" spans="1:11" ht="13.8">
      <c r="A4" s="77" t="s">
        <v>32</v>
      </c>
      <c r="B4" s="248">
        <v>330.19551049963701</v>
      </c>
      <c r="C4" s="77">
        <v>2</v>
      </c>
      <c r="D4" s="77">
        <v>7.1999999999999995E-2</v>
      </c>
      <c r="E4" s="76"/>
      <c r="F4" s="76"/>
      <c r="G4" s="76"/>
      <c r="H4" s="76"/>
      <c r="I4" s="77" t="s">
        <v>12</v>
      </c>
      <c r="J4" s="14"/>
      <c r="K4" s="249">
        <v>6.7298661982974775</v>
      </c>
    </row>
    <row r="5" spans="1:11" ht="13.8">
      <c r="A5" s="77" t="s">
        <v>32</v>
      </c>
      <c r="B5" s="248">
        <v>283.85228095582897</v>
      </c>
      <c r="C5" s="77">
        <v>2</v>
      </c>
      <c r="D5" s="77">
        <v>7.1999999999999995E-2</v>
      </c>
      <c r="E5" s="76"/>
      <c r="F5" s="76"/>
      <c r="G5" s="76"/>
      <c r="H5" s="76"/>
      <c r="I5" s="77" t="s">
        <v>12</v>
      </c>
      <c r="J5" s="14"/>
      <c r="K5" s="249">
        <v>6.3246065821704001</v>
      </c>
    </row>
    <row r="6" spans="1:11" ht="13.8">
      <c r="A6" s="77" t="s">
        <v>32</v>
      </c>
      <c r="B6" s="248">
        <v>283.85228095582897</v>
      </c>
      <c r="C6" s="77">
        <v>2</v>
      </c>
      <c r="D6" s="77">
        <v>7.1999999999999995E-2</v>
      </c>
      <c r="E6" s="76"/>
      <c r="F6" s="76"/>
      <c r="G6" s="76"/>
      <c r="H6" s="76"/>
      <c r="I6" s="77" t="s">
        <v>12</v>
      </c>
      <c r="J6" s="14"/>
      <c r="K6" s="249">
        <v>6.3990205451622835</v>
      </c>
    </row>
    <row r="7" spans="1:11" ht="13.8">
      <c r="A7" s="77" t="s">
        <v>32</v>
      </c>
      <c r="B7" s="248">
        <v>282.40405503258501</v>
      </c>
      <c r="C7" s="77">
        <v>2</v>
      </c>
      <c r="D7" s="77">
        <v>7.1999999999999995E-2</v>
      </c>
      <c r="E7" s="76"/>
      <c r="F7" s="76"/>
      <c r="G7" s="76"/>
      <c r="H7" s="76"/>
      <c r="I7" s="77" t="s">
        <v>12</v>
      </c>
      <c r="J7" s="14"/>
      <c r="K7" s="249">
        <v>6.460717776303718</v>
      </c>
    </row>
    <row r="8" spans="1:11" ht="13.8">
      <c r="A8" s="77" t="s">
        <v>32</v>
      </c>
      <c r="B8" s="248">
        <v>236.060825488776</v>
      </c>
      <c r="C8" s="77">
        <v>2</v>
      </c>
      <c r="D8" s="77">
        <v>7.1999999999999995E-2</v>
      </c>
      <c r="E8" s="76"/>
      <c r="F8" s="76"/>
      <c r="G8" s="76"/>
      <c r="H8" s="76"/>
      <c r="I8" s="77" t="s">
        <v>12</v>
      </c>
      <c r="J8" s="14"/>
      <c r="K8" s="249">
        <v>6.1528819236399599</v>
      </c>
    </row>
    <row r="9" spans="1:11" ht="13.8">
      <c r="A9" s="77" t="s">
        <v>32</v>
      </c>
      <c r="B9" s="248">
        <v>237.50905141202</v>
      </c>
      <c r="C9" s="77">
        <v>2</v>
      </c>
      <c r="D9" s="77">
        <v>7.1999999999999995E-2</v>
      </c>
      <c r="E9" s="76"/>
      <c r="F9" s="76"/>
      <c r="G9" s="76"/>
      <c r="H9" s="76"/>
      <c r="I9" s="77" t="s">
        <v>12</v>
      </c>
      <c r="J9" s="14"/>
      <c r="K9" s="249">
        <v>6.2310335586508749</v>
      </c>
    </row>
    <row r="10" spans="1:11" ht="13.8">
      <c r="A10" s="77" t="s">
        <v>32</v>
      </c>
      <c r="B10" s="248">
        <v>238.957277335264</v>
      </c>
      <c r="C10" s="77">
        <v>2</v>
      </c>
      <c r="D10" s="77">
        <v>7.1999999999999995E-2</v>
      </c>
      <c r="E10" s="76"/>
      <c r="F10" s="76"/>
      <c r="G10" s="76"/>
      <c r="H10" s="76"/>
      <c r="I10" s="77" t="s">
        <v>12</v>
      </c>
      <c r="J10" s="14"/>
      <c r="K10" s="249">
        <v>6.3080449033508907</v>
      </c>
    </row>
    <row r="11" spans="1:11" ht="13.8">
      <c r="A11" s="77" t="s">
        <v>32</v>
      </c>
      <c r="B11" s="248">
        <v>188.26937002172301</v>
      </c>
      <c r="C11" s="77">
        <v>2</v>
      </c>
      <c r="D11" s="77">
        <v>7.1999999999999995E-2</v>
      </c>
      <c r="E11" s="76"/>
      <c r="F11" s="76"/>
      <c r="G11" s="76"/>
      <c r="H11" s="76"/>
      <c r="I11" s="77" t="s">
        <v>12</v>
      </c>
      <c r="J11" s="14"/>
      <c r="K11" s="249">
        <v>5.8844097253115137</v>
      </c>
    </row>
    <row r="12" spans="1:11" ht="13.8">
      <c r="A12" s="77" t="s">
        <v>32</v>
      </c>
      <c r="B12" s="248">
        <v>186.82114409847901</v>
      </c>
      <c r="C12" s="77">
        <v>2</v>
      </c>
      <c r="D12" s="77">
        <v>7.1999999999999995E-2</v>
      </c>
      <c r="E12" s="76"/>
      <c r="F12" s="76"/>
      <c r="G12" s="76"/>
      <c r="H12" s="76"/>
      <c r="I12" s="77" t="s">
        <v>12</v>
      </c>
      <c r="J12" s="14"/>
      <c r="K12" s="249">
        <v>5.8111671148282751</v>
      </c>
    </row>
    <row r="13" spans="1:11" ht="13.8">
      <c r="A13" s="77" t="s">
        <v>32</v>
      </c>
      <c r="B13" s="248">
        <v>141.926140477914</v>
      </c>
      <c r="C13" s="77">
        <v>2</v>
      </c>
      <c r="D13" s="77">
        <v>7.1999999999999995E-2</v>
      </c>
      <c r="E13" s="76"/>
      <c r="F13" s="76"/>
      <c r="G13" s="76"/>
      <c r="H13" s="76"/>
      <c r="I13" s="77" t="s">
        <v>12</v>
      </c>
      <c r="J13" s="14"/>
      <c r="K13" s="249">
        <v>5.4074625638522429</v>
      </c>
    </row>
    <row r="14" spans="1:11" ht="13.8">
      <c r="A14" s="77" t="s">
        <v>32</v>
      </c>
      <c r="B14" s="248">
        <v>143.374366401158</v>
      </c>
      <c r="C14" s="77">
        <v>2</v>
      </c>
      <c r="D14" s="77">
        <v>7.1999999999999995E-2</v>
      </c>
      <c r="E14" s="76"/>
      <c r="F14" s="76"/>
      <c r="G14" s="76"/>
      <c r="H14" s="76"/>
      <c r="I14" s="77" t="s">
        <v>12</v>
      </c>
      <c r="J14" s="14"/>
      <c r="K14" s="249">
        <v>5.4769828359766102</v>
      </c>
    </row>
    <row r="15" spans="1:11" ht="13.8">
      <c r="A15" s="77" t="s">
        <v>32</v>
      </c>
      <c r="B15" s="248">
        <v>94.5</v>
      </c>
      <c r="C15" s="77">
        <v>2</v>
      </c>
      <c r="D15" s="77">
        <v>7.1999999999999995E-2</v>
      </c>
      <c r="E15" s="76"/>
      <c r="F15" s="76"/>
      <c r="G15" s="76"/>
      <c r="H15" s="76"/>
      <c r="I15" s="77" t="s">
        <v>12</v>
      </c>
      <c r="J15" s="14"/>
      <c r="K15" s="249">
        <v>4.8953323390944492</v>
      </c>
    </row>
    <row r="16" spans="1:11" ht="13.8">
      <c r="A16" s="77" t="s">
        <v>32</v>
      </c>
      <c r="B16" s="248">
        <v>94.5</v>
      </c>
      <c r="C16" s="77">
        <v>2</v>
      </c>
      <c r="D16" s="77">
        <v>7.1999999999999995E-2</v>
      </c>
      <c r="E16" s="76"/>
      <c r="F16" s="76"/>
      <c r="G16" s="76"/>
      <c r="H16" s="76"/>
      <c r="I16" s="77" t="s">
        <v>12</v>
      </c>
      <c r="J16" s="14"/>
      <c r="K16" s="249">
        <v>4.936820184470645</v>
      </c>
    </row>
    <row r="17" spans="1:11" ht="13.8">
      <c r="A17" s="77" t="s">
        <v>32</v>
      </c>
      <c r="B17" s="248">
        <v>94.5</v>
      </c>
      <c r="C17" s="77">
        <v>2</v>
      </c>
      <c r="D17" s="77">
        <v>7.1999999999999995E-2</v>
      </c>
      <c r="E17" s="76"/>
      <c r="F17" s="76"/>
      <c r="G17" s="76"/>
      <c r="H17" s="76"/>
      <c r="I17" s="77" t="s">
        <v>12</v>
      </c>
      <c r="J17" s="14"/>
      <c r="K17" s="249">
        <v>4.9776222016003864</v>
      </c>
    </row>
    <row r="18" spans="1:11" ht="13.8">
      <c r="A18" s="77" t="s">
        <v>32</v>
      </c>
      <c r="B18" s="250">
        <v>94.5</v>
      </c>
      <c r="C18" s="77">
        <v>2</v>
      </c>
      <c r="D18" s="77">
        <v>7.1999999999999995E-2</v>
      </c>
      <c r="E18" s="76"/>
      <c r="F18" s="76"/>
      <c r="G18" s="76"/>
      <c r="H18" s="76"/>
      <c r="I18" s="77" t="s">
        <v>12</v>
      </c>
      <c r="J18" s="14"/>
      <c r="K18" s="249">
        <v>5.0177660497459966</v>
      </c>
    </row>
    <row r="19" spans="1:11" ht="13.8">
      <c r="A19" s="77" t="s">
        <v>32</v>
      </c>
      <c r="B19" s="248">
        <v>140.47791455467001</v>
      </c>
      <c r="C19" s="77">
        <v>2</v>
      </c>
      <c r="D19" s="77">
        <v>7.1999999999999995E-2</v>
      </c>
      <c r="E19" s="76"/>
      <c r="F19" s="76"/>
      <c r="G19" s="76"/>
      <c r="H19" s="76"/>
      <c r="I19" s="77" t="s">
        <v>12</v>
      </c>
      <c r="J19" s="14"/>
      <c r="K19" s="249">
        <v>5.5387775736728502</v>
      </c>
    </row>
    <row r="20" spans="1:11" ht="13.8">
      <c r="A20" s="77" t="s">
        <v>32</v>
      </c>
      <c r="B20" s="248">
        <v>140.47791455467001</v>
      </c>
      <c r="C20" s="77">
        <v>2</v>
      </c>
      <c r="D20" s="77">
        <v>7.1999999999999995E-2</v>
      </c>
      <c r="E20" s="76"/>
      <c r="F20" s="76"/>
      <c r="G20" s="76"/>
      <c r="H20" s="76"/>
      <c r="I20" s="77" t="s">
        <v>12</v>
      </c>
      <c r="J20" s="14"/>
      <c r="K20" s="249">
        <v>5.4897592722048332</v>
      </c>
    </row>
    <row r="21" spans="1:11" ht="13.8">
      <c r="A21" s="77" t="s">
        <v>32</v>
      </c>
      <c r="B21" s="248">
        <v>189.717595944967</v>
      </c>
      <c r="C21" s="77">
        <v>2</v>
      </c>
      <c r="D21" s="77">
        <v>7.1999999999999995E-2</v>
      </c>
      <c r="E21" s="76"/>
      <c r="F21" s="76"/>
      <c r="G21" s="76"/>
      <c r="H21" s="76"/>
      <c r="I21" s="77" t="s">
        <v>12</v>
      </c>
      <c r="J21" s="14"/>
      <c r="K21" s="249">
        <v>6.1222883298223225</v>
      </c>
    </row>
    <row r="22" spans="1:11" ht="13.8">
      <c r="A22" s="77" t="s">
        <v>32</v>
      </c>
      <c r="B22" s="248">
        <v>188.26937002172301</v>
      </c>
      <c r="C22" s="77">
        <v>2</v>
      </c>
      <c r="D22" s="77">
        <v>7.1999999999999995E-2</v>
      </c>
      <c r="E22" s="76"/>
      <c r="F22" s="76"/>
      <c r="G22" s="76"/>
      <c r="H22" s="76"/>
      <c r="I22" s="77" t="s">
        <v>12</v>
      </c>
      <c r="J22" s="14"/>
      <c r="K22" s="249">
        <v>6.0526260161754131</v>
      </c>
    </row>
    <row r="23" spans="1:11" ht="13.8">
      <c r="A23" s="77" t="s">
        <v>32</v>
      </c>
      <c r="B23" s="248">
        <v>94.5</v>
      </c>
      <c r="C23" s="77">
        <v>2</v>
      </c>
      <c r="D23" s="77">
        <v>7.1999999999999995E-2</v>
      </c>
      <c r="E23" s="76"/>
      <c r="F23" s="76"/>
      <c r="G23" s="76"/>
      <c r="H23" s="76"/>
      <c r="I23" s="77" t="s">
        <v>12</v>
      </c>
      <c r="J23" s="14"/>
      <c r="K23" s="249">
        <v>5.1344999015167527</v>
      </c>
    </row>
    <row r="24" spans="1:11" ht="13.8">
      <c r="A24" s="77" t="s">
        <v>32</v>
      </c>
      <c r="B24" s="248">
        <v>94.5</v>
      </c>
      <c r="C24" s="77">
        <v>2</v>
      </c>
      <c r="D24" s="77">
        <v>7.1999999999999995E-2</v>
      </c>
      <c r="E24" s="76"/>
      <c r="F24" s="76"/>
      <c r="G24" s="76"/>
      <c r="H24" s="76"/>
      <c r="I24" s="77" t="s">
        <v>12</v>
      </c>
      <c r="J24" s="14"/>
      <c r="K24" s="249">
        <v>5.0961813100126818</v>
      </c>
    </row>
    <row r="25" spans="1:11" ht="13.8">
      <c r="A25" s="77" t="s">
        <v>32</v>
      </c>
      <c r="B25" s="248">
        <v>140.47791455467001</v>
      </c>
      <c r="C25" s="77">
        <v>2</v>
      </c>
      <c r="D25" s="77">
        <v>7.1999999999999995E-2</v>
      </c>
      <c r="E25" s="76"/>
      <c r="F25" s="76"/>
      <c r="G25" s="76"/>
      <c r="H25" s="76"/>
      <c r="I25" s="77" t="s">
        <v>12</v>
      </c>
      <c r="J25" s="14"/>
      <c r="K25" s="249">
        <v>5.7266743793696104</v>
      </c>
    </row>
    <row r="26" spans="1:11" ht="13.8">
      <c r="A26" s="77" t="s">
        <v>32</v>
      </c>
      <c r="B26" s="248">
        <v>140.47791455467001</v>
      </c>
      <c r="C26" s="77">
        <v>2</v>
      </c>
      <c r="D26" s="77">
        <v>7.1999999999999995E-2</v>
      </c>
      <c r="E26" s="76"/>
      <c r="F26" s="76"/>
      <c r="G26" s="76"/>
      <c r="H26" s="76"/>
      <c r="I26" s="77" t="s">
        <v>12</v>
      </c>
      <c r="J26" s="14"/>
      <c r="K26" s="249">
        <v>5.6808590216216333</v>
      </c>
    </row>
    <row r="27" spans="1:11" ht="13.8">
      <c r="A27" s="77" t="s">
        <v>32</v>
      </c>
      <c r="B27" s="248">
        <v>188.26937002172301</v>
      </c>
      <c r="C27" s="77">
        <v>2</v>
      </c>
      <c r="D27" s="77">
        <v>7.1999999999999995E-2</v>
      </c>
      <c r="E27" s="76"/>
      <c r="F27" s="76"/>
      <c r="G27" s="76"/>
      <c r="H27" s="76"/>
      <c r="I27" s="77" t="s">
        <v>12</v>
      </c>
      <c r="J27" s="14"/>
      <c r="K27" s="249">
        <v>6.313832103755753</v>
      </c>
    </row>
    <row r="28" spans="1:11" ht="13.8">
      <c r="A28" s="77" t="s">
        <v>32</v>
      </c>
      <c r="B28" s="248">
        <v>188.26937002172301</v>
      </c>
      <c r="C28" s="77">
        <v>2</v>
      </c>
      <c r="D28" s="77">
        <v>7.1999999999999995E-2</v>
      </c>
      <c r="E28" s="76"/>
      <c r="F28" s="76"/>
      <c r="G28" s="76"/>
      <c r="H28" s="76"/>
      <c r="I28" s="77" t="s">
        <v>12</v>
      </c>
      <c r="J28" s="14"/>
      <c r="K28" s="249">
        <v>6.263319282975103</v>
      </c>
    </row>
    <row r="29" spans="1:11" ht="13.8">
      <c r="A29" s="77" t="s">
        <v>32</v>
      </c>
      <c r="B29" s="248">
        <v>234.61259956553201</v>
      </c>
      <c r="C29" s="77">
        <v>2</v>
      </c>
      <c r="D29" s="77">
        <v>7.1999999999999995E-2</v>
      </c>
      <c r="E29" s="76"/>
      <c r="F29" s="76"/>
      <c r="G29" s="76"/>
      <c r="H29" s="76"/>
      <c r="I29" s="77" t="s">
        <v>12</v>
      </c>
      <c r="J29" s="14"/>
      <c r="K29" s="249">
        <v>6.6847804792879737</v>
      </c>
    </row>
    <row r="30" spans="1:11" ht="13.8">
      <c r="A30" s="77" t="s">
        <v>32</v>
      </c>
      <c r="B30" s="248">
        <v>236.060825488776</v>
      </c>
      <c r="C30" s="77">
        <v>2</v>
      </c>
      <c r="D30" s="77">
        <v>7.1999999999999995E-2</v>
      </c>
      <c r="E30" s="76"/>
      <c r="F30" s="76"/>
      <c r="G30" s="76"/>
      <c r="H30" s="76"/>
      <c r="I30" s="77" t="s">
        <v>12</v>
      </c>
      <c r="J30" s="14"/>
      <c r="K30" s="249">
        <v>6.6422143305297006</v>
      </c>
    </row>
    <row r="31" spans="1:11" ht="13.8">
      <c r="A31" s="77" t="s">
        <v>32</v>
      </c>
      <c r="B31" s="248">
        <v>282.40405503258501</v>
      </c>
      <c r="C31" s="77">
        <v>2</v>
      </c>
      <c r="D31" s="77">
        <v>7.1999999999999995E-2</v>
      </c>
      <c r="E31" s="76"/>
      <c r="F31" s="76"/>
      <c r="G31" s="76"/>
      <c r="H31" s="76"/>
      <c r="I31" s="77" t="s">
        <v>12</v>
      </c>
      <c r="J31" s="14"/>
      <c r="K31" s="249">
        <v>7.1697107888805265</v>
      </c>
    </row>
    <row r="32" spans="1:11" ht="13.8">
      <c r="A32" s="77" t="s">
        <v>32</v>
      </c>
      <c r="B32" s="248">
        <v>282.40405503258501</v>
      </c>
      <c r="C32" s="77">
        <v>2</v>
      </c>
      <c r="D32" s="77">
        <v>7.1999999999999995E-2</v>
      </c>
      <c r="E32" s="76"/>
      <c r="F32" s="76"/>
      <c r="G32" s="76"/>
      <c r="H32" s="76"/>
      <c r="I32" s="77" t="s">
        <v>12</v>
      </c>
      <c r="J32" s="14"/>
      <c r="K32" s="249">
        <v>7.1109400243317156</v>
      </c>
    </row>
    <row r="33" spans="1:11" ht="13.8">
      <c r="A33" s="77" t="s">
        <v>32</v>
      </c>
      <c r="B33" s="248">
        <v>283.85228095582897</v>
      </c>
      <c r="C33" s="77">
        <v>2</v>
      </c>
      <c r="D33" s="77">
        <v>7.1999999999999995E-2</v>
      </c>
      <c r="E33" s="76"/>
      <c r="F33" s="76"/>
      <c r="G33" s="76"/>
      <c r="H33" s="76"/>
      <c r="I33" s="77" t="s">
        <v>12</v>
      </c>
      <c r="J33" s="14"/>
      <c r="K33" s="249">
        <v>7.0632141566300861</v>
      </c>
    </row>
    <row r="34" spans="1:11" ht="13.8" hidden="1">
      <c r="A34" s="77" t="s">
        <v>32</v>
      </c>
      <c r="B34" s="251">
        <v>74.243201177252502</v>
      </c>
      <c r="C34" s="25">
        <v>4</v>
      </c>
      <c r="D34" s="77">
        <v>7.1999999999999995E-2</v>
      </c>
      <c r="E34" s="76"/>
      <c r="F34" s="76"/>
      <c r="G34" s="76"/>
      <c r="H34" s="76"/>
      <c r="I34" s="77" t="s">
        <v>12</v>
      </c>
      <c r="J34" s="14"/>
      <c r="K34" s="249">
        <v>5.515544443655152</v>
      </c>
    </row>
    <row r="35" spans="1:11" ht="13.8" hidden="1">
      <c r="A35" s="77" t="s">
        <v>32</v>
      </c>
      <c r="B35" s="251">
        <v>74.243201177252502</v>
      </c>
      <c r="C35" s="25">
        <v>4</v>
      </c>
      <c r="D35" s="77">
        <v>7.1999999999999995E-2</v>
      </c>
      <c r="E35" s="76"/>
      <c r="F35" s="76"/>
      <c r="G35" s="76"/>
      <c r="H35" s="76"/>
      <c r="I35" s="77" t="s">
        <v>12</v>
      </c>
      <c r="J35" s="14"/>
      <c r="K35" s="249">
        <v>5.4895273377450637</v>
      </c>
    </row>
    <row r="36" spans="1:11" ht="13.8" hidden="1">
      <c r="A36" s="77" t="s">
        <v>32</v>
      </c>
      <c r="B36" s="251">
        <v>74.243201177252502</v>
      </c>
      <c r="C36" s="25">
        <v>4</v>
      </c>
      <c r="D36" s="77">
        <v>7.1999999999999995E-2</v>
      </c>
      <c r="E36" s="76"/>
      <c r="F36" s="76"/>
      <c r="G36" s="76"/>
      <c r="H36" s="76"/>
      <c r="I36" s="77" t="s">
        <v>12</v>
      </c>
      <c r="J36" s="14"/>
      <c r="K36" s="249">
        <v>5.4099577459485255</v>
      </c>
    </row>
    <row r="37" spans="1:11" ht="13.8" hidden="1">
      <c r="A37" s="77" t="s">
        <v>32</v>
      </c>
      <c r="B37" s="251">
        <v>74.243201177252502</v>
      </c>
      <c r="C37" s="25">
        <v>4</v>
      </c>
      <c r="D37" s="77">
        <v>7.1999999999999995E-2</v>
      </c>
      <c r="E37" s="76"/>
      <c r="F37" s="76"/>
      <c r="G37" s="76"/>
      <c r="H37" s="76"/>
      <c r="I37" s="77" t="s">
        <v>12</v>
      </c>
      <c r="J37" s="14"/>
      <c r="K37" s="249">
        <v>5.3555826310728074</v>
      </c>
    </row>
    <row r="38" spans="1:11" ht="13.8" hidden="1">
      <c r="A38" s="77" t="s">
        <v>32</v>
      </c>
      <c r="B38" s="251">
        <v>74.243201177252502</v>
      </c>
      <c r="C38" s="25">
        <v>4</v>
      </c>
      <c r="D38" s="77">
        <v>7.1999999999999995E-2</v>
      </c>
      <c r="E38" s="76"/>
      <c r="F38" s="76"/>
      <c r="G38" s="76"/>
      <c r="H38" s="76"/>
      <c r="I38" s="77" t="s">
        <v>12</v>
      </c>
      <c r="J38" s="14"/>
      <c r="K38" s="249">
        <v>5.3279760447548394</v>
      </c>
    </row>
    <row r="39" spans="1:11" ht="13.8" hidden="1">
      <c r="A39" s="77" t="s">
        <v>32</v>
      </c>
      <c r="B39" s="251">
        <v>110.19350659603801</v>
      </c>
      <c r="C39" s="25">
        <v>4</v>
      </c>
      <c r="D39" s="77">
        <v>7.1999999999999995E-2</v>
      </c>
      <c r="E39" s="76"/>
      <c r="F39" s="76"/>
      <c r="G39" s="76"/>
      <c r="H39" s="76"/>
      <c r="I39" s="77" t="s">
        <v>12</v>
      </c>
      <c r="J39" s="14"/>
      <c r="K39" s="249">
        <v>5.8473666819003185</v>
      </c>
    </row>
    <row r="40" spans="1:11" ht="13.8" hidden="1">
      <c r="A40" s="77" t="s">
        <v>32</v>
      </c>
      <c r="B40" s="251">
        <v>110.19350659603801</v>
      </c>
      <c r="C40" s="25">
        <v>4</v>
      </c>
      <c r="D40" s="77">
        <v>7.1999999999999995E-2</v>
      </c>
      <c r="E40" s="76"/>
      <c r="F40" s="76"/>
      <c r="G40" s="76"/>
      <c r="H40" s="76"/>
      <c r="I40" s="77" t="s">
        <v>12</v>
      </c>
      <c r="J40" s="14"/>
      <c r="K40" s="249">
        <v>5.8473666819003185</v>
      </c>
    </row>
    <row r="41" spans="1:11" ht="13.8" hidden="1">
      <c r="A41" s="77" t="s">
        <v>32</v>
      </c>
      <c r="B41" s="251">
        <v>108.95384089194199</v>
      </c>
      <c r="C41" s="25">
        <v>4</v>
      </c>
      <c r="D41" s="77">
        <v>7.1999999999999995E-2</v>
      </c>
      <c r="E41" s="76"/>
      <c r="F41" s="76"/>
      <c r="G41" s="76"/>
      <c r="H41" s="76"/>
      <c r="I41" s="77" t="s">
        <v>12</v>
      </c>
      <c r="J41" s="14"/>
      <c r="K41" s="249">
        <v>5.7910889150058358</v>
      </c>
    </row>
    <row r="42" spans="1:11" ht="13.8" hidden="1">
      <c r="A42" s="77" t="s">
        <v>32</v>
      </c>
      <c r="B42" s="251">
        <v>108.95384089194199</v>
      </c>
      <c r="C42" s="25">
        <v>4</v>
      </c>
      <c r="D42" s="77">
        <v>7.1999999999999995E-2</v>
      </c>
      <c r="E42" s="76"/>
      <c r="F42" s="76"/>
      <c r="G42" s="76"/>
      <c r="H42" s="76"/>
      <c r="I42" s="77" t="s">
        <v>12</v>
      </c>
      <c r="J42" s="14"/>
      <c r="K42" s="249">
        <v>5.7910889150058358</v>
      </c>
    </row>
    <row r="43" spans="1:11" ht="13.8" hidden="1">
      <c r="A43" s="77" t="s">
        <v>32</v>
      </c>
      <c r="B43" s="251">
        <v>148.62314342301701</v>
      </c>
      <c r="C43" s="25">
        <v>4</v>
      </c>
      <c r="D43" s="77">
        <v>7.1999999999999995E-2</v>
      </c>
      <c r="E43" s="76"/>
      <c r="F43" s="76"/>
      <c r="G43" s="76"/>
      <c r="H43" s="76"/>
      <c r="I43" s="77" t="s">
        <v>12</v>
      </c>
      <c r="J43" s="14"/>
      <c r="K43" s="249">
        <v>6.3451726444428918</v>
      </c>
    </row>
    <row r="44" spans="1:11" ht="13.8" hidden="1">
      <c r="A44" s="77" t="s">
        <v>32</v>
      </c>
      <c r="B44" s="251">
        <v>149.862809127113</v>
      </c>
      <c r="C44" s="25">
        <v>4</v>
      </c>
      <c r="D44" s="77">
        <v>7.1999999999999995E-2</v>
      </c>
      <c r="E44" s="76"/>
      <c r="F44" s="76"/>
      <c r="G44" s="76"/>
      <c r="H44" s="76"/>
      <c r="I44" s="77" t="s">
        <v>12</v>
      </c>
      <c r="J44" s="14"/>
      <c r="K44" s="249">
        <v>6.3232442142548448</v>
      </c>
    </row>
    <row r="45" spans="1:11" ht="13.8" hidden="1">
      <c r="A45" s="77" t="s">
        <v>32</v>
      </c>
      <c r="B45" s="251">
        <v>156.061137647593</v>
      </c>
      <c r="C45" s="25">
        <v>4</v>
      </c>
      <c r="D45" s="77">
        <v>7.1999999999999995E-2</v>
      </c>
      <c r="E45" s="76"/>
      <c r="F45" s="76"/>
      <c r="G45" s="76"/>
      <c r="H45" s="76"/>
      <c r="I45" s="77" t="s">
        <v>12</v>
      </c>
      <c r="J45" s="14"/>
      <c r="K45" s="249">
        <v>6.3686797833098705</v>
      </c>
    </row>
    <row r="46" spans="1:11" ht="13.8" hidden="1">
      <c r="A46" s="77" t="s">
        <v>32</v>
      </c>
      <c r="B46" s="251">
        <v>157.30080335168901</v>
      </c>
      <c r="C46" s="25">
        <v>4</v>
      </c>
      <c r="D46" s="77">
        <v>7.1999999999999995E-2</v>
      </c>
      <c r="E46" s="76"/>
      <c r="F46" s="76"/>
      <c r="G46" s="76"/>
      <c r="H46" s="76"/>
      <c r="I46" s="77" t="s">
        <v>12</v>
      </c>
      <c r="J46" s="14"/>
      <c r="K46" s="249">
        <v>6.3443005394540881</v>
      </c>
    </row>
    <row r="47" spans="1:11" ht="13.8" hidden="1">
      <c r="A47" s="77" t="s">
        <v>32</v>
      </c>
      <c r="B47" s="251">
        <v>143.664480606632</v>
      </c>
      <c r="C47" s="25">
        <v>4</v>
      </c>
      <c r="D47" s="77">
        <v>7.1999999999999995E-2</v>
      </c>
      <c r="E47" s="76"/>
      <c r="F47" s="76"/>
      <c r="G47" s="76"/>
      <c r="H47" s="76"/>
      <c r="I47" s="77" t="s">
        <v>12</v>
      </c>
      <c r="J47" s="14"/>
      <c r="K47" s="249">
        <v>6.1149068576246171</v>
      </c>
    </row>
    <row r="48" spans="1:11" ht="13.8" hidden="1">
      <c r="A48" s="77" t="s">
        <v>32</v>
      </c>
      <c r="B48" s="251">
        <v>139.94548349434399</v>
      </c>
      <c r="C48" s="25">
        <v>4</v>
      </c>
      <c r="D48" s="77">
        <v>7.1999999999999995E-2</v>
      </c>
      <c r="E48" s="76"/>
      <c r="F48" s="76"/>
      <c r="G48" s="76"/>
      <c r="H48" s="76"/>
      <c r="I48" s="77" t="s">
        <v>12</v>
      </c>
      <c r="J48" s="14"/>
      <c r="K48" s="249">
        <v>6.0209963612708615</v>
      </c>
    </row>
    <row r="49" spans="1:11" ht="13.8" hidden="1">
      <c r="A49" s="77" t="s">
        <v>32</v>
      </c>
      <c r="B49" s="251">
        <v>226.72208278106999</v>
      </c>
      <c r="C49" s="25">
        <v>4</v>
      </c>
      <c r="D49" s="77">
        <v>7.1999999999999995E-2</v>
      </c>
      <c r="E49" s="76"/>
      <c r="F49" s="76"/>
      <c r="G49" s="76"/>
      <c r="H49" s="76"/>
      <c r="I49" s="77" t="s">
        <v>12</v>
      </c>
      <c r="J49" s="14"/>
      <c r="K49" s="249">
        <v>6.8736195074158726</v>
      </c>
    </row>
    <row r="50" spans="1:11" ht="13.8" hidden="1">
      <c r="A50" s="77" t="s">
        <v>32</v>
      </c>
      <c r="B50" s="251">
        <v>226.72208278106999</v>
      </c>
      <c r="C50" s="25">
        <v>4</v>
      </c>
      <c r="D50" s="77">
        <v>7.1999999999999995E-2</v>
      </c>
      <c r="E50" s="76"/>
      <c r="F50" s="76"/>
      <c r="G50" s="76"/>
      <c r="H50" s="76"/>
      <c r="I50" s="77" t="s">
        <v>12</v>
      </c>
      <c r="J50" s="14"/>
      <c r="K50" s="249">
        <v>6.8223219276883356</v>
      </c>
    </row>
    <row r="51" spans="1:11" ht="13.8" hidden="1">
      <c r="A51" s="77" t="s">
        <v>32</v>
      </c>
      <c r="B51" s="251">
        <v>214.32542574010901</v>
      </c>
      <c r="C51" s="25">
        <v>4</v>
      </c>
      <c r="D51" s="77">
        <v>7.1999999999999995E-2</v>
      </c>
      <c r="E51" s="76"/>
      <c r="F51" s="76"/>
      <c r="G51" s="76"/>
      <c r="H51" s="76"/>
      <c r="I51" s="77" t="s">
        <v>12</v>
      </c>
      <c r="J51" s="14"/>
      <c r="K51" s="249">
        <v>6.6956410962049917</v>
      </c>
    </row>
    <row r="52" spans="1:11" ht="13.8" hidden="1">
      <c r="A52" s="77" t="s">
        <v>32</v>
      </c>
      <c r="B52" s="251">
        <v>219.284088556493</v>
      </c>
      <c r="C52" s="25">
        <v>4</v>
      </c>
      <c r="D52" s="77">
        <v>7.1999999999999995E-2</v>
      </c>
      <c r="E52" s="76"/>
      <c r="F52" s="76"/>
      <c r="G52" s="76"/>
      <c r="H52" s="76"/>
      <c r="I52" s="77" t="s">
        <v>12</v>
      </c>
      <c r="J52" s="14"/>
      <c r="K52" s="249">
        <v>6.6953800560556367</v>
      </c>
    </row>
    <row r="53" spans="1:11" ht="13.8" hidden="1">
      <c r="A53" s="77" t="s">
        <v>32</v>
      </c>
      <c r="B53" s="251">
        <v>219.284088556493</v>
      </c>
      <c r="C53" s="25">
        <v>4</v>
      </c>
      <c r="D53" s="77">
        <v>7.1999999999999995E-2</v>
      </c>
      <c r="E53" s="76"/>
      <c r="F53" s="76"/>
      <c r="G53" s="76"/>
      <c r="H53" s="76"/>
      <c r="I53" s="77" t="s">
        <v>12</v>
      </c>
      <c r="J53" s="14"/>
      <c r="K53" s="249">
        <v>6.6953800560556367</v>
      </c>
    </row>
    <row r="54" spans="1:11" ht="13.8" hidden="1">
      <c r="A54" s="77" t="s">
        <v>32</v>
      </c>
      <c r="B54" s="251">
        <v>221.76341996468599</v>
      </c>
      <c r="C54" s="25">
        <v>4</v>
      </c>
      <c r="D54" s="77">
        <v>7.1999999999999995E-2</v>
      </c>
      <c r="E54" s="76"/>
      <c r="F54" s="76"/>
      <c r="G54" s="76"/>
      <c r="H54" s="76"/>
      <c r="I54" s="77" t="s">
        <v>12</v>
      </c>
      <c r="J54" s="14"/>
      <c r="K54" s="249">
        <v>6.6680130750174733</v>
      </c>
    </row>
    <row r="55" spans="1:11" ht="13.8" hidden="1">
      <c r="A55" s="77" t="s">
        <v>32</v>
      </c>
      <c r="B55" s="251">
        <v>221.76341996468599</v>
      </c>
      <c r="C55" s="25">
        <v>4</v>
      </c>
      <c r="D55" s="77">
        <v>7.1999999999999995E-2</v>
      </c>
      <c r="E55" s="76"/>
      <c r="F55" s="76"/>
      <c r="G55" s="76"/>
      <c r="H55" s="76"/>
      <c r="I55" s="77" t="s">
        <v>12</v>
      </c>
      <c r="J55" s="14"/>
      <c r="K55" s="249">
        <v>6.6680130750174733</v>
      </c>
    </row>
    <row r="56" spans="1:11" ht="13.8" hidden="1">
      <c r="A56" s="77" t="s">
        <v>32</v>
      </c>
      <c r="B56" s="251">
        <v>223.00308566878201</v>
      </c>
      <c r="C56" s="25">
        <v>4</v>
      </c>
      <c r="D56" s="77">
        <v>7.1999999999999995E-2</v>
      </c>
      <c r="E56" s="76"/>
      <c r="F56" s="76"/>
      <c r="G56" s="76"/>
      <c r="H56" s="76"/>
      <c r="I56" s="77" t="s">
        <v>12</v>
      </c>
      <c r="J56" s="14"/>
      <c r="K56" s="249">
        <v>6.626969199955238</v>
      </c>
    </row>
    <row r="57" spans="1:11" ht="13.8" hidden="1">
      <c r="A57" s="77" t="s">
        <v>32</v>
      </c>
      <c r="B57" s="251">
        <v>223.00308566878201</v>
      </c>
      <c r="C57" s="25">
        <v>4</v>
      </c>
      <c r="D57" s="77">
        <v>7.1999999999999995E-2</v>
      </c>
      <c r="E57" s="76"/>
      <c r="F57" s="76"/>
      <c r="G57" s="76"/>
      <c r="H57" s="76"/>
      <c r="I57" s="77" t="s">
        <v>12</v>
      </c>
      <c r="J57" s="14"/>
      <c r="K57" s="249">
        <v>6.626969199955238</v>
      </c>
    </row>
    <row r="58" spans="1:11" ht="13.8" hidden="1">
      <c r="A58" s="77" t="s">
        <v>32</v>
      </c>
      <c r="B58" s="251">
        <v>262.67238819985698</v>
      </c>
      <c r="C58" s="25">
        <v>4</v>
      </c>
      <c r="D58" s="77">
        <v>7.1999999999999995E-2</v>
      </c>
      <c r="E58" s="76"/>
      <c r="F58" s="76"/>
      <c r="G58" s="76"/>
      <c r="H58" s="76"/>
      <c r="I58" s="77" t="s">
        <v>12</v>
      </c>
      <c r="J58" s="14"/>
      <c r="K58" s="249">
        <v>7.1653774971898203</v>
      </c>
    </row>
    <row r="59" spans="1:11" ht="13.8" hidden="1">
      <c r="A59" s="77" t="s">
        <v>32</v>
      </c>
      <c r="B59" s="251">
        <v>262.67238819985698</v>
      </c>
      <c r="C59" s="25">
        <v>4</v>
      </c>
      <c r="D59" s="77">
        <v>7.1999999999999995E-2</v>
      </c>
      <c r="E59" s="76"/>
      <c r="F59" s="76"/>
      <c r="G59" s="76"/>
      <c r="H59" s="76"/>
      <c r="I59" s="77" t="s">
        <v>12</v>
      </c>
      <c r="J59" s="14"/>
      <c r="K59" s="249">
        <v>7.1653774971898203</v>
      </c>
    </row>
    <row r="60" spans="1:11" ht="13.8" hidden="1">
      <c r="A60" s="77" t="s">
        <v>32</v>
      </c>
      <c r="B60" s="251">
        <v>251.515396862991</v>
      </c>
      <c r="C60" s="25">
        <v>4</v>
      </c>
      <c r="D60" s="77">
        <v>7.1999999999999995E-2</v>
      </c>
      <c r="E60" s="76"/>
      <c r="F60" s="76"/>
      <c r="G60" s="76"/>
      <c r="H60" s="76"/>
      <c r="I60" s="77" t="s">
        <v>12</v>
      </c>
      <c r="J60" s="14"/>
      <c r="K60" s="249">
        <v>7.0085426358354912</v>
      </c>
    </row>
    <row r="61" spans="1:11" ht="13.8" hidden="1">
      <c r="A61" s="77" t="s">
        <v>32</v>
      </c>
      <c r="B61" s="251">
        <v>261.43272249576103</v>
      </c>
      <c r="C61" s="25">
        <v>4</v>
      </c>
      <c r="D61" s="77">
        <v>7.1999999999999995E-2</v>
      </c>
      <c r="E61" s="76"/>
      <c r="F61" s="76"/>
      <c r="G61" s="76"/>
      <c r="H61" s="76"/>
      <c r="I61" s="77" t="s">
        <v>12</v>
      </c>
      <c r="J61" s="14"/>
      <c r="K61" s="249">
        <v>7.0440071440078125</v>
      </c>
    </row>
    <row r="62" spans="1:11" ht="13.8" hidden="1">
      <c r="A62" s="77" t="s">
        <v>32</v>
      </c>
      <c r="B62" s="251">
        <v>261.43272249576103</v>
      </c>
      <c r="C62" s="25">
        <v>4</v>
      </c>
      <c r="D62" s="77">
        <v>7.1999999999999995E-2</v>
      </c>
      <c r="E62" s="76"/>
      <c r="F62" s="76"/>
      <c r="G62" s="76"/>
      <c r="H62" s="76"/>
      <c r="I62" s="77" t="s">
        <v>12</v>
      </c>
      <c r="J62" s="14"/>
      <c r="K62" s="249">
        <v>6.9303742548645779</v>
      </c>
    </row>
    <row r="63" spans="1:11" ht="13.8" hidden="1">
      <c r="A63" s="77" t="s">
        <v>32</v>
      </c>
      <c r="B63" s="251">
        <v>84.779483350347803</v>
      </c>
      <c r="C63" s="25">
        <v>6</v>
      </c>
      <c r="D63" s="77">
        <v>7.1999999999999995E-2</v>
      </c>
      <c r="E63" s="76"/>
      <c r="F63" s="76"/>
      <c r="G63" s="76"/>
      <c r="H63" s="76"/>
      <c r="I63" s="77" t="s">
        <v>12</v>
      </c>
      <c r="J63" s="14"/>
      <c r="K63" s="249">
        <v>6.1690749764882868</v>
      </c>
    </row>
    <row r="64" spans="1:11" ht="13.8" hidden="1">
      <c r="A64" s="77" t="s">
        <v>32</v>
      </c>
      <c r="B64" s="251">
        <v>84.779483350347803</v>
      </c>
      <c r="C64" s="25">
        <v>6</v>
      </c>
      <c r="D64" s="77">
        <v>7.1999999999999995E-2</v>
      </c>
      <c r="E64" s="76"/>
      <c r="F64" s="76"/>
      <c r="G64" s="76"/>
      <c r="H64" s="76"/>
      <c r="I64" s="77" t="s">
        <v>12</v>
      </c>
      <c r="J64" s="14"/>
      <c r="K64" s="249">
        <v>6.1453475305888787</v>
      </c>
    </row>
    <row r="65" spans="1:11" ht="13.8" hidden="1">
      <c r="A65" s="77" t="s">
        <v>32</v>
      </c>
      <c r="B65" s="251">
        <v>84.779483350347803</v>
      </c>
      <c r="C65" s="25">
        <v>6</v>
      </c>
      <c r="D65" s="77">
        <v>7.1999999999999995E-2</v>
      </c>
      <c r="E65" s="76"/>
      <c r="F65" s="76"/>
      <c r="G65" s="76"/>
      <c r="H65" s="76"/>
      <c r="I65" s="77" t="s">
        <v>12</v>
      </c>
      <c r="J65" s="14"/>
      <c r="K65" s="249">
        <v>6.097335041641287</v>
      </c>
    </row>
    <row r="66" spans="1:11" ht="13.8" hidden="1">
      <c r="A66" s="77" t="s">
        <v>32</v>
      </c>
      <c r="B66" s="251">
        <v>82.533649430700095</v>
      </c>
      <c r="C66" s="25">
        <v>6</v>
      </c>
      <c r="D66" s="77">
        <v>7.1999999999999995E-2</v>
      </c>
      <c r="E66" s="76"/>
      <c r="F66" s="76"/>
      <c r="G66" s="76"/>
      <c r="H66" s="76"/>
      <c r="I66" s="77" t="s">
        <v>12</v>
      </c>
      <c r="J66" s="14"/>
      <c r="K66" s="249">
        <v>6.0189364263075431</v>
      </c>
    </row>
    <row r="67" spans="1:11" ht="13.8" hidden="1">
      <c r="A67" s="77" t="s">
        <v>32</v>
      </c>
      <c r="B67" s="251">
        <v>170.11913335563</v>
      </c>
      <c r="C67" s="25">
        <v>6</v>
      </c>
      <c r="D67" s="77">
        <v>7.1999999999999995E-2</v>
      </c>
      <c r="E67" s="76"/>
      <c r="F67" s="76"/>
      <c r="G67" s="76"/>
      <c r="H67" s="76"/>
      <c r="I67" s="77" t="s">
        <v>12</v>
      </c>
      <c r="J67" s="14"/>
      <c r="K67" s="249">
        <v>7.0965795403166343</v>
      </c>
    </row>
    <row r="68" spans="1:11" ht="13.8" hidden="1">
      <c r="A68" s="77" t="s">
        <v>32</v>
      </c>
      <c r="B68" s="251">
        <v>170.11913335563</v>
      </c>
      <c r="C68" s="25">
        <v>6</v>
      </c>
      <c r="D68" s="77">
        <v>7.1999999999999995E-2</v>
      </c>
      <c r="E68" s="76"/>
      <c r="F68" s="76"/>
      <c r="G68" s="76"/>
      <c r="H68" s="76"/>
      <c r="I68" s="77" t="s">
        <v>12</v>
      </c>
      <c r="J68" s="14"/>
      <c r="K68" s="249">
        <v>7.0965795403166343</v>
      </c>
    </row>
    <row r="69" spans="1:11" ht="13.8" hidden="1">
      <c r="A69" s="77" t="s">
        <v>32</v>
      </c>
      <c r="B69" s="251">
        <v>168.99627636466801</v>
      </c>
      <c r="C69" s="25">
        <v>6</v>
      </c>
      <c r="D69" s="77">
        <v>7.1999999999999995E-2</v>
      </c>
      <c r="E69" s="76"/>
      <c r="F69" s="76"/>
      <c r="G69" s="76"/>
      <c r="H69" s="76"/>
      <c r="I69" s="77" t="s">
        <v>12</v>
      </c>
      <c r="J69" s="14"/>
      <c r="K69" s="249">
        <v>7.0449871695060668</v>
      </c>
    </row>
    <row r="70" spans="1:11" ht="13.8" hidden="1">
      <c r="A70" s="77" t="s">
        <v>32</v>
      </c>
      <c r="B70" s="251">
        <v>168.99627636466801</v>
      </c>
      <c r="C70" s="25">
        <v>6</v>
      </c>
      <c r="D70" s="77">
        <v>7.1999999999999995E-2</v>
      </c>
      <c r="E70" s="76"/>
      <c r="F70" s="76"/>
      <c r="G70" s="76"/>
      <c r="H70" s="76"/>
      <c r="I70" s="77" t="s">
        <v>12</v>
      </c>
      <c r="J70" s="14"/>
      <c r="K70" s="249">
        <v>6.8595059594483487</v>
      </c>
    </row>
    <row r="71" spans="1:11" ht="13.8" hidden="1">
      <c r="A71" s="77" t="s">
        <v>32</v>
      </c>
      <c r="B71" s="251">
        <v>254.33604630767601</v>
      </c>
      <c r="C71" s="25">
        <v>6</v>
      </c>
      <c r="D71" s="77">
        <v>7.1999999999999995E-2</v>
      </c>
      <c r="E71" s="76"/>
      <c r="F71" s="76"/>
      <c r="G71" s="76"/>
      <c r="H71" s="76"/>
      <c r="I71" s="77" t="s">
        <v>12</v>
      </c>
      <c r="J71" s="14"/>
      <c r="K71" s="249">
        <v>7.7725229351599268</v>
      </c>
    </row>
    <row r="72" spans="1:11" ht="13.8" hidden="1">
      <c r="A72" s="77" t="s">
        <v>32</v>
      </c>
      <c r="B72" s="251">
        <v>254.33604630767601</v>
      </c>
      <c r="C72" s="25">
        <v>6</v>
      </c>
      <c r="D72" s="77">
        <v>7.1999999999999995E-2</v>
      </c>
      <c r="E72" s="76"/>
      <c r="F72" s="76"/>
      <c r="G72" s="76"/>
      <c r="H72" s="76"/>
      <c r="I72" s="77" t="s">
        <v>12</v>
      </c>
      <c r="J72" s="14"/>
      <c r="K72" s="249">
        <v>7.7275940532133651</v>
      </c>
    </row>
    <row r="73" spans="1:11" ht="13.8" hidden="1">
      <c r="A73" s="77" t="s">
        <v>32</v>
      </c>
      <c r="B73" s="251">
        <v>254.33604630767601</v>
      </c>
      <c r="C73" s="25">
        <v>6</v>
      </c>
      <c r="D73" s="77">
        <v>7.1999999999999995E-2</v>
      </c>
      <c r="E73" s="76"/>
      <c r="F73" s="76"/>
      <c r="G73" s="76"/>
      <c r="H73" s="76"/>
      <c r="I73" s="77" t="s">
        <v>12</v>
      </c>
      <c r="J73" s="14"/>
      <c r="K73" s="249">
        <v>7.4946920983245873</v>
      </c>
    </row>
    <row r="74" spans="1:11" ht="13.8" hidden="1">
      <c r="A74" s="77" t="s">
        <v>32</v>
      </c>
      <c r="B74" s="251">
        <v>254.33604630767601</v>
      </c>
      <c r="C74" s="25">
        <v>6</v>
      </c>
      <c r="D74" s="77">
        <v>7.1999999999999995E-2</v>
      </c>
      <c r="E74" s="76"/>
      <c r="F74" s="76"/>
      <c r="G74" s="76"/>
      <c r="H74" s="76"/>
      <c r="I74" s="77" t="s">
        <v>12</v>
      </c>
      <c r="J74" s="14"/>
      <c r="K74" s="249">
        <v>7.4463378999276255</v>
      </c>
    </row>
    <row r="75" spans="1:11" ht="13.8" hidden="1">
      <c r="A75" s="77" t="s">
        <v>32</v>
      </c>
      <c r="B75" s="251">
        <v>254.33604630767601</v>
      </c>
      <c r="C75" s="25">
        <v>6</v>
      </c>
      <c r="D75" s="77">
        <v>7.1999999999999995E-2</v>
      </c>
      <c r="E75" s="76"/>
      <c r="F75" s="76"/>
      <c r="G75" s="76"/>
      <c r="H75" s="76"/>
      <c r="I75" s="77" t="s">
        <v>12</v>
      </c>
      <c r="J75" s="14"/>
      <c r="K75" s="249">
        <v>7.4463378999276255</v>
      </c>
    </row>
    <row r="76" spans="1:11" ht="13.8" hidden="1">
      <c r="A76" s="77" t="s">
        <v>32</v>
      </c>
      <c r="B76" s="251">
        <v>254.33604630767601</v>
      </c>
      <c r="C76" s="25">
        <v>6</v>
      </c>
      <c r="D76" s="77">
        <v>7.1999999999999995E-2</v>
      </c>
      <c r="E76" s="76"/>
      <c r="F76" s="76"/>
      <c r="G76" s="76"/>
      <c r="H76" s="76"/>
      <c r="I76" s="77" t="s">
        <v>12</v>
      </c>
      <c r="J76" s="14"/>
      <c r="K76" s="249">
        <v>7.3973474164730728</v>
      </c>
    </row>
    <row r="77" spans="1:11" ht="13.8" hidden="1">
      <c r="A77" s="77" t="s">
        <v>32</v>
      </c>
      <c r="B77" s="251">
        <v>339.67581625068402</v>
      </c>
      <c r="C77" s="25">
        <v>6</v>
      </c>
      <c r="D77" s="77">
        <v>7.1999999999999995E-2</v>
      </c>
      <c r="E77" s="76"/>
      <c r="F77" s="76"/>
      <c r="G77" s="76"/>
      <c r="H77" s="76"/>
      <c r="I77" s="77" t="s">
        <v>12</v>
      </c>
      <c r="J77" s="14"/>
      <c r="K77" s="249">
        <v>8.2535230065627037</v>
      </c>
    </row>
    <row r="78" spans="1:11" ht="13.8" hidden="1">
      <c r="A78" s="77" t="s">
        <v>32</v>
      </c>
      <c r="B78" s="251">
        <v>338.552839321997</v>
      </c>
      <c r="C78" s="25">
        <v>6</v>
      </c>
      <c r="D78" s="77">
        <v>7.1999999999999995E-2</v>
      </c>
      <c r="E78" s="76"/>
      <c r="F78" s="76"/>
      <c r="G78" s="76"/>
      <c r="H78" s="76"/>
      <c r="I78" s="77" t="s">
        <v>12</v>
      </c>
      <c r="J78" s="14"/>
      <c r="K78" s="249">
        <v>8.1912262409768317</v>
      </c>
    </row>
    <row r="79" spans="1:11" ht="13.8" hidden="1">
      <c r="A79" s="77" t="s">
        <v>32</v>
      </c>
      <c r="B79" s="251">
        <v>337.429982331036</v>
      </c>
      <c r="C79" s="25">
        <v>6</v>
      </c>
      <c r="D79" s="77">
        <v>7.1999999999999995E-2</v>
      </c>
      <c r="E79" s="76"/>
      <c r="F79" s="76"/>
      <c r="G79" s="76"/>
      <c r="H79" s="76"/>
      <c r="I79" s="77" t="s">
        <v>12</v>
      </c>
      <c r="J79" s="14"/>
      <c r="K79" s="249">
        <v>8.0737746874216167</v>
      </c>
    </row>
    <row r="80" spans="1:11" ht="13.8" hidden="1">
      <c r="A80" s="77" t="s">
        <v>32</v>
      </c>
      <c r="B80" s="251">
        <v>337.429982331036</v>
      </c>
      <c r="C80" s="25">
        <v>6</v>
      </c>
      <c r="D80" s="77">
        <v>7.1999999999999995E-2</v>
      </c>
      <c r="E80" s="76"/>
      <c r="F80" s="76"/>
      <c r="G80" s="76"/>
      <c r="H80" s="76"/>
      <c r="I80" s="77" t="s">
        <v>12</v>
      </c>
      <c r="J80" s="14"/>
      <c r="K80" s="249">
        <v>8.0737746874216167</v>
      </c>
    </row>
    <row r="81" spans="1:11" ht="13.8" hidden="1">
      <c r="A81" s="77" t="s">
        <v>32</v>
      </c>
      <c r="B81" s="251">
        <v>337.429982331036</v>
      </c>
      <c r="C81" s="25">
        <v>6</v>
      </c>
      <c r="D81" s="77">
        <v>7.1999999999999995E-2</v>
      </c>
      <c r="E81" s="76"/>
      <c r="F81" s="76"/>
      <c r="G81" s="76"/>
      <c r="H81" s="76"/>
      <c r="I81" s="77" t="s">
        <v>12</v>
      </c>
      <c r="J81" s="14"/>
      <c r="K81" s="249">
        <v>8.0184731252249453</v>
      </c>
    </row>
    <row r="82" spans="1:11" ht="13.8" hidden="1">
      <c r="A82" s="77" t="s">
        <v>32</v>
      </c>
      <c r="B82" s="251">
        <v>337.429982331036</v>
      </c>
      <c r="C82" s="25">
        <v>6</v>
      </c>
      <c r="D82" s="77">
        <v>7.1999999999999995E-2</v>
      </c>
      <c r="E82" s="76"/>
      <c r="F82" s="76"/>
      <c r="G82" s="76"/>
      <c r="H82" s="76"/>
      <c r="I82" s="77" t="s">
        <v>12</v>
      </c>
      <c r="J82" s="14"/>
      <c r="K82" s="249">
        <v>8.0184731252249453</v>
      </c>
    </row>
    <row r="83" spans="1:11" ht="13.8" hidden="1">
      <c r="A83" s="77" t="s">
        <v>32</v>
      </c>
      <c r="B83" s="251">
        <v>337.429982331036</v>
      </c>
      <c r="C83" s="25">
        <v>6</v>
      </c>
      <c r="D83" s="77">
        <v>7.1999999999999995E-2</v>
      </c>
      <c r="E83" s="76"/>
      <c r="F83" s="76"/>
      <c r="G83" s="76"/>
      <c r="H83" s="76"/>
      <c r="I83" s="77" t="s">
        <v>12</v>
      </c>
      <c r="J83" s="14"/>
      <c r="K83" s="249">
        <v>7.9623980519921798</v>
      </c>
    </row>
    <row r="84" spans="1:11" ht="13.8" hidden="1">
      <c r="A84" s="77" t="s">
        <v>32</v>
      </c>
      <c r="B84" s="251">
        <v>381.22272429350102</v>
      </c>
      <c r="C84" s="25">
        <v>6</v>
      </c>
      <c r="D84" s="77">
        <v>7.1999999999999995E-2</v>
      </c>
      <c r="E84" s="76"/>
      <c r="F84" s="76"/>
      <c r="G84" s="76"/>
      <c r="H84" s="76"/>
      <c r="I84" s="77" t="s">
        <v>12</v>
      </c>
      <c r="J84" s="14"/>
      <c r="K84" s="249">
        <v>8.4657668575116567</v>
      </c>
    </row>
    <row r="85" spans="1:11" ht="13.8" hidden="1">
      <c r="A85" s="77" t="s">
        <v>32</v>
      </c>
      <c r="B85" s="251">
        <v>378.97701031157902</v>
      </c>
      <c r="C85" s="25">
        <v>6</v>
      </c>
      <c r="D85" s="77">
        <v>7.1999999999999995E-2</v>
      </c>
      <c r="E85" s="76"/>
      <c r="F85" s="76"/>
      <c r="G85" s="76"/>
      <c r="H85" s="76"/>
      <c r="I85" s="77" t="s">
        <v>12</v>
      </c>
      <c r="J85" s="14"/>
      <c r="K85" s="249">
        <v>8.392403526207648</v>
      </c>
    </row>
    <row r="86" spans="1:11" ht="13.8" hidden="1">
      <c r="A86" s="77" t="s">
        <v>32</v>
      </c>
      <c r="B86" s="251">
        <v>92.840683114082395</v>
      </c>
      <c r="C86" s="25">
        <v>2</v>
      </c>
      <c r="D86" s="77">
        <v>3.6999999999999998E-2</v>
      </c>
      <c r="E86" s="76"/>
      <c r="F86" s="76"/>
      <c r="G86" s="76"/>
      <c r="H86" s="76"/>
      <c r="I86" s="77" t="s">
        <v>12</v>
      </c>
      <c r="J86" s="14"/>
      <c r="K86" s="249">
        <v>4.6029274687505914</v>
      </c>
    </row>
    <row r="87" spans="1:11" ht="13.8" hidden="1">
      <c r="A87" s="77" t="s">
        <v>32</v>
      </c>
      <c r="B87" s="251">
        <v>91.359160915503494</v>
      </c>
      <c r="C87" s="25">
        <v>2</v>
      </c>
      <c r="D87" s="77">
        <v>3.6999999999999998E-2</v>
      </c>
      <c r="E87" s="76"/>
      <c r="F87" s="76"/>
      <c r="G87" s="76"/>
      <c r="H87" s="76"/>
      <c r="I87" s="77" t="s">
        <v>12</v>
      </c>
      <c r="J87" s="14"/>
      <c r="K87" s="249">
        <v>4.5315913165492292</v>
      </c>
    </row>
    <row r="88" spans="1:11" ht="13.8" hidden="1">
      <c r="A88" s="77" t="s">
        <v>32</v>
      </c>
      <c r="B88" s="251">
        <v>140.247901502644</v>
      </c>
      <c r="C88" s="25">
        <v>2</v>
      </c>
      <c r="D88" s="77">
        <v>3.6999999999999998E-2</v>
      </c>
      <c r="E88" s="76"/>
      <c r="F88" s="76"/>
      <c r="G88" s="76"/>
      <c r="H88" s="76"/>
      <c r="I88" s="77" t="s">
        <v>12</v>
      </c>
      <c r="J88" s="14"/>
      <c r="K88" s="249">
        <v>5.058807638481551</v>
      </c>
    </row>
    <row r="89" spans="1:11" ht="13.8" hidden="1">
      <c r="A89" s="77" t="s">
        <v>32</v>
      </c>
      <c r="B89" s="251">
        <v>139.507208219989</v>
      </c>
      <c r="C89" s="25">
        <v>2</v>
      </c>
      <c r="D89" s="77">
        <v>3.6999999999999998E-2</v>
      </c>
      <c r="E89" s="76"/>
      <c r="F89" s="76"/>
      <c r="G89" s="76"/>
      <c r="H89" s="76"/>
      <c r="I89" s="77" t="s">
        <v>12</v>
      </c>
      <c r="J89" s="14"/>
      <c r="K89" s="249">
        <v>4.9911612645165482</v>
      </c>
    </row>
    <row r="90" spans="1:11" ht="13.8" hidden="1">
      <c r="A90" s="77" t="s">
        <v>32</v>
      </c>
      <c r="B90" s="251">
        <v>92.205715964705107</v>
      </c>
      <c r="C90" s="25">
        <v>2</v>
      </c>
      <c r="D90" s="77">
        <v>5.1999999999999998E-2</v>
      </c>
      <c r="E90" s="76"/>
      <c r="F90" s="76"/>
      <c r="G90" s="76"/>
      <c r="H90" s="76"/>
      <c r="I90" s="77" t="s">
        <v>12</v>
      </c>
      <c r="J90" s="14"/>
      <c r="K90" s="251">
        <v>4.6383369678758601</v>
      </c>
    </row>
    <row r="91" spans="1:11" ht="13.8" hidden="1">
      <c r="A91" s="77" t="s">
        <v>32</v>
      </c>
      <c r="B91" s="251">
        <v>139.82462397804301</v>
      </c>
      <c r="C91" s="25">
        <v>2</v>
      </c>
      <c r="D91" s="77">
        <v>5.1999999999999998E-2</v>
      </c>
      <c r="E91" s="76"/>
      <c r="F91" s="76"/>
      <c r="G91" s="76"/>
      <c r="H91" s="76"/>
      <c r="I91" s="77" t="s">
        <v>12</v>
      </c>
      <c r="J91" s="14"/>
      <c r="K91" s="251">
        <v>5.3806400995383665</v>
      </c>
    </row>
    <row r="92" spans="1:11" ht="13.8" hidden="1">
      <c r="A92" s="77" t="s">
        <v>32</v>
      </c>
      <c r="B92" s="251">
        <v>139.189724645301</v>
      </c>
      <c r="C92" s="25">
        <v>2</v>
      </c>
      <c r="D92" s="77">
        <v>5.1999999999999998E-2</v>
      </c>
      <c r="E92" s="76"/>
      <c r="F92" s="76"/>
      <c r="G92" s="76"/>
      <c r="H92" s="76"/>
      <c r="I92" s="77" t="s">
        <v>12</v>
      </c>
      <c r="J92" s="14"/>
      <c r="K92" s="251">
        <v>5.268137248908153</v>
      </c>
    </row>
    <row r="93" spans="1:11" ht="13.8" hidden="1">
      <c r="A93" s="77" t="s">
        <v>32</v>
      </c>
      <c r="B93" s="251">
        <v>139.82462397804301</v>
      </c>
      <c r="C93" s="25">
        <v>2</v>
      </c>
      <c r="D93" s="77">
        <v>5.1999999999999998E-2</v>
      </c>
      <c r="E93" s="76"/>
      <c r="F93" s="76"/>
      <c r="G93" s="76"/>
      <c r="H93" s="76"/>
      <c r="I93" s="77" t="s">
        <v>12</v>
      </c>
      <c r="J93" s="14"/>
      <c r="K93" s="251">
        <v>5.2222932489418383</v>
      </c>
    </row>
    <row r="94" spans="1:11" ht="13.8" hidden="1">
      <c r="A94" s="77" t="s">
        <v>32</v>
      </c>
      <c r="B94" s="251">
        <v>139.189724645301</v>
      </c>
      <c r="C94" s="25">
        <v>2</v>
      </c>
      <c r="D94" s="77">
        <v>5.1999999999999998E-2</v>
      </c>
      <c r="E94" s="76"/>
      <c r="F94" s="76"/>
      <c r="G94" s="76"/>
      <c r="H94" s="76"/>
      <c r="I94" s="77" t="s">
        <v>12</v>
      </c>
      <c r="J94" s="14"/>
      <c r="K94" s="251">
        <v>5.1594847397577261</v>
      </c>
    </row>
    <row r="95" spans="1:11" ht="13.8" hidden="1">
      <c r="A95" s="77" t="s">
        <v>32</v>
      </c>
      <c r="B95" s="251">
        <v>188.078465232442</v>
      </c>
      <c r="C95" s="25">
        <v>2</v>
      </c>
      <c r="D95" s="77">
        <v>5.1999999999999998E-2</v>
      </c>
      <c r="E95" s="76"/>
      <c r="F95" s="76"/>
      <c r="G95" s="76"/>
      <c r="H95" s="76"/>
      <c r="I95" s="77" t="s">
        <v>12</v>
      </c>
      <c r="J95" s="14"/>
      <c r="K95" s="251">
        <v>5.7040540367566352</v>
      </c>
    </row>
    <row r="96" spans="1:11" ht="13.8" hidden="1">
      <c r="A96" s="77" t="s">
        <v>32</v>
      </c>
      <c r="B96" s="251">
        <v>188.078465232442</v>
      </c>
      <c r="C96" s="25">
        <v>2</v>
      </c>
      <c r="D96" s="77">
        <v>5.1999999999999998E-2</v>
      </c>
      <c r="E96" s="76"/>
      <c r="F96" s="76"/>
      <c r="G96" s="76"/>
      <c r="H96" s="76"/>
      <c r="I96" s="77" t="s">
        <v>12</v>
      </c>
      <c r="J96" s="14"/>
      <c r="K96" s="251">
        <v>5.6420485385097114</v>
      </c>
    </row>
    <row r="97" spans="1:11" ht="13.8" hidden="1">
      <c r="A97" s="77" t="s">
        <v>32</v>
      </c>
      <c r="B97" s="251">
        <v>188.078465232442</v>
      </c>
      <c r="C97" s="25">
        <v>2</v>
      </c>
      <c r="D97" s="77">
        <v>5.1999999999999998E-2</v>
      </c>
      <c r="E97" s="76"/>
      <c r="F97" s="76"/>
      <c r="G97" s="76"/>
      <c r="H97" s="76"/>
      <c r="I97" s="77" t="s">
        <v>12</v>
      </c>
      <c r="J97" s="14"/>
      <c r="K97" s="251">
        <v>5.5786493682031004</v>
      </c>
    </row>
    <row r="98" spans="1:11" ht="13.8" hidden="1">
      <c r="A98" s="77" t="s">
        <v>32</v>
      </c>
      <c r="B98" s="251">
        <v>235.06244000472</v>
      </c>
      <c r="C98" s="25">
        <v>2</v>
      </c>
      <c r="D98" s="77">
        <v>5.1999999999999998E-2</v>
      </c>
      <c r="E98" s="76"/>
      <c r="F98" s="76"/>
      <c r="G98" s="76"/>
      <c r="H98" s="76"/>
      <c r="I98" s="77" t="s">
        <v>12</v>
      </c>
      <c r="J98" s="14"/>
      <c r="K98" s="251">
        <v>6.0091141642467329</v>
      </c>
    </row>
    <row r="99" spans="1:11" ht="13.8" hidden="1">
      <c r="A99" s="77" t="s">
        <v>32</v>
      </c>
      <c r="B99" s="251">
        <v>235.69733933746301</v>
      </c>
      <c r="C99" s="25">
        <v>2</v>
      </c>
      <c r="D99" s="77">
        <v>5.1999999999999998E-2</v>
      </c>
      <c r="E99" s="76"/>
      <c r="F99" s="76"/>
      <c r="G99" s="76"/>
      <c r="H99" s="76"/>
      <c r="I99" s="77" t="s">
        <v>12</v>
      </c>
      <c r="J99" s="14"/>
      <c r="K99" s="251">
        <v>5.9445768547920466</v>
      </c>
    </row>
    <row r="100" spans="1:11" ht="13.8" hidden="1">
      <c r="A100" s="77" t="s">
        <v>32</v>
      </c>
      <c r="B100" s="251">
        <v>235.06244000472</v>
      </c>
      <c r="C100" s="25">
        <v>2</v>
      </c>
      <c r="D100" s="77">
        <v>5.1999999999999998E-2</v>
      </c>
      <c r="E100" s="76"/>
      <c r="F100" s="76"/>
      <c r="G100" s="76"/>
      <c r="H100" s="76"/>
      <c r="I100" s="77" t="s">
        <v>12</v>
      </c>
      <c r="J100" s="14"/>
      <c r="K100" s="251">
        <v>5.8676703984511338</v>
      </c>
    </row>
    <row r="101" spans="1:11" ht="13.8">
      <c r="A101" s="77" t="s">
        <v>32</v>
      </c>
      <c r="B101" s="251">
        <v>92.840683114082395</v>
      </c>
      <c r="C101" s="25">
        <v>2</v>
      </c>
      <c r="D101" s="77">
        <v>7.1999999999999995E-2</v>
      </c>
      <c r="E101" s="76"/>
      <c r="F101" s="76"/>
      <c r="G101" s="76"/>
      <c r="H101" s="76"/>
      <c r="I101" s="77" t="s">
        <v>12</v>
      </c>
      <c r="J101" s="14"/>
      <c r="K101" s="251">
        <v>4.9077543346955892</v>
      </c>
    </row>
    <row r="102" spans="1:11" ht="13.8">
      <c r="A102" s="77" t="s">
        <v>32</v>
      </c>
      <c r="B102" s="251">
        <v>92.099922014792895</v>
      </c>
      <c r="C102" s="25">
        <v>2</v>
      </c>
      <c r="D102" s="77">
        <v>7.1999999999999995E-2</v>
      </c>
      <c r="E102" s="76"/>
      <c r="F102" s="76"/>
      <c r="G102" s="76"/>
      <c r="H102" s="76"/>
      <c r="I102" s="77" t="s">
        <v>12</v>
      </c>
      <c r="J102" s="14"/>
      <c r="K102" s="251">
        <v>4.8535331354296147</v>
      </c>
    </row>
    <row r="103" spans="1:11" ht="13.8">
      <c r="A103" s="77" t="s">
        <v>32</v>
      </c>
      <c r="B103" s="251">
        <v>140.98866260193299</v>
      </c>
      <c r="C103" s="25">
        <v>2</v>
      </c>
      <c r="D103" s="77">
        <v>7.1999999999999995E-2</v>
      </c>
      <c r="E103" s="76"/>
      <c r="F103" s="76"/>
      <c r="G103" s="76"/>
      <c r="H103" s="76"/>
      <c r="I103" s="77" t="s">
        <v>12</v>
      </c>
      <c r="J103" s="14"/>
      <c r="K103" s="251">
        <v>5.4464343483907642</v>
      </c>
    </row>
    <row r="104" spans="1:11" ht="13.8">
      <c r="A104" s="77" t="s">
        <v>32</v>
      </c>
      <c r="B104" s="251">
        <v>140.98866260193299</v>
      </c>
      <c r="C104" s="25">
        <v>2</v>
      </c>
      <c r="D104" s="77">
        <v>7.1999999999999995E-2</v>
      </c>
      <c r="E104" s="76"/>
      <c r="F104" s="76"/>
      <c r="G104" s="76"/>
      <c r="H104" s="76"/>
      <c r="I104" s="77" t="s">
        <v>12</v>
      </c>
      <c r="J104" s="14"/>
      <c r="K104" s="251">
        <v>5.3955301146138357</v>
      </c>
    </row>
    <row r="105" spans="1:11" ht="13.8">
      <c r="A105" s="77" t="s">
        <v>32</v>
      </c>
      <c r="B105" s="251">
        <v>188.39594880713</v>
      </c>
      <c r="C105" s="25">
        <v>2</v>
      </c>
      <c r="D105" s="77">
        <v>7.1999999999999995E-2</v>
      </c>
      <c r="E105" s="76"/>
      <c r="F105" s="76"/>
      <c r="G105" s="76"/>
      <c r="H105" s="76"/>
      <c r="I105" s="77" t="s">
        <v>12</v>
      </c>
      <c r="J105" s="14"/>
      <c r="K105" s="251">
        <v>5.8857281811887914</v>
      </c>
    </row>
    <row r="106" spans="1:11" ht="13.8">
      <c r="A106" s="77" t="s">
        <v>32</v>
      </c>
      <c r="B106" s="251">
        <v>186.17373332589699</v>
      </c>
      <c r="C106" s="25">
        <v>2</v>
      </c>
      <c r="D106" s="77">
        <v>7.1999999999999995E-2</v>
      </c>
      <c r="E106" s="76"/>
      <c r="F106" s="76"/>
      <c r="G106" s="76"/>
      <c r="H106" s="76"/>
      <c r="I106" s="77" t="s">
        <v>12</v>
      </c>
      <c r="J106" s="14"/>
      <c r="K106" s="251">
        <v>5.8044466648890687</v>
      </c>
    </row>
    <row r="107" spans="1:11" ht="13.8">
      <c r="A107" s="77" t="s">
        <v>32</v>
      </c>
      <c r="B107" s="251">
        <v>234.32171281374801</v>
      </c>
      <c r="C107" s="25">
        <v>2</v>
      </c>
      <c r="D107" s="77">
        <v>7.1999999999999995E-2</v>
      </c>
      <c r="E107" s="76"/>
      <c r="F107" s="76"/>
      <c r="G107" s="76"/>
      <c r="H107" s="76"/>
      <c r="I107" s="77" t="s">
        <v>12</v>
      </c>
      <c r="J107" s="14"/>
      <c r="K107" s="251">
        <v>6.2669880532477826</v>
      </c>
    </row>
    <row r="108" spans="1:11" ht="13.8">
      <c r="A108" s="77" t="s">
        <v>32</v>
      </c>
      <c r="B108" s="251">
        <v>237.284689394271</v>
      </c>
      <c r="C108" s="25">
        <v>2</v>
      </c>
      <c r="D108" s="77">
        <v>7.1999999999999995E-2</v>
      </c>
      <c r="E108" s="76"/>
      <c r="F108" s="76"/>
      <c r="G108" s="76"/>
      <c r="H108" s="76"/>
      <c r="I108" s="77" t="s">
        <v>12</v>
      </c>
      <c r="J108" s="14"/>
      <c r="K108" s="251">
        <v>6.2290708998355022</v>
      </c>
    </row>
    <row r="109" spans="1:11" ht="13.8">
      <c r="A109" s="77" t="s">
        <v>32</v>
      </c>
      <c r="B109" s="251">
        <v>235.06247391303799</v>
      </c>
      <c r="C109" s="25">
        <v>2</v>
      </c>
      <c r="D109" s="77">
        <v>7.1999999999999995E-2</v>
      </c>
      <c r="E109" s="76"/>
      <c r="F109" s="76"/>
      <c r="G109" s="76"/>
      <c r="H109" s="76"/>
      <c r="I109" s="77" t="s">
        <v>12</v>
      </c>
      <c r="J109" s="14"/>
      <c r="K109" s="251">
        <v>6.1441957168729662</v>
      </c>
    </row>
    <row r="110" spans="1:11" ht="13.8">
      <c r="A110" s="77" t="s">
        <v>32</v>
      </c>
      <c r="B110" s="251">
        <v>281.72899901894499</v>
      </c>
      <c r="C110" s="25">
        <v>2</v>
      </c>
      <c r="D110" s="77">
        <v>7.1999999999999995E-2</v>
      </c>
      <c r="E110" s="76"/>
      <c r="F110" s="76"/>
      <c r="G110" s="76"/>
      <c r="H110" s="76"/>
      <c r="I110" s="77" t="s">
        <v>12</v>
      </c>
      <c r="J110" s="14"/>
      <c r="K110" s="251">
        <v>6.4555657892376139</v>
      </c>
    </row>
    <row r="111" spans="1:11" ht="13.8">
      <c r="A111" s="77" t="s">
        <v>32</v>
      </c>
      <c r="B111" s="251">
        <v>283.95121450017899</v>
      </c>
      <c r="C111" s="25">
        <v>2</v>
      </c>
      <c r="D111" s="77">
        <v>7.1999999999999995E-2</v>
      </c>
      <c r="E111" s="76"/>
      <c r="F111" s="76"/>
      <c r="G111" s="76"/>
      <c r="H111" s="76"/>
      <c r="I111" s="77" t="s">
        <v>12</v>
      </c>
      <c r="J111" s="14"/>
      <c r="K111" s="251">
        <v>6.3997638945366795</v>
      </c>
    </row>
    <row r="112" spans="1:11" ht="13.8">
      <c r="A112" s="77" t="s">
        <v>32</v>
      </c>
      <c r="B112" s="251">
        <v>279.50678353771099</v>
      </c>
      <c r="C112" s="25">
        <v>2</v>
      </c>
      <c r="D112" s="77">
        <v>7.1999999999999995E-2</v>
      </c>
      <c r="E112" s="76"/>
      <c r="F112" s="76"/>
      <c r="G112" s="76"/>
      <c r="H112" s="76"/>
      <c r="I112" s="77" t="s">
        <v>12</v>
      </c>
      <c r="J112" s="14"/>
      <c r="K112" s="251">
        <v>6.2921659815930999</v>
      </c>
    </row>
    <row r="113" spans="1:11" ht="13.8">
      <c r="A113" s="77" t="s">
        <v>32</v>
      </c>
      <c r="B113" s="251">
        <v>329.876978506797</v>
      </c>
      <c r="C113" s="25">
        <v>2</v>
      </c>
      <c r="D113" s="77">
        <v>7.1999999999999995E-2</v>
      </c>
      <c r="E113" s="76"/>
      <c r="F113" s="76"/>
      <c r="G113" s="76"/>
      <c r="H113" s="76"/>
      <c r="I113" s="77" t="s">
        <v>12</v>
      </c>
      <c r="J113" s="14"/>
      <c r="K113" s="251">
        <v>6.7277014531571222</v>
      </c>
    </row>
    <row r="114" spans="1:11" ht="13.8">
      <c r="A114" s="77" t="s">
        <v>32</v>
      </c>
      <c r="B114" s="251">
        <v>329.876978506797</v>
      </c>
      <c r="C114" s="25">
        <v>2</v>
      </c>
      <c r="D114" s="77">
        <v>7.1999999999999995E-2</v>
      </c>
      <c r="E114" s="76"/>
      <c r="F114" s="76"/>
      <c r="G114" s="76"/>
      <c r="H114" s="76"/>
      <c r="I114" s="77" t="s">
        <v>12</v>
      </c>
      <c r="J114" s="14"/>
      <c r="K114" s="251">
        <v>6.6494652725694294</v>
      </c>
    </row>
    <row r="115" spans="1:11" ht="13.8">
      <c r="A115" s="77" t="s">
        <v>32</v>
      </c>
      <c r="B115" s="251">
        <v>329.876978506797</v>
      </c>
      <c r="C115" s="25">
        <v>2</v>
      </c>
      <c r="D115" s="77">
        <v>7.1999999999999995E-2</v>
      </c>
      <c r="E115" s="76"/>
      <c r="F115" s="76"/>
      <c r="G115" s="76"/>
      <c r="H115" s="76"/>
      <c r="I115" s="77" t="s">
        <v>12</v>
      </c>
      <c r="J115" s="14"/>
      <c r="K115" s="251">
        <v>6.5693434318792301</v>
      </c>
    </row>
  </sheetData>
  <autoFilter ref="A1:Z115" xr:uid="{00000000-0009-0000-0000-000009000000}">
    <filterColumn colId="2">
      <filters>
        <filter val="2"/>
      </filters>
    </filterColumn>
    <filterColumn colId="3">
      <filters>
        <filter val="0.072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26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1" max="11" width="16.777343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37" spans="1:11">
      <c r="A37" s="103" t="s">
        <v>24</v>
      </c>
      <c r="B37" s="103"/>
      <c r="C37" s="104">
        <v>0.25</v>
      </c>
      <c r="D37" s="103">
        <v>7.1999999999999995E-2</v>
      </c>
      <c r="E37" s="103">
        <v>1.003E-3</v>
      </c>
      <c r="F37" s="103">
        <v>998.2</v>
      </c>
      <c r="G37" s="103"/>
      <c r="H37" s="105">
        <v>22.5</v>
      </c>
      <c r="I37" s="103" t="s">
        <v>12</v>
      </c>
      <c r="J37" s="103"/>
      <c r="K37" s="104">
        <v>2.90043901829078</v>
      </c>
    </row>
    <row r="38" spans="1:11">
      <c r="A38" s="103" t="s">
        <v>24</v>
      </c>
      <c r="B38" s="103"/>
      <c r="C38" s="104">
        <v>0.25</v>
      </c>
      <c r="D38" s="103">
        <v>7.1999999999999995E-2</v>
      </c>
      <c r="E38" s="103">
        <v>1.003E-3</v>
      </c>
      <c r="F38" s="103">
        <v>998.2</v>
      </c>
      <c r="G38" s="103"/>
      <c r="H38" s="105">
        <v>22.5</v>
      </c>
      <c r="I38" s="103" t="s">
        <v>12</v>
      </c>
      <c r="J38" s="103"/>
      <c r="K38" s="104">
        <v>3.3616399120078402</v>
      </c>
    </row>
    <row r="39" spans="1:11">
      <c r="A39" s="103" t="s">
        <v>24</v>
      </c>
      <c r="B39" s="103"/>
      <c r="C39" s="104">
        <v>0.25</v>
      </c>
      <c r="D39" s="103">
        <v>7.1999999999999995E-2</v>
      </c>
      <c r="E39" s="103">
        <v>1.003E-3</v>
      </c>
      <c r="F39" s="103">
        <v>998.2</v>
      </c>
      <c r="G39" s="103"/>
      <c r="H39" s="105">
        <v>22.5</v>
      </c>
      <c r="I39" s="103" t="s">
        <v>12</v>
      </c>
      <c r="J39" s="103"/>
      <c r="K39" s="104">
        <v>3.9809663093971999</v>
      </c>
    </row>
    <row r="40" spans="1:11">
      <c r="A40" s="103" t="s">
        <v>24</v>
      </c>
      <c r="B40" s="103"/>
      <c r="C40" s="104">
        <v>0.25</v>
      </c>
      <c r="D40" s="103">
        <v>7.1999999999999995E-2</v>
      </c>
      <c r="E40" s="103">
        <v>1.003E-3</v>
      </c>
      <c r="F40" s="103">
        <v>998.2</v>
      </c>
      <c r="G40" s="103"/>
      <c r="H40" s="105">
        <v>22.5</v>
      </c>
      <c r="I40" s="103" t="s">
        <v>12</v>
      </c>
      <c r="J40" s="103"/>
      <c r="K40" s="104">
        <v>4.1434847187662696</v>
      </c>
    </row>
    <row r="41" spans="1:11">
      <c r="A41" s="103" t="s">
        <v>24</v>
      </c>
      <c r="B41" s="103"/>
      <c r="C41" s="104">
        <v>0.25</v>
      </c>
      <c r="D41" s="103">
        <v>7.1999999999999995E-2</v>
      </c>
      <c r="E41" s="103">
        <v>1.003E-3</v>
      </c>
      <c r="F41" s="103">
        <v>998.2</v>
      </c>
      <c r="G41" s="103"/>
      <c r="H41" s="105">
        <v>22.5</v>
      </c>
      <c r="I41" s="103" t="s">
        <v>12</v>
      </c>
      <c r="J41" s="103"/>
      <c r="K41" s="104">
        <v>4.3016105575510597</v>
      </c>
    </row>
    <row r="42" spans="1:11">
      <c r="A42" s="103" t="s">
        <v>24</v>
      </c>
      <c r="B42" s="103"/>
      <c r="C42" s="104">
        <v>0.25</v>
      </c>
      <c r="D42" s="103">
        <v>7.1999999999999995E-2</v>
      </c>
      <c r="E42" s="103">
        <v>1.003E-3</v>
      </c>
      <c r="F42" s="103">
        <v>998.2</v>
      </c>
      <c r="G42" s="103"/>
      <c r="H42" s="105">
        <v>22.5</v>
      </c>
      <c r="I42" s="103" t="s">
        <v>12</v>
      </c>
      <c r="J42" s="103"/>
      <c r="K42" s="104">
        <v>4.2708639039109597</v>
      </c>
    </row>
    <row r="43" spans="1:11">
      <c r="A43" s="103" t="s">
        <v>24</v>
      </c>
      <c r="B43" s="103"/>
      <c r="C43" s="104">
        <v>0.25</v>
      </c>
      <c r="D43" s="103">
        <v>5.8500000000000003E-2</v>
      </c>
      <c r="E43" s="103">
        <v>1.003E-3</v>
      </c>
      <c r="F43" s="103">
        <v>998.2</v>
      </c>
      <c r="G43" s="103"/>
      <c r="H43" s="105">
        <v>22.5</v>
      </c>
      <c r="I43" s="103" t="s">
        <v>12</v>
      </c>
      <c r="J43" s="103"/>
      <c r="K43" s="104">
        <v>2.4348463079925202</v>
      </c>
    </row>
    <row r="44" spans="1:11">
      <c r="A44" s="103" t="s">
        <v>24</v>
      </c>
      <c r="B44" s="103"/>
      <c r="C44" s="104">
        <v>0.25</v>
      </c>
      <c r="D44" s="103">
        <v>5.8500000000000003E-2</v>
      </c>
      <c r="E44" s="103">
        <v>1.003E-3</v>
      </c>
      <c r="F44" s="103">
        <v>998.2</v>
      </c>
      <c r="G44" s="103"/>
      <c r="H44" s="105">
        <v>22.5</v>
      </c>
      <c r="I44" s="103" t="s">
        <v>12</v>
      </c>
      <c r="J44" s="103"/>
      <c r="K44" s="104">
        <v>3.2825769926154398</v>
      </c>
    </row>
    <row r="45" spans="1:11">
      <c r="A45" s="103" t="s">
        <v>24</v>
      </c>
      <c r="B45" s="103"/>
      <c r="C45" s="104">
        <v>0.25</v>
      </c>
      <c r="D45" s="103">
        <v>5.8500000000000003E-2</v>
      </c>
      <c r="E45" s="103">
        <v>1.003E-3</v>
      </c>
      <c r="F45" s="103">
        <v>998.2</v>
      </c>
      <c r="G45" s="103"/>
      <c r="H45" s="105">
        <v>22.5</v>
      </c>
      <c r="I45" s="103" t="s">
        <v>12</v>
      </c>
      <c r="J45" s="103"/>
      <c r="K45" s="104">
        <v>3.5900440316851601</v>
      </c>
    </row>
    <row r="46" spans="1:11">
      <c r="A46" s="103" t="s">
        <v>24</v>
      </c>
      <c r="B46" s="103"/>
      <c r="C46" s="104">
        <v>0.25</v>
      </c>
      <c r="D46" s="103">
        <v>5.8500000000000003E-2</v>
      </c>
      <c r="E46" s="103">
        <v>1.003E-3</v>
      </c>
      <c r="F46" s="103">
        <v>998.2</v>
      </c>
      <c r="G46" s="103"/>
      <c r="H46" s="105">
        <v>22.5</v>
      </c>
      <c r="I46" s="103" t="s">
        <v>12</v>
      </c>
      <c r="J46" s="103"/>
      <c r="K46" s="104">
        <v>3.7920937331941902</v>
      </c>
    </row>
    <row r="47" spans="1:11">
      <c r="A47" s="103" t="s">
        <v>24</v>
      </c>
      <c r="B47" s="103"/>
      <c r="C47" s="104">
        <v>0.25</v>
      </c>
      <c r="D47" s="103">
        <v>5.8500000000000003E-2</v>
      </c>
      <c r="E47" s="103">
        <v>1.003E-3</v>
      </c>
      <c r="F47" s="103">
        <v>998.2</v>
      </c>
      <c r="G47" s="103"/>
      <c r="H47" s="105">
        <v>22.5</v>
      </c>
      <c r="I47" s="103" t="s">
        <v>12</v>
      </c>
      <c r="J47" s="103"/>
      <c r="K47" s="104">
        <v>3.8316252766685102</v>
      </c>
    </row>
    <row r="48" spans="1:11">
      <c r="A48" s="103" t="s">
        <v>24</v>
      </c>
      <c r="B48" s="103"/>
      <c r="C48" s="104">
        <v>0.25</v>
      </c>
      <c r="D48" s="103">
        <v>5.8500000000000003E-2</v>
      </c>
      <c r="E48" s="103">
        <v>1.003E-3</v>
      </c>
      <c r="F48" s="103">
        <v>998.2</v>
      </c>
      <c r="G48" s="103"/>
      <c r="H48" s="105">
        <v>22.5</v>
      </c>
      <c r="I48" s="103" t="s">
        <v>12</v>
      </c>
      <c r="J48" s="103"/>
      <c r="K48" s="104">
        <v>3.80527085850022</v>
      </c>
    </row>
    <row r="49" spans="1:11">
      <c r="A49" s="103" t="s">
        <v>24</v>
      </c>
      <c r="B49" s="103"/>
      <c r="C49" s="104">
        <v>0.25</v>
      </c>
      <c r="D49" s="103">
        <v>5.0700000000000002E-2</v>
      </c>
      <c r="E49" s="103">
        <v>1.003E-3</v>
      </c>
      <c r="F49" s="103">
        <v>998.2</v>
      </c>
      <c r="G49" s="103"/>
      <c r="H49" s="105">
        <v>22.5</v>
      </c>
      <c r="I49" s="103" t="s">
        <v>12</v>
      </c>
      <c r="J49" s="103"/>
      <c r="K49" s="104">
        <v>2.6456809831138899</v>
      </c>
    </row>
    <row r="50" spans="1:11">
      <c r="A50" s="103" t="s">
        <v>24</v>
      </c>
      <c r="B50" s="103"/>
      <c r="C50" s="104">
        <v>0.25</v>
      </c>
      <c r="D50" s="103">
        <v>5.0700000000000002E-2</v>
      </c>
      <c r="E50" s="103">
        <v>1.003E-3</v>
      </c>
      <c r="F50" s="103">
        <v>998.2</v>
      </c>
      <c r="G50" s="103"/>
      <c r="H50" s="105">
        <v>22.5</v>
      </c>
      <c r="I50" s="103" t="s">
        <v>12</v>
      </c>
      <c r="J50" s="103"/>
      <c r="K50" s="104">
        <v>3.1639825297487301</v>
      </c>
    </row>
    <row r="51" spans="1:11">
      <c r="A51" s="103" t="s">
        <v>24</v>
      </c>
      <c r="B51" s="103"/>
      <c r="C51" s="104">
        <v>0.25</v>
      </c>
      <c r="D51" s="103">
        <v>5.0700000000000002E-2</v>
      </c>
      <c r="E51" s="103">
        <v>1.003E-3</v>
      </c>
      <c r="F51" s="103">
        <v>998.2</v>
      </c>
      <c r="G51" s="103"/>
      <c r="H51" s="105">
        <v>22.5</v>
      </c>
      <c r="I51" s="103" t="s">
        <v>12</v>
      </c>
      <c r="J51" s="103"/>
      <c r="K51" s="104">
        <v>3.5900440316851601</v>
      </c>
    </row>
    <row r="52" spans="1:11">
      <c r="A52" s="103" t="s">
        <v>24</v>
      </c>
      <c r="B52" s="103"/>
      <c r="C52" s="104">
        <v>0.25</v>
      </c>
      <c r="D52" s="103">
        <v>5.0700000000000002E-2</v>
      </c>
      <c r="E52" s="103">
        <v>1.003E-3</v>
      </c>
      <c r="F52" s="103">
        <v>998.2</v>
      </c>
      <c r="G52" s="103"/>
      <c r="H52" s="105">
        <v>22.5</v>
      </c>
      <c r="I52" s="103" t="s">
        <v>12</v>
      </c>
      <c r="J52" s="103"/>
      <c r="K52" s="104">
        <v>3.5153734315426899</v>
      </c>
    </row>
    <row r="53" spans="1:11">
      <c r="A53" s="103" t="s">
        <v>24</v>
      </c>
      <c r="B53" s="103"/>
      <c r="C53" s="104">
        <v>0.25</v>
      </c>
      <c r="D53" s="103">
        <v>5.0700000000000002E-2</v>
      </c>
      <c r="E53" s="103">
        <v>1.003E-3</v>
      </c>
      <c r="F53" s="103">
        <v>998.2</v>
      </c>
      <c r="G53" s="103"/>
      <c r="H53" s="105">
        <v>22.5</v>
      </c>
      <c r="I53" s="103" t="s">
        <v>12</v>
      </c>
      <c r="J53" s="103"/>
      <c r="K53" s="104">
        <v>3.7833089271380902</v>
      </c>
    </row>
    <row r="54" spans="1:11">
      <c r="A54" s="103" t="s">
        <v>24</v>
      </c>
      <c r="B54" s="103"/>
      <c r="C54" s="104">
        <v>0.25</v>
      </c>
      <c r="D54" s="103">
        <v>5.0700000000000002E-2</v>
      </c>
      <c r="E54" s="103">
        <v>1.003E-3</v>
      </c>
      <c r="F54" s="103">
        <v>998.2</v>
      </c>
      <c r="G54" s="103"/>
      <c r="H54" s="105">
        <v>22.5</v>
      </c>
      <c r="I54" s="103" t="s">
        <v>12</v>
      </c>
      <c r="J54" s="103"/>
      <c r="K54" s="104">
        <v>3.80966334530638</v>
      </c>
    </row>
    <row r="55" spans="1:11">
      <c r="A55" s="103" t="s">
        <v>24</v>
      </c>
      <c r="B55" s="103"/>
      <c r="C55" s="104">
        <v>0.25</v>
      </c>
      <c r="D55" s="103">
        <v>4.7800000000000002E-2</v>
      </c>
      <c r="E55" s="103">
        <v>1.003E-3</v>
      </c>
      <c r="F55" s="103">
        <v>998.2</v>
      </c>
      <c r="G55" s="103"/>
      <c r="H55" s="105">
        <v>22.5</v>
      </c>
      <c r="I55" s="103" t="s">
        <v>12</v>
      </c>
      <c r="J55" s="103"/>
      <c r="K55" s="104">
        <v>2.3338216247942398</v>
      </c>
    </row>
    <row r="56" spans="1:11">
      <c r="A56" s="103" t="s">
        <v>24</v>
      </c>
      <c r="B56" s="103"/>
      <c r="C56" s="104">
        <v>0.25</v>
      </c>
      <c r="D56" s="103">
        <v>4.7800000000000002E-2</v>
      </c>
      <c r="E56" s="103">
        <v>1.003E-3</v>
      </c>
      <c r="F56" s="103">
        <v>998.2</v>
      </c>
      <c r="G56" s="103"/>
      <c r="H56" s="105">
        <v>22.5</v>
      </c>
      <c r="I56" s="103" t="s">
        <v>12</v>
      </c>
      <c r="J56" s="103"/>
      <c r="K56" s="104">
        <v>3.23426064308503</v>
      </c>
    </row>
    <row r="57" spans="1:11">
      <c r="A57" s="103" t="s">
        <v>24</v>
      </c>
      <c r="B57" s="103"/>
      <c r="C57" s="104">
        <v>0.25</v>
      </c>
      <c r="D57" s="103">
        <v>4.7800000000000002E-2</v>
      </c>
      <c r="E57" s="103">
        <v>1.003E-3</v>
      </c>
      <c r="F57" s="103">
        <v>998.2</v>
      </c>
      <c r="G57" s="103"/>
      <c r="H57" s="105">
        <v>22.5</v>
      </c>
      <c r="I57" s="103" t="s">
        <v>12</v>
      </c>
      <c r="J57" s="103"/>
      <c r="K57" s="104">
        <v>3.5373353629048201</v>
      </c>
    </row>
    <row r="58" spans="1:11">
      <c r="A58" s="103" t="s">
        <v>24</v>
      </c>
      <c r="B58" s="103"/>
      <c r="C58" s="104">
        <v>0.25</v>
      </c>
      <c r="D58" s="103">
        <v>4.7800000000000002E-2</v>
      </c>
      <c r="E58" s="103">
        <v>1.003E-3</v>
      </c>
      <c r="F58" s="103">
        <v>998.2</v>
      </c>
      <c r="G58" s="103"/>
      <c r="H58" s="105">
        <v>22.5</v>
      </c>
      <c r="I58" s="103" t="s">
        <v>12</v>
      </c>
      <c r="J58" s="103"/>
      <c r="K58" s="104">
        <v>3.6778917571336498</v>
      </c>
    </row>
    <row r="59" spans="1:11">
      <c r="A59" s="103" t="s">
        <v>24</v>
      </c>
      <c r="B59" s="103"/>
      <c r="C59" s="104">
        <v>0.25</v>
      </c>
      <c r="D59" s="103">
        <v>4.7800000000000002E-2</v>
      </c>
      <c r="E59" s="103">
        <v>1.003E-3</v>
      </c>
      <c r="F59" s="103">
        <v>998.2</v>
      </c>
      <c r="G59" s="103"/>
      <c r="H59" s="105">
        <v>22.5</v>
      </c>
      <c r="I59" s="103" t="s">
        <v>12</v>
      </c>
      <c r="J59" s="103"/>
      <c r="K59" s="104">
        <v>3.9590043780350799</v>
      </c>
    </row>
    <row r="60" spans="1:11">
      <c r="A60" s="103" t="s">
        <v>24</v>
      </c>
      <c r="B60" s="103"/>
      <c r="C60" s="104">
        <v>0.25</v>
      </c>
      <c r="D60" s="103">
        <v>4.7800000000000002E-2</v>
      </c>
      <c r="E60" s="103">
        <v>1.003E-3</v>
      </c>
      <c r="F60" s="103">
        <v>998.2</v>
      </c>
      <c r="G60" s="103"/>
      <c r="H60" s="105">
        <v>22.5</v>
      </c>
      <c r="I60" s="103" t="s">
        <v>12</v>
      </c>
      <c r="J60" s="103"/>
      <c r="K60" s="104">
        <v>3.8579795272805599</v>
      </c>
    </row>
    <row r="61" spans="1:11">
      <c r="A61" s="103" t="s">
        <v>40</v>
      </c>
      <c r="B61" s="103"/>
      <c r="C61" s="104">
        <v>0.34</v>
      </c>
      <c r="D61" s="103">
        <v>7.1999999999999995E-2</v>
      </c>
      <c r="E61" s="103">
        <v>1.003E-3</v>
      </c>
      <c r="F61" s="103">
        <v>998.2</v>
      </c>
      <c r="G61" s="103"/>
      <c r="H61" s="105">
        <v>22.5</v>
      </c>
      <c r="I61" s="103" t="s">
        <v>12</v>
      </c>
      <c r="J61" s="103"/>
      <c r="K61" s="106">
        <v>3.15821910912307</v>
      </c>
    </row>
    <row r="62" spans="1:11">
      <c r="A62" s="103" t="s">
        <v>40</v>
      </c>
      <c r="B62" s="103"/>
      <c r="C62" s="104">
        <v>0.34</v>
      </c>
      <c r="D62" s="103">
        <v>7.1999999999999995E-2</v>
      </c>
      <c r="E62" s="103">
        <v>1.003E-3</v>
      </c>
      <c r="F62" s="103">
        <v>998.2</v>
      </c>
      <c r="G62" s="103"/>
      <c r="H62" s="105">
        <v>22.5</v>
      </c>
      <c r="I62" s="103" t="s">
        <v>12</v>
      </c>
      <c r="J62" s="103"/>
      <c r="K62" s="107">
        <v>3.8324823449882701</v>
      </c>
    </row>
    <row r="63" spans="1:11">
      <c r="A63" s="103" t="s">
        <v>40</v>
      </c>
      <c r="B63" s="103"/>
      <c r="C63" s="104">
        <v>0.34</v>
      </c>
      <c r="D63" s="103">
        <v>7.1999999999999995E-2</v>
      </c>
      <c r="E63" s="103">
        <v>1.003E-3</v>
      </c>
      <c r="F63" s="103">
        <v>998.2</v>
      </c>
      <c r="G63" s="103"/>
      <c r="H63" s="105">
        <v>22.5</v>
      </c>
      <c r="I63" s="103" t="s">
        <v>12</v>
      </c>
      <c r="J63" s="103"/>
      <c r="K63" s="103">
        <v>4.5695916694233896</v>
      </c>
    </row>
    <row r="64" spans="1:11">
      <c r="A64" s="103" t="s">
        <v>40</v>
      </c>
      <c r="B64" s="103"/>
      <c r="C64" s="104">
        <v>0.34</v>
      </c>
      <c r="D64" s="103">
        <v>7.1999999999999995E-2</v>
      </c>
      <c r="E64" s="103">
        <v>1.003E-3</v>
      </c>
      <c r="F64" s="103">
        <v>998.2</v>
      </c>
      <c r="G64" s="103"/>
      <c r="H64" s="105">
        <v>22.5</v>
      </c>
      <c r="I64" s="103" t="s">
        <v>12</v>
      </c>
      <c r="J64" s="103"/>
      <c r="K64" s="103">
        <v>4.5269607490615096</v>
      </c>
    </row>
    <row r="65" spans="1:11">
      <c r="A65" s="103" t="s">
        <v>40</v>
      </c>
      <c r="B65" s="103"/>
      <c r="C65" s="104">
        <v>0.34</v>
      </c>
      <c r="D65" s="103">
        <v>7.1999999999999995E-2</v>
      </c>
      <c r="E65" s="103">
        <v>1.003E-3</v>
      </c>
      <c r="F65" s="103">
        <v>998.2</v>
      </c>
      <c r="G65" s="103"/>
      <c r="H65" s="105">
        <v>22.5</v>
      </c>
      <c r="I65" s="103" t="s">
        <v>12</v>
      </c>
      <c r="J65" s="103"/>
      <c r="K65" s="103">
        <v>4.4753764724495504</v>
      </c>
    </row>
    <row r="66" spans="1:11">
      <c r="A66" s="103" t="s">
        <v>40</v>
      </c>
      <c r="B66" s="103"/>
      <c r="C66" s="104">
        <v>0.34</v>
      </c>
      <c r="D66" s="103">
        <v>7.1999999999999995E-2</v>
      </c>
      <c r="E66" s="103">
        <v>1.003E-3</v>
      </c>
      <c r="F66" s="103">
        <v>998.2</v>
      </c>
      <c r="G66" s="103"/>
      <c r="H66" s="105">
        <v>22.5</v>
      </c>
      <c r="I66" s="103" t="s">
        <v>12</v>
      </c>
      <c r="J66" s="103"/>
      <c r="K66" s="103">
        <v>4.39814029082227</v>
      </c>
    </row>
    <row r="67" spans="1:11">
      <c r="A67" s="103" t="s">
        <v>40</v>
      </c>
      <c r="B67" s="103"/>
      <c r="C67" s="104">
        <v>0.34</v>
      </c>
      <c r="D67" s="103">
        <v>5.8500000000000003E-2</v>
      </c>
      <c r="E67" s="103">
        <v>1.003E-3</v>
      </c>
      <c r="F67" s="103">
        <v>998.2</v>
      </c>
      <c r="G67" s="103"/>
      <c r="H67" s="105">
        <v>22.5</v>
      </c>
      <c r="I67" s="103" t="s">
        <v>12</v>
      </c>
      <c r="J67" s="103"/>
      <c r="K67" s="108">
        <v>2.6870999755490601</v>
      </c>
    </row>
    <row r="68" spans="1:11">
      <c r="A68" s="103" t="s">
        <v>40</v>
      </c>
      <c r="B68" s="103"/>
      <c r="C68" s="104">
        <v>0.34</v>
      </c>
      <c r="D68" s="103">
        <v>5.8500000000000003E-2</v>
      </c>
      <c r="E68" s="103">
        <v>1.003E-3</v>
      </c>
      <c r="F68" s="103">
        <v>998.2</v>
      </c>
      <c r="G68" s="103"/>
      <c r="H68" s="105">
        <v>22.5</v>
      </c>
      <c r="I68" s="103" t="s">
        <v>12</v>
      </c>
      <c r="J68" s="103"/>
      <c r="K68" s="103">
        <v>3.8130654278193998</v>
      </c>
    </row>
    <row r="69" spans="1:11">
      <c r="A69" s="103" t="s">
        <v>40</v>
      </c>
      <c r="B69" s="103"/>
      <c r="C69" s="104">
        <v>0.34</v>
      </c>
      <c r="D69" s="103">
        <v>5.8500000000000003E-2</v>
      </c>
      <c r="E69" s="103">
        <v>1.003E-3</v>
      </c>
      <c r="F69" s="103">
        <v>998.2</v>
      </c>
      <c r="G69" s="103"/>
      <c r="H69" s="105">
        <v>22.5</v>
      </c>
      <c r="I69" s="103" t="s">
        <v>12</v>
      </c>
      <c r="J69" s="103"/>
      <c r="K69" s="103">
        <v>4.1780818962417401</v>
      </c>
    </row>
    <row r="70" spans="1:11">
      <c r="A70" s="103" t="s">
        <v>40</v>
      </c>
      <c r="B70" s="103"/>
      <c r="C70" s="104">
        <v>0.34</v>
      </c>
      <c r="D70" s="103">
        <v>5.8500000000000003E-2</v>
      </c>
      <c r="E70" s="103">
        <v>1.003E-3</v>
      </c>
      <c r="F70" s="103">
        <v>998.2</v>
      </c>
      <c r="G70" s="103"/>
      <c r="H70" s="105">
        <v>22.5</v>
      </c>
      <c r="I70" s="103" t="s">
        <v>12</v>
      </c>
      <c r="J70" s="103"/>
      <c r="K70" s="103">
        <v>4.11480432062364</v>
      </c>
    </row>
    <row r="71" spans="1:11">
      <c r="A71" s="103" t="s">
        <v>40</v>
      </c>
      <c r="B71" s="103"/>
      <c r="C71" s="104">
        <v>0.34</v>
      </c>
      <c r="D71" s="103">
        <v>5.8500000000000003E-2</v>
      </c>
      <c r="E71" s="103">
        <v>1.003E-3</v>
      </c>
      <c r="F71" s="103">
        <v>998.2</v>
      </c>
      <c r="G71" s="103"/>
      <c r="H71" s="105">
        <v>22.5</v>
      </c>
      <c r="I71" s="103" t="s">
        <v>12</v>
      </c>
      <c r="J71" s="103"/>
      <c r="K71" s="103">
        <v>4.0376328620535897</v>
      </c>
    </row>
    <row r="72" spans="1:11">
      <c r="A72" s="103" t="s">
        <v>40</v>
      </c>
      <c r="B72" s="103"/>
      <c r="C72" s="104">
        <v>0.34</v>
      </c>
      <c r="D72" s="103">
        <v>5.8500000000000003E-2</v>
      </c>
      <c r="E72" s="103">
        <v>1.003E-3</v>
      </c>
      <c r="F72" s="103">
        <v>998.2</v>
      </c>
      <c r="G72" s="103"/>
      <c r="H72" s="105">
        <v>22.5</v>
      </c>
      <c r="I72" s="103" t="s">
        <v>12</v>
      </c>
      <c r="J72" s="103"/>
      <c r="K72" s="108">
        <v>4.0545471543429104</v>
      </c>
    </row>
    <row r="73" spans="1:11">
      <c r="A73" s="103" t="s">
        <v>40</v>
      </c>
      <c r="B73" s="103"/>
      <c r="C73" s="104">
        <v>0.34</v>
      </c>
      <c r="D73" s="103">
        <v>5.0700000000000002E-2</v>
      </c>
      <c r="E73" s="103">
        <v>1.003E-3</v>
      </c>
      <c r="F73" s="103">
        <v>998.2</v>
      </c>
      <c r="G73" s="103"/>
      <c r="H73" s="105">
        <v>22.5</v>
      </c>
      <c r="I73" s="103" t="s">
        <v>12</v>
      </c>
      <c r="J73" s="103"/>
      <c r="K73" s="108">
        <v>2.72936413191997</v>
      </c>
    </row>
    <row r="74" spans="1:11">
      <c r="A74" s="103" t="s">
        <v>40</v>
      </c>
      <c r="B74" s="103"/>
      <c r="C74" s="104">
        <v>0.34</v>
      </c>
      <c r="D74" s="103">
        <v>5.0700000000000002E-2</v>
      </c>
      <c r="E74" s="103">
        <v>1.003E-3</v>
      </c>
      <c r="F74" s="103">
        <v>998.2</v>
      </c>
      <c r="G74" s="103"/>
      <c r="H74" s="105">
        <v>22.5</v>
      </c>
      <c r="I74" s="103" t="s">
        <v>12</v>
      </c>
      <c r="J74" s="103"/>
      <c r="K74" s="108">
        <v>3.7130683043997199</v>
      </c>
    </row>
    <row r="75" spans="1:11">
      <c r="A75" s="103" t="s">
        <v>40</v>
      </c>
      <c r="B75" s="103"/>
      <c r="C75" s="104">
        <v>0.34</v>
      </c>
      <c r="D75" s="103">
        <v>5.0700000000000002E-2</v>
      </c>
      <c r="E75" s="103">
        <v>1.003E-3</v>
      </c>
      <c r="F75" s="103">
        <v>998.2</v>
      </c>
      <c r="G75" s="103"/>
      <c r="H75" s="105">
        <v>22.5</v>
      </c>
      <c r="I75" s="103" t="s">
        <v>12</v>
      </c>
      <c r="J75" s="103"/>
      <c r="K75" s="108">
        <v>4.1400031642383501</v>
      </c>
    </row>
    <row r="76" spans="1:11">
      <c r="A76" s="103" t="s">
        <v>40</v>
      </c>
      <c r="B76" s="103"/>
      <c r="C76" s="104">
        <v>0.34</v>
      </c>
      <c r="D76" s="103">
        <v>5.0700000000000002E-2</v>
      </c>
      <c r="E76" s="103">
        <v>1.003E-3</v>
      </c>
      <c r="F76" s="103">
        <v>998.2</v>
      </c>
      <c r="G76" s="103"/>
      <c r="H76" s="105">
        <v>22.5</v>
      </c>
      <c r="I76" s="103" t="s">
        <v>12</v>
      </c>
      <c r="J76" s="103"/>
      <c r="K76" s="103">
        <v>4.0476649359241703</v>
      </c>
    </row>
    <row r="77" spans="1:11">
      <c r="A77" s="103" t="s">
        <v>40</v>
      </c>
      <c r="B77" s="103"/>
      <c r="C77" s="104">
        <v>0.34</v>
      </c>
      <c r="D77" s="103">
        <v>5.0700000000000002E-2</v>
      </c>
      <c r="E77" s="103">
        <v>1.003E-3</v>
      </c>
      <c r="F77" s="103">
        <v>998.2</v>
      </c>
      <c r="G77" s="103"/>
      <c r="H77" s="105">
        <v>22.5</v>
      </c>
      <c r="I77" s="103" t="s">
        <v>12</v>
      </c>
      <c r="J77" s="103"/>
      <c r="K77" s="103">
        <v>4.05819321990018</v>
      </c>
    </row>
    <row r="78" spans="1:11">
      <c r="A78" s="103" t="s">
        <v>40</v>
      </c>
      <c r="B78" s="103"/>
      <c r="C78" s="104">
        <v>0.34</v>
      </c>
      <c r="D78" s="103">
        <v>5.0700000000000002E-2</v>
      </c>
      <c r="E78" s="103">
        <v>1.003E-3</v>
      </c>
      <c r="F78" s="103">
        <v>998.2</v>
      </c>
      <c r="G78" s="103"/>
      <c r="H78" s="105">
        <v>22.5</v>
      </c>
      <c r="I78" s="103" t="s">
        <v>12</v>
      </c>
      <c r="J78" s="103"/>
      <c r="K78" s="103">
        <v>4.0069757072791798</v>
      </c>
    </row>
    <row r="79" spans="1:11">
      <c r="A79" s="103" t="s">
        <v>40</v>
      </c>
      <c r="B79" s="103"/>
      <c r="C79" s="104">
        <v>0.34</v>
      </c>
      <c r="D79" s="103">
        <v>4.7800000000000002E-2</v>
      </c>
      <c r="E79" s="103">
        <v>1.003E-3</v>
      </c>
      <c r="F79" s="103">
        <v>998.2</v>
      </c>
      <c r="G79" s="103"/>
      <c r="H79" s="105">
        <v>22.5</v>
      </c>
      <c r="I79" s="103" t="s">
        <v>12</v>
      </c>
      <c r="J79" s="103"/>
      <c r="K79" s="103">
        <v>2.6873804421303902</v>
      </c>
    </row>
    <row r="80" spans="1:11">
      <c r="A80" s="103" t="s">
        <v>40</v>
      </c>
      <c r="B80" s="103"/>
      <c r="C80" s="104">
        <v>0.34</v>
      </c>
      <c r="D80" s="103">
        <v>4.7800000000000002E-2</v>
      </c>
      <c r="E80" s="103">
        <v>1.003E-3</v>
      </c>
      <c r="F80" s="103">
        <v>998.2</v>
      </c>
      <c r="G80" s="103"/>
      <c r="H80" s="105">
        <v>22.5</v>
      </c>
      <c r="I80" s="103" t="s">
        <v>12</v>
      </c>
      <c r="J80" s="103"/>
      <c r="K80" s="108">
        <v>3.8497202525637499</v>
      </c>
    </row>
    <row r="81" spans="1:11">
      <c r="A81" s="103" t="s">
        <v>40</v>
      </c>
      <c r="B81" s="103"/>
      <c r="C81" s="104">
        <v>0.34</v>
      </c>
      <c r="D81" s="103">
        <v>4.7800000000000002E-2</v>
      </c>
      <c r="E81" s="103">
        <v>1.003E-3</v>
      </c>
      <c r="F81" s="103">
        <v>998.2</v>
      </c>
      <c r="G81" s="103"/>
      <c r="H81" s="105">
        <v>22.5</v>
      </c>
      <c r="I81" s="103" t="s">
        <v>12</v>
      </c>
      <c r="J81" s="103"/>
      <c r="K81" s="103">
        <v>4.0158859148244499</v>
      </c>
    </row>
    <row r="82" spans="1:11">
      <c r="A82" s="103" t="s">
        <v>40</v>
      </c>
      <c r="B82" s="103"/>
      <c r="C82" s="104">
        <v>0.34</v>
      </c>
      <c r="D82" s="103">
        <v>4.7800000000000002E-2</v>
      </c>
      <c r="E82" s="103">
        <v>1.003E-3</v>
      </c>
      <c r="F82" s="103">
        <v>998.2</v>
      </c>
      <c r="G82" s="103"/>
      <c r="H82" s="105">
        <v>22.5</v>
      </c>
      <c r="I82" s="103" t="s">
        <v>12</v>
      </c>
      <c r="J82" s="103"/>
      <c r="K82" s="108">
        <v>4.0323687200655796</v>
      </c>
    </row>
    <row r="83" spans="1:11">
      <c r="A83" s="103" t="s">
        <v>40</v>
      </c>
      <c r="B83" s="103"/>
      <c r="C83" s="104">
        <v>0.34</v>
      </c>
      <c r="D83" s="103">
        <v>4.7800000000000002E-2</v>
      </c>
      <c r="E83" s="103">
        <v>1.003E-3</v>
      </c>
      <c r="F83" s="103">
        <v>998.2</v>
      </c>
      <c r="G83" s="103"/>
      <c r="H83" s="105">
        <v>22.5</v>
      </c>
      <c r="I83" s="103" t="s">
        <v>12</v>
      </c>
      <c r="J83" s="103"/>
      <c r="K83" s="103">
        <v>3.9971378025802902</v>
      </c>
    </row>
    <row r="84" spans="1:11">
      <c r="A84" s="103" t="s">
        <v>40</v>
      </c>
      <c r="B84" s="103"/>
      <c r="C84" s="104">
        <v>0.34</v>
      </c>
      <c r="D84" s="103">
        <v>4.7800000000000002E-2</v>
      </c>
      <c r="E84" s="103">
        <v>1.003E-3</v>
      </c>
      <c r="F84" s="103">
        <v>998.2</v>
      </c>
      <c r="G84" s="103"/>
      <c r="H84" s="105">
        <v>22.5</v>
      </c>
      <c r="I84" s="103" t="s">
        <v>12</v>
      </c>
      <c r="J84" s="103"/>
      <c r="K84" s="108">
        <v>3.9441727674140901</v>
      </c>
    </row>
    <row r="85" spans="1:11">
      <c r="A85" s="103" t="s">
        <v>40</v>
      </c>
      <c r="B85" s="103"/>
      <c r="C85" s="104">
        <v>0.51</v>
      </c>
      <c r="D85" s="103">
        <v>7.1999999999999995E-2</v>
      </c>
      <c r="E85" s="103">
        <v>1.003E-3</v>
      </c>
      <c r="F85" s="103">
        <v>998.2</v>
      </c>
      <c r="G85" s="103"/>
      <c r="H85" s="105">
        <v>22.5</v>
      </c>
      <c r="I85" s="103" t="s">
        <v>12</v>
      </c>
      <c r="J85" s="103"/>
      <c r="K85" s="109">
        <v>4.6021999999999998</v>
      </c>
    </row>
    <row r="86" spans="1:11">
      <c r="A86" s="103" t="s">
        <v>40</v>
      </c>
      <c r="B86" s="103"/>
      <c r="C86" s="104">
        <v>0.51</v>
      </c>
      <c r="D86" s="103">
        <v>7.1999999999999995E-2</v>
      </c>
      <c r="E86" s="103">
        <v>1.003E-3</v>
      </c>
      <c r="F86" s="103">
        <v>998.2</v>
      </c>
      <c r="G86" s="103"/>
      <c r="H86" s="105">
        <v>22.5</v>
      </c>
      <c r="I86" s="103" t="s">
        <v>12</v>
      </c>
      <c r="J86" s="103"/>
      <c r="K86" s="109">
        <v>5.3171999999999997</v>
      </c>
    </row>
    <row r="87" spans="1:11">
      <c r="A87" s="103" t="s">
        <v>40</v>
      </c>
      <c r="B87" s="103"/>
      <c r="C87" s="104">
        <v>0.51</v>
      </c>
      <c r="D87" s="103">
        <v>7.1999999999999995E-2</v>
      </c>
      <c r="E87" s="103">
        <v>1.003E-3</v>
      </c>
      <c r="F87" s="103">
        <v>998.2</v>
      </c>
      <c r="G87" s="103"/>
      <c r="H87" s="105">
        <v>22.5</v>
      </c>
      <c r="I87" s="103" t="s">
        <v>12</v>
      </c>
      <c r="J87" s="103"/>
      <c r="K87" s="109">
        <v>5.0982000000000003</v>
      </c>
    </row>
    <row r="88" spans="1:11">
      <c r="A88" s="103" t="s">
        <v>40</v>
      </c>
      <c r="B88" s="103"/>
      <c r="C88" s="104">
        <v>0.51</v>
      </c>
      <c r="D88" s="103">
        <v>7.1999999999999995E-2</v>
      </c>
      <c r="E88" s="103">
        <v>1.003E-3</v>
      </c>
      <c r="F88" s="103">
        <v>998.2</v>
      </c>
      <c r="G88" s="103"/>
      <c r="H88" s="105">
        <v>22.5</v>
      </c>
      <c r="I88" s="103" t="s">
        <v>12</v>
      </c>
      <c r="J88" s="103"/>
      <c r="K88" s="109">
        <v>5.2270000000000003</v>
      </c>
    </row>
    <row r="89" spans="1:11">
      <c r="A89" s="103" t="s">
        <v>40</v>
      </c>
      <c r="B89" s="103"/>
      <c r="C89" s="104">
        <v>0.51</v>
      </c>
      <c r="D89" s="103">
        <v>7.1999999999999995E-2</v>
      </c>
      <c r="E89" s="103">
        <v>1.003E-3</v>
      </c>
      <c r="F89" s="103">
        <v>998.2</v>
      </c>
      <c r="G89" s="103"/>
      <c r="H89" s="105">
        <v>22.5</v>
      </c>
      <c r="I89" s="103" t="s">
        <v>12</v>
      </c>
      <c r="J89" s="103"/>
      <c r="K89" s="109">
        <v>5.1689999999999996</v>
      </c>
    </row>
    <row r="90" spans="1:11">
      <c r="A90" s="103" t="s">
        <v>40</v>
      </c>
      <c r="B90" s="103"/>
      <c r="C90" s="104">
        <v>0.51</v>
      </c>
      <c r="D90" s="103">
        <v>7.1999999999999995E-2</v>
      </c>
      <c r="E90" s="103">
        <v>1.003E-3</v>
      </c>
      <c r="F90" s="103">
        <v>998.2</v>
      </c>
      <c r="G90" s="103"/>
      <c r="H90" s="105">
        <v>22.5</v>
      </c>
      <c r="I90" s="103" t="s">
        <v>12</v>
      </c>
      <c r="J90" s="103"/>
      <c r="K90" s="109">
        <v>5.2270000000000003</v>
      </c>
    </row>
    <row r="91" spans="1:11">
      <c r="A91" s="103" t="s">
        <v>40</v>
      </c>
      <c r="B91" s="103"/>
      <c r="C91" s="104">
        <v>0.51</v>
      </c>
      <c r="D91" s="103">
        <v>5.8500000000000003E-2</v>
      </c>
      <c r="E91" s="103">
        <v>1.003E-3</v>
      </c>
      <c r="F91" s="103">
        <v>998.2</v>
      </c>
      <c r="G91" s="103"/>
      <c r="H91" s="105">
        <v>22.5</v>
      </c>
      <c r="I91" s="103" t="s">
        <v>12</v>
      </c>
      <c r="J91" s="103"/>
      <c r="K91" s="109">
        <v>3.3140000000000001</v>
      </c>
    </row>
    <row r="92" spans="1:11">
      <c r="A92" s="103" t="s">
        <v>40</v>
      </c>
      <c r="B92" s="103"/>
      <c r="C92" s="104">
        <v>0.51</v>
      </c>
      <c r="D92" s="103">
        <v>5.8500000000000003E-2</v>
      </c>
      <c r="E92" s="103">
        <v>1.003E-3</v>
      </c>
      <c r="F92" s="103">
        <v>998.2</v>
      </c>
      <c r="G92" s="103"/>
      <c r="H92" s="105">
        <v>22.5</v>
      </c>
      <c r="I92" s="103" t="s">
        <v>12</v>
      </c>
      <c r="J92" s="103"/>
      <c r="K92" s="109">
        <v>4.5957999999999997</v>
      </c>
    </row>
    <row r="93" spans="1:11">
      <c r="A93" s="103" t="s">
        <v>40</v>
      </c>
      <c r="B93" s="103"/>
      <c r="C93" s="104">
        <v>0.51</v>
      </c>
      <c r="D93" s="103">
        <v>5.8500000000000003E-2</v>
      </c>
      <c r="E93" s="103">
        <v>1.003E-3</v>
      </c>
      <c r="F93" s="103">
        <v>998.2</v>
      </c>
      <c r="G93" s="103"/>
      <c r="H93" s="105">
        <v>22.5</v>
      </c>
      <c r="I93" s="103" t="s">
        <v>12</v>
      </c>
      <c r="J93" s="103"/>
      <c r="K93" s="109">
        <v>4.5119999999999996</v>
      </c>
    </row>
    <row r="94" spans="1:11">
      <c r="A94" s="103" t="s">
        <v>40</v>
      </c>
      <c r="B94" s="103"/>
      <c r="C94" s="104">
        <v>0.51</v>
      </c>
      <c r="D94" s="103">
        <v>5.8500000000000003E-2</v>
      </c>
      <c r="E94" s="103">
        <v>1.003E-3</v>
      </c>
      <c r="F94" s="103">
        <v>998.2</v>
      </c>
      <c r="G94" s="103"/>
      <c r="H94" s="105">
        <v>22.5</v>
      </c>
      <c r="I94" s="103" t="s">
        <v>12</v>
      </c>
      <c r="J94" s="103"/>
      <c r="K94" s="109">
        <v>4.5313999999999997</v>
      </c>
    </row>
    <row r="95" spans="1:11">
      <c r="A95" s="103" t="s">
        <v>40</v>
      </c>
      <c r="B95" s="103"/>
      <c r="C95" s="104">
        <v>0.51</v>
      </c>
      <c r="D95" s="103">
        <v>5.8500000000000003E-2</v>
      </c>
      <c r="E95" s="103">
        <v>1.003E-3</v>
      </c>
      <c r="F95" s="103">
        <v>998.2</v>
      </c>
      <c r="G95" s="103"/>
      <c r="H95" s="105">
        <v>22.5</v>
      </c>
      <c r="I95" s="103" t="s">
        <v>12</v>
      </c>
      <c r="J95" s="103"/>
      <c r="K95" s="109">
        <v>4.4541000000000004</v>
      </c>
    </row>
    <row r="96" spans="1:11">
      <c r="A96" s="103" t="s">
        <v>40</v>
      </c>
      <c r="B96" s="103"/>
      <c r="C96" s="104">
        <v>0.51</v>
      </c>
      <c r="D96" s="103">
        <v>5.8500000000000003E-2</v>
      </c>
      <c r="E96" s="103">
        <v>1.003E-3</v>
      </c>
      <c r="F96" s="103">
        <v>998.2</v>
      </c>
      <c r="G96" s="103"/>
      <c r="H96" s="105">
        <v>22.5</v>
      </c>
      <c r="I96" s="103" t="s">
        <v>12</v>
      </c>
      <c r="J96" s="103"/>
      <c r="K96" s="109">
        <v>4.4668999999999999</v>
      </c>
    </row>
    <row r="97" spans="1:11">
      <c r="A97" s="103" t="s">
        <v>40</v>
      </c>
      <c r="B97" s="103"/>
      <c r="C97" s="104">
        <v>0.51</v>
      </c>
      <c r="D97" s="105">
        <v>5.0700000000000002E-2</v>
      </c>
      <c r="E97" s="103">
        <v>1.003E-3</v>
      </c>
      <c r="F97" s="103">
        <v>998.2</v>
      </c>
      <c r="G97" s="103"/>
      <c r="H97" s="105">
        <v>22.5</v>
      </c>
      <c r="I97" s="103" t="s">
        <v>12</v>
      </c>
      <c r="J97" s="103"/>
      <c r="K97" s="109">
        <v>3.4685000000000001</v>
      </c>
    </row>
    <row r="98" spans="1:11">
      <c r="A98" s="103" t="s">
        <v>40</v>
      </c>
      <c r="B98" s="103"/>
      <c r="C98" s="104">
        <v>0.51</v>
      </c>
      <c r="D98" s="105">
        <v>5.0700000000000002E-2</v>
      </c>
      <c r="E98" s="103">
        <v>1.003E-3</v>
      </c>
      <c r="F98" s="103">
        <v>998.2</v>
      </c>
      <c r="G98" s="103"/>
      <c r="H98" s="105">
        <v>22.5</v>
      </c>
      <c r="I98" s="103" t="s">
        <v>12</v>
      </c>
      <c r="J98" s="103"/>
      <c r="K98" s="109">
        <v>4.6151</v>
      </c>
    </row>
    <row r="99" spans="1:11">
      <c r="A99" s="103" t="s">
        <v>40</v>
      </c>
      <c r="B99" s="103"/>
      <c r="C99" s="104">
        <v>0.51</v>
      </c>
      <c r="D99" s="105">
        <v>5.0700000000000002E-2</v>
      </c>
      <c r="E99" s="103">
        <v>1.003E-3</v>
      </c>
      <c r="F99" s="103">
        <v>998.2</v>
      </c>
      <c r="G99" s="103"/>
      <c r="H99" s="105">
        <v>22.5</v>
      </c>
      <c r="I99" s="103" t="s">
        <v>12</v>
      </c>
      <c r="J99" s="103"/>
      <c r="K99" s="109">
        <v>4.4991000000000003</v>
      </c>
    </row>
    <row r="100" spans="1:11">
      <c r="A100" s="103" t="s">
        <v>40</v>
      </c>
      <c r="B100" s="103"/>
      <c r="C100" s="104">
        <v>0.51</v>
      </c>
      <c r="D100" s="105">
        <v>5.0700000000000002E-2</v>
      </c>
      <c r="E100" s="103">
        <v>1.003E-3</v>
      </c>
      <c r="F100" s="103">
        <v>998.2</v>
      </c>
      <c r="G100" s="103"/>
      <c r="H100" s="105">
        <v>22.5</v>
      </c>
      <c r="I100" s="103" t="s">
        <v>12</v>
      </c>
      <c r="J100" s="103"/>
      <c r="K100" s="109">
        <v>4.5763999999999996</v>
      </c>
    </row>
    <row r="101" spans="1:11">
      <c r="A101" s="103" t="s">
        <v>40</v>
      </c>
      <c r="B101" s="103"/>
      <c r="C101" s="104">
        <v>0.51</v>
      </c>
      <c r="D101" s="105">
        <v>5.0700000000000002E-2</v>
      </c>
      <c r="E101" s="103">
        <v>1.003E-3</v>
      </c>
      <c r="F101" s="103">
        <v>998.2</v>
      </c>
      <c r="G101" s="103"/>
      <c r="H101" s="105">
        <v>22.5</v>
      </c>
      <c r="I101" s="103" t="s">
        <v>12</v>
      </c>
      <c r="J101" s="103"/>
      <c r="K101" s="109">
        <v>4.5507</v>
      </c>
    </row>
    <row r="102" spans="1:11">
      <c r="A102" s="103" t="s">
        <v>40</v>
      </c>
      <c r="B102" s="103"/>
      <c r="C102" s="104">
        <v>0.51</v>
      </c>
      <c r="D102" s="105">
        <v>5.0700000000000002E-2</v>
      </c>
      <c r="E102" s="103">
        <v>1.003E-3</v>
      </c>
      <c r="F102" s="103">
        <v>998.2</v>
      </c>
      <c r="G102" s="103"/>
      <c r="H102" s="105">
        <v>22.5</v>
      </c>
      <c r="I102" s="103" t="s">
        <v>12</v>
      </c>
      <c r="J102" s="103"/>
      <c r="K102" s="109">
        <v>4.3380999999999998</v>
      </c>
    </row>
    <row r="103" spans="1:11">
      <c r="A103" s="103" t="s">
        <v>40</v>
      </c>
      <c r="B103" s="103"/>
      <c r="C103" s="104">
        <v>0.51</v>
      </c>
      <c r="D103" s="103">
        <v>4.7800000000000002E-2</v>
      </c>
      <c r="E103" s="103">
        <v>1.003E-3</v>
      </c>
      <c r="F103" s="103">
        <v>998.2</v>
      </c>
      <c r="G103" s="103"/>
      <c r="H103" s="105">
        <v>22.5</v>
      </c>
      <c r="I103" s="103" t="s">
        <v>12</v>
      </c>
      <c r="J103" s="103"/>
      <c r="K103" s="109">
        <v>4.0031999999999996</v>
      </c>
    </row>
    <row r="104" spans="1:11">
      <c r="A104" s="103" t="s">
        <v>40</v>
      </c>
      <c r="B104" s="103"/>
      <c r="C104" s="104">
        <v>0.51</v>
      </c>
      <c r="D104" s="103">
        <v>4.7800000000000002E-2</v>
      </c>
      <c r="E104" s="103">
        <v>1.003E-3</v>
      </c>
      <c r="F104" s="103">
        <v>998.2</v>
      </c>
      <c r="G104" s="103"/>
      <c r="H104" s="105">
        <v>22.5</v>
      </c>
      <c r="I104" s="103" t="s">
        <v>12</v>
      </c>
      <c r="J104" s="103"/>
      <c r="K104" s="109">
        <v>4.4283000000000001</v>
      </c>
    </row>
    <row r="105" spans="1:11">
      <c r="A105" s="103" t="s">
        <v>40</v>
      </c>
      <c r="B105" s="103"/>
      <c r="C105" s="104">
        <v>0.51</v>
      </c>
      <c r="D105" s="103">
        <v>4.7800000000000002E-2</v>
      </c>
      <c r="E105" s="103">
        <v>1.003E-3</v>
      </c>
      <c r="F105" s="103">
        <v>998.2</v>
      </c>
      <c r="G105" s="103"/>
      <c r="H105" s="105">
        <v>22.5</v>
      </c>
      <c r="I105" s="103" t="s">
        <v>12</v>
      </c>
      <c r="J105" s="103"/>
      <c r="K105" s="109">
        <v>4.57</v>
      </c>
    </row>
    <row r="106" spans="1:11">
      <c r="A106" s="103" t="s">
        <v>40</v>
      </c>
      <c r="B106" s="103"/>
      <c r="C106" s="104">
        <v>0.51</v>
      </c>
      <c r="D106" s="103">
        <v>4.7800000000000002E-2</v>
      </c>
      <c r="E106" s="103">
        <v>1.003E-3</v>
      </c>
      <c r="F106" s="103">
        <v>998.2</v>
      </c>
      <c r="G106" s="103"/>
      <c r="H106" s="105">
        <v>22.5</v>
      </c>
      <c r="I106" s="103" t="s">
        <v>12</v>
      </c>
      <c r="J106" s="103"/>
      <c r="K106" s="109">
        <v>4.6086</v>
      </c>
    </row>
    <row r="107" spans="1:11">
      <c r="A107" s="103" t="s">
        <v>40</v>
      </c>
      <c r="B107" s="103"/>
      <c r="C107" s="104">
        <v>0.51</v>
      </c>
      <c r="D107" s="103">
        <v>4.7800000000000002E-2</v>
      </c>
      <c r="E107" s="103">
        <v>1.003E-3</v>
      </c>
      <c r="F107" s="103">
        <v>998.2</v>
      </c>
      <c r="G107" s="103"/>
      <c r="H107" s="105">
        <v>22.5</v>
      </c>
      <c r="I107" s="103" t="s">
        <v>12</v>
      </c>
      <c r="J107" s="103"/>
      <c r="K107" s="109">
        <v>4.5892999999999997</v>
      </c>
    </row>
    <row r="108" spans="1:11">
      <c r="A108" s="103" t="s">
        <v>40</v>
      </c>
      <c r="B108" s="103"/>
      <c r="C108" s="104">
        <v>0.51</v>
      </c>
      <c r="D108" s="103">
        <v>4.7800000000000002E-2</v>
      </c>
      <c r="E108" s="103">
        <v>1.003E-3</v>
      </c>
      <c r="F108" s="103">
        <v>998.2</v>
      </c>
      <c r="G108" s="103"/>
      <c r="H108" s="105">
        <v>22.5</v>
      </c>
      <c r="I108" s="103" t="s">
        <v>12</v>
      </c>
      <c r="J108" s="103"/>
      <c r="K108" s="109">
        <v>4.3639000000000001</v>
      </c>
    </row>
    <row r="109" spans="1:11">
      <c r="A109" s="103" t="s">
        <v>40</v>
      </c>
      <c r="B109" s="103"/>
      <c r="C109" s="104">
        <v>0.51</v>
      </c>
      <c r="D109" s="103">
        <v>6.25E-2</v>
      </c>
      <c r="E109" s="103">
        <v>0.77500000000000002</v>
      </c>
      <c r="F109" s="103">
        <v>1260</v>
      </c>
      <c r="G109" s="103"/>
      <c r="H109" s="105">
        <v>22.5</v>
      </c>
      <c r="I109" s="103" t="s">
        <v>12</v>
      </c>
      <c r="J109" s="103"/>
      <c r="K109" s="109">
        <v>4.0144000000000002</v>
      </c>
    </row>
    <row r="110" spans="1:11">
      <c r="A110" s="103" t="s">
        <v>40</v>
      </c>
      <c r="B110" s="103"/>
      <c r="C110" s="104">
        <v>0.51</v>
      </c>
      <c r="D110" s="103">
        <v>6.25E-2</v>
      </c>
      <c r="E110" s="103">
        <v>0.77500000000000002</v>
      </c>
      <c r="F110" s="103">
        <v>1260</v>
      </c>
      <c r="G110" s="103"/>
      <c r="H110" s="105">
        <v>22.5</v>
      </c>
      <c r="I110" s="103" t="s">
        <v>12</v>
      </c>
      <c r="J110" s="103"/>
      <c r="K110" s="109">
        <v>6.0541999999999998</v>
      </c>
    </row>
    <row r="111" spans="1:11">
      <c r="A111" s="103" t="s">
        <v>40</v>
      </c>
      <c r="B111" s="103"/>
      <c r="C111" s="104">
        <v>0.51</v>
      </c>
      <c r="D111" s="103">
        <v>6.25E-2</v>
      </c>
      <c r="E111" s="103">
        <v>0.77500000000000002</v>
      </c>
      <c r="F111" s="103">
        <v>1260</v>
      </c>
      <c r="G111" s="103"/>
      <c r="H111" s="105">
        <v>22.5</v>
      </c>
      <c r="I111" s="103" t="s">
        <v>12</v>
      </c>
      <c r="J111" s="103"/>
      <c r="K111" s="109">
        <v>8.7667000000000002</v>
      </c>
    </row>
    <row r="112" spans="1:11">
      <c r="A112" s="103" t="s">
        <v>40</v>
      </c>
      <c r="B112" s="103"/>
      <c r="C112" s="104">
        <v>0.51</v>
      </c>
      <c r="D112" s="103">
        <v>6.25E-2</v>
      </c>
      <c r="E112" s="103">
        <v>0.77500000000000002</v>
      </c>
      <c r="F112" s="103">
        <v>1260</v>
      </c>
      <c r="G112" s="103"/>
      <c r="H112" s="105">
        <v>22.5</v>
      </c>
      <c r="I112" s="103" t="s">
        <v>12</v>
      </c>
      <c r="J112" s="103"/>
      <c r="K112" s="109">
        <v>9.7215000000000007</v>
      </c>
    </row>
    <row r="113" spans="1:11">
      <c r="A113" s="103" t="s">
        <v>40</v>
      </c>
      <c r="B113" s="103"/>
      <c r="C113" s="104">
        <v>0.51</v>
      </c>
      <c r="D113" s="103">
        <v>6.25E-2</v>
      </c>
      <c r="E113" s="103">
        <v>0.77500000000000002</v>
      </c>
      <c r="F113" s="103">
        <v>1260</v>
      </c>
      <c r="G113" s="103"/>
      <c r="H113" s="105">
        <v>22.5</v>
      </c>
      <c r="I113" s="103" t="s">
        <v>12</v>
      </c>
      <c r="J113" s="103"/>
      <c r="K113" s="109">
        <v>10.415900000000001</v>
      </c>
    </row>
    <row r="114" spans="1:11">
      <c r="A114" s="103" t="s">
        <v>40</v>
      </c>
      <c r="B114" s="103"/>
      <c r="C114" s="104">
        <v>0.51</v>
      </c>
      <c r="D114" s="103">
        <v>6.25E-2</v>
      </c>
      <c r="E114" s="103">
        <v>0.77500000000000002</v>
      </c>
      <c r="F114" s="103">
        <v>1260</v>
      </c>
      <c r="G114" s="103"/>
      <c r="H114" s="105">
        <v>22.5</v>
      </c>
      <c r="I114" s="103" t="s">
        <v>12</v>
      </c>
      <c r="J114" s="103"/>
      <c r="K114" s="109">
        <v>10.5678</v>
      </c>
    </row>
    <row r="115" spans="1:11">
      <c r="A115" s="103" t="s">
        <v>40</v>
      </c>
      <c r="B115" s="103"/>
      <c r="C115" s="104">
        <v>0.51</v>
      </c>
      <c r="D115" s="103">
        <v>6.3E-2</v>
      </c>
      <c r="E115" s="103">
        <v>0.32700000000000001</v>
      </c>
      <c r="F115" s="103">
        <v>1245.5999999999999</v>
      </c>
      <c r="G115" s="103"/>
      <c r="H115" s="105">
        <v>22.5</v>
      </c>
      <c r="I115" s="103" t="s">
        <v>12</v>
      </c>
      <c r="J115" s="103"/>
      <c r="K115" s="109">
        <v>2.2784</v>
      </c>
    </row>
    <row r="116" spans="1:11">
      <c r="A116" s="103" t="s">
        <v>40</v>
      </c>
      <c r="B116" s="103"/>
      <c r="C116" s="104">
        <v>0.51</v>
      </c>
      <c r="D116" s="103">
        <v>6.3E-2</v>
      </c>
      <c r="E116" s="103">
        <v>0.32700000000000001</v>
      </c>
      <c r="F116" s="103">
        <v>1245.5999999999999</v>
      </c>
      <c r="G116" s="103"/>
      <c r="H116" s="105">
        <v>22.5</v>
      </c>
      <c r="I116" s="103" t="s">
        <v>12</v>
      </c>
      <c r="J116" s="103"/>
      <c r="K116" s="109">
        <v>3.6888999999999998</v>
      </c>
    </row>
    <row r="117" spans="1:11">
      <c r="A117" s="103" t="s">
        <v>40</v>
      </c>
      <c r="B117" s="103"/>
      <c r="C117" s="104">
        <v>0.51</v>
      </c>
      <c r="D117" s="103">
        <v>6.3E-2</v>
      </c>
      <c r="E117" s="103">
        <v>0.32700000000000001</v>
      </c>
      <c r="F117" s="103">
        <v>1245.5999999999999</v>
      </c>
      <c r="G117" s="103"/>
      <c r="H117" s="105">
        <v>22.5</v>
      </c>
      <c r="I117" s="103" t="s">
        <v>12</v>
      </c>
      <c r="J117" s="103"/>
      <c r="K117" s="109">
        <v>5.5551000000000004</v>
      </c>
    </row>
    <row r="118" spans="1:11">
      <c r="A118" s="103" t="s">
        <v>40</v>
      </c>
      <c r="B118" s="103"/>
      <c r="C118" s="104">
        <v>0.51</v>
      </c>
      <c r="D118" s="103">
        <v>6.3E-2</v>
      </c>
      <c r="E118" s="103">
        <v>0.32700000000000001</v>
      </c>
      <c r="F118" s="103">
        <v>1245.5999999999999</v>
      </c>
      <c r="G118" s="103"/>
      <c r="H118" s="105">
        <v>22.5</v>
      </c>
      <c r="I118" s="103" t="s">
        <v>12</v>
      </c>
      <c r="J118" s="103"/>
      <c r="K118" s="109">
        <v>6.0758999999999999</v>
      </c>
    </row>
    <row r="119" spans="1:11">
      <c r="A119" s="103" t="s">
        <v>40</v>
      </c>
      <c r="B119" s="103"/>
      <c r="C119" s="104">
        <v>0.51</v>
      </c>
      <c r="D119" s="103">
        <v>6.3E-2</v>
      </c>
      <c r="E119" s="103">
        <v>0.32700000000000001</v>
      </c>
      <c r="F119" s="103">
        <v>1245.5999999999999</v>
      </c>
      <c r="G119" s="103"/>
      <c r="H119" s="105">
        <v>22.5</v>
      </c>
      <c r="I119" s="103" t="s">
        <v>12</v>
      </c>
      <c r="J119" s="103"/>
      <c r="K119" s="109">
        <v>7.3779000000000003</v>
      </c>
    </row>
    <row r="120" spans="1:11">
      <c r="A120" s="103" t="s">
        <v>40</v>
      </c>
      <c r="B120" s="103"/>
      <c r="C120" s="104">
        <v>0.51</v>
      </c>
      <c r="D120" s="103">
        <v>6.3E-2</v>
      </c>
      <c r="E120" s="103">
        <v>0.32700000000000001</v>
      </c>
      <c r="F120" s="103">
        <v>1245.5999999999999</v>
      </c>
      <c r="G120" s="103"/>
      <c r="H120" s="105">
        <v>22.5</v>
      </c>
      <c r="I120" s="103" t="s">
        <v>12</v>
      </c>
      <c r="J120" s="103"/>
      <c r="K120" s="109">
        <v>7.2477</v>
      </c>
    </row>
    <row r="121" spans="1:11">
      <c r="A121" s="103" t="s">
        <v>40</v>
      </c>
      <c r="B121" s="103"/>
      <c r="C121" s="104">
        <v>0.51</v>
      </c>
      <c r="D121" s="103">
        <v>6.4000000000000001E-2</v>
      </c>
      <c r="E121" s="103">
        <v>5.6899999999999999E-2</v>
      </c>
      <c r="F121" s="103">
        <v>1214.5</v>
      </c>
      <c r="G121" s="103"/>
      <c r="H121" s="105">
        <v>22.5</v>
      </c>
      <c r="I121" s="103" t="s">
        <v>12</v>
      </c>
      <c r="J121" s="103"/>
      <c r="K121" s="109">
        <v>1.3236000000000001</v>
      </c>
    </row>
    <row r="122" spans="1:11">
      <c r="A122" s="103" t="s">
        <v>40</v>
      </c>
      <c r="B122" s="103"/>
      <c r="C122" s="104">
        <v>0.51</v>
      </c>
      <c r="D122" s="103">
        <v>6.4000000000000001E-2</v>
      </c>
      <c r="E122" s="103">
        <v>5.6899999999999999E-2</v>
      </c>
      <c r="F122" s="103">
        <v>1214.5</v>
      </c>
      <c r="G122" s="103"/>
      <c r="H122" s="105">
        <v>22.5</v>
      </c>
      <c r="I122" s="103" t="s">
        <v>12</v>
      </c>
      <c r="J122" s="103"/>
      <c r="K122" s="109">
        <v>1.8661000000000001</v>
      </c>
    </row>
    <row r="123" spans="1:11">
      <c r="A123" s="103" t="s">
        <v>40</v>
      </c>
      <c r="B123" s="103"/>
      <c r="C123" s="104">
        <v>0.51</v>
      </c>
      <c r="D123" s="103">
        <v>6.4000000000000001E-2</v>
      </c>
      <c r="E123" s="103">
        <v>5.6899999999999999E-2</v>
      </c>
      <c r="F123" s="103">
        <v>1214.5</v>
      </c>
      <c r="G123" s="103"/>
      <c r="H123" s="105">
        <v>22.5</v>
      </c>
      <c r="I123" s="103" t="s">
        <v>12</v>
      </c>
      <c r="J123" s="103"/>
      <c r="K123" s="109">
        <v>2.5388000000000002</v>
      </c>
    </row>
    <row r="124" spans="1:11">
      <c r="A124" s="103" t="s">
        <v>40</v>
      </c>
      <c r="B124" s="103"/>
      <c r="C124" s="104">
        <v>0.51</v>
      </c>
      <c r="D124" s="103">
        <v>6.4000000000000001E-2</v>
      </c>
      <c r="E124" s="103">
        <v>5.6899999999999999E-2</v>
      </c>
      <c r="F124" s="103">
        <v>1214.5</v>
      </c>
      <c r="G124" s="103"/>
      <c r="H124" s="105">
        <v>22.5</v>
      </c>
      <c r="I124" s="103" t="s">
        <v>12</v>
      </c>
      <c r="J124" s="103"/>
      <c r="K124" s="109">
        <v>2.2349999999999999</v>
      </c>
    </row>
    <row r="125" spans="1:11">
      <c r="A125" s="103" t="s">
        <v>40</v>
      </c>
      <c r="B125" s="103"/>
      <c r="C125" s="104">
        <v>0.51</v>
      </c>
      <c r="D125" s="103">
        <v>6.4000000000000001E-2</v>
      </c>
      <c r="E125" s="103">
        <v>5.6899999999999999E-2</v>
      </c>
      <c r="F125" s="103">
        <v>1214.5</v>
      </c>
      <c r="G125" s="103"/>
      <c r="H125" s="105">
        <v>22.5</v>
      </c>
      <c r="I125" s="103" t="s">
        <v>12</v>
      </c>
      <c r="J125" s="103"/>
      <c r="K125" s="109">
        <v>2.1482000000000001</v>
      </c>
    </row>
    <row r="126" spans="1:11">
      <c r="A126" s="103" t="s">
        <v>40</v>
      </c>
      <c r="B126" s="103"/>
      <c r="C126" s="104">
        <v>0.51</v>
      </c>
      <c r="D126" s="103">
        <v>6.4000000000000001E-2</v>
      </c>
      <c r="E126" s="103">
        <v>5.6899999999999999E-2</v>
      </c>
      <c r="F126" s="103">
        <v>1214.5</v>
      </c>
      <c r="G126" s="103"/>
      <c r="H126" s="105">
        <v>22.5</v>
      </c>
      <c r="I126" s="103" t="s">
        <v>12</v>
      </c>
      <c r="J126" s="103"/>
      <c r="K126" s="109">
        <v>2.1699000000000002</v>
      </c>
    </row>
    <row r="127" spans="1:11">
      <c r="A127" s="103" t="s">
        <v>40</v>
      </c>
      <c r="B127" s="103"/>
      <c r="C127" s="104">
        <v>0.51</v>
      </c>
      <c r="D127" s="103">
        <v>7.1999999999999995E-2</v>
      </c>
      <c r="E127" s="103">
        <v>1.003E-3</v>
      </c>
      <c r="F127" s="103">
        <v>998.2</v>
      </c>
      <c r="G127" s="103"/>
      <c r="H127" s="105">
        <v>22.5</v>
      </c>
      <c r="I127" s="103" t="s">
        <v>12</v>
      </c>
      <c r="J127" s="103"/>
      <c r="K127" s="109">
        <v>2.0396999999999998</v>
      </c>
    </row>
    <row r="128" spans="1:11">
      <c r="A128" s="103" t="s">
        <v>40</v>
      </c>
      <c r="B128" s="103"/>
      <c r="C128" s="104">
        <v>0.51</v>
      </c>
      <c r="D128" s="103">
        <v>7.1999999999999995E-2</v>
      </c>
      <c r="E128" s="103">
        <v>1.003E-3</v>
      </c>
      <c r="F128" s="103">
        <v>998.2</v>
      </c>
      <c r="G128" s="103"/>
      <c r="H128" s="105">
        <v>22.5</v>
      </c>
      <c r="I128" s="103" t="s">
        <v>12</v>
      </c>
      <c r="J128" s="103"/>
      <c r="K128" s="109">
        <v>3.1030000000000002</v>
      </c>
    </row>
    <row r="129" spans="1:11">
      <c r="A129" s="103" t="s">
        <v>40</v>
      </c>
      <c r="B129" s="103"/>
      <c r="C129" s="104">
        <v>0.51</v>
      </c>
      <c r="D129" s="103">
        <v>7.1999999999999995E-2</v>
      </c>
      <c r="E129" s="103">
        <v>1.003E-3</v>
      </c>
      <c r="F129" s="103">
        <v>998.2</v>
      </c>
      <c r="G129" s="103"/>
      <c r="H129" s="105">
        <v>22.5</v>
      </c>
      <c r="I129" s="103" t="s">
        <v>12</v>
      </c>
      <c r="J129" s="103"/>
      <c r="K129" s="109">
        <v>2.8426</v>
      </c>
    </row>
    <row r="130" spans="1:11">
      <c r="A130" s="103" t="s">
        <v>40</v>
      </c>
      <c r="B130" s="103"/>
      <c r="C130" s="104">
        <v>0.51</v>
      </c>
      <c r="D130" s="103">
        <v>7.1999999999999995E-2</v>
      </c>
      <c r="E130" s="103">
        <v>1.003E-3</v>
      </c>
      <c r="F130" s="103">
        <v>998.2</v>
      </c>
      <c r="G130" s="103"/>
      <c r="H130" s="105">
        <v>22.5</v>
      </c>
      <c r="I130" s="103" t="s">
        <v>12</v>
      </c>
      <c r="J130" s="103"/>
      <c r="K130" s="109">
        <v>2.8643000000000001</v>
      </c>
    </row>
    <row r="131" spans="1:11">
      <c r="A131" s="103" t="s">
        <v>40</v>
      </c>
      <c r="B131" s="103"/>
      <c r="C131" s="104">
        <v>0.51</v>
      </c>
      <c r="D131" s="103">
        <v>7.1999999999999995E-2</v>
      </c>
      <c r="E131" s="103">
        <v>1.003E-3</v>
      </c>
      <c r="F131" s="103">
        <v>998.2</v>
      </c>
      <c r="G131" s="103"/>
      <c r="H131" s="105">
        <v>22.5</v>
      </c>
      <c r="I131" s="103" t="s">
        <v>12</v>
      </c>
      <c r="J131" s="103"/>
      <c r="K131" s="109">
        <v>2.8426</v>
      </c>
    </row>
    <row r="132" spans="1:11">
      <c r="A132" s="103" t="s">
        <v>40</v>
      </c>
      <c r="B132" s="103"/>
      <c r="C132" s="104">
        <v>0.51</v>
      </c>
      <c r="D132" s="103">
        <v>7.1999999999999995E-2</v>
      </c>
      <c r="E132" s="103">
        <v>1.003E-3</v>
      </c>
      <c r="F132" s="103">
        <v>998.2</v>
      </c>
      <c r="G132" s="103"/>
      <c r="H132" s="105">
        <v>22.5</v>
      </c>
      <c r="I132" s="103" t="s">
        <v>12</v>
      </c>
      <c r="J132" s="103"/>
      <c r="K132" s="109">
        <v>2.8643000000000001</v>
      </c>
    </row>
    <row r="133" spans="1:11">
      <c r="A133" s="103" t="s">
        <v>24</v>
      </c>
      <c r="B133" s="103"/>
      <c r="C133" s="104">
        <v>0.25</v>
      </c>
      <c r="D133" s="103">
        <v>7.1999999999999995E-2</v>
      </c>
      <c r="E133" s="103">
        <v>1.003E-3</v>
      </c>
      <c r="F133" s="103">
        <v>998.2</v>
      </c>
      <c r="G133" s="103"/>
      <c r="H133" s="105">
        <v>22.5</v>
      </c>
      <c r="I133" s="103" t="s">
        <v>12</v>
      </c>
      <c r="J133" s="103"/>
      <c r="K133" s="104">
        <v>2.8995502531833801</v>
      </c>
    </row>
    <row r="134" spans="1:11">
      <c r="A134" s="103" t="s">
        <v>24</v>
      </c>
      <c r="B134" s="103"/>
      <c r="C134" s="104">
        <v>0.25</v>
      </c>
      <c r="D134" s="103">
        <v>7.1999999999999995E-2</v>
      </c>
      <c r="E134" s="103">
        <v>1.003E-3</v>
      </c>
      <c r="F134" s="103">
        <v>998.2</v>
      </c>
      <c r="G134" s="103"/>
      <c r="H134" s="105">
        <v>22.5</v>
      </c>
      <c r="I134" s="103" t="s">
        <v>12</v>
      </c>
      <c r="J134" s="103"/>
      <c r="K134" s="104">
        <v>3.36731611031778</v>
      </c>
    </row>
    <row r="135" spans="1:11">
      <c r="A135" s="103" t="s">
        <v>24</v>
      </c>
      <c r="B135" s="103"/>
      <c r="C135" s="104">
        <v>0.25</v>
      </c>
      <c r="D135" s="103">
        <v>7.1999999999999995E-2</v>
      </c>
      <c r="E135" s="103">
        <v>1.003E-3</v>
      </c>
      <c r="F135" s="103">
        <v>998.2</v>
      </c>
      <c r="G135" s="103"/>
      <c r="H135" s="105">
        <v>22.5</v>
      </c>
      <c r="I135" s="103" t="s">
        <v>12</v>
      </c>
      <c r="J135" s="103"/>
      <c r="K135" s="104">
        <v>3.9790102138522498</v>
      </c>
    </row>
    <row r="136" spans="1:11">
      <c r="A136" s="103" t="s">
        <v>24</v>
      </c>
      <c r="B136" s="103"/>
      <c r="C136" s="104">
        <v>0.25</v>
      </c>
      <c r="D136" s="103">
        <v>7.1999999999999995E-2</v>
      </c>
      <c r="E136" s="103">
        <v>1.003E-3</v>
      </c>
      <c r="F136" s="103">
        <v>998.2</v>
      </c>
      <c r="G136" s="103"/>
      <c r="H136" s="105">
        <v>22.5</v>
      </c>
      <c r="I136" s="103" t="s">
        <v>12</v>
      </c>
      <c r="J136" s="103"/>
      <c r="K136" s="104">
        <v>4.1589202644889198</v>
      </c>
    </row>
    <row r="137" spans="1:11">
      <c r="A137" s="103" t="s">
        <v>24</v>
      </c>
      <c r="B137" s="103"/>
      <c r="C137" s="104">
        <v>0.25</v>
      </c>
      <c r="D137" s="103">
        <v>7.1999999999999995E-2</v>
      </c>
      <c r="E137" s="103">
        <v>1.003E-3</v>
      </c>
      <c r="F137" s="103">
        <v>998.2</v>
      </c>
      <c r="G137" s="103"/>
      <c r="H137" s="105">
        <v>22.5</v>
      </c>
      <c r="I137" s="103" t="s">
        <v>12</v>
      </c>
      <c r="J137" s="103"/>
      <c r="K137" s="104">
        <v>4.30284851088898</v>
      </c>
    </row>
    <row r="138" spans="1:11">
      <c r="A138" s="103" t="s">
        <v>24</v>
      </c>
      <c r="B138" s="103"/>
      <c r="C138" s="104">
        <v>0.25</v>
      </c>
      <c r="D138" s="103">
        <v>7.1999999999999995E-2</v>
      </c>
      <c r="E138" s="103">
        <v>1.003E-3</v>
      </c>
      <c r="F138" s="103">
        <v>998.2</v>
      </c>
      <c r="G138" s="103"/>
      <c r="H138" s="105">
        <v>22.5</v>
      </c>
      <c r="I138" s="103" t="s">
        <v>12</v>
      </c>
      <c r="J138" s="103"/>
      <c r="K138" s="104">
        <v>4.2758620719237097</v>
      </c>
    </row>
    <row r="139" spans="1:11">
      <c r="A139" s="103" t="s">
        <v>24</v>
      </c>
      <c r="B139" s="103"/>
      <c r="C139" s="104">
        <v>0.25</v>
      </c>
      <c r="D139" s="103">
        <v>6.4000000000000001E-2</v>
      </c>
      <c r="E139" s="103">
        <v>5.6899999999999999E-2</v>
      </c>
      <c r="F139" s="103">
        <v>1214.5</v>
      </c>
      <c r="G139" s="103"/>
      <c r="H139" s="105">
        <v>22.5</v>
      </c>
      <c r="I139" s="103" t="s">
        <v>12</v>
      </c>
      <c r="J139" s="103"/>
      <c r="K139" s="104">
        <v>2.1349325379774999</v>
      </c>
    </row>
    <row r="140" spans="1:11">
      <c r="A140" s="103" t="s">
        <v>24</v>
      </c>
      <c r="B140" s="103"/>
      <c r="C140" s="104">
        <v>0.25</v>
      </c>
      <c r="D140" s="103">
        <v>6.4000000000000001E-2</v>
      </c>
      <c r="E140" s="103">
        <v>5.6899999999999999E-2</v>
      </c>
      <c r="F140" s="103">
        <v>1214.5</v>
      </c>
      <c r="G140" s="103"/>
      <c r="H140" s="105">
        <v>22.5</v>
      </c>
      <c r="I140" s="103" t="s">
        <v>12</v>
      </c>
      <c r="J140" s="103"/>
      <c r="K140" s="104">
        <v>2.7286355678180598</v>
      </c>
    </row>
    <row r="141" spans="1:11">
      <c r="A141" s="103" t="s">
        <v>24</v>
      </c>
      <c r="B141" s="103"/>
      <c r="C141" s="104">
        <v>0.25</v>
      </c>
      <c r="D141" s="103">
        <v>6.4000000000000001E-2</v>
      </c>
      <c r="E141" s="103">
        <v>5.6899999999999999E-2</v>
      </c>
      <c r="F141" s="103">
        <v>1214.5</v>
      </c>
      <c r="G141" s="103"/>
      <c r="H141" s="105">
        <v>22.5</v>
      </c>
      <c r="I141" s="103" t="s">
        <v>12</v>
      </c>
      <c r="J141" s="103"/>
      <c r="K141" s="104">
        <v>3.18740605968111</v>
      </c>
    </row>
    <row r="142" spans="1:11">
      <c r="A142" s="103" t="s">
        <v>24</v>
      </c>
      <c r="B142" s="103"/>
      <c r="C142" s="104">
        <v>0.25</v>
      </c>
      <c r="D142" s="103">
        <v>6.4000000000000001E-2</v>
      </c>
      <c r="E142" s="103">
        <v>5.6899999999999999E-2</v>
      </c>
      <c r="F142" s="103">
        <v>1214.5</v>
      </c>
      <c r="G142" s="103"/>
      <c r="H142" s="105">
        <v>22.5</v>
      </c>
      <c r="I142" s="103" t="s">
        <v>12</v>
      </c>
      <c r="J142" s="103"/>
      <c r="K142" s="104">
        <v>3.3853064977093101</v>
      </c>
    </row>
    <row r="143" spans="1:11">
      <c r="A143" s="103" t="s">
        <v>24</v>
      </c>
      <c r="B143" s="103"/>
      <c r="C143" s="104">
        <v>0.25</v>
      </c>
      <c r="D143" s="103">
        <v>6.4000000000000001E-2</v>
      </c>
      <c r="E143" s="103">
        <v>5.6899999999999999E-2</v>
      </c>
      <c r="F143" s="103">
        <v>1214.5</v>
      </c>
      <c r="G143" s="103"/>
      <c r="H143" s="105">
        <v>22.5</v>
      </c>
      <c r="I143" s="103" t="s">
        <v>12</v>
      </c>
      <c r="J143" s="103"/>
      <c r="K143" s="104">
        <v>3.3493250366238798</v>
      </c>
    </row>
    <row r="144" spans="1:11">
      <c r="A144" s="103" t="s">
        <v>24</v>
      </c>
      <c r="B144" s="103"/>
      <c r="C144" s="104">
        <v>0.25</v>
      </c>
      <c r="D144" s="103">
        <v>6.4000000000000001E-2</v>
      </c>
      <c r="E144" s="103">
        <v>5.6899999999999999E-2</v>
      </c>
      <c r="F144" s="103">
        <v>1214.5</v>
      </c>
      <c r="G144" s="103"/>
      <c r="H144" s="105">
        <v>22.5</v>
      </c>
      <c r="I144" s="103" t="s">
        <v>12</v>
      </c>
      <c r="J144" s="103"/>
      <c r="K144" s="104">
        <v>3.3493250366238798</v>
      </c>
    </row>
    <row r="145" spans="1:11">
      <c r="A145" s="103" t="s">
        <v>24</v>
      </c>
      <c r="B145" s="103"/>
      <c r="C145" s="104">
        <v>0.25</v>
      </c>
      <c r="D145" s="103">
        <v>6.3E-2</v>
      </c>
      <c r="E145" s="103">
        <v>0.32700000000000001</v>
      </c>
      <c r="F145" s="103">
        <v>1245.5999999999999</v>
      </c>
      <c r="G145" s="103"/>
      <c r="H145" s="105">
        <v>22.5</v>
      </c>
      <c r="I145" s="103" t="s">
        <v>12</v>
      </c>
      <c r="J145" s="103"/>
      <c r="K145" s="104">
        <v>3.3133432323872598</v>
      </c>
    </row>
    <row r="146" spans="1:11">
      <c r="A146" s="103" t="s">
        <v>24</v>
      </c>
      <c r="B146" s="103"/>
      <c r="C146" s="104">
        <v>0.25</v>
      </c>
      <c r="D146" s="103">
        <v>6.3E-2</v>
      </c>
      <c r="E146" s="103">
        <v>0.32700000000000001</v>
      </c>
      <c r="F146" s="103">
        <v>1245.5999999999999</v>
      </c>
      <c r="G146" s="103"/>
      <c r="H146" s="105">
        <v>22.5</v>
      </c>
      <c r="I146" s="103" t="s">
        <v>12</v>
      </c>
      <c r="J146" s="103"/>
      <c r="K146" s="104">
        <v>3.4662668440586701</v>
      </c>
    </row>
    <row r="147" spans="1:11">
      <c r="A147" s="103" t="s">
        <v>24</v>
      </c>
      <c r="B147" s="103"/>
      <c r="C147" s="104">
        <v>0.25</v>
      </c>
      <c r="D147" s="103">
        <v>6.3E-2</v>
      </c>
      <c r="E147" s="103">
        <v>0.32700000000000001</v>
      </c>
      <c r="F147" s="103">
        <v>1245.5999999999999</v>
      </c>
      <c r="G147" s="103"/>
      <c r="H147" s="105">
        <v>22.5</v>
      </c>
      <c r="I147" s="103" t="s">
        <v>12</v>
      </c>
      <c r="J147" s="103"/>
      <c r="K147" s="104">
        <v>4.5637178784214401</v>
      </c>
    </row>
    <row r="148" spans="1:11">
      <c r="A148" s="103" t="s">
        <v>24</v>
      </c>
      <c r="B148" s="103"/>
      <c r="C148" s="104">
        <v>0.25</v>
      </c>
      <c r="D148" s="103">
        <v>6.3E-2</v>
      </c>
      <c r="E148" s="103">
        <v>0.32700000000000001</v>
      </c>
      <c r="F148" s="103">
        <v>1245.5999999999999</v>
      </c>
      <c r="G148" s="103"/>
      <c r="H148" s="105">
        <v>22.5</v>
      </c>
      <c r="I148" s="103" t="s">
        <v>12</v>
      </c>
      <c r="J148" s="103"/>
      <c r="K148" s="104">
        <v>5.2383805683089797</v>
      </c>
    </row>
    <row r="149" spans="1:11">
      <c r="A149" s="103" t="s">
        <v>24</v>
      </c>
      <c r="B149" s="103"/>
      <c r="C149" s="104">
        <v>0.25</v>
      </c>
      <c r="D149" s="103">
        <v>6.3E-2</v>
      </c>
      <c r="E149" s="103">
        <v>0.32700000000000001</v>
      </c>
      <c r="F149" s="103">
        <v>1245.5999999999999</v>
      </c>
      <c r="G149" s="103"/>
      <c r="H149" s="105">
        <v>22.5</v>
      </c>
      <c r="I149" s="103" t="s">
        <v>12</v>
      </c>
      <c r="J149" s="103"/>
      <c r="K149" s="104">
        <v>5.5532231569231598</v>
      </c>
    </row>
    <row r="150" spans="1:11">
      <c r="A150" s="103" t="s">
        <v>24</v>
      </c>
      <c r="B150" s="103"/>
      <c r="C150" s="104">
        <v>0.25</v>
      </c>
      <c r="D150" s="103">
        <v>6.3E-2</v>
      </c>
      <c r="E150" s="103">
        <v>0.32700000000000001</v>
      </c>
      <c r="F150" s="103">
        <v>1245.5999999999999</v>
      </c>
      <c r="G150" s="103"/>
      <c r="H150" s="105">
        <v>22.5</v>
      </c>
      <c r="I150" s="103" t="s">
        <v>12</v>
      </c>
      <c r="J150" s="103"/>
      <c r="K150" s="104">
        <v>5.5082456442639902</v>
      </c>
    </row>
    <row r="151" spans="1:11">
      <c r="A151" s="103" t="s">
        <v>24</v>
      </c>
      <c r="B151" s="103"/>
      <c r="C151" s="104">
        <v>0.25</v>
      </c>
      <c r="D151" s="103">
        <v>6.25E-2</v>
      </c>
      <c r="E151" s="103">
        <v>0.77500000000000002</v>
      </c>
      <c r="F151" s="103">
        <v>1260</v>
      </c>
      <c r="G151" s="103"/>
      <c r="H151" s="105">
        <v>22.5</v>
      </c>
      <c r="I151" s="103" t="s">
        <v>12</v>
      </c>
      <c r="J151" s="103"/>
      <c r="K151" s="104">
        <v>3.7631183589789501</v>
      </c>
    </row>
    <row r="152" spans="1:11">
      <c r="A152" s="103" t="s">
        <v>24</v>
      </c>
      <c r="B152" s="103"/>
      <c r="C152" s="104">
        <v>0.25</v>
      </c>
      <c r="D152" s="103">
        <v>6.25E-2</v>
      </c>
      <c r="E152" s="103">
        <v>0.77500000000000002</v>
      </c>
      <c r="F152" s="103">
        <v>1260</v>
      </c>
      <c r="G152" s="103"/>
      <c r="H152" s="105">
        <v>22.5</v>
      </c>
      <c r="I152" s="103" t="s">
        <v>12</v>
      </c>
      <c r="J152" s="103"/>
      <c r="K152" s="104">
        <v>4.6356821731970701</v>
      </c>
    </row>
    <row r="153" spans="1:11">
      <c r="A153" s="103" t="s">
        <v>24</v>
      </c>
      <c r="B153" s="103"/>
      <c r="C153" s="104">
        <v>0.25</v>
      </c>
      <c r="D153" s="103">
        <v>6.25E-2</v>
      </c>
      <c r="E153" s="103">
        <v>0.77500000000000002</v>
      </c>
      <c r="F153" s="103">
        <v>1260</v>
      </c>
      <c r="G153" s="103"/>
      <c r="H153" s="105">
        <v>22.5</v>
      </c>
      <c r="I153" s="103" t="s">
        <v>12</v>
      </c>
      <c r="J153" s="103"/>
      <c r="K153" s="104">
        <v>5.6161917432762403</v>
      </c>
    </row>
    <row r="154" spans="1:11">
      <c r="A154" s="103" t="s">
        <v>24</v>
      </c>
      <c r="B154" s="103"/>
      <c r="C154" s="104">
        <v>0.25</v>
      </c>
      <c r="D154" s="103">
        <v>6.25E-2</v>
      </c>
      <c r="E154" s="103">
        <v>0.77500000000000002</v>
      </c>
      <c r="F154" s="103">
        <v>1260</v>
      </c>
      <c r="G154" s="103"/>
      <c r="H154" s="105">
        <v>22.5</v>
      </c>
      <c r="I154" s="103" t="s">
        <v>12</v>
      </c>
      <c r="J154" s="103"/>
      <c r="K154" s="104">
        <v>5.9310343318904204</v>
      </c>
    </row>
    <row r="155" spans="1:11">
      <c r="A155" s="103" t="s">
        <v>24</v>
      </c>
      <c r="B155" s="103"/>
      <c r="C155" s="104">
        <v>0.25</v>
      </c>
      <c r="D155" s="103">
        <v>6.25E-2</v>
      </c>
      <c r="E155" s="103">
        <v>0.77500000000000002</v>
      </c>
      <c r="F155" s="103">
        <v>1260</v>
      </c>
      <c r="G155" s="103"/>
      <c r="H155" s="105">
        <v>22.5</v>
      </c>
      <c r="I155" s="103" t="s">
        <v>12</v>
      </c>
      <c r="J155" s="103"/>
      <c r="K155" s="104">
        <v>6.8395801219207497</v>
      </c>
    </row>
    <row r="156" spans="1:11">
      <c r="A156" s="103" t="s">
        <v>24</v>
      </c>
      <c r="B156" s="103"/>
      <c r="C156" s="104">
        <v>0.25</v>
      </c>
      <c r="D156" s="103">
        <v>6.25E-2</v>
      </c>
      <c r="E156" s="103">
        <v>0.77500000000000002</v>
      </c>
      <c r="F156" s="103">
        <v>1260</v>
      </c>
      <c r="G156" s="103"/>
      <c r="H156" s="105">
        <v>22.5</v>
      </c>
      <c r="I156" s="103" t="s">
        <v>12</v>
      </c>
      <c r="J156" s="103"/>
      <c r="K156" s="104">
        <v>7.2173912968880103</v>
      </c>
    </row>
    <row r="157" spans="1:11">
      <c r="A157" s="103" t="s">
        <v>24</v>
      </c>
      <c r="B157" s="103"/>
      <c r="C157" s="104">
        <v>0.34</v>
      </c>
      <c r="D157" s="103">
        <v>7.1999999999999995E-2</v>
      </c>
      <c r="E157" s="103">
        <v>1.003E-3</v>
      </c>
      <c r="F157" s="103">
        <v>998.2</v>
      </c>
      <c r="G157" s="103"/>
      <c r="H157" s="105">
        <v>22.5</v>
      </c>
      <c r="I157" s="103" t="s">
        <v>12</v>
      </c>
      <c r="J157" s="103"/>
      <c r="K157" s="103">
        <v>3.14987930656133</v>
      </c>
    </row>
    <row r="158" spans="1:11">
      <c r="A158" s="103" t="s">
        <v>24</v>
      </c>
      <c r="B158" s="103"/>
      <c r="C158" s="104">
        <v>0.34</v>
      </c>
      <c r="D158" s="103">
        <v>7.1999999999999995E-2</v>
      </c>
      <c r="E158" s="103">
        <v>1.003E-3</v>
      </c>
      <c r="F158" s="103">
        <v>998.2</v>
      </c>
      <c r="G158" s="103"/>
      <c r="H158" s="105">
        <v>22.5</v>
      </c>
      <c r="I158" s="103" t="s">
        <v>12</v>
      </c>
      <c r="J158" s="103"/>
      <c r="K158" s="103">
        <v>3.8821526655628</v>
      </c>
    </row>
    <row r="159" spans="1:11">
      <c r="A159" s="103" t="s">
        <v>24</v>
      </c>
      <c r="B159" s="103"/>
      <c r="C159" s="104">
        <v>0.34</v>
      </c>
      <c r="D159" s="103">
        <v>7.1999999999999995E-2</v>
      </c>
      <c r="E159" s="103">
        <v>1.003E-3</v>
      </c>
      <c r="F159" s="103">
        <v>998.2</v>
      </c>
      <c r="G159" s="103"/>
      <c r="H159" s="105">
        <v>22.5</v>
      </c>
      <c r="I159" s="103" t="s">
        <v>12</v>
      </c>
      <c r="J159" s="103"/>
      <c r="K159" s="103">
        <v>4.5558015972762496</v>
      </c>
    </row>
    <row r="160" spans="1:11">
      <c r="A160" s="103" t="s">
        <v>24</v>
      </c>
      <c r="B160" s="103"/>
      <c r="C160" s="104">
        <v>0.34</v>
      </c>
      <c r="D160" s="103">
        <v>7.1999999999999995E-2</v>
      </c>
      <c r="E160" s="103">
        <v>1.003E-3</v>
      </c>
      <c r="F160" s="103">
        <v>998.2</v>
      </c>
      <c r="G160" s="103"/>
      <c r="H160" s="105">
        <v>22.5</v>
      </c>
      <c r="I160" s="103" t="s">
        <v>12</v>
      </c>
      <c r="J160" s="103"/>
      <c r="K160" s="110">
        <v>4.5167541112241496</v>
      </c>
    </row>
    <row r="161" spans="1:11">
      <c r="A161" s="103" t="s">
        <v>24</v>
      </c>
      <c r="B161" s="103"/>
      <c r="C161" s="104">
        <v>0.34</v>
      </c>
      <c r="D161" s="103">
        <v>7.1999999999999995E-2</v>
      </c>
      <c r="E161" s="103">
        <v>1.003E-3</v>
      </c>
      <c r="F161" s="103">
        <v>998.2</v>
      </c>
      <c r="G161" s="103"/>
      <c r="H161" s="105">
        <v>22.5</v>
      </c>
      <c r="I161" s="103" t="s">
        <v>12</v>
      </c>
      <c r="J161" s="103"/>
      <c r="K161" s="110">
        <v>4.4490327900466102</v>
      </c>
    </row>
    <row r="162" spans="1:11">
      <c r="A162" s="103" t="s">
        <v>24</v>
      </c>
      <c r="B162" s="103"/>
      <c r="C162" s="104">
        <v>0.34</v>
      </c>
      <c r="D162" s="103">
        <v>7.1999999999999995E-2</v>
      </c>
      <c r="E162" s="103">
        <v>1.003E-3</v>
      </c>
      <c r="F162" s="103">
        <v>998.2</v>
      </c>
      <c r="G162" s="103"/>
      <c r="H162" s="105">
        <v>22.5</v>
      </c>
      <c r="I162" s="103" t="s">
        <v>12</v>
      </c>
      <c r="J162" s="103"/>
      <c r="K162" s="110">
        <v>4.3825882259061899</v>
      </c>
    </row>
    <row r="163" spans="1:11">
      <c r="A163" s="103" t="s">
        <v>24</v>
      </c>
      <c r="B163" s="103"/>
      <c r="C163" s="104">
        <v>0.34</v>
      </c>
      <c r="D163" s="103">
        <v>6.4000000000000001E-2</v>
      </c>
      <c r="E163" s="103">
        <v>5.6899999999999999E-2</v>
      </c>
      <c r="F163" s="103">
        <v>1214.5</v>
      </c>
      <c r="G163" s="103"/>
      <c r="H163" s="105">
        <v>22.5</v>
      </c>
      <c r="I163" s="103" t="s">
        <v>12</v>
      </c>
      <c r="J163" s="103"/>
      <c r="K163" s="110">
        <v>3.0037970222302</v>
      </c>
    </row>
    <row r="164" spans="1:11">
      <c r="A164" s="103" t="s">
        <v>24</v>
      </c>
      <c r="B164" s="103"/>
      <c r="C164" s="104">
        <v>0.34</v>
      </c>
      <c r="D164" s="103">
        <v>6.4000000000000001E-2</v>
      </c>
      <c r="E164" s="103">
        <v>5.6899999999999999E-2</v>
      </c>
      <c r="F164" s="103">
        <v>1214.5</v>
      </c>
      <c r="G164" s="103"/>
      <c r="H164" s="105">
        <v>22.5</v>
      </c>
      <c r="I164" s="103" t="s">
        <v>12</v>
      </c>
      <c r="J164" s="103"/>
      <c r="K164" s="110">
        <v>3.7162274489463401</v>
      </c>
    </row>
    <row r="165" spans="1:11">
      <c r="A165" s="103" t="s">
        <v>24</v>
      </c>
      <c r="B165" s="103"/>
      <c r="C165" s="104">
        <v>0.34</v>
      </c>
      <c r="D165" s="103">
        <v>6.4000000000000001E-2</v>
      </c>
      <c r="E165" s="103">
        <v>5.6899999999999999E-2</v>
      </c>
      <c r="F165" s="103">
        <v>1214.5</v>
      </c>
      <c r="G165" s="103"/>
      <c r="H165" s="105">
        <v>22.5</v>
      </c>
      <c r="I165" s="103" t="s">
        <v>12</v>
      </c>
      <c r="J165" s="103"/>
      <c r="K165" s="111">
        <v>4.0471735126113</v>
      </c>
    </row>
    <row r="166" spans="1:11">
      <c r="A166" s="103" t="s">
        <v>24</v>
      </c>
      <c r="B166" s="103"/>
      <c r="C166" s="104">
        <v>0.34</v>
      </c>
      <c r="D166" s="103">
        <v>6.4000000000000001E-2</v>
      </c>
      <c r="E166" s="103">
        <v>5.6899999999999999E-2</v>
      </c>
      <c r="F166" s="103">
        <v>1214.5</v>
      </c>
      <c r="G166" s="103"/>
      <c r="H166" s="105">
        <v>22.5</v>
      </c>
      <c r="I166" s="103" t="s">
        <v>12</v>
      </c>
      <c r="J166" s="103"/>
      <c r="K166" s="110">
        <v>4.03977896143794</v>
      </c>
    </row>
    <row r="167" spans="1:11">
      <c r="A167" s="103" t="s">
        <v>24</v>
      </c>
      <c r="B167" s="103"/>
      <c r="C167" s="104">
        <v>0.34</v>
      </c>
      <c r="D167" s="103">
        <v>6.4000000000000001E-2</v>
      </c>
      <c r="E167" s="103">
        <v>5.6899999999999999E-2</v>
      </c>
      <c r="F167" s="103">
        <v>1214.5</v>
      </c>
      <c r="G167" s="103"/>
      <c r="H167" s="105">
        <v>22.5</v>
      </c>
      <c r="I167" s="103" t="s">
        <v>12</v>
      </c>
      <c r="J167" s="103"/>
      <c r="K167" s="110">
        <v>3.80735598247119</v>
      </c>
    </row>
    <row r="168" spans="1:11">
      <c r="A168" s="103" t="s">
        <v>24</v>
      </c>
      <c r="B168" s="103"/>
      <c r="C168" s="104">
        <v>0.34</v>
      </c>
      <c r="D168" s="103">
        <v>6.4000000000000001E-2</v>
      </c>
      <c r="E168" s="103">
        <v>5.6899999999999999E-2</v>
      </c>
      <c r="F168" s="103">
        <v>1214.5</v>
      </c>
      <c r="G168" s="103"/>
      <c r="H168" s="105">
        <v>22.5</v>
      </c>
      <c r="I168" s="103" t="s">
        <v>12</v>
      </c>
      <c r="J168" s="103"/>
      <c r="K168" s="110">
        <v>3.7853851217906498</v>
      </c>
    </row>
    <row r="169" spans="1:11">
      <c r="A169" s="103" t="s">
        <v>24</v>
      </c>
      <c r="B169" s="103"/>
      <c r="C169" s="104">
        <v>0.34</v>
      </c>
      <c r="D169" s="103">
        <v>6.3E-2</v>
      </c>
      <c r="E169" s="103">
        <v>0.32700000000000001</v>
      </c>
      <c r="F169" s="103">
        <v>1245.5999999999999</v>
      </c>
      <c r="G169" s="103"/>
      <c r="H169" s="105">
        <v>22.5</v>
      </c>
      <c r="I169" s="103" t="s">
        <v>12</v>
      </c>
      <c r="J169" s="103"/>
      <c r="K169" s="110">
        <v>4.0992545600840504</v>
      </c>
    </row>
    <row r="170" spans="1:11">
      <c r="A170" s="103" t="s">
        <v>24</v>
      </c>
      <c r="B170" s="103"/>
      <c r="C170" s="104">
        <v>0.34</v>
      </c>
      <c r="D170" s="103">
        <v>6.3E-2</v>
      </c>
      <c r="E170" s="103">
        <v>0.32700000000000001</v>
      </c>
      <c r="F170" s="103">
        <v>1245.5999999999999</v>
      </c>
      <c r="G170" s="103"/>
      <c r="H170" s="105">
        <v>22.5</v>
      </c>
      <c r="I170" s="103" t="s">
        <v>12</v>
      </c>
      <c r="J170" s="103"/>
      <c r="K170" s="110">
        <v>4.7623702462412103</v>
      </c>
    </row>
    <row r="171" spans="1:11">
      <c r="A171" s="103" t="s">
        <v>24</v>
      </c>
      <c r="B171" s="103"/>
      <c r="C171" s="104">
        <v>0.34</v>
      </c>
      <c r="D171" s="103">
        <v>6.3E-2</v>
      </c>
      <c r="E171" s="103">
        <v>0.32700000000000001</v>
      </c>
      <c r="F171" s="103">
        <v>1245.5999999999999</v>
      </c>
      <c r="G171" s="103"/>
      <c r="H171" s="105">
        <v>22.5</v>
      </c>
      <c r="I171" s="103" t="s">
        <v>12</v>
      </c>
      <c r="J171" s="103"/>
      <c r="K171" s="110">
        <v>5.6320013831534501</v>
      </c>
    </row>
    <row r="172" spans="1:11">
      <c r="A172" s="103" t="s">
        <v>24</v>
      </c>
      <c r="B172" s="103"/>
      <c r="C172" s="104">
        <v>0.34</v>
      </c>
      <c r="D172" s="103">
        <v>6.3E-2</v>
      </c>
      <c r="E172" s="103">
        <v>0.32700000000000001</v>
      </c>
      <c r="F172" s="103">
        <v>1245.5999999999999</v>
      </c>
      <c r="G172" s="103"/>
      <c r="H172" s="105">
        <v>22.5</v>
      </c>
      <c r="I172" s="103" t="s">
        <v>12</v>
      </c>
      <c r="J172" s="103"/>
      <c r="K172" s="110">
        <v>6.83678124231119</v>
      </c>
    </row>
    <row r="173" spans="1:11">
      <c r="A173" s="103" t="s">
        <v>24</v>
      </c>
      <c r="B173" s="103"/>
      <c r="C173" s="104">
        <v>0.34</v>
      </c>
      <c r="D173" s="103">
        <v>6.3E-2</v>
      </c>
      <c r="E173" s="103">
        <v>0.32700000000000001</v>
      </c>
      <c r="F173" s="103">
        <v>1245.5999999999999</v>
      </c>
      <c r="G173" s="103"/>
      <c r="H173" s="105">
        <v>22.5</v>
      </c>
      <c r="I173" s="103" t="s">
        <v>12</v>
      </c>
      <c r="J173" s="103"/>
      <c r="K173" s="110">
        <v>6.8613056170659803</v>
      </c>
    </row>
    <row r="174" spans="1:11">
      <c r="A174" s="103" t="s">
        <v>24</v>
      </c>
      <c r="B174" s="103"/>
      <c r="C174" s="104">
        <v>0.34</v>
      </c>
      <c r="D174" s="103">
        <v>6.3E-2</v>
      </c>
      <c r="E174" s="103">
        <v>0.32700000000000001</v>
      </c>
      <c r="F174" s="103">
        <v>1245.5999999999999</v>
      </c>
      <c r="G174" s="103"/>
      <c r="H174" s="105">
        <v>22.5</v>
      </c>
      <c r="I174" s="103" t="s">
        <v>12</v>
      </c>
      <c r="J174" s="103"/>
      <c r="K174" s="110">
        <v>6.8438566042252598</v>
      </c>
    </row>
    <row r="175" spans="1:11">
      <c r="A175" s="103" t="s">
        <v>24</v>
      </c>
      <c r="B175" s="103"/>
      <c r="C175" s="104">
        <v>0.34</v>
      </c>
      <c r="D175" s="103">
        <v>6.25E-2</v>
      </c>
      <c r="E175" s="103">
        <v>0.77500000000000002</v>
      </c>
      <c r="F175" s="103">
        <v>1260</v>
      </c>
      <c r="G175" s="103"/>
      <c r="H175" s="105">
        <v>22.5</v>
      </c>
      <c r="I175" s="103" t="s">
        <v>12</v>
      </c>
      <c r="J175" s="103"/>
      <c r="K175" s="110">
        <v>4.6627831973453997</v>
      </c>
    </row>
    <row r="176" spans="1:11">
      <c r="A176" s="103" t="s">
        <v>24</v>
      </c>
      <c r="B176" s="103"/>
      <c r="C176" s="104">
        <v>0.34</v>
      </c>
      <c r="D176" s="103">
        <v>6.25E-2</v>
      </c>
      <c r="E176" s="103">
        <v>0.77500000000000002</v>
      </c>
      <c r="F176" s="103">
        <v>1260</v>
      </c>
      <c r="G176" s="103"/>
      <c r="H176" s="105">
        <v>22.5</v>
      </c>
      <c r="I176" s="103" t="s">
        <v>12</v>
      </c>
      <c r="J176" s="103"/>
      <c r="K176" s="110">
        <v>5.6800393666753104</v>
      </c>
    </row>
    <row r="177" spans="1:11">
      <c r="A177" s="103" t="s">
        <v>24</v>
      </c>
      <c r="B177" s="103"/>
      <c r="C177" s="104">
        <v>0.34</v>
      </c>
      <c r="D177" s="103">
        <v>6.25E-2</v>
      </c>
      <c r="E177" s="103">
        <v>0.77500000000000002</v>
      </c>
      <c r="F177" s="103">
        <v>1260</v>
      </c>
      <c r="G177" s="103"/>
      <c r="H177" s="105">
        <v>22.5</v>
      </c>
      <c r="I177" s="103" t="s">
        <v>12</v>
      </c>
      <c r="J177" s="103"/>
      <c r="K177" s="110">
        <v>6.63659637853186</v>
      </c>
    </row>
    <row r="178" spans="1:11">
      <c r="A178" s="103" t="s">
        <v>24</v>
      </c>
      <c r="B178" s="103"/>
      <c r="C178" s="104">
        <v>0.34</v>
      </c>
      <c r="D178" s="103">
        <v>6.25E-2</v>
      </c>
      <c r="E178" s="103">
        <v>0.77500000000000002</v>
      </c>
      <c r="F178" s="103">
        <v>1260</v>
      </c>
      <c r="G178" s="103"/>
      <c r="H178" s="105">
        <v>22.5</v>
      </c>
      <c r="I178" s="103" t="s">
        <v>12</v>
      </c>
      <c r="J178" s="103"/>
      <c r="K178" s="110">
        <v>8.1000259341273093</v>
      </c>
    </row>
    <row r="179" spans="1:11">
      <c r="A179" s="103" t="s">
        <v>24</v>
      </c>
      <c r="B179" s="103"/>
      <c r="C179" s="104">
        <v>0.34</v>
      </c>
      <c r="D179" s="103">
        <v>6.25E-2</v>
      </c>
      <c r="E179" s="103">
        <v>0.77500000000000002</v>
      </c>
      <c r="F179" s="103">
        <v>1260</v>
      </c>
      <c r="G179" s="103"/>
      <c r="H179" s="105">
        <v>22.5</v>
      </c>
      <c r="I179" s="103" t="s">
        <v>12</v>
      </c>
      <c r="J179" s="103"/>
      <c r="K179" s="110">
        <v>8.4667211948317895</v>
      </c>
    </row>
    <row r="180" spans="1:11">
      <c r="A180" s="103" t="s">
        <v>24</v>
      </c>
      <c r="B180" s="103"/>
      <c r="C180" s="104">
        <v>0.34</v>
      </c>
      <c r="D180" s="103">
        <v>6.25E-2</v>
      </c>
      <c r="E180" s="103">
        <v>0.77500000000000002</v>
      </c>
      <c r="F180" s="103">
        <v>1260</v>
      </c>
      <c r="G180" s="103"/>
      <c r="H180" s="105">
        <v>22.5</v>
      </c>
      <c r="I180" s="103" t="s">
        <v>12</v>
      </c>
      <c r="J180" s="103"/>
      <c r="K180" s="110">
        <v>9.0173758653021299</v>
      </c>
    </row>
    <row r="181" spans="1:11">
      <c r="A181" s="103" t="s">
        <v>139</v>
      </c>
      <c r="B181" s="103">
        <v>0.5</v>
      </c>
      <c r="C181" s="104">
        <v>0.3</v>
      </c>
      <c r="D181" s="103">
        <v>7.1999999999999995E-2</v>
      </c>
      <c r="E181" s="103">
        <f t="shared" ref="E181:E187" si="0">8.9 * 10^-4</f>
        <v>8.9000000000000006E-4</v>
      </c>
      <c r="F181" s="103">
        <v>1.1839999999999999</v>
      </c>
      <c r="G181" s="103"/>
      <c r="H181" s="103">
        <v>25</v>
      </c>
      <c r="I181" s="103" t="s">
        <v>12</v>
      </c>
      <c r="J181" s="252">
        <v>46054</v>
      </c>
      <c r="K181" s="104">
        <v>45658</v>
      </c>
    </row>
    <row r="182" spans="1:11">
      <c r="A182" s="103" t="s">
        <v>139</v>
      </c>
      <c r="B182" s="103">
        <v>0.5</v>
      </c>
      <c r="C182" s="104">
        <v>0.43</v>
      </c>
      <c r="D182" s="103">
        <v>7.1999999999999995E-2</v>
      </c>
      <c r="E182" s="103">
        <f t="shared" si="0"/>
        <v>8.9000000000000006E-4</v>
      </c>
      <c r="F182" s="103">
        <v>1.1839999999999999</v>
      </c>
      <c r="G182" s="103"/>
      <c r="H182" s="103">
        <v>25</v>
      </c>
      <c r="I182" s="103" t="s">
        <v>12</v>
      </c>
      <c r="J182" s="252">
        <v>46054</v>
      </c>
      <c r="K182" s="104">
        <v>45717</v>
      </c>
    </row>
    <row r="183" spans="1:11">
      <c r="A183" s="103" t="s">
        <v>139</v>
      </c>
      <c r="B183" s="103">
        <v>0.5</v>
      </c>
      <c r="C183" s="104">
        <v>0.75</v>
      </c>
      <c r="D183" s="103">
        <v>7.1999999999999995E-2</v>
      </c>
      <c r="E183" s="103">
        <f t="shared" si="0"/>
        <v>8.9000000000000006E-4</v>
      </c>
      <c r="F183" s="103">
        <v>1.1839999999999999</v>
      </c>
      <c r="G183" s="103"/>
      <c r="H183" s="103">
        <v>25</v>
      </c>
      <c r="I183" s="103" t="s">
        <v>12</v>
      </c>
      <c r="J183" s="252">
        <v>46054</v>
      </c>
      <c r="K183" s="104">
        <v>45778</v>
      </c>
    </row>
    <row r="184" spans="1:11">
      <c r="A184" s="103" t="s">
        <v>139</v>
      </c>
      <c r="B184" s="103">
        <v>1</v>
      </c>
      <c r="C184" s="104">
        <v>0.92</v>
      </c>
      <c r="D184" s="103">
        <v>7.1999999999999995E-2</v>
      </c>
      <c r="E184" s="103">
        <f t="shared" si="0"/>
        <v>8.9000000000000006E-4</v>
      </c>
      <c r="F184" s="103">
        <v>1.1839999999999999</v>
      </c>
      <c r="G184" s="103"/>
      <c r="H184" s="103">
        <v>25</v>
      </c>
      <c r="I184" s="103" t="s">
        <v>12</v>
      </c>
      <c r="J184" s="252">
        <v>46054</v>
      </c>
      <c r="K184" s="104">
        <v>45839</v>
      </c>
    </row>
    <row r="185" spans="1:11">
      <c r="A185" s="103" t="s">
        <v>139</v>
      </c>
      <c r="B185" s="103">
        <v>1</v>
      </c>
      <c r="C185" s="104">
        <v>1.1299999999999999</v>
      </c>
      <c r="D185" s="103">
        <v>7.1999999999999995E-2</v>
      </c>
      <c r="E185" s="103">
        <f t="shared" si="0"/>
        <v>8.9000000000000006E-4</v>
      </c>
      <c r="F185" s="103">
        <v>1.1839999999999999</v>
      </c>
      <c r="G185" s="103"/>
      <c r="H185" s="103">
        <v>25</v>
      </c>
      <c r="I185" s="103" t="s">
        <v>12</v>
      </c>
      <c r="J185" s="252">
        <v>46054</v>
      </c>
      <c r="K185" s="104">
        <v>45901</v>
      </c>
    </row>
    <row r="186" spans="1:11">
      <c r="A186" s="103" t="s">
        <v>139</v>
      </c>
      <c r="B186" s="103">
        <v>1</v>
      </c>
      <c r="C186" s="104">
        <v>1.46</v>
      </c>
      <c r="D186" s="103">
        <v>7.1999999999999995E-2</v>
      </c>
      <c r="E186" s="103">
        <f t="shared" si="0"/>
        <v>8.9000000000000006E-4</v>
      </c>
      <c r="F186" s="103">
        <v>1.1839999999999999</v>
      </c>
      <c r="G186" s="103"/>
      <c r="H186" s="103">
        <v>25</v>
      </c>
      <c r="I186" s="103" t="s">
        <v>12</v>
      </c>
      <c r="J186" s="252">
        <v>46054</v>
      </c>
      <c r="K186" s="104">
        <v>45659</v>
      </c>
    </row>
    <row r="187" spans="1:11">
      <c r="A187" s="103" t="s">
        <v>139</v>
      </c>
      <c r="B187" s="103">
        <v>1</v>
      </c>
      <c r="C187" s="104">
        <v>1.93</v>
      </c>
      <c r="D187" s="103">
        <v>7.1999999999999995E-2</v>
      </c>
      <c r="E187" s="103">
        <f t="shared" si="0"/>
        <v>8.9000000000000006E-4</v>
      </c>
      <c r="F187" s="103">
        <v>1.1839999999999999</v>
      </c>
      <c r="G187" s="103"/>
      <c r="H187" s="103">
        <v>25</v>
      </c>
      <c r="I187" s="103" t="s">
        <v>12</v>
      </c>
      <c r="J187" s="252">
        <v>46054</v>
      </c>
      <c r="K187" s="104">
        <v>45749</v>
      </c>
    </row>
    <row r="188" spans="1:11">
      <c r="A188" s="239" t="s">
        <v>140</v>
      </c>
      <c r="B188" s="142">
        <v>1</v>
      </c>
      <c r="C188" s="243">
        <v>2</v>
      </c>
      <c r="D188" s="142">
        <v>7.2800000000000004E-2</v>
      </c>
      <c r="E188" s="142">
        <v>1.0020000000000001E-3</v>
      </c>
      <c r="F188" s="142">
        <v>998.12</v>
      </c>
      <c r="G188" s="142">
        <v>0</v>
      </c>
      <c r="H188" s="142">
        <v>20</v>
      </c>
      <c r="I188" s="142" t="s">
        <v>12</v>
      </c>
      <c r="J188" s="142">
        <v>1.1879999999999999</v>
      </c>
      <c r="K188" s="142">
        <v>4.0599999999999996</v>
      </c>
    </row>
    <row r="189" spans="1:11">
      <c r="A189" s="239" t="s">
        <v>140</v>
      </c>
      <c r="B189" s="142">
        <v>10</v>
      </c>
      <c r="C189" s="243">
        <v>2</v>
      </c>
      <c r="D189" s="142">
        <v>7.2800000000000004E-2</v>
      </c>
      <c r="E189" s="142">
        <v>1.0020000000000001E-3</v>
      </c>
      <c r="F189" s="142">
        <v>998.12</v>
      </c>
      <c r="G189" s="142">
        <v>0</v>
      </c>
      <c r="H189" s="142">
        <v>20</v>
      </c>
      <c r="I189" s="142" t="s">
        <v>12</v>
      </c>
      <c r="J189" s="142">
        <v>1.1879999999999999</v>
      </c>
      <c r="K189" s="142">
        <v>4.0599999999999996</v>
      </c>
    </row>
    <row r="190" spans="1:11">
      <c r="A190" s="239" t="s">
        <v>140</v>
      </c>
      <c r="B190" s="142">
        <v>50</v>
      </c>
      <c r="C190" s="243">
        <v>2</v>
      </c>
      <c r="D190" s="142">
        <v>7.2800000000000004E-2</v>
      </c>
      <c r="E190" s="142">
        <v>1.0020000000000001E-3</v>
      </c>
      <c r="F190" s="142">
        <v>998.12</v>
      </c>
      <c r="G190" s="142">
        <v>0</v>
      </c>
      <c r="H190" s="142">
        <v>20</v>
      </c>
      <c r="I190" s="142" t="s">
        <v>12</v>
      </c>
      <c r="J190" s="142">
        <v>1.1879999999999999</v>
      </c>
      <c r="K190" s="142">
        <v>5.1100000000000003</v>
      </c>
    </row>
    <row r="191" spans="1:11">
      <c r="A191" s="239" t="s">
        <v>140</v>
      </c>
      <c r="B191" s="142">
        <v>100</v>
      </c>
      <c r="C191" s="243">
        <v>2</v>
      </c>
      <c r="D191" s="142">
        <v>7.2800000000000004E-2</v>
      </c>
      <c r="E191" s="142">
        <v>1.0020000000000001E-3</v>
      </c>
      <c r="F191" s="142">
        <v>998.12</v>
      </c>
      <c r="G191" s="142">
        <v>0</v>
      </c>
      <c r="H191" s="142">
        <v>20</v>
      </c>
      <c r="I191" s="142" t="s">
        <v>12</v>
      </c>
      <c r="J191" s="142">
        <v>1.1879999999999999</v>
      </c>
      <c r="K191" s="142">
        <v>5.98</v>
      </c>
    </row>
    <row r="192" spans="1:11">
      <c r="A192" s="239" t="s">
        <v>140</v>
      </c>
      <c r="B192" s="142">
        <v>150</v>
      </c>
      <c r="C192" s="243">
        <v>2</v>
      </c>
      <c r="D192" s="142">
        <v>7.2800000000000004E-2</v>
      </c>
      <c r="E192" s="142">
        <v>1.0020000000000001E-3</v>
      </c>
      <c r="F192" s="142">
        <v>998.12</v>
      </c>
      <c r="G192" s="142">
        <v>0</v>
      </c>
      <c r="H192" s="142">
        <v>20</v>
      </c>
      <c r="I192" s="142" t="s">
        <v>12</v>
      </c>
      <c r="J192" s="142">
        <v>1.1879999999999999</v>
      </c>
      <c r="K192" s="142">
        <v>6.6</v>
      </c>
    </row>
    <row r="193" spans="1:11">
      <c r="A193" s="239" t="s">
        <v>140</v>
      </c>
      <c r="B193" s="142">
        <v>200</v>
      </c>
      <c r="C193" s="243">
        <v>2</v>
      </c>
      <c r="D193" s="142">
        <v>7.2800000000000004E-2</v>
      </c>
      <c r="E193" s="142">
        <v>1.0020000000000001E-3</v>
      </c>
      <c r="F193" s="142">
        <v>998.12</v>
      </c>
      <c r="G193" s="142">
        <v>0</v>
      </c>
      <c r="H193" s="142">
        <v>20</v>
      </c>
      <c r="I193" s="142" t="s">
        <v>12</v>
      </c>
      <c r="J193" s="142">
        <v>1.1879999999999999</v>
      </c>
      <c r="K193" s="142">
        <v>7.11</v>
      </c>
    </row>
    <row r="194" spans="1:11">
      <c r="A194" s="239" t="s">
        <v>140</v>
      </c>
      <c r="B194" s="142">
        <v>250</v>
      </c>
      <c r="C194" s="243">
        <v>2</v>
      </c>
      <c r="D194" s="142">
        <v>7.2800000000000004E-2</v>
      </c>
      <c r="E194" s="142">
        <v>1.0020000000000001E-3</v>
      </c>
      <c r="F194" s="142">
        <v>998.12</v>
      </c>
      <c r="G194" s="142">
        <v>0</v>
      </c>
      <c r="H194" s="142">
        <v>20</v>
      </c>
      <c r="I194" s="142" t="s">
        <v>12</v>
      </c>
      <c r="J194" s="142">
        <v>1.1879999999999999</v>
      </c>
      <c r="K194" s="142">
        <v>7.55</v>
      </c>
    </row>
    <row r="195" spans="1:11">
      <c r="A195" s="239" t="s">
        <v>140</v>
      </c>
      <c r="B195" s="142">
        <v>1</v>
      </c>
      <c r="C195" s="243">
        <v>3</v>
      </c>
      <c r="D195" s="142">
        <v>7.2800000000000004E-2</v>
      </c>
      <c r="E195" s="142">
        <v>1.0020000000000001E-3</v>
      </c>
      <c r="F195" s="142">
        <v>998.12</v>
      </c>
      <c r="G195" s="142">
        <v>0</v>
      </c>
      <c r="H195" s="142">
        <v>20</v>
      </c>
      <c r="I195" s="142" t="s">
        <v>12</v>
      </c>
      <c r="J195" s="142">
        <v>1.1879999999999999</v>
      </c>
      <c r="K195" s="142">
        <v>4.5999999999999996</v>
      </c>
    </row>
    <row r="196" spans="1:11">
      <c r="A196" s="239" t="s">
        <v>140</v>
      </c>
      <c r="B196" s="142">
        <v>10</v>
      </c>
      <c r="C196" s="243">
        <v>3</v>
      </c>
      <c r="D196" s="142">
        <v>7.2800000000000004E-2</v>
      </c>
      <c r="E196" s="142">
        <v>1.0020000000000001E-3</v>
      </c>
      <c r="F196" s="142">
        <v>998.12</v>
      </c>
      <c r="G196" s="142">
        <v>0</v>
      </c>
      <c r="H196" s="142">
        <v>20</v>
      </c>
      <c r="I196" s="142" t="s">
        <v>12</v>
      </c>
      <c r="J196" s="142">
        <v>1.1879999999999999</v>
      </c>
      <c r="K196" s="142">
        <v>4.5999999999999996</v>
      </c>
    </row>
    <row r="197" spans="1:11">
      <c r="A197" s="239" t="s">
        <v>140</v>
      </c>
      <c r="B197" s="142">
        <v>100</v>
      </c>
      <c r="C197" s="243">
        <v>3</v>
      </c>
      <c r="D197" s="142">
        <v>7.2800000000000004E-2</v>
      </c>
      <c r="E197" s="142">
        <v>1.0020000000000001E-3</v>
      </c>
      <c r="F197" s="142">
        <v>998.12</v>
      </c>
      <c r="G197" s="142">
        <v>0</v>
      </c>
      <c r="H197" s="142">
        <v>20</v>
      </c>
      <c r="I197" s="142" t="s">
        <v>12</v>
      </c>
      <c r="J197" s="142">
        <v>1.1879999999999999</v>
      </c>
      <c r="K197" s="142">
        <v>6.76</v>
      </c>
    </row>
    <row r="198" spans="1:11">
      <c r="A198" s="239" t="s">
        <v>140</v>
      </c>
      <c r="B198" s="142">
        <v>150</v>
      </c>
      <c r="C198" s="243">
        <v>3</v>
      </c>
      <c r="D198" s="142">
        <v>7.2800000000000004E-2</v>
      </c>
      <c r="E198" s="142">
        <v>1.0020000000000001E-3</v>
      </c>
      <c r="F198" s="142">
        <v>998.12</v>
      </c>
      <c r="G198" s="142">
        <v>0</v>
      </c>
      <c r="H198" s="142">
        <v>20</v>
      </c>
      <c r="I198" s="142" t="s">
        <v>12</v>
      </c>
      <c r="J198" s="142">
        <v>1.1879999999999999</v>
      </c>
      <c r="K198" s="142">
        <v>7.48</v>
      </c>
    </row>
    <row r="199" spans="1:11">
      <c r="A199" s="239" t="s">
        <v>140</v>
      </c>
      <c r="B199" s="142">
        <v>200</v>
      </c>
      <c r="C199" s="243">
        <v>3</v>
      </c>
      <c r="D199" s="142">
        <v>7.2800000000000004E-2</v>
      </c>
      <c r="E199" s="142">
        <v>1.0020000000000001E-3</v>
      </c>
      <c r="F199" s="142">
        <v>998.12</v>
      </c>
      <c r="G199" s="142">
        <v>0</v>
      </c>
      <c r="H199" s="142">
        <v>20</v>
      </c>
      <c r="I199" s="142" t="s">
        <v>12</v>
      </c>
      <c r="J199" s="142">
        <v>1.1879999999999999</v>
      </c>
      <c r="K199" s="142">
        <v>8.0500000000000007</v>
      </c>
    </row>
    <row r="200" spans="1:11">
      <c r="A200" s="239" t="s">
        <v>140</v>
      </c>
      <c r="B200" s="142">
        <v>250</v>
      </c>
      <c r="C200" s="243">
        <v>3</v>
      </c>
      <c r="D200" s="142">
        <v>7.2800000000000004E-2</v>
      </c>
      <c r="E200" s="142">
        <v>1.0020000000000001E-3</v>
      </c>
      <c r="F200" s="142">
        <v>998.12</v>
      </c>
      <c r="G200" s="142">
        <v>0</v>
      </c>
      <c r="H200" s="142">
        <v>20</v>
      </c>
      <c r="I200" s="142" t="s">
        <v>12</v>
      </c>
      <c r="J200" s="142">
        <v>1.1879999999999999</v>
      </c>
      <c r="K200" s="142">
        <v>8.68</v>
      </c>
    </row>
    <row r="201" spans="1:11">
      <c r="A201" s="239" t="s">
        <v>140</v>
      </c>
      <c r="B201" s="142">
        <v>300</v>
      </c>
      <c r="C201" s="243">
        <v>3</v>
      </c>
      <c r="D201" s="142">
        <v>7.2800000000000004E-2</v>
      </c>
      <c r="E201" s="142">
        <v>1.0020000000000001E-3</v>
      </c>
      <c r="F201" s="142">
        <v>998.12</v>
      </c>
      <c r="G201" s="142">
        <v>0</v>
      </c>
      <c r="H201" s="142">
        <v>20</v>
      </c>
      <c r="I201" s="142" t="s">
        <v>12</v>
      </c>
      <c r="J201" s="142">
        <v>1.1879999999999999</v>
      </c>
      <c r="K201" s="142">
        <v>9.2200000000000006</v>
      </c>
    </row>
    <row r="202" spans="1:11">
      <c r="A202" s="239" t="s">
        <v>41</v>
      </c>
      <c r="B202" s="142">
        <v>178.7</v>
      </c>
      <c r="C202" s="243">
        <v>2</v>
      </c>
      <c r="D202" s="142">
        <v>6.9000000000000006E-2</v>
      </c>
      <c r="E202" s="142">
        <v>7.0000000000000001E-3</v>
      </c>
      <c r="F202" s="142">
        <v>1126</v>
      </c>
      <c r="G202" s="142">
        <v>0</v>
      </c>
      <c r="H202" s="142">
        <v>22</v>
      </c>
      <c r="I202" s="239" t="s">
        <v>12</v>
      </c>
      <c r="J202" s="142">
        <v>1.2</v>
      </c>
      <c r="K202" s="142">
        <v>6.07</v>
      </c>
    </row>
    <row r="203" spans="1:11">
      <c r="A203" s="239" t="s">
        <v>41</v>
      </c>
      <c r="B203" s="142">
        <v>346.62</v>
      </c>
      <c r="C203" s="243">
        <v>2</v>
      </c>
      <c r="D203" s="142">
        <v>6.9000000000000006E-2</v>
      </c>
      <c r="E203" s="142">
        <v>7.0000000000000001E-3</v>
      </c>
      <c r="F203" s="142">
        <v>1126</v>
      </c>
      <c r="G203" s="142">
        <v>0</v>
      </c>
      <c r="H203" s="142">
        <v>22</v>
      </c>
      <c r="I203" s="239" t="s">
        <v>12</v>
      </c>
      <c r="J203" s="142">
        <v>1.2</v>
      </c>
      <c r="K203" s="142">
        <v>7.14</v>
      </c>
    </row>
    <row r="204" spans="1:11">
      <c r="A204" s="239" t="s">
        <v>41</v>
      </c>
      <c r="B204" s="142">
        <v>415.44</v>
      </c>
      <c r="C204" s="243">
        <v>2</v>
      </c>
      <c r="D204" s="142">
        <v>6.9000000000000006E-2</v>
      </c>
      <c r="E204" s="142">
        <v>7.0000000000000001E-3</v>
      </c>
      <c r="F204" s="142">
        <v>1126</v>
      </c>
      <c r="G204" s="142">
        <v>0</v>
      </c>
      <c r="H204" s="142">
        <v>22</v>
      </c>
      <c r="I204" s="239" t="s">
        <v>12</v>
      </c>
      <c r="J204" s="142">
        <v>1.2</v>
      </c>
      <c r="K204" s="142">
        <v>7.44</v>
      </c>
    </row>
    <row r="205" spans="1:11">
      <c r="A205" s="239" t="s">
        <v>41</v>
      </c>
      <c r="B205" s="142">
        <v>542.41</v>
      </c>
      <c r="C205" s="243">
        <v>2</v>
      </c>
      <c r="D205" s="142">
        <v>6.9000000000000006E-2</v>
      </c>
      <c r="E205" s="142">
        <v>7.0000000000000001E-3</v>
      </c>
      <c r="F205" s="142">
        <v>1126</v>
      </c>
      <c r="G205" s="142">
        <v>0</v>
      </c>
      <c r="H205" s="142">
        <v>22</v>
      </c>
      <c r="I205" s="239" t="s">
        <v>12</v>
      </c>
      <c r="J205" s="142">
        <v>1.2</v>
      </c>
      <c r="K205" s="142">
        <v>7.83</v>
      </c>
    </row>
    <row r="206" spans="1:11">
      <c r="A206" s="239" t="s">
        <v>41</v>
      </c>
      <c r="B206" s="142">
        <v>1035.75</v>
      </c>
      <c r="C206" s="243">
        <v>2</v>
      </c>
      <c r="D206" s="142">
        <v>6.9000000000000006E-2</v>
      </c>
      <c r="E206" s="142">
        <v>7.0000000000000001E-3</v>
      </c>
      <c r="F206" s="142">
        <v>1126</v>
      </c>
      <c r="G206" s="142">
        <v>0</v>
      </c>
      <c r="H206" s="142">
        <v>22</v>
      </c>
      <c r="I206" s="239" t="s">
        <v>12</v>
      </c>
      <c r="J206" s="142">
        <v>1.2</v>
      </c>
      <c r="K206" s="142">
        <v>9.33</v>
      </c>
    </row>
    <row r="207" spans="1:11">
      <c r="A207" s="239" t="s">
        <v>41</v>
      </c>
      <c r="B207" s="142">
        <v>1510.23</v>
      </c>
      <c r="C207" s="243">
        <v>2</v>
      </c>
      <c r="D207" s="142">
        <v>6.9000000000000006E-2</v>
      </c>
      <c r="E207" s="142">
        <v>7.0000000000000001E-3</v>
      </c>
      <c r="F207" s="142">
        <v>1126</v>
      </c>
      <c r="G207" s="142">
        <v>0</v>
      </c>
      <c r="H207" s="142">
        <v>22</v>
      </c>
      <c r="I207" s="239" t="s">
        <v>12</v>
      </c>
      <c r="J207" s="142">
        <v>1.2</v>
      </c>
      <c r="K207" s="142">
        <v>10.43</v>
      </c>
    </row>
    <row r="208" spans="1:11">
      <c r="A208" s="239" t="s">
        <v>41</v>
      </c>
      <c r="B208" s="142">
        <v>1667.07</v>
      </c>
      <c r="C208" s="243">
        <v>2</v>
      </c>
      <c r="D208" s="142">
        <v>6.9000000000000006E-2</v>
      </c>
      <c r="E208" s="142">
        <v>7.0000000000000001E-3</v>
      </c>
      <c r="F208" s="142">
        <v>1126</v>
      </c>
      <c r="G208" s="142">
        <v>0</v>
      </c>
      <c r="H208" s="142">
        <v>22</v>
      </c>
      <c r="I208" s="239" t="s">
        <v>12</v>
      </c>
      <c r="J208" s="142">
        <v>1.2</v>
      </c>
      <c r="K208" s="142">
        <v>10.94</v>
      </c>
    </row>
    <row r="209" spans="1:11">
      <c r="A209" s="239" t="s">
        <v>41</v>
      </c>
      <c r="B209" s="142">
        <v>2342.94</v>
      </c>
      <c r="C209" s="243">
        <v>2</v>
      </c>
      <c r="D209" s="142">
        <v>6.9000000000000006E-2</v>
      </c>
      <c r="E209" s="142">
        <v>7.0000000000000001E-3</v>
      </c>
      <c r="F209" s="142">
        <v>1126</v>
      </c>
      <c r="G209" s="142">
        <v>0</v>
      </c>
      <c r="H209" s="142">
        <v>22</v>
      </c>
      <c r="I209" s="239" t="s">
        <v>12</v>
      </c>
      <c r="J209" s="142">
        <v>1.2</v>
      </c>
      <c r="K209" s="142">
        <v>11.78</v>
      </c>
    </row>
    <row r="210" spans="1:11">
      <c r="A210" s="239" t="s">
        <v>41</v>
      </c>
      <c r="B210" s="142">
        <v>3041.96</v>
      </c>
      <c r="C210" s="243">
        <v>2</v>
      </c>
      <c r="D210" s="142">
        <v>6.9000000000000006E-2</v>
      </c>
      <c r="E210" s="142">
        <v>7.0000000000000001E-3</v>
      </c>
      <c r="F210" s="142">
        <v>1126</v>
      </c>
      <c r="G210" s="142">
        <v>0</v>
      </c>
      <c r="H210" s="142">
        <v>22</v>
      </c>
      <c r="I210" s="239" t="s">
        <v>12</v>
      </c>
      <c r="J210" s="142">
        <v>1.2</v>
      </c>
      <c r="K210" s="142">
        <v>12.72</v>
      </c>
    </row>
    <row r="211" spans="1:11">
      <c r="A211" s="239" t="s">
        <v>41</v>
      </c>
      <c r="B211" s="142">
        <v>3269.62</v>
      </c>
      <c r="C211" s="243">
        <v>2</v>
      </c>
      <c r="D211" s="142">
        <v>6.9000000000000006E-2</v>
      </c>
      <c r="E211" s="142">
        <v>7.0000000000000001E-3</v>
      </c>
      <c r="F211" s="142">
        <v>1126</v>
      </c>
      <c r="G211" s="142">
        <v>0</v>
      </c>
      <c r="H211" s="142">
        <v>22</v>
      </c>
      <c r="I211" s="239" t="s">
        <v>12</v>
      </c>
      <c r="J211" s="142">
        <v>1.2</v>
      </c>
      <c r="K211" s="142">
        <v>13.59</v>
      </c>
    </row>
    <row r="212" spans="1:11">
      <c r="A212" s="239" t="s">
        <v>41</v>
      </c>
      <c r="B212" s="142">
        <v>3570.05</v>
      </c>
      <c r="C212" s="243">
        <v>2</v>
      </c>
      <c r="D212" s="142">
        <v>6.9000000000000006E-2</v>
      </c>
      <c r="E212" s="142">
        <v>7.0000000000000001E-3</v>
      </c>
      <c r="F212" s="142">
        <v>1126</v>
      </c>
      <c r="G212" s="142">
        <v>0</v>
      </c>
      <c r="H212" s="142">
        <v>22</v>
      </c>
      <c r="I212" s="239" t="s">
        <v>12</v>
      </c>
      <c r="J212" s="142">
        <v>1.2</v>
      </c>
      <c r="K212" s="142">
        <v>13.59</v>
      </c>
    </row>
    <row r="213" spans="1:11">
      <c r="A213" s="239" t="s">
        <v>41</v>
      </c>
      <c r="B213" s="142">
        <v>3824.17</v>
      </c>
      <c r="C213" s="243">
        <v>2</v>
      </c>
      <c r="D213" s="142">
        <v>6.9000000000000006E-2</v>
      </c>
      <c r="E213" s="142">
        <v>7.0000000000000001E-3</v>
      </c>
      <c r="F213" s="142">
        <v>1126</v>
      </c>
      <c r="G213" s="142">
        <v>0</v>
      </c>
      <c r="H213" s="142">
        <v>22</v>
      </c>
      <c r="I213" s="239" t="s">
        <v>12</v>
      </c>
      <c r="J213" s="142">
        <v>1.2</v>
      </c>
      <c r="K213" s="142">
        <v>13.7</v>
      </c>
    </row>
    <row r="214" spans="1:11">
      <c r="A214" s="239" t="s">
        <v>41</v>
      </c>
      <c r="B214" s="142">
        <v>4167.38</v>
      </c>
      <c r="C214" s="243">
        <v>2</v>
      </c>
      <c r="D214" s="142">
        <v>6.9000000000000006E-2</v>
      </c>
      <c r="E214" s="142">
        <v>7.0000000000000001E-3</v>
      </c>
      <c r="F214" s="142">
        <v>1126</v>
      </c>
      <c r="G214" s="142">
        <v>0</v>
      </c>
      <c r="H214" s="142">
        <v>22</v>
      </c>
      <c r="I214" s="239" t="s">
        <v>12</v>
      </c>
      <c r="J214" s="142">
        <v>1.2</v>
      </c>
      <c r="K214" s="142">
        <v>13.74</v>
      </c>
    </row>
    <row r="215" spans="1:11">
      <c r="A215" s="239" t="s">
        <v>41</v>
      </c>
      <c r="B215" s="142">
        <v>4330.59</v>
      </c>
      <c r="C215" s="243">
        <v>2</v>
      </c>
      <c r="D215" s="142">
        <v>6.9000000000000006E-2</v>
      </c>
      <c r="E215" s="142">
        <v>7.0000000000000001E-3</v>
      </c>
      <c r="F215" s="142">
        <v>1126</v>
      </c>
      <c r="G215" s="142">
        <v>0</v>
      </c>
      <c r="H215" s="142">
        <v>22</v>
      </c>
      <c r="I215" s="239" t="s">
        <v>12</v>
      </c>
      <c r="J215" s="142">
        <v>1.2</v>
      </c>
      <c r="K215" s="142">
        <v>14.59</v>
      </c>
    </row>
    <row r="216" spans="1:11">
      <c r="A216" s="239" t="s">
        <v>41</v>
      </c>
      <c r="B216" s="142">
        <v>4729.71</v>
      </c>
      <c r="C216" s="243">
        <v>2</v>
      </c>
      <c r="D216" s="142">
        <v>6.9000000000000006E-2</v>
      </c>
      <c r="E216" s="142">
        <v>7.0000000000000001E-3</v>
      </c>
      <c r="F216" s="142">
        <v>1126</v>
      </c>
      <c r="G216" s="142">
        <v>0</v>
      </c>
      <c r="H216" s="142">
        <v>22</v>
      </c>
      <c r="I216" s="239" t="s">
        <v>12</v>
      </c>
      <c r="J216" s="142">
        <v>1.2</v>
      </c>
      <c r="K216" s="142">
        <v>14.61</v>
      </c>
    </row>
    <row r="217" spans="1:11">
      <c r="A217" s="239" t="s">
        <v>41</v>
      </c>
      <c r="B217" s="142">
        <v>4981</v>
      </c>
      <c r="C217" s="243">
        <v>2</v>
      </c>
      <c r="D217" s="142">
        <v>6.9000000000000006E-2</v>
      </c>
      <c r="E217" s="142">
        <v>7.0000000000000001E-3</v>
      </c>
      <c r="F217" s="142">
        <v>1126</v>
      </c>
      <c r="G217" s="142">
        <v>0</v>
      </c>
      <c r="H217" s="142">
        <v>22</v>
      </c>
      <c r="I217" s="239" t="s">
        <v>12</v>
      </c>
      <c r="J217" s="142">
        <v>1.2</v>
      </c>
      <c r="K217" s="142">
        <v>15.96</v>
      </c>
    </row>
    <row r="218" spans="1:11">
      <c r="A218" s="239" t="s">
        <v>41</v>
      </c>
      <c r="B218" s="142">
        <v>6075.96</v>
      </c>
      <c r="C218" s="243">
        <v>2</v>
      </c>
      <c r="D218" s="142">
        <v>6.9000000000000006E-2</v>
      </c>
      <c r="E218" s="142">
        <v>7.0000000000000001E-3</v>
      </c>
      <c r="F218" s="142">
        <v>1126</v>
      </c>
      <c r="G218" s="142">
        <v>0</v>
      </c>
      <c r="H218" s="142">
        <v>22</v>
      </c>
      <c r="I218" s="239" t="s">
        <v>12</v>
      </c>
      <c r="J218" s="142">
        <v>1.2</v>
      </c>
      <c r="K218" s="142">
        <v>13.9</v>
      </c>
    </row>
    <row r="219" spans="1:11">
      <c r="A219" s="239" t="s">
        <v>41</v>
      </c>
      <c r="B219" s="142">
        <v>175.05</v>
      </c>
      <c r="C219" s="243">
        <v>7</v>
      </c>
      <c r="D219" s="142">
        <v>7.1999999999999995E-2</v>
      </c>
      <c r="E219" s="142">
        <v>1E-3</v>
      </c>
      <c r="F219" s="142">
        <v>1000</v>
      </c>
      <c r="G219" s="142">
        <v>0</v>
      </c>
      <c r="H219" s="142">
        <v>22</v>
      </c>
      <c r="I219" s="239" t="s">
        <v>12</v>
      </c>
      <c r="J219" s="142">
        <v>1.2</v>
      </c>
      <c r="K219" s="142">
        <v>9.6199999999999992</v>
      </c>
    </row>
    <row r="220" spans="1:11">
      <c r="A220" s="239" t="s">
        <v>41</v>
      </c>
      <c r="B220" s="142">
        <v>331.42</v>
      </c>
      <c r="C220" s="243">
        <v>7</v>
      </c>
      <c r="D220" s="142">
        <v>7.1999999999999995E-2</v>
      </c>
      <c r="E220" s="142">
        <v>1E-3</v>
      </c>
      <c r="F220" s="142">
        <v>1000</v>
      </c>
      <c r="G220" s="142">
        <v>0</v>
      </c>
      <c r="H220" s="142">
        <v>22</v>
      </c>
      <c r="I220" s="239" t="s">
        <v>12</v>
      </c>
      <c r="J220" s="142">
        <v>1.2</v>
      </c>
      <c r="K220" s="142">
        <v>9.74</v>
      </c>
    </row>
    <row r="221" spans="1:11">
      <c r="A221" s="239" t="s">
        <v>41</v>
      </c>
      <c r="B221" s="142">
        <v>534.58000000000004</v>
      </c>
      <c r="C221" s="243">
        <v>7</v>
      </c>
      <c r="D221" s="142">
        <v>7.1999999999999995E-2</v>
      </c>
      <c r="E221" s="142">
        <v>1E-3</v>
      </c>
      <c r="F221" s="142">
        <v>1000</v>
      </c>
      <c r="G221" s="142">
        <v>0</v>
      </c>
      <c r="H221" s="142">
        <v>22</v>
      </c>
      <c r="I221" s="239" t="s">
        <v>12</v>
      </c>
      <c r="J221" s="142">
        <v>1.2</v>
      </c>
      <c r="K221" s="142">
        <v>10.38</v>
      </c>
    </row>
    <row r="222" spans="1:11">
      <c r="A222" s="239" t="s">
        <v>41</v>
      </c>
      <c r="B222" s="142">
        <v>794.77</v>
      </c>
      <c r="C222" s="243">
        <v>7</v>
      </c>
      <c r="D222" s="142">
        <v>7.1999999999999995E-2</v>
      </c>
      <c r="E222" s="142">
        <v>1E-3</v>
      </c>
      <c r="F222" s="142">
        <v>1000</v>
      </c>
      <c r="G222" s="142">
        <v>0</v>
      </c>
      <c r="H222" s="142">
        <v>22</v>
      </c>
      <c r="I222" s="239" t="s">
        <v>12</v>
      </c>
      <c r="J222" s="142">
        <v>1.2</v>
      </c>
      <c r="K222" s="142">
        <v>11.12</v>
      </c>
    </row>
    <row r="223" spans="1:11">
      <c r="A223" s="239" t="s">
        <v>41</v>
      </c>
      <c r="B223" s="142">
        <v>984.9</v>
      </c>
      <c r="C223" s="243">
        <v>7</v>
      </c>
      <c r="D223" s="142">
        <v>7.1999999999999995E-2</v>
      </c>
      <c r="E223" s="142">
        <v>1E-3</v>
      </c>
      <c r="F223" s="142">
        <v>1000</v>
      </c>
      <c r="G223" s="142">
        <v>0</v>
      </c>
      <c r="H223" s="142">
        <v>22</v>
      </c>
      <c r="I223" s="239" t="s">
        <v>12</v>
      </c>
      <c r="J223" s="142">
        <v>1.2</v>
      </c>
      <c r="K223" s="142">
        <v>12.46</v>
      </c>
    </row>
    <row r="224" spans="1:11">
      <c r="A224" s="239" t="s">
        <v>41</v>
      </c>
      <c r="B224" s="142">
        <v>1192</v>
      </c>
      <c r="C224" s="243">
        <v>7</v>
      </c>
      <c r="D224" s="142">
        <v>7.1999999999999995E-2</v>
      </c>
      <c r="E224" s="142">
        <v>1E-3</v>
      </c>
      <c r="F224" s="142">
        <v>1000</v>
      </c>
      <c r="G224" s="142">
        <v>0</v>
      </c>
      <c r="H224" s="142">
        <v>22</v>
      </c>
      <c r="I224" s="239" t="s">
        <v>12</v>
      </c>
      <c r="J224" s="142">
        <v>1.2</v>
      </c>
      <c r="K224" s="142">
        <v>12.73</v>
      </c>
    </row>
    <row r="225" spans="1:11">
      <c r="A225" s="239" t="s">
        <v>41</v>
      </c>
      <c r="B225" s="142">
        <v>1415.84</v>
      </c>
      <c r="C225" s="243">
        <v>7</v>
      </c>
      <c r="D225" s="142">
        <v>7.1999999999999995E-2</v>
      </c>
      <c r="E225" s="142">
        <v>1E-3</v>
      </c>
      <c r="F225" s="142">
        <v>1000</v>
      </c>
      <c r="G225" s="142">
        <v>0</v>
      </c>
      <c r="H225" s="142">
        <v>22</v>
      </c>
      <c r="I225" s="239" t="s">
        <v>12</v>
      </c>
      <c r="J225" s="142">
        <v>1.2</v>
      </c>
      <c r="K225" s="142">
        <v>13.33</v>
      </c>
    </row>
    <row r="226" spans="1:11">
      <c r="A226" s="239" t="s">
        <v>41</v>
      </c>
      <c r="B226" s="142">
        <v>1727.17</v>
      </c>
      <c r="C226" s="243">
        <v>7</v>
      </c>
      <c r="D226" s="142">
        <v>7.1999999999999995E-2</v>
      </c>
      <c r="E226" s="142">
        <v>1E-3</v>
      </c>
      <c r="F226" s="142">
        <v>1000</v>
      </c>
      <c r="G226" s="142">
        <v>0</v>
      </c>
      <c r="H226" s="142">
        <v>22</v>
      </c>
      <c r="I226" s="239" t="s">
        <v>12</v>
      </c>
      <c r="J226" s="142">
        <v>1.2</v>
      </c>
      <c r="K226" s="142">
        <v>13.86</v>
      </c>
    </row>
    <row r="227" spans="1:11">
      <c r="A227" s="239" t="s">
        <v>41</v>
      </c>
      <c r="B227" s="142">
        <v>2493.3000000000002</v>
      </c>
      <c r="C227" s="243">
        <v>7</v>
      </c>
      <c r="D227" s="142">
        <v>7.1999999999999995E-2</v>
      </c>
      <c r="E227" s="142">
        <v>1E-3</v>
      </c>
      <c r="F227" s="142">
        <v>1000</v>
      </c>
      <c r="G227" s="142">
        <v>0</v>
      </c>
      <c r="H227" s="142">
        <v>22</v>
      </c>
      <c r="I227" s="239" t="s">
        <v>12</v>
      </c>
      <c r="J227" s="142">
        <v>1.2</v>
      </c>
      <c r="K227" s="142">
        <v>15.15</v>
      </c>
    </row>
    <row r="228" spans="1:11">
      <c r="A228" s="239" t="s">
        <v>41</v>
      </c>
      <c r="B228" s="142">
        <v>3437.6</v>
      </c>
      <c r="C228" s="243">
        <v>7</v>
      </c>
      <c r="D228" s="142">
        <v>7.1999999999999995E-2</v>
      </c>
      <c r="E228" s="142">
        <v>1E-3</v>
      </c>
      <c r="F228" s="142">
        <v>1000</v>
      </c>
      <c r="G228" s="142">
        <v>0</v>
      </c>
      <c r="H228" s="142">
        <v>22</v>
      </c>
      <c r="I228" s="239" t="s">
        <v>12</v>
      </c>
      <c r="J228" s="142">
        <v>1.2</v>
      </c>
      <c r="K228" s="142">
        <v>16.600000000000001</v>
      </c>
    </row>
    <row r="229" spans="1:11">
      <c r="A229" s="239" t="s">
        <v>41</v>
      </c>
      <c r="B229" s="142">
        <v>4395.6400000000003</v>
      </c>
      <c r="C229" s="243">
        <v>7</v>
      </c>
      <c r="D229" s="142">
        <v>7.1999999999999995E-2</v>
      </c>
      <c r="E229" s="142">
        <v>1E-3</v>
      </c>
      <c r="F229" s="142">
        <v>1000</v>
      </c>
      <c r="G229" s="142">
        <v>0</v>
      </c>
      <c r="H229" s="142">
        <v>22</v>
      </c>
      <c r="I229" s="239" t="s">
        <v>12</v>
      </c>
      <c r="J229" s="142">
        <v>1.2</v>
      </c>
      <c r="K229" s="142">
        <v>17.52</v>
      </c>
    </row>
    <row r="230" spans="1:11">
      <c r="A230" s="239" t="s">
        <v>41</v>
      </c>
      <c r="B230" s="142">
        <v>5027.67</v>
      </c>
      <c r="C230" s="243">
        <v>7</v>
      </c>
      <c r="D230" s="142">
        <v>7.1999999999999995E-2</v>
      </c>
      <c r="E230" s="142">
        <v>1E-3</v>
      </c>
      <c r="F230" s="142">
        <v>1000</v>
      </c>
      <c r="G230" s="142">
        <v>0</v>
      </c>
      <c r="H230" s="142">
        <v>22</v>
      </c>
      <c r="I230" s="239" t="s">
        <v>12</v>
      </c>
      <c r="J230" s="142">
        <v>1.2</v>
      </c>
      <c r="K230" s="142">
        <v>18.43</v>
      </c>
    </row>
    <row r="231" spans="1:11">
      <c r="A231" s="239" t="s">
        <v>41</v>
      </c>
      <c r="B231" s="142">
        <v>5642.14</v>
      </c>
      <c r="C231" s="243">
        <v>7</v>
      </c>
      <c r="D231" s="142">
        <v>7.1999999999999995E-2</v>
      </c>
      <c r="E231" s="142">
        <v>1E-3</v>
      </c>
      <c r="F231" s="142">
        <v>1000</v>
      </c>
      <c r="G231" s="142">
        <v>0</v>
      </c>
      <c r="H231" s="142">
        <v>22</v>
      </c>
      <c r="I231" s="239" t="s">
        <v>12</v>
      </c>
      <c r="J231" s="142">
        <v>1.2</v>
      </c>
      <c r="K231" s="142">
        <v>18.850000000000001</v>
      </c>
    </row>
    <row r="232" spans="1:11">
      <c r="A232" s="239" t="s">
        <v>41</v>
      </c>
      <c r="B232" s="142">
        <v>6148.9</v>
      </c>
      <c r="C232" s="243">
        <v>7</v>
      </c>
      <c r="D232" s="142">
        <v>7.1999999999999995E-2</v>
      </c>
      <c r="E232" s="142">
        <v>1E-3</v>
      </c>
      <c r="F232" s="142">
        <v>1000</v>
      </c>
      <c r="G232" s="142">
        <v>0</v>
      </c>
      <c r="H232" s="142">
        <v>22</v>
      </c>
      <c r="I232" s="239" t="s">
        <v>12</v>
      </c>
      <c r="J232" s="142">
        <v>1.2</v>
      </c>
      <c r="K232" s="142">
        <v>19.66</v>
      </c>
    </row>
    <row r="233" spans="1:11">
      <c r="A233" s="239" t="s">
        <v>41</v>
      </c>
      <c r="B233" s="142">
        <v>7183.01</v>
      </c>
      <c r="C233" s="243">
        <v>7</v>
      </c>
      <c r="D233" s="142">
        <v>7.1999999999999995E-2</v>
      </c>
      <c r="E233" s="142">
        <v>1E-3</v>
      </c>
      <c r="F233" s="142">
        <v>1000</v>
      </c>
      <c r="G233" s="142">
        <v>0</v>
      </c>
      <c r="H233" s="142">
        <v>22</v>
      </c>
      <c r="I233" s="239" t="s">
        <v>12</v>
      </c>
      <c r="J233" s="142">
        <v>1.2</v>
      </c>
      <c r="K233" s="142">
        <v>20.81</v>
      </c>
    </row>
    <row r="234" spans="1:11">
      <c r="A234" s="239" t="s">
        <v>41</v>
      </c>
      <c r="B234" s="142">
        <v>8108.75</v>
      </c>
      <c r="C234" s="243">
        <v>7</v>
      </c>
      <c r="D234" s="142">
        <v>7.1999999999999995E-2</v>
      </c>
      <c r="E234" s="142">
        <v>1E-3</v>
      </c>
      <c r="F234" s="142">
        <v>1000</v>
      </c>
      <c r="G234" s="142">
        <v>0</v>
      </c>
      <c r="H234" s="142">
        <v>22</v>
      </c>
      <c r="I234" s="239" t="s">
        <v>12</v>
      </c>
      <c r="J234" s="142">
        <v>1.2</v>
      </c>
      <c r="K234" s="142">
        <v>21.59</v>
      </c>
    </row>
    <row r="235" spans="1:11">
      <c r="A235" s="239" t="s">
        <v>41</v>
      </c>
      <c r="B235" s="142">
        <v>8808.24</v>
      </c>
      <c r="C235" s="243">
        <v>7</v>
      </c>
      <c r="D235" s="142">
        <v>7.1999999999999995E-2</v>
      </c>
      <c r="E235" s="142">
        <v>1E-3</v>
      </c>
      <c r="F235" s="142">
        <v>1000</v>
      </c>
      <c r="G235" s="142">
        <v>0</v>
      </c>
      <c r="H235" s="142">
        <v>22</v>
      </c>
      <c r="I235" s="239" t="s">
        <v>12</v>
      </c>
      <c r="J235" s="142">
        <v>1.2</v>
      </c>
      <c r="K235" s="142">
        <v>21.86</v>
      </c>
    </row>
    <row r="236" spans="1:11">
      <c r="A236" s="239" t="s">
        <v>41</v>
      </c>
      <c r="B236" s="142">
        <v>9486.76</v>
      </c>
      <c r="C236" s="243">
        <v>7</v>
      </c>
      <c r="D236" s="142">
        <v>7.1999999999999995E-2</v>
      </c>
      <c r="E236" s="142">
        <v>1E-3</v>
      </c>
      <c r="F236" s="142">
        <v>1000</v>
      </c>
      <c r="G236" s="142">
        <v>0</v>
      </c>
      <c r="H236" s="142">
        <v>22</v>
      </c>
      <c r="I236" s="239" t="s">
        <v>12</v>
      </c>
      <c r="J236" s="142">
        <v>1.2</v>
      </c>
      <c r="K236" s="142">
        <v>22.68</v>
      </c>
    </row>
    <row r="237" spans="1:11">
      <c r="A237" s="239" t="s">
        <v>41</v>
      </c>
      <c r="B237" s="142">
        <v>452.87</v>
      </c>
      <c r="C237" s="243">
        <v>5.9450000000000003</v>
      </c>
      <c r="D237" s="142">
        <v>7.7700000000000005E-2</v>
      </c>
      <c r="E237" s="142">
        <v>4.4900000000000002E-2</v>
      </c>
      <c r="F237" s="142">
        <v>1179</v>
      </c>
      <c r="G237" s="142">
        <v>0</v>
      </c>
      <c r="H237" s="142">
        <v>22</v>
      </c>
      <c r="I237" s="239" t="s">
        <v>12</v>
      </c>
      <c r="J237" s="142">
        <v>1.2</v>
      </c>
      <c r="K237" s="142">
        <v>9.07</v>
      </c>
    </row>
    <row r="238" spans="1:11">
      <c r="A238" s="239" t="s">
        <v>41</v>
      </c>
      <c r="B238" s="142">
        <v>501.48</v>
      </c>
      <c r="C238" s="243">
        <v>5.9450000000000003</v>
      </c>
      <c r="D238" s="142">
        <v>7.7700000000000005E-2</v>
      </c>
      <c r="E238" s="142">
        <v>4.4900000000000002E-2</v>
      </c>
      <c r="F238" s="142">
        <v>1179</v>
      </c>
      <c r="G238" s="142">
        <v>0</v>
      </c>
      <c r="H238" s="142">
        <v>22</v>
      </c>
      <c r="I238" s="239" t="s">
        <v>12</v>
      </c>
      <c r="J238" s="142">
        <v>1.2</v>
      </c>
      <c r="K238" s="142">
        <v>9.2899999999999991</v>
      </c>
    </row>
    <row r="239" spans="1:11">
      <c r="A239" s="239" t="s">
        <v>41</v>
      </c>
      <c r="B239" s="142">
        <v>573.39</v>
      </c>
      <c r="C239" s="243">
        <v>5.9450000000000003</v>
      </c>
      <c r="D239" s="142">
        <v>7.7700000000000005E-2</v>
      </c>
      <c r="E239" s="142">
        <v>4.4900000000000002E-2</v>
      </c>
      <c r="F239" s="142">
        <v>1179</v>
      </c>
      <c r="G239" s="142">
        <v>0</v>
      </c>
      <c r="H239" s="142">
        <v>22</v>
      </c>
      <c r="I239" s="239" t="s">
        <v>12</v>
      </c>
      <c r="J239" s="142">
        <v>1.2</v>
      </c>
      <c r="K239" s="142">
        <v>9.51</v>
      </c>
    </row>
    <row r="240" spans="1:11">
      <c r="A240" s="239" t="s">
        <v>41</v>
      </c>
      <c r="B240" s="142">
        <v>642</v>
      </c>
      <c r="C240" s="243">
        <v>5.9450000000000003</v>
      </c>
      <c r="D240" s="142">
        <v>7.7700000000000005E-2</v>
      </c>
      <c r="E240" s="142">
        <v>4.4900000000000002E-2</v>
      </c>
      <c r="F240" s="142">
        <v>1179</v>
      </c>
      <c r="G240" s="142">
        <v>0</v>
      </c>
      <c r="H240" s="142">
        <v>22</v>
      </c>
      <c r="I240" s="239" t="s">
        <v>12</v>
      </c>
      <c r="J240" s="142">
        <v>1.2</v>
      </c>
      <c r="K240" s="142">
        <v>9.8699999999999992</v>
      </c>
    </row>
    <row r="241" spans="1:11">
      <c r="A241" s="239" t="s">
        <v>41</v>
      </c>
      <c r="B241" s="142">
        <v>721.05</v>
      </c>
      <c r="C241" s="243">
        <v>5.9450000000000003</v>
      </c>
      <c r="D241" s="142">
        <v>7.7700000000000005E-2</v>
      </c>
      <c r="E241" s="142">
        <v>4.4900000000000002E-2</v>
      </c>
      <c r="F241" s="142">
        <v>1179</v>
      </c>
      <c r="G241" s="142">
        <v>0</v>
      </c>
      <c r="H241" s="142">
        <v>22</v>
      </c>
      <c r="I241" s="239" t="s">
        <v>12</v>
      </c>
      <c r="J241" s="142">
        <v>1.2</v>
      </c>
      <c r="K241" s="142">
        <v>10.039999999999999</v>
      </c>
    </row>
    <row r="242" spans="1:11">
      <c r="A242" s="239" t="s">
        <v>41</v>
      </c>
      <c r="B242" s="142">
        <v>780.24</v>
      </c>
      <c r="C242" s="243">
        <v>5.9450000000000003</v>
      </c>
      <c r="D242" s="142">
        <v>7.7700000000000005E-2</v>
      </c>
      <c r="E242" s="142">
        <v>4.4900000000000002E-2</v>
      </c>
      <c r="F242" s="142">
        <v>1179</v>
      </c>
      <c r="G242" s="142">
        <v>0</v>
      </c>
      <c r="H242" s="142">
        <v>22</v>
      </c>
      <c r="I242" s="239" t="s">
        <v>12</v>
      </c>
      <c r="J242" s="142">
        <v>1.2</v>
      </c>
      <c r="K242" s="142">
        <v>10.37</v>
      </c>
    </row>
    <row r="243" spans="1:11">
      <c r="A243" s="239" t="s">
        <v>41</v>
      </c>
      <c r="B243" s="142">
        <v>863.65</v>
      </c>
      <c r="C243" s="243">
        <v>5.9450000000000003</v>
      </c>
      <c r="D243" s="142">
        <v>7.7700000000000005E-2</v>
      </c>
      <c r="E243" s="142">
        <v>4.4900000000000002E-2</v>
      </c>
      <c r="F243" s="142">
        <v>1179</v>
      </c>
      <c r="G243" s="142">
        <v>0</v>
      </c>
      <c r="H243" s="142">
        <v>22</v>
      </c>
      <c r="I243" s="239" t="s">
        <v>12</v>
      </c>
      <c r="J243" s="142">
        <v>1.2</v>
      </c>
      <c r="K243" s="142">
        <v>10.69</v>
      </c>
    </row>
    <row r="244" spans="1:11">
      <c r="A244" s="239" t="s">
        <v>41</v>
      </c>
      <c r="B244" s="142">
        <v>1405.73</v>
      </c>
      <c r="C244" s="243">
        <v>5.9450000000000003</v>
      </c>
      <c r="D244" s="142">
        <v>7.7700000000000005E-2</v>
      </c>
      <c r="E244" s="142">
        <v>4.4900000000000002E-2</v>
      </c>
      <c r="F244" s="142">
        <v>1179</v>
      </c>
      <c r="G244" s="142">
        <v>0</v>
      </c>
      <c r="H244" s="142">
        <v>22</v>
      </c>
      <c r="I244" s="239" t="s">
        <v>12</v>
      </c>
      <c r="J244" s="142">
        <v>1.2</v>
      </c>
      <c r="K244" s="142">
        <v>12.33</v>
      </c>
    </row>
    <row r="245" spans="1:11">
      <c r="A245" s="239" t="s">
        <v>41</v>
      </c>
      <c r="B245" s="142">
        <v>1771.1</v>
      </c>
      <c r="C245" s="243">
        <v>5.9450000000000003</v>
      </c>
      <c r="D245" s="142">
        <v>7.7700000000000005E-2</v>
      </c>
      <c r="E245" s="142">
        <v>4.4900000000000002E-2</v>
      </c>
      <c r="F245" s="142">
        <v>1179</v>
      </c>
      <c r="G245" s="142">
        <v>0</v>
      </c>
      <c r="H245" s="142">
        <v>22</v>
      </c>
      <c r="I245" s="239" t="s">
        <v>12</v>
      </c>
      <c r="J245" s="142">
        <v>1.2</v>
      </c>
      <c r="K245" s="142">
        <v>13.25</v>
      </c>
    </row>
    <row r="246" spans="1:11">
      <c r="A246" s="239" t="s">
        <v>41</v>
      </c>
      <c r="B246" s="142">
        <v>2156.8200000000002</v>
      </c>
      <c r="C246" s="243">
        <v>5.9450000000000003</v>
      </c>
      <c r="D246" s="142">
        <v>7.7700000000000005E-2</v>
      </c>
      <c r="E246" s="142">
        <v>4.4900000000000002E-2</v>
      </c>
      <c r="F246" s="142">
        <v>1179</v>
      </c>
      <c r="G246" s="142">
        <v>0</v>
      </c>
      <c r="H246" s="142">
        <v>22</v>
      </c>
      <c r="I246" s="239" t="s">
        <v>12</v>
      </c>
      <c r="J246" s="142">
        <v>1.2</v>
      </c>
      <c r="K246" s="142">
        <v>14.12</v>
      </c>
    </row>
    <row r="247" spans="1:11">
      <c r="A247" s="239" t="s">
        <v>41</v>
      </c>
      <c r="B247" s="142">
        <v>2587.11</v>
      </c>
      <c r="C247" s="243">
        <v>5.9450000000000003</v>
      </c>
      <c r="D247" s="142">
        <v>7.7700000000000005E-2</v>
      </c>
      <c r="E247" s="142">
        <v>4.4900000000000002E-2</v>
      </c>
      <c r="F247" s="142">
        <v>1179</v>
      </c>
      <c r="G247" s="142">
        <v>0</v>
      </c>
      <c r="H247" s="142">
        <v>22</v>
      </c>
      <c r="I247" s="239" t="s">
        <v>12</v>
      </c>
      <c r="J247" s="142">
        <v>1.2</v>
      </c>
      <c r="K247" s="142">
        <v>14.91</v>
      </c>
    </row>
    <row r="248" spans="1:11">
      <c r="A248" s="239" t="s">
        <v>41</v>
      </c>
      <c r="B248" s="142">
        <v>2656.96</v>
      </c>
      <c r="C248" s="243">
        <v>5.9450000000000003</v>
      </c>
      <c r="D248" s="142">
        <v>7.7700000000000005E-2</v>
      </c>
      <c r="E248" s="142">
        <v>4.4900000000000002E-2</v>
      </c>
      <c r="F248" s="142">
        <v>1179</v>
      </c>
      <c r="G248" s="142">
        <v>0</v>
      </c>
      <c r="H248" s="142">
        <v>22</v>
      </c>
      <c r="I248" s="239" t="s">
        <v>12</v>
      </c>
      <c r="J248" s="142">
        <v>1.2</v>
      </c>
      <c r="K248" s="142">
        <v>11.39</v>
      </c>
    </row>
    <row r="249" spans="1:11">
      <c r="A249" s="239" t="s">
        <v>41</v>
      </c>
      <c r="B249" s="142">
        <v>3189.09</v>
      </c>
      <c r="C249" s="243">
        <v>5.9450000000000003</v>
      </c>
      <c r="D249" s="142">
        <v>7.7700000000000005E-2</v>
      </c>
      <c r="E249" s="142">
        <v>4.4900000000000002E-2</v>
      </c>
      <c r="F249" s="142">
        <v>1179</v>
      </c>
      <c r="G249" s="142">
        <v>0</v>
      </c>
      <c r="H249" s="142">
        <v>22</v>
      </c>
      <c r="I249" s="239" t="s">
        <v>12</v>
      </c>
      <c r="J249" s="142">
        <v>1.2</v>
      </c>
      <c r="K249" s="142">
        <v>15.88</v>
      </c>
    </row>
    <row r="250" spans="1:11">
      <c r="A250" s="239" t="s">
        <v>41</v>
      </c>
      <c r="B250" s="142">
        <v>3526.16</v>
      </c>
      <c r="C250" s="243">
        <v>5.9450000000000003</v>
      </c>
      <c r="D250" s="142">
        <v>7.7700000000000005E-2</v>
      </c>
      <c r="E250" s="142">
        <v>4.4900000000000002E-2</v>
      </c>
      <c r="F250" s="142">
        <v>1179</v>
      </c>
      <c r="G250" s="142">
        <v>0</v>
      </c>
      <c r="H250" s="142">
        <v>22</v>
      </c>
      <c r="I250" s="239" t="s">
        <v>12</v>
      </c>
      <c r="J250" s="142">
        <v>1.2</v>
      </c>
      <c r="K250" s="142">
        <v>16.73</v>
      </c>
    </row>
    <row r="251" spans="1:11">
      <c r="A251" s="239" t="s">
        <v>41</v>
      </c>
      <c r="B251" s="142">
        <v>539.65</v>
      </c>
      <c r="C251" s="243">
        <v>7.0419999999999998</v>
      </c>
      <c r="D251" s="142">
        <v>7.7700000000000005E-2</v>
      </c>
      <c r="E251" s="142">
        <v>4.4900000000000002E-2</v>
      </c>
      <c r="F251" s="142">
        <v>1179</v>
      </c>
      <c r="G251" s="142">
        <v>0</v>
      </c>
      <c r="H251" s="142">
        <v>22</v>
      </c>
      <c r="I251" s="239" t="s">
        <v>12</v>
      </c>
      <c r="J251" s="142">
        <v>1.2</v>
      </c>
      <c r="K251" s="142">
        <v>10</v>
      </c>
    </row>
    <row r="252" spans="1:11">
      <c r="A252" s="239" t="s">
        <v>41</v>
      </c>
      <c r="B252" s="142">
        <v>593.35</v>
      </c>
      <c r="C252" s="243">
        <v>7.0419999999999998</v>
      </c>
      <c r="D252" s="142">
        <v>7.7700000000000005E-2</v>
      </c>
      <c r="E252" s="142">
        <v>4.4900000000000002E-2</v>
      </c>
      <c r="F252" s="142">
        <v>1179</v>
      </c>
      <c r="G252" s="142">
        <v>0</v>
      </c>
      <c r="H252" s="142">
        <v>22</v>
      </c>
      <c r="I252" s="239" t="s">
        <v>12</v>
      </c>
      <c r="J252" s="142">
        <v>1.2</v>
      </c>
      <c r="K252" s="142">
        <v>10.23</v>
      </c>
    </row>
    <row r="253" spans="1:11">
      <c r="A253" s="239" t="s">
        <v>41</v>
      </c>
      <c r="B253" s="142">
        <v>661.53</v>
      </c>
      <c r="C253" s="243">
        <v>7.0419999999999998</v>
      </c>
      <c r="D253" s="142">
        <v>7.7700000000000005E-2</v>
      </c>
      <c r="E253" s="142">
        <v>4.4900000000000002E-2</v>
      </c>
      <c r="F253" s="142">
        <v>1179</v>
      </c>
      <c r="G253" s="142">
        <v>0</v>
      </c>
      <c r="H253" s="142">
        <v>22</v>
      </c>
      <c r="I253" s="239" t="s">
        <v>12</v>
      </c>
      <c r="J253" s="142">
        <v>1.2</v>
      </c>
      <c r="K253" s="142">
        <v>10.5</v>
      </c>
    </row>
    <row r="254" spans="1:11">
      <c r="A254" s="239" t="s">
        <v>41</v>
      </c>
      <c r="B254" s="142">
        <v>725.84</v>
      </c>
      <c r="C254" s="243">
        <v>7.0419999999999998</v>
      </c>
      <c r="D254" s="142">
        <v>7.7700000000000005E-2</v>
      </c>
      <c r="E254" s="142">
        <v>4.4900000000000002E-2</v>
      </c>
      <c r="F254" s="142">
        <v>1179</v>
      </c>
      <c r="G254" s="142">
        <v>0</v>
      </c>
      <c r="H254" s="142">
        <v>22</v>
      </c>
      <c r="I254" s="239" t="s">
        <v>12</v>
      </c>
      <c r="J254" s="142">
        <v>1.2</v>
      </c>
      <c r="K254" s="142">
        <v>10.84</v>
      </c>
    </row>
    <row r="255" spans="1:11">
      <c r="A255" s="239" t="s">
        <v>41</v>
      </c>
      <c r="B255" s="142">
        <v>852.48</v>
      </c>
      <c r="C255" s="243">
        <v>7.0419999999999998</v>
      </c>
      <c r="D255" s="142">
        <v>7.7700000000000005E-2</v>
      </c>
      <c r="E255" s="142">
        <v>4.4900000000000002E-2</v>
      </c>
      <c r="F255" s="142">
        <v>1179</v>
      </c>
      <c r="G255" s="142">
        <v>0</v>
      </c>
      <c r="H255" s="142">
        <v>22</v>
      </c>
      <c r="I255" s="239" t="s">
        <v>12</v>
      </c>
      <c r="J255" s="142">
        <v>1.2</v>
      </c>
      <c r="K255" s="142">
        <v>11.28</v>
      </c>
    </row>
    <row r="256" spans="1:11">
      <c r="A256" s="239" t="s">
        <v>41</v>
      </c>
      <c r="B256" s="142">
        <v>1166.96</v>
      </c>
      <c r="C256" s="243">
        <v>7.0419999999999998</v>
      </c>
      <c r="D256" s="142">
        <v>7.7700000000000005E-2</v>
      </c>
      <c r="E256" s="142">
        <v>4.4900000000000002E-2</v>
      </c>
      <c r="F256" s="142">
        <v>1179</v>
      </c>
      <c r="G256" s="142">
        <v>0</v>
      </c>
      <c r="H256" s="142">
        <v>22</v>
      </c>
      <c r="I256" s="239" t="s">
        <v>12</v>
      </c>
      <c r="J256" s="142">
        <v>1.2</v>
      </c>
      <c r="K256" s="142">
        <v>12.15</v>
      </c>
    </row>
    <row r="257" spans="1:11">
      <c r="A257" s="239" t="s">
        <v>41</v>
      </c>
      <c r="B257" s="142">
        <v>1657.02</v>
      </c>
      <c r="C257" s="243">
        <v>7.0419999999999998</v>
      </c>
      <c r="D257" s="142">
        <v>7.7700000000000005E-2</v>
      </c>
      <c r="E257" s="142">
        <v>4.4900000000000002E-2</v>
      </c>
      <c r="F257" s="142">
        <v>1179</v>
      </c>
      <c r="G257" s="142">
        <v>0</v>
      </c>
      <c r="H257" s="142">
        <v>22</v>
      </c>
      <c r="I257" s="239" t="s">
        <v>12</v>
      </c>
      <c r="J257" s="142">
        <v>1.2</v>
      </c>
      <c r="K257" s="142">
        <v>13.44</v>
      </c>
    </row>
    <row r="258" spans="1:11">
      <c r="A258" s="239" t="s">
        <v>41</v>
      </c>
      <c r="B258" s="142">
        <v>1976.08</v>
      </c>
      <c r="C258" s="243">
        <v>7.0419999999999998</v>
      </c>
      <c r="D258" s="142">
        <v>7.7700000000000005E-2</v>
      </c>
      <c r="E258" s="142">
        <v>4.4900000000000002E-2</v>
      </c>
      <c r="F258" s="142">
        <v>1179</v>
      </c>
      <c r="G258" s="142">
        <v>0</v>
      </c>
      <c r="H258" s="142">
        <v>22</v>
      </c>
      <c r="I258" s="239" t="s">
        <v>12</v>
      </c>
      <c r="J258" s="142">
        <v>1.2</v>
      </c>
      <c r="K258" s="142">
        <v>14.28</v>
      </c>
    </row>
    <row r="259" spans="1:11">
      <c r="A259" s="239" t="s">
        <v>41</v>
      </c>
      <c r="B259" s="142">
        <v>2439.9</v>
      </c>
      <c r="C259" s="243">
        <v>7.0419999999999998</v>
      </c>
      <c r="D259" s="142">
        <v>7.7700000000000005E-2</v>
      </c>
      <c r="E259" s="142">
        <v>4.4900000000000002E-2</v>
      </c>
      <c r="F259" s="142">
        <v>1179</v>
      </c>
      <c r="G259" s="142">
        <v>0</v>
      </c>
      <c r="H259" s="142">
        <v>22</v>
      </c>
      <c r="I259" s="239" t="s">
        <v>12</v>
      </c>
      <c r="J259" s="142">
        <v>1.2</v>
      </c>
      <c r="K259" s="142">
        <v>15.13</v>
      </c>
    </row>
    <row r="260" spans="1:11">
      <c r="A260" s="239" t="s">
        <v>41</v>
      </c>
      <c r="B260" s="142">
        <v>3044.11</v>
      </c>
      <c r="C260" s="243">
        <v>7.0419999999999998</v>
      </c>
      <c r="D260" s="142">
        <v>7.7700000000000005E-2</v>
      </c>
      <c r="E260" s="142">
        <v>4.4900000000000002E-2</v>
      </c>
      <c r="F260" s="142">
        <v>1179</v>
      </c>
      <c r="G260" s="142">
        <v>0</v>
      </c>
      <c r="H260" s="142">
        <v>22</v>
      </c>
      <c r="I260" s="239" t="s">
        <v>12</v>
      </c>
      <c r="J260" s="142">
        <v>1.2</v>
      </c>
      <c r="K260" s="142">
        <v>16.170000000000002</v>
      </c>
    </row>
    <row r="261" spans="1:11">
      <c r="A261" s="239" t="s">
        <v>41</v>
      </c>
      <c r="B261" s="142">
        <v>3427.02</v>
      </c>
      <c r="C261" s="243">
        <v>7.0419999999999998</v>
      </c>
      <c r="D261" s="142">
        <v>7.7700000000000005E-2</v>
      </c>
      <c r="E261" s="142">
        <v>4.4900000000000002E-2</v>
      </c>
      <c r="F261" s="142">
        <v>1179</v>
      </c>
      <c r="G261" s="142">
        <v>0</v>
      </c>
      <c r="H261" s="142">
        <v>22</v>
      </c>
      <c r="I261" s="239" t="s">
        <v>12</v>
      </c>
      <c r="J261" s="142">
        <v>1.2</v>
      </c>
      <c r="K261" s="142">
        <v>16.8</v>
      </c>
    </row>
    <row r="262" spans="1:11">
      <c r="A262" s="239" t="s">
        <v>41</v>
      </c>
      <c r="B262" s="142">
        <v>3747.53</v>
      </c>
      <c r="C262" s="243">
        <v>7.0419999999999998</v>
      </c>
      <c r="D262" s="142">
        <v>7.7700000000000005E-2</v>
      </c>
      <c r="E262" s="142">
        <v>4.4900000000000002E-2</v>
      </c>
      <c r="F262" s="142">
        <v>1179</v>
      </c>
      <c r="G262" s="142">
        <v>0</v>
      </c>
      <c r="H262" s="142">
        <v>22</v>
      </c>
      <c r="I262" s="239" t="s">
        <v>12</v>
      </c>
      <c r="J262" s="142">
        <v>1.2</v>
      </c>
      <c r="K262" s="142">
        <v>17.399999999999999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Sheet1</vt:lpstr>
      <vt:lpstr>Aray sheet</vt:lpstr>
      <vt:lpstr>Aray new sheet</vt:lpstr>
      <vt:lpstr>Inkar sheet</vt:lpstr>
      <vt:lpstr>Inkar new</vt:lpstr>
      <vt:lpstr>David sheet</vt:lpstr>
      <vt:lpstr>Zhanerke sheet</vt:lpstr>
      <vt:lpstr>Calculation sheet2 (David)</vt:lpstr>
      <vt:lpstr>Calculation sheet (David)</vt:lpstr>
      <vt:lpstr>Check if repeats</vt:lpstr>
      <vt:lpstr>Yerkenaz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davidokkortel7@gmail.com</cp:lastModifiedBy>
  <dcterms:modified xsi:type="dcterms:W3CDTF">2026-05-28T17:18:12Z</dcterms:modified>
</cp:coreProperties>
</file>